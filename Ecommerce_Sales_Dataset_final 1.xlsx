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042a5334d10bba63/Desktop/"/>
    </mc:Choice>
  </mc:AlternateContent>
  <xr:revisionPtr revIDLastSave="6" documentId="8_{9E97D8A0-A7AF-4A09-AB21-770835D3F159}" xr6:coauthVersionLast="47" xr6:coauthVersionMax="47" xr10:uidLastSave="{95E9260D-42FE-4BA8-A2CF-5A872F32968C}"/>
  <bookViews>
    <workbookView xWindow="-110" yWindow="-110" windowWidth="19420" windowHeight="11500" firstSheet="8" activeTab="9" xr2:uid="{00000000-000D-0000-FFFF-FFFF00000000}"/>
  </bookViews>
  <sheets>
    <sheet name="Customer_Dim" sheetId="24" r:id="rId1"/>
    <sheet name="Product_Dim" sheetId="25" r:id="rId2"/>
    <sheet name="Store_Dim" sheetId="26" r:id="rId3"/>
    <sheet name="Sales_Fact" sheetId="27" r:id="rId4"/>
    <sheet name="Cleen customer data" sheetId="6" r:id="rId5"/>
    <sheet name="customer data final" sheetId="5" r:id="rId6"/>
    <sheet name="Clean Product_Dim (2)" sheetId="7" r:id="rId7"/>
    <sheet name="clean product final" sheetId="10" r:id="rId8"/>
    <sheet name="Clean Store_Dim (2)" sheetId="8" r:id="rId9"/>
    <sheet name="Clean Sales_Fact (2)" sheetId="9" r:id="rId10"/>
    <sheet name="Clean Sales_vlook up" sheetId="12" r:id="rId11"/>
    <sheet name="Pivot summary" sheetId="16" r:id="rId12"/>
    <sheet name="Dashboard" sheetId="23" r:id="rId13"/>
  </sheets>
  <externalReferences>
    <externalReference r:id="rId14"/>
  </externalReferences>
  <definedNames>
    <definedName name="Slicer_Category">#N/A</definedName>
    <definedName name="Slicer_Region">#N/A</definedName>
    <definedName name="Slicer_Store_nam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12" l="1"/>
  <c r="R7" i="12"/>
  <c r="R6" i="12"/>
  <c r="R5" i="12"/>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I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G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F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R10" i="12"/>
  <c r="R9" i="12"/>
  <c r="R8" i="12"/>
  <c r="R4" i="12"/>
  <c r="K1426" i="12"/>
  <c r="K1425" i="12"/>
  <c r="K1424" i="12"/>
  <c r="K1423" i="12"/>
  <c r="K1422" i="12"/>
  <c r="K1421" i="12"/>
  <c r="K1420" i="12"/>
  <c r="K1419" i="12"/>
  <c r="K1418" i="12"/>
  <c r="K1417" i="12"/>
  <c r="K1416" i="12"/>
  <c r="K1415" i="12"/>
  <c r="K1414" i="12"/>
  <c r="K1413" i="12"/>
  <c r="K1412" i="12"/>
  <c r="K1411" i="12"/>
  <c r="K1410" i="12"/>
  <c r="K1409" i="12"/>
  <c r="K1408" i="12"/>
  <c r="K1407" i="12"/>
  <c r="K1406" i="12"/>
  <c r="K1405" i="12"/>
  <c r="K1404" i="12"/>
  <c r="K1403" i="12"/>
  <c r="K1402" i="12"/>
  <c r="K1401" i="12"/>
  <c r="K1400" i="12"/>
  <c r="K1399" i="12"/>
  <c r="K1398" i="12"/>
  <c r="K1397" i="12"/>
  <c r="K1396" i="12"/>
  <c r="K1395" i="12"/>
  <c r="K1394" i="12"/>
  <c r="K1393" i="12"/>
  <c r="K1392" i="12"/>
  <c r="K1391" i="12"/>
  <c r="K1390" i="12"/>
  <c r="K1389" i="12"/>
  <c r="K1388" i="12"/>
  <c r="K1387" i="12"/>
  <c r="K1386" i="12"/>
  <c r="K1385" i="12"/>
  <c r="K1384" i="12"/>
  <c r="K1383" i="12"/>
  <c r="K1382" i="12"/>
  <c r="K1381" i="12"/>
  <c r="K1380" i="12"/>
  <c r="K1379" i="12"/>
  <c r="K1378" i="12"/>
  <c r="K1377" i="12"/>
  <c r="K1376" i="12"/>
  <c r="K1375" i="12"/>
  <c r="K1374" i="12"/>
  <c r="K1373" i="12"/>
  <c r="K1372" i="12"/>
  <c r="K1371" i="12"/>
  <c r="K1370" i="12"/>
  <c r="K1369" i="12"/>
  <c r="K1368" i="12"/>
  <c r="K1367" i="12"/>
  <c r="K1366" i="12"/>
  <c r="K1365" i="12"/>
  <c r="K1364" i="12"/>
  <c r="K1363" i="12"/>
  <c r="K1362" i="12"/>
  <c r="K1361" i="12"/>
  <c r="K1360" i="12"/>
  <c r="K1359" i="12"/>
  <c r="K1358" i="12"/>
  <c r="K1357" i="12"/>
  <c r="K1356" i="12"/>
  <c r="K1355" i="12"/>
  <c r="K1354" i="12"/>
  <c r="K1353" i="12"/>
  <c r="K1352" i="12"/>
  <c r="K1351" i="12"/>
  <c r="K1350" i="12"/>
  <c r="K1349" i="12"/>
  <c r="K1348" i="12"/>
  <c r="K1347" i="12"/>
  <c r="K1346" i="12"/>
  <c r="K1345" i="12"/>
  <c r="K1344" i="12"/>
  <c r="K1343" i="12"/>
  <c r="K1342" i="12"/>
  <c r="K1341" i="12"/>
  <c r="K1340" i="12"/>
  <c r="K1339" i="12"/>
  <c r="K1338" i="12"/>
  <c r="K1337" i="12"/>
  <c r="K1336" i="12"/>
  <c r="K1335" i="12"/>
  <c r="K1334" i="12"/>
  <c r="K1333" i="12"/>
  <c r="K1332" i="12"/>
  <c r="K1331" i="12"/>
  <c r="K1330" i="12"/>
  <c r="K1329" i="12"/>
  <c r="K1328" i="12"/>
  <c r="K1327" i="12"/>
  <c r="K1326" i="12"/>
  <c r="K1325" i="12"/>
  <c r="K1324" i="12"/>
  <c r="K1323" i="12"/>
  <c r="K1322" i="12"/>
  <c r="K1321" i="12"/>
  <c r="K1320" i="12"/>
  <c r="K1319" i="12"/>
  <c r="K1318" i="12"/>
  <c r="K1317" i="12"/>
  <c r="K1316" i="12"/>
  <c r="K1315" i="12"/>
  <c r="K1314" i="12"/>
  <c r="K1313" i="12"/>
  <c r="K1312" i="12"/>
  <c r="K1311" i="12"/>
  <c r="K1310" i="12"/>
  <c r="K1309" i="12"/>
  <c r="K1308" i="12"/>
  <c r="K1307" i="12"/>
  <c r="K1306" i="12"/>
  <c r="K1305" i="12"/>
  <c r="K1304" i="12"/>
  <c r="K1303" i="12"/>
  <c r="K1302" i="12"/>
  <c r="K1301" i="12"/>
  <c r="K1300" i="12"/>
  <c r="K1299" i="12"/>
  <c r="K1298" i="12"/>
  <c r="K1297" i="12"/>
  <c r="K1296" i="12"/>
  <c r="K1295" i="12"/>
  <c r="K1294" i="12"/>
  <c r="K1293" i="12"/>
  <c r="K1292" i="12"/>
  <c r="K1291" i="12"/>
  <c r="K1290" i="12"/>
  <c r="K1289" i="12"/>
  <c r="K1288" i="12"/>
  <c r="K1287" i="12"/>
  <c r="K1286" i="12"/>
  <c r="K1285" i="12"/>
  <c r="K1284" i="12"/>
  <c r="K1283" i="12"/>
  <c r="K1282" i="12"/>
  <c r="K1281" i="12"/>
  <c r="K1280" i="12"/>
  <c r="K1279" i="12"/>
  <c r="K1278" i="12"/>
  <c r="K1277" i="12"/>
  <c r="K1276" i="12"/>
  <c r="K1275" i="12"/>
  <c r="K1274" i="12"/>
  <c r="K1273" i="12"/>
  <c r="K1272" i="12"/>
  <c r="K1271" i="12"/>
  <c r="K1270" i="12"/>
  <c r="K1269" i="12"/>
  <c r="K1268" i="12"/>
  <c r="K1267" i="12"/>
  <c r="K1266" i="12"/>
  <c r="K1265" i="12"/>
  <c r="K1264" i="12"/>
  <c r="K1263" i="12"/>
  <c r="K1262" i="12"/>
  <c r="K1261" i="12"/>
  <c r="K1260" i="12"/>
  <c r="K1259" i="12"/>
  <c r="K1258" i="12"/>
  <c r="K1257" i="12"/>
  <c r="K1256" i="12"/>
  <c r="K1255" i="12"/>
  <c r="K1254" i="12"/>
  <c r="K1253" i="12"/>
  <c r="K1252" i="12"/>
  <c r="K1251" i="12"/>
  <c r="K1250" i="12"/>
  <c r="K1249" i="12"/>
  <c r="K1248" i="12"/>
  <c r="K1247" i="12"/>
  <c r="K1246" i="12"/>
  <c r="K1245" i="12"/>
  <c r="K1244" i="12"/>
  <c r="K1243" i="12"/>
  <c r="K1242" i="12"/>
  <c r="K1241" i="12"/>
  <c r="K1240" i="12"/>
  <c r="K1239" i="12"/>
  <c r="K1238" i="12"/>
  <c r="K1237" i="12"/>
  <c r="K1236" i="12"/>
  <c r="K1235" i="12"/>
  <c r="K1234" i="12"/>
  <c r="K1233" i="12"/>
  <c r="K1232" i="12"/>
  <c r="K1231" i="12"/>
  <c r="K1230" i="12"/>
  <c r="K1229" i="12"/>
  <c r="K1228" i="12"/>
  <c r="K1227" i="12"/>
  <c r="K1226" i="12"/>
  <c r="K1225" i="12"/>
  <c r="K1224" i="12"/>
  <c r="K1223" i="12"/>
  <c r="K1222" i="12"/>
  <c r="K1221" i="12"/>
  <c r="K1220" i="12"/>
  <c r="K1219" i="12"/>
  <c r="K1218" i="12"/>
  <c r="K1217" i="12"/>
  <c r="K1216" i="12"/>
  <c r="K1215" i="12"/>
  <c r="K1214" i="12"/>
  <c r="K1213" i="12"/>
  <c r="K1212" i="12"/>
  <c r="K1211" i="12"/>
  <c r="K1210" i="12"/>
  <c r="K1209" i="12"/>
  <c r="K1208" i="12"/>
  <c r="K1207" i="12"/>
  <c r="K1206" i="12"/>
  <c r="K1205" i="12"/>
  <c r="K1204" i="12"/>
  <c r="K1203" i="12"/>
  <c r="K1202" i="12"/>
  <c r="K1201" i="12"/>
  <c r="K1200" i="12"/>
  <c r="K1199" i="12"/>
  <c r="K1198" i="12"/>
  <c r="K1197" i="12"/>
  <c r="K1196" i="12"/>
  <c r="K1195" i="12"/>
  <c r="K1194" i="12"/>
  <c r="K1193" i="12"/>
  <c r="K1192" i="12"/>
  <c r="K1191" i="12"/>
  <c r="K1190" i="12"/>
  <c r="K1189" i="12"/>
  <c r="K1188" i="12"/>
  <c r="K1187" i="12"/>
  <c r="K1186" i="12"/>
  <c r="K1185" i="12"/>
  <c r="K1184" i="12"/>
  <c r="K1183" i="12"/>
  <c r="K1182" i="12"/>
  <c r="K1181" i="12"/>
  <c r="K1180" i="12"/>
  <c r="K1179" i="12"/>
  <c r="K1178" i="12"/>
  <c r="K1177" i="12"/>
  <c r="K1176" i="12"/>
  <c r="K1175" i="12"/>
  <c r="K1174" i="12"/>
  <c r="K1173" i="12"/>
  <c r="K1172" i="12"/>
  <c r="K1171" i="12"/>
  <c r="K1170" i="12"/>
  <c r="K1169" i="12"/>
  <c r="K1168" i="12"/>
  <c r="K1167" i="12"/>
  <c r="K1166" i="12"/>
  <c r="K1165" i="12"/>
  <c r="K1164" i="12"/>
  <c r="K1163" i="12"/>
  <c r="K1162" i="12"/>
  <c r="K1161" i="12"/>
  <c r="K1160" i="12"/>
  <c r="K1159" i="12"/>
  <c r="K1158" i="12"/>
  <c r="K1157" i="12"/>
  <c r="K1156" i="12"/>
  <c r="K1155" i="12"/>
  <c r="K1154" i="12"/>
  <c r="K1153" i="12"/>
  <c r="K1152" i="12"/>
  <c r="K1151" i="12"/>
  <c r="K1150" i="12"/>
  <c r="K1149" i="12"/>
  <c r="K1148" i="12"/>
  <c r="K1147" i="12"/>
  <c r="K1146" i="12"/>
  <c r="K1145" i="12"/>
  <c r="K1144" i="12"/>
  <c r="K1143" i="12"/>
  <c r="K1142" i="12"/>
  <c r="K1141" i="12"/>
  <c r="K1140" i="12"/>
  <c r="K1139" i="12"/>
  <c r="K1138" i="12"/>
  <c r="K1137" i="12"/>
  <c r="K1136" i="12"/>
  <c r="K1135" i="12"/>
  <c r="K1134" i="12"/>
  <c r="K1133" i="12"/>
  <c r="K1132" i="12"/>
  <c r="K1131" i="12"/>
  <c r="K1130" i="12"/>
  <c r="K1129" i="12"/>
  <c r="K1128" i="12"/>
  <c r="K1127" i="12"/>
  <c r="K1126" i="12"/>
  <c r="K1125" i="12"/>
  <c r="K1124" i="12"/>
  <c r="K1123" i="12"/>
  <c r="K1122" i="12"/>
  <c r="K1121" i="12"/>
  <c r="K1120" i="12"/>
  <c r="K1119" i="12"/>
  <c r="K1118" i="12"/>
  <c r="K1117" i="12"/>
  <c r="K1116" i="12"/>
  <c r="K1115" i="12"/>
  <c r="K1114" i="12"/>
  <c r="K1113" i="12"/>
  <c r="K1112" i="12"/>
  <c r="K1111" i="12"/>
  <c r="K1110" i="12"/>
  <c r="K1109" i="12"/>
  <c r="K1108" i="12"/>
  <c r="K1107" i="12"/>
  <c r="K1106" i="12"/>
  <c r="K1105" i="12"/>
  <c r="K1104" i="12"/>
  <c r="K1103" i="12"/>
  <c r="K1102" i="12"/>
  <c r="K1101" i="12"/>
  <c r="K1100" i="12"/>
  <c r="K1099" i="12"/>
  <c r="K1098" i="12"/>
  <c r="K1097" i="12"/>
  <c r="K1096" i="12"/>
  <c r="K1095" i="12"/>
  <c r="K1094" i="12"/>
  <c r="K1093" i="12"/>
  <c r="K1092" i="12"/>
  <c r="K1091" i="12"/>
  <c r="K1090" i="12"/>
  <c r="K1089" i="12"/>
  <c r="K1088" i="12"/>
  <c r="K1087" i="12"/>
  <c r="K1086" i="12"/>
  <c r="K1085" i="12"/>
  <c r="K1084" i="12"/>
  <c r="K1083" i="12"/>
  <c r="K1082" i="12"/>
  <c r="K1081" i="12"/>
  <c r="K1080" i="12"/>
  <c r="K1079" i="12"/>
  <c r="K1078" i="12"/>
  <c r="K1077" i="12"/>
  <c r="K1076" i="12"/>
  <c r="K1075" i="12"/>
  <c r="K1074" i="12"/>
  <c r="K1073" i="12"/>
  <c r="K1072" i="12"/>
  <c r="K1071" i="12"/>
  <c r="K1070" i="12"/>
  <c r="K1069" i="12"/>
  <c r="K1068" i="12"/>
  <c r="K1067" i="12"/>
  <c r="K1066" i="12"/>
  <c r="K1065" i="12"/>
  <c r="K1064" i="12"/>
  <c r="K1063" i="12"/>
  <c r="K1062" i="12"/>
  <c r="K1061" i="12"/>
  <c r="K1060" i="12"/>
  <c r="K1059" i="12"/>
  <c r="K1058" i="12"/>
  <c r="K1057" i="12"/>
  <c r="K1056" i="12"/>
  <c r="K1055" i="12"/>
  <c r="K1054" i="12"/>
  <c r="K1053" i="12"/>
  <c r="K1052" i="12"/>
  <c r="K1051" i="12"/>
  <c r="K1050" i="12"/>
  <c r="K1049" i="12"/>
  <c r="K1048" i="12"/>
  <c r="K1047" i="12"/>
  <c r="K1046" i="12"/>
  <c r="K1045" i="12"/>
  <c r="K1044" i="12"/>
  <c r="K1043" i="12"/>
  <c r="K1042" i="12"/>
  <c r="K1041" i="12"/>
  <c r="K1040" i="12"/>
  <c r="K1039" i="12"/>
  <c r="K1038" i="12"/>
  <c r="K1037" i="12"/>
  <c r="K1036" i="12"/>
  <c r="K1035" i="12"/>
  <c r="K1034" i="12"/>
  <c r="K1033" i="12"/>
  <c r="K1032" i="12"/>
  <c r="K1031" i="12"/>
  <c r="K1030" i="12"/>
  <c r="K1029" i="12"/>
  <c r="K1028" i="12"/>
  <c r="K1027" i="12"/>
  <c r="K1026" i="12"/>
  <c r="K1025" i="12"/>
  <c r="K1024" i="12"/>
  <c r="K1023" i="12"/>
  <c r="K1022" i="12"/>
  <c r="K1021" i="12"/>
  <c r="K1020" i="12"/>
  <c r="K1019" i="12"/>
  <c r="K1018" i="12"/>
  <c r="K1017" i="12"/>
  <c r="K1016" i="12"/>
  <c r="K1015" i="12"/>
  <c r="K1014" i="12"/>
  <c r="K1013" i="12"/>
  <c r="K1012" i="12"/>
  <c r="K1011" i="12"/>
  <c r="K1010" i="12"/>
  <c r="K1009" i="12"/>
  <c r="K1008" i="12"/>
  <c r="K1007" i="12"/>
  <c r="K1006" i="12"/>
  <c r="K1005" i="12"/>
  <c r="K1004" i="12"/>
  <c r="K1003" i="12"/>
  <c r="K1002" i="12"/>
  <c r="K1001" i="12"/>
  <c r="K1000" i="12"/>
  <c r="K999" i="12"/>
  <c r="K998" i="12"/>
  <c r="K997" i="12"/>
  <c r="K996" i="12"/>
  <c r="K995" i="12"/>
  <c r="K994" i="12"/>
  <c r="K993" i="12"/>
  <c r="K992" i="12"/>
  <c r="K991" i="12"/>
  <c r="K990" i="12"/>
  <c r="K989" i="12"/>
  <c r="K988" i="12"/>
  <c r="K987" i="12"/>
  <c r="K986" i="12"/>
  <c r="K985" i="12"/>
  <c r="K984" i="12"/>
  <c r="K983" i="12"/>
  <c r="K982" i="12"/>
  <c r="K981" i="12"/>
  <c r="K980" i="12"/>
  <c r="K979" i="12"/>
  <c r="K978" i="12"/>
  <c r="K977" i="12"/>
  <c r="K976" i="12"/>
  <c r="K975" i="12"/>
  <c r="K974" i="12"/>
  <c r="K973" i="12"/>
  <c r="K972" i="12"/>
  <c r="K971" i="12"/>
  <c r="K970" i="12"/>
  <c r="K969" i="12"/>
  <c r="K968" i="12"/>
  <c r="K967" i="12"/>
  <c r="K966" i="12"/>
  <c r="K965" i="12"/>
  <c r="K964" i="12"/>
  <c r="K963" i="12"/>
  <c r="K962" i="12"/>
  <c r="K961" i="12"/>
  <c r="K960" i="12"/>
  <c r="K959" i="12"/>
  <c r="K958" i="12"/>
  <c r="K957" i="12"/>
  <c r="K956" i="12"/>
  <c r="K955" i="12"/>
  <c r="K954" i="12"/>
  <c r="K953" i="12"/>
  <c r="K952" i="12"/>
  <c r="K951" i="12"/>
  <c r="K950" i="12"/>
  <c r="K949" i="12"/>
  <c r="K948" i="12"/>
  <c r="K947" i="12"/>
  <c r="K946" i="12"/>
  <c r="K945" i="12"/>
  <c r="K944" i="12"/>
  <c r="K943" i="12"/>
  <c r="K942" i="12"/>
  <c r="K941" i="12"/>
  <c r="K940" i="12"/>
  <c r="K939" i="12"/>
  <c r="K938" i="12"/>
  <c r="K937" i="12"/>
  <c r="K936" i="12"/>
  <c r="K935" i="12"/>
  <c r="K934" i="12"/>
  <c r="K933" i="12"/>
  <c r="K932" i="12"/>
  <c r="K931" i="12"/>
  <c r="K930" i="12"/>
  <c r="K929" i="12"/>
  <c r="K928" i="12"/>
  <c r="K927" i="12"/>
  <c r="K926" i="12"/>
  <c r="K925" i="12"/>
  <c r="K924" i="12"/>
  <c r="K923" i="12"/>
  <c r="K922" i="12"/>
  <c r="K921" i="12"/>
  <c r="K920" i="12"/>
  <c r="K919" i="12"/>
  <c r="K918" i="12"/>
  <c r="K917" i="12"/>
  <c r="K916" i="12"/>
  <c r="K915" i="12"/>
  <c r="K914" i="12"/>
  <c r="K913" i="12"/>
  <c r="K912" i="12"/>
  <c r="K911" i="12"/>
  <c r="K910" i="12"/>
  <c r="K909" i="12"/>
  <c r="K908" i="12"/>
  <c r="K907" i="12"/>
  <c r="K906" i="12"/>
  <c r="K905" i="12"/>
  <c r="K904" i="12"/>
  <c r="K903" i="12"/>
  <c r="K902" i="12"/>
  <c r="K901" i="12"/>
  <c r="K900" i="12"/>
  <c r="K899" i="12"/>
  <c r="K898" i="12"/>
  <c r="K897" i="12"/>
  <c r="K896" i="12"/>
  <c r="K895" i="12"/>
  <c r="K894" i="12"/>
  <c r="K893" i="12"/>
  <c r="K892" i="12"/>
  <c r="K891" i="12"/>
  <c r="K890" i="12"/>
  <c r="K889" i="12"/>
  <c r="K888" i="12"/>
  <c r="K887" i="12"/>
  <c r="K886" i="12"/>
  <c r="K885" i="12"/>
  <c r="K884" i="12"/>
  <c r="K883" i="12"/>
  <c r="K882" i="12"/>
  <c r="K881" i="12"/>
  <c r="K880" i="12"/>
  <c r="K879" i="12"/>
  <c r="K878" i="12"/>
  <c r="K877" i="12"/>
  <c r="K876" i="12"/>
  <c r="K875" i="12"/>
  <c r="K874" i="12"/>
  <c r="K873" i="12"/>
  <c r="K872" i="12"/>
  <c r="K871" i="12"/>
  <c r="K870" i="12"/>
  <c r="K869" i="12"/>
  <c r="K868" i="12"/>
  <c r="K867" i="12"/>
  <c r="K866" i="12"/>
  <c r="K865" i="12"/>
  <c r="K864" i="12"/>
  <c r="K863" i="12"/>
  <c r="K862" i="12"/>
  <c r="K861" i="12"/>
  <c r="K860" i="12"/>
  <c r="K859" i="12"/>
  <c r="K858" i="12"/>
  <c r="K857" i="12"/>
  <c r="K856" i="12"/>
  <c r="K855" i="12"/>
  <c r="K854" i="12"/>
  <c r="K853" i="12"/>
  <c r="K852" i="12"/>
  <c r="K851" i="12"/>
  <c r="K850" i="12"/>
  <c r="K849" i="12"/>
  <c r="K848" i="12"/>
  <c r="K847" i="12"/>
  <c r="K846" i="12"/>
  <c r="K845" i="12"/>
  <c r="K844" i="12"/>
  <c r="K843" i="12"/>
  <c r="K842" i="12"/>
  <c r="K841" i="12"/>
  <c r="K840" i="12"/>
  <c r="K839" i="12"/>
  <c r="K838" i="12"/>
  <c r="K837" i="12"/>
  <c r="K836" i="12"/>
  <c r="K835" i="12"/>
  <c r="K834" i="12"/>
  <c r="K833" i="12"/>
  <c r="K832" i="12"/>
  <c r="K831" i="12"/>
  <c r="K830" i="12"/>
  <c r="K829" i="12"/>
  <c r="K828" i="12"/>
  <c r="K827" i="12"/>
  <c r="K826" i="12"/>
  <c r="K825" i="12"/>
  <c r="K824" i="12"/>
  <c r="K823" i="12"/>
  <c r="K822" i="12"/>
  <c r="K821" i="12"/>
  <c r="K820" i="12"/>
  <c r="K819" i="12"/>
  <c r="K818" i="12"/>
  <c r="K817" i="12"/>
  <c r="K816" i="12"/>
  <c r="K815" i="12"/>
  <c r="K814" i="12"/>
  <c r="K813" i="12"/>
  <c r="K812" i="12"/>
  <c r="K811" i="12"/>
  <c r="K810" i="12"/>
  <c r="K809" i="12"/>
  <c r="K808" i="12"/>
  <c r="K807" i="12"/>
  <c r="K806" i="12"/>
  <c r="K805" i="12"/>
  <c r="K804" i="12"/>
  <c r="K803" i="12"/>
  <c r="K802" i="12"/>
  <c r="K801" i="12"/>
  <c r="K800" i="12"/>
  <c r="K799" i="12"/>
  <c r="K798" i="12"/>
  <c r="K797" i="12"/>
  <c r="K796" i="12"/>
  <c r="K795" i="12"/>
  <c r="K794" i="12"/>
  <c r="K793" i="12"/>
  <c r="K792" i="12"/>
  <c r="K791" i="12"/>
  <c r="K790" i="12"/>
  <c r="K789" i="12"/>
  <c r="K788" i="12"/>
  <c r="K787" i="12"/>
  <c r="K786" i="12"/>
  <c r="K785" i="12"/>
  <c r="K784" i="12"/>
  <c r="K783" i="12"/>
  <c r="K782" i="12"/>
  <c r="K781" i="12"/>
  <c r="K780" i="12"/>
  <c r="K779" i="12"/>
  <c r="K778" i="12"/>
  <c r="K777" i="12"/>
  <c r="K776" i="12"/>
  <c r="K775" i="12"/>
  <c r="K774" i="12"/>
  <c r="K773" i="12"/>
  <c r="K772" i="12"/>
  <c r="K771" i="12"/>
  <c r="K770" i="12"/>
  <c r="K769" i="12"/>
  <c r="K768" i="12"/>
  <c r="K767" i="12"/>
  <c r="K766" i="12"/>
  <c r="K765" i="12"/>
  <c r="K764" i="12"/>
  <c r="K763" i="12"/>
  <c r="K762" i="12"/>
  <c r="K761" i="12"/>
  <c r="K760" i="12"/>
  <c r="K759" i="12"/>
  <c r="K758" i="12"/>
  <c r="K757" i="12"/>
  <c r="K756" i="12"/>
  <c r="K755" i="12"/>
  <c r="K754" i="12"/>
  <c r="K753" i="12"/>
  <c r="K752" i="12"/>
  <c r="K751" i="12"/>
  <c r="K750" i="12"/>
  <c r="K749" i="12"/>
  <c r="K748" i="12"/>
  <c r="K747" i="12"/>
  <c r="K746" i="12"/>
  <c r="K745" i="12"/>
  <c r="K744" i="12"/>
  <c r="K743" i="12"/>
  <c r="K742" i="12"/>
  <c r="K741" i="12"/>
  <c r="K740" i="12"/>
  <c r="K739" i="12"/>
  <c r="K738" i="12"/>
  <c r="K737" i="12"/>
  <c r="K736" i="12"/>
  <c r="K735" i="12"/>
  <c r="K734" i="12"/>
  <c r="K733" i="12"/>
  <c r="K732" i="12"/>
  <c r="K731" i="12"/>
  <c r="K730" i="12"/>
  <c r="K729" i="12"/>
  <c r="K728" i="12"/>
  <c r="K727" i="12"/>
  <c r="K726" i="12"/>
  <c r="K725" i="12"/>
  <c r="K724" i="12"/>
  <c r="K723" i="12"/>
  <c r="K722" i="12"/>
  <c r="K721" i="12"/>
  <c r="K720" i="12"/>
  <c r="K719" i="12"/>
  <c r="K718" i="12"/>
  <c r="K717" i="12"/>
  <c r="K716" i="12"/>
  <c r="K715" i="12"/>
  <c r="K714" i="12"/>
  <c r="K713" i="12"/>
  <c r="K712" i="12"/>
  <c r="K711" i="12"/>
  <c r="K710" i="12"/>
  <c r="K709" i="12"/>
  <c r="K708" i="12"/>
  <c r="K707" i="12"/>
  <c r="K706" i="12"/>
  <c r="K705" i="12"/>
  <c r="K704" i="12"/>
  <c r="K703" i="12"/>
  <c r="K702" i="12"/>
  <c r="K701" i="12"/>
  <c r="K700" i="12"/>
  <c r="K699" i="12"/>
  <c r="K698" i="12"/>
  <c r="K697" i="12"/>
  <c r="K696" i="12"/>
  <c r="K695" i="12"/>
  <c r="K694" i="12"/>
  <c r="K693" i="12"/>
  <c r="K692" i="12"/>
  <c r="K691" i="12"/>
  <c r="K690" i="12"/>
  <c r="K689" i="12"/>
  <c r="K688" i="12"/>
  <c r="K687" i="12"/>
  <c r="K686" i="12"/>
  <c r="K685" i="12"/>
  <c r="K684" i="12"/>
  <c r="K683" i="12"/>
  <c r="K682" i="12"/>
  <c r="K681" i="12"/>
  <c r="K680" i="12"/>
  <c r="K679" i="12"/>
  <c r="K678" i="12"/>
  <c r="K677" i="12"/>
  <c r="K676" i="12"/>
  <c r="K675" i="12"/>
  <c r="K674" i="12"/>
  <c r="K673" i="12"/>
  <c r="K672" i="12"/>
  <c r="K671" i="12"/>
  <c r="K670" i="12"/>
  <c r="K669" i="12"/>
  <c r="K668" i="12"/>
  <c r="K667" i="12"/>
  <c r="K666" i="12"/>
  <c r="K665" i="12"/>
  <c r="K664" i="12"/>
  <c r="K663" i="12"/>
  <c r="K662" i="12"/>
  <c r="K661" i="12"/>
  <c r="K660" i="12"/>
  <c r="K659" i="12"/>
  <c r="K658" i="12"/>
  <c r="K657" i="12"/>
  <c r="K656" i="12"/>
  <c r="K655" i="12"/>
  <c r="K654" i="12"/>
  <c r="K653" i="12"/>
  <c r="K652" i="12"/>
  <c r="K651" i="12"/>
  <c r="K650" i="12"/>
  <c r="K649" i="12"/>
  <c r="K648" i="12"/>
  <c r="K647" i="12"/>
  <c r="K646" i="12"/>
  <c r="K645" i="12"/>
  <c r="K644" i="12"/>
  <c r="K643" i="12"/>
  <c r="K642" i="12"/>
  <c r="K641" i="12"/>
  <c r="K640" i="12"/>
  <c r="K639" i="12"/>
  <c r="K638" i="12"/>
  <c r="K637" i="12"/>
  <c r="K636" i="12"/>
  <c r="K635" i="12"/>
  <c r="K634" i="12"/>
  <c r="K633" i="12"/>
  <c r="K632" i="12"/>
  <c r="K631" i="12"/>
  <c r="K630" i="12"/>
  <c r="K629" i="12"/>
  <c r="K628" i="12"/>
  <c r="K627" i="12"/>
  <c r="K626" i="12"/>
  <c r="K625" i="12"/>
  <c r="K624" i="12"/>
  <c r="K623" i="12"/>
  <c r="K622" i="12"/>
  <c r="K621" i="12"/>
  <c r="K620" i="12"/>
  <c r="K619" i="12"/>
  <c r="K618" i="12"/>
  <c r="K617" i="12"/>
  <c r="K616" i="12"/>
  <c r="K615" i="12"/>
  <c r="K614" i="12"/>
  <c r="K613" i="12"/>
  <c r="K612" i="12"/>
  <c r="K611" i="12"/>
  <c r="K610" i="12"/>
  <c r="K609" i="12"/>
  <c r="K608" i="12"/>
  <c r="K607" i="12"/>
  <c r="K606" i="12"/>
  <c r="K605" i="12"/>
  <c r="K604" i="12"/>
  <c r="K603" i="12"/>
  <c r="K602" i="12"/>
  <c r="K601" i="12"/>
  <c r="K600" i="12"/>
  <c r="K599" i="12"/>
  <c r="K598" i="12"/>
  <c r="K597" i="12"/>
  <c r="K596" i="12"/>
  <c r="K595" i="12"/>
  <c r="K594" i="12"/>
  <c r="K593" i="12"/>
  <c r="K592" i="12"/>
  <c r="K591" i="12"/>
  <c r="K590" i="12"/>
  <c r="K589" i="12"/>
  <c r="K588" i="12"/>
  <c r="K587" i="12"/>
  <c r="K586" i="12"/>
  <c r="K585" i="12"/>
  <c r="K584" i="12"/>
  <c r="K583" i="12"/>
  <c r="K582" i="12"/>
  <c r="K581" i="12"/>
  <c r="K580" i="12"/>
  <c r="K579" i="12"/>
  <c r="K578" i="12"/>
  <c r="K577" i="12"/>
  <c r="K576" i="12"/>
  <c r="K575" i="12"/>
  <c r="K574" i="12"/>
  <c r="K573" i="12"/>
  <c r="K572" i="12"/>
  <c r="K571" i="12"/>
  <c r="K570" i="12"/>
  <c r="K569" i="12"/>
  <c r="K568" i="12"/>
  <c r="K567" i="12"/>
  <c r="K566" i="12"/>
  <c r="K565" i="12"/>
  <c r="K564" i="12"/>
  <c r="K563" i="12"/>
  <c r="K562" i="12"/>
  <c r="K561" i="12"/>
  <c r="K560" i="12"/>
  <c r="K559" i="12"/>
  <c r="K558" i="12"/>
  <c r="K557" i="12"/>
  <c r="K556" i="12"/>
  <c r="K555" i="12"/>
  <c r="K554" i="12"/>
  <c r="K553" i="12"/>
  <c r="K552" i="12"/>
  <c r="K551" i="12"/>
  <c r="K550" i="12"/>
  <c r="K549" i="12"/>
  <c r="K548" i="12"/>
  <c r="K547" i="12"/>
  <c r="K546" i="12"/>
  <c r="K545" i="12"/>
  <c r="K544" i="12"/>
  <c r="K543" i="12"/>
  <c r="K542" i="12"/>
  <c r="K541" i="12"/>
  <c r="K540" i="12"/>
  <c r="K539" i="12"/>
  <c r="K538" i="12"/>
  <c r="K537" i="12"/>
  <c r="K536" i="12"/>
  <c r="K535" i="12"/>
  <c r="K534" i="12"/>
  <c r="K533" i="12"/>
  <c r="K532" i="12"/>
  <c r="K531" i="12"/>
  <c r="K530" i="12"/>
  <c r="K529" i="12"/>
  <c r="K528" i="12"/>
  <c r="K527" i="12"/>
  <c r="K526" i="12"/>
  <c r="K525" i="12"/>
  <c r="K524" i="12"/>
  <c r="K523" i="12"/>
  <c r="K522" i="12"/>
  <c r="K521" i="12"/>
  <c r="K520" i="12"/>
  <c r="K519" i="12"/>
  <c r="K518" i="12"/>
  <c r="K517" i="12"/>
  <c r="K516" i="12"/>
  <c r="K515" i="12"/>
  <c r="K514" i="12"/>
  <c r="K513" i="12"/>
  <c r="K512" i="12"/>
  <c r="K511" i="12"/>
  <c r="K510" i="12"/>
  <c r="K509" i="12"/>
  <c r="K508" i="12"/>
  <c r="K507" i="12"/>
  <c r="K506" i="12"/>
  <c r="K505" i="12"/>
  <c r="K504" i="12"/>
  <c r="K503" i="12"/>
  <c r="K502" i="12"/>
  <c r="K501" i="12"/>
  <c r="K500" i="12"/>
  <c r="K499" i="12"/>
  <c r="K498" i="12"/>
  <c r="K497" i="12"/>
  <c r="K496" i="12"/>
  <c r="K495" i="12"/>
  <c r="K494" i="12"/>
  <c r="K493" i="12"/>
  <c r="K492" i="12"/>
  <c r="K491" i="12"/>
  <c r="K490" i="12"/>
  <c r="K489" i="12"/>
  <c r="K488" i="12"/>
  <c r="K487" i="12"/>
  <c r="K486" i="12"/>
  <c r="K485" i="12"/>
  <c r="K484" i="12"/>
  <c r="K483" i="12"/>
  <c r="K482" i="12"/>
  <c r="K481" i="12"/>
  <c r="K480" i="12"/>
  <c r="K479" i="12"/>
  <c r="K478" i="12"/>
  <c r="K477" i="12"/>
  <c r="K476" i="12"/>
  <c r="K475" i="12"/>
  <c r="K474" i="12"/>
  <c r="K473" i="12"/>
  <c r="K472" i="12"/>
  <c r="K471" i="12"/>
  <c r="K470" i="12"/>
  <c r="K469" i="12"/>
  <c r="K468" i="12"/>
  <c r="K467" i="12"/>
  <c r="K466" i="12"/>
  <c r="K465" i="12"/>
  <c r="K464" i="12"/>
  <c r="K463" i="12"/>
  <c r="K462" i="12"/>
  <c r="K461" i="12"/>
  <c r="K460" i="12"/>
  <c r="K459" i="12"/>
  <c r="K458" i="12"/>
  <c r="K457" i="12"/>
  <c r="K456" i="12"/>
  <c r="K455" i="12"/>
  <c r="K454" i="12"/>
  <c r="K453" i="12"/>
  <c r="K452" i="12"/>
  <c r="K451" i="12"/>
  <c r="K450" i="12"/>
  <c r="K449" i="12"/>
  <c r="K448" i="12"/>
  <c r="K447" i="12"/>
  <c r="K446" i="12"/>
  <c r="K445" i="12"/>
  <c r="K444" i="12"/>
  <c r="K443" i="12"/>
  <c r="K442" i="12"/>
  <c r="K441" i="12"/>
  <c r="K440" i="12"/>
  <c r="K439" i="12"/>
  <c r="K438" i="12"/>
  <c r="K437" i="12"/>
  <c r="K436" i="12"/>
  <c r="K435" i="12"/>
  <c r="K434" i="12"/>
  <c r="K433" i="12"/>
  <c r="K432" i="12"/>
  <c r="K431" i="12"/>
  <c r="K430" i="12"/>
  <c r="K429" i="12"/>
  <c r="K428" i="12"/>
  <c r="K427" i="12"/>
  <c r="K426" i="12"/>
  <c r="K425" i="12"/>
  <c r="K424" i="12"/>
  <c r="K423" i="12"/>
  <c r="K422" i="12"/>
  <c r="K421" i="12"/>
  <c r="K420" i="12"/>
  <c r="K419" i="12"/>
  <c r="K418" i="12"/>
  <c r="K417" i="12"/>
  <c r="K416" i="12"/>
  <c r="K415" i="12"/>
  <c r="K414" i="12"/>
  <c r="K413" i="12"/>
  <c r="K412" i="12"/>
  <c r="K411" i="12"/>
  <c r="K410" i="12"/>
  <c r="K409" i="12"/>
  <c r="K408" i="12"/>
  <c r="K407" i="12"/>
  <c r="K406" i="12"/>
  <c r="K405" i="12"/>
  <c r="K404" i="12"/>
  <c r="K403" i="12"/>
  <c r="K402" i="12"/>
  <c r="K401" i="12"/>
  <c r="K400" i="12"/>
  <c r="K399" i="12"/>
  <c r="K398" i="12"/>
  <c r="K397" i="12"/>
  <c r="K396" i="12"/>
  <c r="K395" i="12"/>
  <c r="K394" i="12"/>
  <c r="K393" i="12"/>
  <c r="K392" i="12"/>
  <c r="K391" i="12"/>
  <c r="K390" i="12"/>
  <c r="K389" i="12"/>
  <c r="K388" i="12"/>
  <c r="K387" i="12"/>
  <c r="K386" i="12"/>
  <c r="K385" i="12"/>
  <c r="K384" i="12"/>
  <c r="K383" i="12"/>
  <c r="K382" i="12"/>
  <c r="K381" i="12"/>
  <c r="K380" i="12"/>
  <c r="K379" i="12"/>
  <c r="K378" i="12"/>
  <c r="K377" i="12"/>
  <c r="K376" i="12"/>
  <c r="K375" i="12"/>
  <c r="K374" i="12"/>
  <c r="K373" i="12"/>
  <c r="K372" i="12"/>
  <c r="K371" i="12"/>
  <c r="K370" i="12"/>
  <c r="K369" i="12"/>
  <c r="K368" i="12"/>
  <c r="K367" i="12"/>
  <c r="K366" i="12"/>
  <c r="K365" i="12"/>
  <c r="K364" i="12"/>
  <c r="K363" i="12"/>
  <c r="K362" i="12"/>
  <c r="K361" i="12"/>
  <c r="K360" i="12"/>
  <c r="K359" i="12"/>
  <c r="K358" i="12"/>
  <c r="K357" i="12"/>
  <c r="K356" i="12"/>
  <c r="K355" i="12"/>
  <c r="K354" i="12"/>
  <c r="K353" i="12"/>
  <c r="K352" i="12"/>
  <c r="K351" i="12"/>
  <c r="K350" i="12"/>
  <c r="K349" i="12"/>
  <c r="K348" i="12"/>
  <c r="K347" i="12"/>
  <c r="K346" i="12"/>
  <c r="K345" i="12"/>
  <c r="K344" i="12"/>
  <c r="K343" i="12"/>
  <c r="K342" i="12"/>
  <c r="K341" i="12"/>
  <c r="K340" i="12"/>
  <c r="K339" i="12"/>
  <c r="K338" i="12"/>
  <c r="K337" i="12"/>
  <c r="K336" i="12"/>
  <c r="K335" i="12"/>
  <c r="K334" i="12"/>
  <c r="K333" i="12"/>
  <c r="K332" i="12"/>
  <c r="K331" i="12"/>
  <c r="K330" i="12"/>
  <c r="K329" i="12"/>
  <c r="K328" i="12"/>
  <c r="K327" i="12"/>
  <c r="K326" i="12"/>
  <c r="K325" i="12"/>
  <c r="K324" i="12"/>
  <c r="K323" i="12"/>
  <c r="K322" i="12"/>
  <c r="K321" i="12"/>
  <c r="K320" i="12"/>
  <c r="K319" i="12"/>
  <c r="K318" i="12"/>
  <c r="K317" i="12"/>
  <c r="K316" i="12"/>
  <c r="K315" i="12"/>
  <c r="K314" i="12"/>
  <c r="K313" i="12"/>
  <c r="K312" i="12"/>
  <c r="K311" i="12"/>
  <c r="K310" i="12"/>
  <c r="K309" i="12"/>
  <c r="K308" i="12"/>
  <c r="K307" i="12"/>
  <c r="K306" i="12"/>
  <c r="K305" i="12"/>
  <c r="K304" i="12"/>
  <c r="K303" i="12"/>
  <c r="K302" i="12"/>
  <c r="K301" i="12"/>
  <c r="K300" i="12"/>
  <c r="K299" i="12"/>
  <c r="K298" i="12"/>
  <c r="K297" i="12"/>
  <c r="K296" i="12"/>
  <c r="K295" i="12"/>
  <c r="K294" i="12"/>
  <c r="K293" i="12"/>
  <c r="K292" i="12"/>
  <c r="K291" i="12"/>
  <c r="K290" i="12"/>
  <c r="K289" i="12"/>
  <c r="K288" i="12"/>
  <c r="K287" i="12"/>
  <c r="K286" i="12"/>
  <c r="K285" i="12"/>
  <c r="K284" i="12"/>
  <c r="K283" i="12"/>
  <c r="K282" i="12"/>
  <c r="K281" i="12"/>
  <c r="K280" i="12"/>
  <c r="K279" i="12"/>
  <c r="K278" i="12"/>
  <c r="K277" i="12"/>
  <c r="K276" i="12"/>
  <c r="K275" i="12"/>
  <c r="K274" i="12"/>
  <c r="K273" i="12"/>
  <c r="K272" i="12"/>
  <c r="K271" i="12"/>
  <c r="K269" i="12"/>
  <c r="K268" i="12"/>
  <c r="K267" i="12"/>
  <c r="K266" i="12"/>
  <c r="K265" i="12"/>
  <c r="K264" i="12"/>
  <c r="K263" i="12"/>
  <c r="K262" i="12"/>
  <c r="K260" i="12"/>
  <c r="K259" i="12"/>
  <c r="K258" i="12"/>
  <c r="K257" i="12"/>
  <c r="K256" i="12"/>
  <c r="K255" i="12"/>
  <c r="K254" i="12"/>
  <c r="K253" i="12"/>
  <c r="K252" i="12"/>
  <c r="K251" i="12"/>
  <c r="K250" i="12"/>
  <c r="K249" i="12"/>
  <c r="K248" i="12"/>
  <c r="K247" i="12"/>
  <c r="K246" i="12"/>
  <c r="K245" i="12"/>
  <c r="K244" i="12"/>
  <c r="K243" i="12"/>
  <c r="K242" i="12"/>
  <c r="K241" i="12"/>
  <c r="K240" i="12"/>
  <c r="K239" i="12"/>
  <c r="K238" i="12"/>
  <c r="K237" i="12"/>
  <c r="K236" i="12"/>
  <c r="K235" i="12"/>
  <c r="K234" i="12"/>
  <c r="K233" i="12"/>
  <c r="K232" i="12"/>
  <c r="K231" i="12"/>
  <c r="K230" i="12"/>
  <c r="K229" i="12"/>
  <c r="K228" i="12"/>
  <c r="K227" i="12"/>
  <c r="K226" i="12"/>
  <c r="K225" i="12"/>
  <c r="K224" i="12"/>
  <c r="K223" i="12"/>
  <c r="K222" i="12"/>
  <c r="K221" i="12"/>
  <c r="K220" i="12"/>
  <c r="K219" i="12"/>
  <c r="K218" i="12"/>
  <c r="K217" i="12"/>
  <c r="K216" i="12"/>
  <c r="K215" i="12"/>
  <c r="K214" i="12"/>
  <c r="K213" i="12"/>
  <c r="K212" i="12"/>
  <c r="K211" i="12"/>
  <c r="K210" i="12"/>
  <c r="K209" i="12"/>
  <c r="K208" i="12"/>
  <c r="K207" i="12"/>
  <c r="K206" i="12"/>
  <c r="K205" i="12"/>
  <c r="K204" i="12"/>
  <c r="K203" i="12"/>
  <c r="K202" i="12"/>
  <c r="K201" i="12"/>
  <c r="K200" i="12"/>
  <c r="K199" i="12"/>
  <c r="K198" i="12"/>
  <c r="K197" i="12"/>
  <c r="K196" i="12"/>
  <c r="K195" i="12"/>
  <c r="K194" i="12"/>
  <c r="K193" i="12"/>
  <c r="K192" i="12"/>
  <c r="K191" i="12"/>
  <c r="K190" i="12"/>
  <c r="K189" i="12"/>
  <c r="K188" i="12"/>
  <c r="K187" i="12"/>
  <c r="K186" i="12"/>
  <c r="K185" i="12"/>
  <c r="K184" i="12"/>
  <c r="K183" i="12"/>
  <c r="K182" i="12"/>
  <c r="K181" i="12"/>
  <c r="K180" i="12"/>
  <c r="K179" i="12"/>
  <c r="K178" i="12"/>
  <c r="K177" i="12"/>
  <c r="K176" i="12"/>
  <c r="K175" i="12"/>
  <c r="K174" i="12"/>
  <c r="K173" i="12"/>
  <c r="K172" i="12"/>
  <c r="K171" i="12"/>
  <c r="K170" i="12"/>
  <c r="K169" i="12"/>
  <c r="K168" i="12"/>
  <c r="K167" i="12"/>
  <c r="K166" i="12"/>
  <c r="K165" i="12"/>
  <c r="K164" i="12"/>
  <c r="K163" i="12"/>
  <c r="K162" i="12"/>
  <c r="K161" i="12"/>
  <c r="K160" i="12"/>
  <c r="K159" i="12"/>
  <c r="K158" i="12"/>
  <c r="K157" i="12"/>
  <c r="K156" i="12"/>
  <c r="K155" i="12"/>
  <c r="K154" i="12"/>
  <c r="K153" i="12"/>
  <c r="K152" i="12"/>
  <c r="K151" i="12"/>
  <c r="K150" i="12"/>
  <c r="K149" i="12"/>
  <c r="K148" i="12"/>
  <c r="K147" i="12"/>
  <c r="K146" i="12"/>
  <c r="K145" i="12"/>
  <c r="K144" i="12"/>
  <c r="K143" i="12"/>
  <c r="K142" i="12"/>
  <c r="K141" i="12"/>
  <c r="K140" i="12"/>
  <c r="K139" i="12"/>
  <c r="K138" i="12"/>
  <c r="K137" i="12"/>
  <c r="K136" i="12"/>
  <c r="K135" i="12"/>
  <c r="K134" i="12"/>
  <c r="K133" i="12"/>
  <c r="K132" i="12"/>
  <c r="K131" i="12"/>
  <c r="K130" i="12"/>
  <c r="K129" i="12"/>
  <c r="K128" i="12"/>
  <c r="K127" i="12"/>
  <c r="K126" i="12"/>
  <c r="K125" i="12"/>
  <c r="K124" i="12"/>
  <c r="K123" i="12"/>
  <c r="K122" i="12"/>
  <c r="K121" i="12"/>
  <c r="K120" i="12"/>
  <c r="K119" i="12"/>
  <c r="K118" i="12"/>
  <c r="K117" i="12"/>
  <c r="K116" i="12"/>
  <c r="K115" i="12"/>
  <c r="K114" i="12"/>
  <c r="K113" i="12"/>
  <c r="K112" i="12"/>
  <c r="K111" i="12"/>
  <c r="K110" i="12"/>
  <c r="K109" i="12"/>
  <c r="K108" i="12"/>
  <c r="K107" i="12"/>
  <c r="K106" i="12"/>
  <c r="K105" i="12"/>
  <c r="K104" i="12"/>
  <c r="K103" i="12"/>
  <c r="K102" i="12"/>
  <c r="K101" i="12"/>
  <c r="K100" i="12"/>
  <c r="K99" i="12"/>
  <c r="K98" i="12"/>
  <c r="K97" i="12"/>
  <c r="K96" i="12"/>
  <c r="K95" i="12"/>
  <c r="K94" i="12"/>
  <c r="K93" i="12"/>
  <c r="K92" i="12"/>
  <c r="K91" i="12"/>
  <c r="K90" i="12"/>
  <c r="K89" i="12"/>
  <c r="K88" i="12"/>
  <c r="K87" i="12"/>
  <c r="K86" i="12"/>
  <c r="K85" i="12"/>
  <c r="K84" i="12"/>
  <c r="K83" i="12"/>
  <c r="K82" i="12"/>
  <c r="K81" i="12"/>
  <c r="K80" i="12"/>
  <c r="K79" i="12"/>
  <c r="K78" i="12"/>
  <c r="K77" i="12"/>
  <c r="K76" i="12"/>
  <c r="K75" i="12"/>
  <c r="K74" i="12"/>
  <c r="K73" i="12"/>
  <c r="K72" i="12"/>
  <c r="K71" i="12"/>
  <c r="K70" i="12"/>
  <c r="K69" i="12"/>
  <c r="K68" i="12"/>
  <c r="K67" i="12"/>
  <c r="K66" i="12"/>
  <c r="K65" i="12"/>
  <c r="K64" i="12"/>
  <c r="K63" i="12"/>
  <c r="K62" i="12"/>
  <c r="K61" i="12"/>
  <c r="K59" i="12"/>
  <c r="K58" i="12"/>
  <c r="K57" i="12"/>
  <c r="K56" i="12"/>
  <c r="K55" i="12"/>
  <c r="K53" i="12"/>
  <c r="K52" i="12"/>
  <c r="K51" i="12"/>
  <c r="K50" i="12"/>
  <c r="K49" i="12"/>
  <c r="K48" i="12"/>
  <c r="K47" i="12"/>
  <c r="K46" i="12"/>
  <c r="K45" i="12"/>
  <c r="K44" i="12"/>
  <c r="K43" i="12"/>
  <c r="K42" i="12"/>
  <c r="K41" i="12"/>
  <c r="K40" i="12"/>
  <c r="K39" i="12"/>
  <c r="K38" i="12"/>
  <c r="K37" i="12"/>
  <c r="K36" i="12"/>
  <c r="K35" i="12"/>
  <c r="K34" i="12"/>
  <c r="K33" i="12"/>
  <c r="K32" i="12"/>
  <c r="K31" i="12"/>
  <c r="K30" i="12"/>
  <c r="K29" i="12"/>
  <c r="K27" i="12"/>
  <c r="K26" i="12"/>
  <c r="K25" i="12"/>
  <c r="K24" i="12"/>
  <c r="K23" i="12"/>
  <c r="K22" i="12"/>
  <c r="K20" i="12"/>
  <c r="K19" i="12"/>
  <c r="K18" i="12"/>
  <c r="K17" i="12"/>
  <c r="K16" i="12"/>
  <c r="K15" i="12"/>
  <c r="K14" i="12"/>
  <c r="K13" i="12"/>
  <c r="K12" i="12"/>
  <c r="K11" i="12"/>
  <c r="K10" i="12"/>
  <c r="F18" i="9"/>
  <c r="F19" i="9"/>
  <c r="F20" i="9"/>
  <c r="F22" i="9"/>
  <c r="F23" i="9"/>
  <c r="F24" i="9"/>
  <c r="F25" i="9"/>
  <c r="F26" i="9"/>
  <c r="F27" i="9"/>
  <c r="F29" i="9"/>
  <c r="F30" i="9"/>
  <c r="F31" i="9"/>
  <c r="F32" i="9"/>
  <c r="F33" i="9"/>
  <c r="F34" i="9"/>
  <c r="F35" i="9"/>
  <c r="F36" i="9"/>
  <c r="F37" i="9"/>
  <c r="F38" i="9"/>
  <c r="F39" i="9"/>
  <c r="F40" i="9"/>
  <c r="F41" i="9"/>
  <c r="F42" i="9"/>
  <c r="F43" i="9"/>
  <c r="F44" i="9"/>
  <c r="F45" i="9"/>
  <c r="F46" i="9"/>
  <c r="F47" i="9"/>
  <c r="F48" i="9"/>
  <c r="F49" i="9"/>
  <c r="F50" i="9"/>
  <c r="F51" i="9"/>
  <c r="F52" i="9"/>
  <c r="F53" i="9"/>
  <c r="F55" i="9"/>
  <c r="F56" i="9"/>
  <c r="F57" i="9"/>
  <c r="F58" i="9"/>
  <c r="F59"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2" i="9"/>
  <c r="F263" i="9"/>
  <c r="F264" i="9"/>
  <c r="F265" i="9"/>
  <c r="F266" i="9"/>
  <c r="F267" i="9"/>
  <c r="F268" i="9"/>
  <c r="F269"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2" i="9"/>
  <c r="F13" i="9"/>
  <c r="F14" i="9"/>
  <c r="F15" i="9"/>
  <c r="F16" i="9"/>
  <c r="F17" i="9"/>
  <c r="F11" i="9"/>
  <c r="F10" i="9"/>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alcChain>
</file>

<file path=xl/sharedStrings.xml><?xml version="1.0" encoding="utf-8"?>
<sst xmlns="http://schemas.openxmlformats.org/spreadsheetml/2006/main" count="41175" uniqueCount="4020">
  <si>
    <t>Customer_ID</t>
  </si>
  <si>
    <t>Name</t>
  </si>
  <si>
    <t>Age</t>
  </si>
  <si>
    <t>Gender</t>
  </si>
  <si>
    <t>City</t>
  </si>
  <si>
    <t>State</t>
  </si>
  <si>
    <t>Country</t>
  </si>
  <si>
    <t>Loyalty_Level</t>
  </si>
  <si>
    <t>CUST1000</t>
  </si>
  <si>
    <t>Male</t>
  </si>
  <si>
    <t>North Carolina</t>
  </si>
  <si>
    <t>USA</t>
  </si>
  <si>
    <t>Gold</t>
  </si>
  <si>
    <t>CUST1001</t>
  </si>
  <si>
    <t>Eugene Nelson</t>
  </si>
  <si>
    <t>Female</t>
  </si>
  <si>
    <t>North Dakota</t>
  </si>
  <si>
    <t>Platinum</t>
  </si>
  <si>
    <t>CUST1002</t>
  </si>
  <si>
    <t>Alabama</t>
  </si>
  <si>
    <t>CUST1003</t>
  </si>
  <si>
    <t>Ohio</t>
  </si>
  <si>
    <t>Bronze</t>
  </si>
  <si>
    <t>CUST1004</t>
  </si>
  <si>
    <t>Caroline Collins</t>
  </si>
  <si>
    <t>California</t>
  </si>
  <si>
    <t>Silver</t>
  </si>
  <si>
    <t>CUST1005</t>
  </si>
  <si>
    <t>Christine Vaughn</t>
  </si>
  <si>
    <t>Oregon</t>
  </si>
  <si>
    <t>CUST1006</t>
  </si>
  <si>
    <t>Amber Jackson</t>
  </si>
  <si>
    <t>South Dakota</t>
  </si>
  <si>
    <t>CUST1007</t>
  </si>
  <si>
    <t>Daniel Boyd</t>
  </si>
  <si>
    <t>West Virginia</t>
  </si>
  <si>
    <t>CUST1008</t>
  </si>
  <si>
    <t>Melissa Howard</t>
  </si>
  <si>
    <t>New Hampshire</t>
  </si>
  <si>
    <t>CUST1009</t>
  </si>
  <si>
    <t>Ms. Maria Leach</t>
  </si>
  <si>
    <t>Pennsylvania</t>
  </si>
  <si>
    <t>CUST1010</t>
  </si>
  <si>
    <t>Dominic Page</t>
  </si>
  <si>
    <t>CUST1011</t>
  </si>
  <si>
    <t>Brian Lopez</t>
  </si>
  <si>
    <t>New York</t>
  </si>
  <si>
    <t>CUST1012</t>
  </si>
  <si>
    <t>Kenneth Lambert</t>
  </si>
  <si>
    <t>Kansas</t>
  </si>
  <si>
    <t>CUST1013</t>
  </si>
  <si>
    <t>Nathan Hernandez</t>
  </si>
  <si>
    <t>Montana</t>
  </si>
  <si>
    <t>CUST1014</t>
  </si>
  <si>
    <t>Ashley Cohen</t>
  </si>
  <si>
    <t>Nebraska</t>
  </si>
  <si>
    <t>CUST1015</t>
  </si>
  <si>
    <t>Laura Alvarez</t>
  </si>
  <si>
    <t>Washington</t>
  </si>
  <si>
    <t>CUST1016</t>
  </si>
  <si>
    <t>John Scott</t>
  </si>
  <si>
    <t>CUST1017</t>
  </si>
  <si>
    <t>Adam Cruz</t>
  </si>
  <si>
    <t>Georgia</t>
  </si>
  <si>
    <t>CUST1018</t>
  </si>
  <si>
    <t>Rhonda Moss</t>
  </si>
  <si>
    <t>CUST1019</t>
  </si>
  <si>
    <t>Michael Torres</t>
  </si>
  <si>
    <t>New Jersey</t>
  </si>
  <si>
    <t>CUST1020</t>
  </si>
  <si>
    <t>Bridget Allen</t>
  </si>
  <si>
    <t>Delaware</t>
  </si>
  <si>
    <t>CUST1021</t>
  </si>
  <si>
    <t>Jeff Martinez</t>
  </si>
  <si>
    <t>Oklahoma</t>
  </si>
  <si>
    <t>CUST1022</t>
  </si>
  <si>
    <t>Hawaii</t>
  </si>
  <si>
    <t>CUST1023</t>
  </si>
  <si>
    <t>Jonathan Steele</t>
  </si>
  <si>
    <t>CUST1024</t>
  </si>
  <si>
    <t>Heather Collins</t>
  </si>
  <si>
    <t>Idaho</t>
  </si>
  <si>
    <t>CUST1025</t>
  </si>
  <si>
    <t>Diana Taylor</t>
  </si>
  <si>
    <t>CUST1026</t>
  </si>
  <si>
    <t>Amber Carlson</t>
  </si>
  <si>
    <t>Missouri</t>
  </si>
  <si>
    <t>CUST1027</t>
  </si>
  <si>
    <t>Leslie Johnson</t>
  </si>
  <si>
    <t>Utah</t>
  </si>
  <si>
    <t>CUST1028</t>
  </si>
  <si>
    <t>Joshua Ryan</t>
  </si>
  <si>
    <t>CUST1029</t>
  </si>
  <si>
    <t>David Arnold</t>
  </si>
  <si>
    <t>CUST1030</t>
  </si>
  <si>
    <t>Jessica Acevedo</t>
  </si>
  <si>
    <t>CUST1031</t>
  </si>
  <si>
    <t>Sarah Vance</t>
  </si>
  <si>
    <t>Johnsonville</t>
  </si>
  <si>
    <t>CUST1032</t>
  </si>
  <si>
    <t>Mike Jennings</t>
  </si>
  <si>
    <t>Arizona</t>
  </si>
  <si>
    <t>CUST1033</t>
  </si>
  <si>
    <t>Robert Jones DDS</t>
  </si>
  <si>
    <t>CUST1034</t>
  </si>
  <si>
    <t>Christopher Olson</t>
  </si>
  <si>
    <t>Maryland</t>
  </si>
  <si>
    <t>CUST1035</t>
  </si>
  <si>
    <t>Rachel Myers</t>
  </si>
  <si>
    <t>CUST1036</t>
  </si>
  <si>
    <t>Thomas Phillips</t>
  </si>
  <si>
    <t>CUST1037</t>
  </si>
  <si>
    <t>Christopher Carter</t>
  </si>
  <si>
    <t>CUST1038</t>
  </si>
  <si>
    <t>Deanna Simpson</t>
  </si>
  <si>
    <t>CUST1039</t>
  </si>
  <si>
    <t>Tonya Reynolds</t>
  </si>
  <si>
    <t>Michigan</t>
  </si>
  <si>
    <t>CUST1040</t>
  </si>
  <si>
    <t>Eric Vega</t>
  </si>
  <si>
    <t>CUST1041</t>
  </si>
  <si>
    <t>James Gibbs</t>
  </si>
  <si>
    <t>Alaska</t>
  </si>
  <si>
    <t>CUST1042</t>
  </si>
  <si>
    <t>William Martin</t>
  </si>
  <si>
    <t>Connecticut</t>
  </si>
  <si>
    <t>CUST1043</t>
  </si>
  <si>
    <t>Joseph Snow</t>
  </si>
  <si>
    <t>Vermont</t>
  </si>
  <si>
    <t>CUST1044</t>
  </si>
  <si>
    <t>Denise Williams</t>
  </si>
  <si>
    <t>CUST1045</t>
  </si>
  <si>
    <t>Jordan Jackson DDS</t>
  </si>
  <si>
    <t>CUST1046</t>
  </si>
  <si>
    <t>Michelle Garcia DDS</t>
  </si>
  <si>
    <t>CUST1047</t>
  </si>
  <si>
    <t>Gina Knight</t>
  </si>
  <si>
    <t>Nevada</t>
  </si>
  <si>
    <t>CUST1048</t>
  </si>
  <si>
    <t>April Mullins</t>
  </si>
  <si>
    <t>CUST1049</t>
  </si>
  <si>
    <t>Timothy Weaver</t>
  </si>
  <si>
    <t>CUST1050</t>
  </si>
  <si>
    <t>Matthew Hunter Jr.</t>
  </si>
  <si>
    <t>Illinois</t>
  </si>
  <si>
    <t>CUST1051</t>
  </si>
  <si>
    <t>Sarah Rodgers</t>
  </si>
  <si>
    <t>CUST1052</t>
  </si>
  <si>
    <t>Debra Liu</t>
  </si>
  <si>
    <t>Minnesota</t>
  </si>
  <si>
    <t>CUST1053</t>
  </si>
  <si>
    <t>Sharon Brown</t>
  </si>
  <si>
    <t>CUST1054</t>
  </si>
  <si>
    <t>Katherine Dorsey</t>
  </si>
  <si>
    <t>Christopherland</t>
  </si>
  <si>
    <t>CUST1055</t>
  </si>
  <si>
    <t>Wayne Mcpherson</t>
  </si>
  <si>
    <t>CUST1056</t>
  </si>
  <si>
    <t>Christopher Sutton</t>
  </si>
  <si>
    <t>CUST1057</t>
  </si>
  <si>
    <t>Jay Patel</t>
  </si>
  <si>
    <t>Rhode Island</t>
  </si>
  <si>
    <t>CUST1058</t>
  </si>
  <si>
    <t>Cheryl Copeland</t>
  </si>
  <si>
    <t>CUST1059</t>
  </si>
  <si>
    <t>Alyssa Vargas</t>
  </si>
  <si>
    <t>CUST1060</t>
  </si>
  <si>
    <t>Dr. David Smith</t>
  </si>
  <si>
    <t>CUST1061</t>
  </si>
  <si>
    <t>Kristin Stein</t>
  </si>
  <si>
    <t>CUST1062</t>
  </si>
  <si>
    <t>James Bean</t>
  </si>
  <si>
    <t>New Mexico</t>
  </si>
  <si>
    <t>CUST1063</t>
  </si>
  <si>
    <t>Michael Daniel</t>
  </si>
  <si>
    <t>Tennessee</t>
  </si>
  <si>
    <t>CUST1064</t>
  </si>
  <si>
    <t>Mr. Mason Butler</t>
  </si>
  <si>
    <t>CUST1065</t>
  </si>
  <si>
    <t>Michael Thomas</t>
  </si>
  <si>
    <t>CUST1066</t>
  </si>
  <si>
    <t>Cody Diaz</t>
  </si>
  <si>
    <t>CUST1067</t>
  </si>
  <si>
    <t>Amber Mcclain</t>
  </si>
  <si>
    <t>Florida</t>
  </si>
  <si>
    <t>CUST1068</t>
  </si>
  <si>
    <t>Mr. Mark Beasley</t>
  </si>
  <si>
    <t>Indiana</t>
  </si>
  <si>
    <t>CUST1069</t>
  </si>
  <si>
    <t>Roy Cole</t>
  </si>
  <si>
    <t>CUST1070</t>
  </si>
  <si>
    <t>Eric Singh</t>
  </si>
  <si>
    <t>CUST1071</t>
  </si>
  <si>
    <t>Andrea Perez</t>
  </si>
  <si>
    <t>CUST1072</t>
  </si>
  <si>
    <t>Tonya Burch</t>
  </si>
  <si>
    <t>Iowa</t>
  </si>
  <si>
    <t>CUST1073</t>
  </si>
  <si>
    <t>Christopher Brown</t>
  </si>
  <si>
    <t>CUST1074</t>
  </si>
  <si>
    <t>John Mayer</t>
  </si>
  <si>
    <t>Colorado</t>
  </si>
  <si>
    <t>CUST1075</t>
  </si>
  <si>
    <t>Rhonda Morales</t>
  </si>
  <si>
    <t>CUST1076</t>
  </si>
  <si>
    <t>Nathan Campbell</t>
  </si>
  <si>
    <t>CUST1077</t>
  </si>
  <si>
    <t>Katherine Young</t>
  </si>
  <si>
    <t>CUST1078</t>
  </si>
  <si>
    <t>Cody Blake</t>
  </si>
  <si>
    <t>Virginia</t>
  </si>
  <si>
    <t>CUST1079</t>
  </si>
  <si>
    <t>Molly Gardner</t>
  </si>
  <si>
    <t>Arkansas</t>
  </si>
  <si>
    <t>CUST1080</t>
  </si>
  <si>
    <t>Jennifer Garcia</t>
  </si>
  <si>
    <t>CUST1081</t>
  </si>
  <si>
    <t>Krystal Ford</t>
  </si>
  <si>
    <t>CUST1082</t>
  </si>
  <si>
    <t>George Rosario</t>
  </si>
  <si>
    <t>CUST1083</t>
  </si>
  <si>
    <t>Thomas Robinson</t>
  </si>
  <si>
    <t>CUST1084</t>
  </si>
  <si>
    <t>Christy Hoffman</t>
  </si>
  <si>
    <t>CUST1085</t>
  </si>
  <si>
    <t>Richard Delgado</t>
  </si>
  <si>
    <t>CUST1086</t>
  </si>
  <si>
    <t>Tammy Miller MD</t>
  </si>
  <si>
    <t>Mississippi</t>
  </si>
  <si>
    <t>CUST1087</t>
  </si>
  <si>
    <t>Melissa Duffy MD</t>
  </si>
  <si>
    <t>South Carolina</t>
  </si>
  <si>
    <t>CUST1088</t>
  </si>
  <si>
    <t>Timothy Wright</t>
  </si>
  <si>
    <t>CUST1089</t>
  </si>
  <si>
    <t>Jamie Yoder</t>
  </si>
  <si>
    <t>Wisconsin</t>
  </si>
  <si>
    <t>CUST1090</t>
  </si>
  <si>
    <t>Oscar Moon</t>
  </si>
  <si>
    <t>Louisiana</t>
  </si>
  <si>
    <t>CUST1091</t>
  </si>
  <si>
    <t>Donna Gregory</t>
  </si>
  <si>
    <t>CUST1092</t>
  </si>
  <si>
    <t>Robert Jackson</t>
  </si>
  <si>
    <t>CUST1093</t>
  </si>
  <si>
    <t>Christy Vasquez</t>
  </si>
  <si>
    <t>CUST1094</t>
  </si>
  <si>
    <t>David Patterson</t>
  </si>
  <si>
    <t>CUST1095</t>
  </si>
  <si>
    <t>Amy Fowler</t>
  </si>
  <si>
    <t>CUST1096</t>
  </si>
  <si>
    <t>Samantha Walker</t>
  </si>
  <si>
    <t>CUST1097</t>
  </si>
  <si>
    <t>David Cobb</t>
  </si>
  <si>
    <t>CUST1098</t>
  </si>
  <si>
    <t>Brittney Morgan</t>
  </si>
  <si>
    <t>CUST1099</t>
  </si>
  <si>
    <t>Sheila Wilson</t>
  </si>
  <si>
    <t>CUST1100</t>
  </si>
  <si>
    <t>Diane Watson</t>
  </si>
  <si>
    <t>Texas</t>
  </si>
  <si>
    <t>CUST1101</t>
  </si>
  <si>
    <t>Colleen Maynard</t>
  </si>
  <si>
    <t>CUST1102</t>
  </si>
  <si>
    <t>Sarah Schneider</t>
  </si>
  <si>
    <t>CUST1103</t>
  </si>
  <si>
    <t>Steven Stein</t>
  </si>
  <si>
    <t>CUST1104</t>
  </si>
  <si>
    <t>Christopher Lester</t>
  </si>
  <si>
    <t>CUST1105</t>
  </si>
  <si>
    <t>Lance Baker</t>
  </si>
  <si>
    <t>CUST1106</t>
  </si>
  <si>
    <t>Howard Summers</t>
  </si>
  <si>
    <t>CUST1107</t>
  </si>
  <si>
    <t>Erica Carney</t>
  </si>
  <si>
    <t>CUST1108</t>
  </si>
  <si>
    <t>Travis Holland</t>
  </si>
  <si>
    <t>CUST1109</t>
  </si>
  <si>
    <t>Amy Walker</t>
  </si>
  <si>
    <t>CUST1110</t>
  </si>
  <si>
    <t>Ashley Griffin</t>
  </si>
  <si>
    <t>CUST1111</t>
  </si>
  <si>
    <t>Julie Farmer</t>
  </si>
  <si>
    <t>CUST1112</t>
  </si>
  <si>
    <t>David Cole</t>
  </si>
  <si>
    <t>Lake Michael</t>
  </si>
  <si>
    <t>CUST1113</t>
  </si>
  <si>
    <t>Edward Hall</t>
  </si>
  <si>
    <t>CUST1114</t>
  </si>
  <si>
    <t>Ryan Hernandez</t>
  </si>
  <si>
    <t>CUST1115</t>
  </si>
  <si>
    <t>Tyler Conrad</t>
  </si>
  <si>
    <t>CUST1116</t>
  </si>
  <si>
    <t>Anthony Phillips</t>
  </si>
  <si>
    <t>CUST1117</t>
  </si>
  <si>
    <t>Colleen Mccarthy</t>
  </si>
  <si>
    <t>CUST1118</t>
  </si>
  <si>
    <t>Earl Allen</t>
  </si>
  <si>
    <t>CUST1119</t>
  </si>
  <si>
    <t>Michael Jones</t>
  </si>
  <si>
    <t>CUST1120</t>
  </si>
  <si>
    <t>Jacob Hopkins</t>
  </si>
  <si>
    <t>CUST1121</t>
  </si>
  <si>
    <t>Joel Robinson</t>
  </si>
  <si>
    <t>CUST1122</t>
  </si>
  <si>
    <t>Michael Chang</t>
  </si>
  <si>
    <t>CUST1123</t>
  </si>
  <si>
    <t>Erin Hopkins</t>
  </si>
  <si>
    <t>CUST1124</t>
  </si>
  <si>
    <t>Donald Lee</t>
  </si>
  <si>
    <t>CUST1125</t>
  </si>
  <si>
    <t>Keith Miller</t>
  </si>
  <si>
    <t>Maine</t>
  </si>
  <si>
    <t>CUST1126</t>
  </si>
  <si>
    <t>James Wolfe</t>
  </si>
  <si>
    <t>CUST1127</t>
  </si>
  <si>
    <t>John Mcknight</t>
  </si>
  <si>
    <t>CUST1128</t>
  </si>
  <si>
    <t>Susan Mcdonald</t>
  </si>
  <si>
    <t>CUST1129</t>
  </si>
  <si>
    <t>Jessica Mitchell</t>
  </si>
  <si>
    <t>CUST1130</t>
  </si>
  <si>
    <t>Jamie Reyes</t>
  </si>
  <si>
    <t>CUST1131</t>
  </si>
  <si>
    <t>Joseph Richards</t>
  </si>
  <si>
    <t>CUST1132</t>
  </si>
  <si>
    <t>Miguel Reynolds</t>
  </si>
  <si>
    <t>CUST1133</t>
  </si>
  <si>
    <t>Hayley Pope</t>
  </si>
  <si>
    <t>CUST1134</t>
  </si>
  <si>
    <t>Morgan Bowen</t>
  </si>
  <si>
    <t>CUST1135</t>
  </si>
  <si>
    <t>Matthew Hanna</t>
  </si>
  <si>
    <t>CUST1136</t>
  </si>
  <si>
    <t>Patrick Coleman</t>
  </si>
  <si>
    <t>CUST1137</t>
  </si>
  <si>
    <t>Rick Dominguez</t>
  </si>
  <si>
    <t>CUST1138</t>
  </si>
  <si>
    <t>Sean Roth</t>
  </si>
  <si>
    <t>CUST1139</t>
  </si>
  <si>
    <t>Brian Holder</t>
  </si>
  <si>
    <t>CUST1140</t>
  </si>
  <si>
    <t>Patty Francis</t>
  </si>
  <si>
    <t>CUST1141</t>
  </si>
  <si>
    <t>Cristian Wright</t>
  </si>
  <si>
    <t>CUST1142</t>
  </si>
  <si>
    <t>Maria Ramirez</t>
  </si>
  <si>
    <t>CUST1143</t>
  </si>
  <si>
    <t>Carlos Skinner</t>
  </si>
  <si>
    <t>CUST1144</t>
  </si>
  <si>
    <t>Justin Cross</t>
  </si>
  <si>
    <t>CUST1145</t>
  </si>
  <si>
    <t>Cameron Simpson</t>
  </si>
  <si>
    <t>CUST1146</t>
  </si>
  <si>
    <t>Edward Rivera</t>
  </si>
  <si>
    <t>CUST1147</t>
  </si>
  <si>
    <t>Rhonda Young</t>
  </si>
  <si>
    <t>CUST1148</t>
  </si>
  <si>
    <t>Theresa Campbell</t>
  </si>
  <si>
    <t>CUST1149</t>
  </si>
  <si>
    <t>Denise Griffin</t>
  </si>
  <si>
    <t>CUST1150</t>
  </si>
  <si>
    <t>Stephanie Conway</t>
  </si>
  <si>
    <t>CUST1151</t>
  </si>
  <si>
    <t>Michael Davies</t>
  </si>
  <si>
    <t>CUST1152</t>
  </si>
  <si>
    <t>Patrick Roberts</t>
  </si>
  <si>
    <t>CUST1153</t>
  </si>
  <si>
    <t>Joseph Faulkner</t>
  </si>
  <si>
    <t>CUST1154</t>
  </si>
  <si>
    <t>Julie Hale</t>
  </si>
  <si>
    <t>CUST1155</t>
  </si>
  <si>
    <t>Curtis Haynes</t>
  </si>
  <si>
    <t>CUST1156</t>
  </si>
  <si>
    <t>Maria Sanchez</t>
  </si>
  <si>
    <t>CUST1157</t>
  </si>
  <si>
    <t>Paul Zamora</t>
  </si>
  <si>
    <t>CUST1158</t>
  </si>
  <si>
    <t>Sean Powell</t>
  </si>
  <si>
    <t>CUST1159</t>
  </si>
  <si>
    <t>Brian Choi</t>
  </si>
  <si>
    <t>CUST1160</t>
  </si>
  <si>
    <t>John Lawson</t>
  </si>
  <si>
    <t>CUST1161</t>
  </si>
  <si>
    <t>Cynthia Morris</t>
  </si>
  <si>
    <t>CUST1162</t>
  </si>
  <si>
    <t>Mariah Brown</t>
  </si>
  <si>
    <t>CUST1163</t>
  </si>
  <si>
    <t>Joseph Jones</t>
  </si>
  <si>
    <t>CUST1164</t>
  </si>
  <si>
    <t>Daniel Rivas</t>
  </si>
  <si>
    <t>CUST1165</t>
  </si>
  <si>
    <t>Jason Wheeler</t>
  </si>
  <si>
    <t>CUST1166</t>
  </si>
  <si>
    <t>Patricia Gardner</t>
  </si>
  <si>
    <t>CUST1167</t>
  </si>
  <si>
    <t>Antonio Wade</t>
  </si>
  <si>
    <t>CUST1168</t>
  </si>
  <si>
    <t>Daniel Contreras</t>
  </si>
  <si>
    <t>CUST1169</t>
  </si>
  <si>
    <t>Steve Mclaughlin</t>
  </si>
  <si>
    <t>CUST1170</t>
  </si>
  <si>
    <t>Christopher Garcia DDS</t>
  </si>
  <si>
    <t>CUST1171</t>
  </si>
  <si>
    <t>Amy Wilson</t>
  </si>
  <si>
    <t>CUST1172</t>
  </si>
  <si>
    <t>Thomas Rhodes</t>
  </si>
  <si>
    <t>CUST1173</t>
  </si>
  <si>
    <t>Teresa Stokes</t>
  </si>
  <si>
    <t>CUST1174</t>
  </si>
  <si>
    <t>Maria Davis</t>
  </si>
  <si>
    <t>CUST1175</t>
  </si>
  <si>
    <t>Michelle Rogers</t>
  </si>
  <si>
    <t>CUST1176</t>
  </si>
  <si>
    <t>John Bradford</t>
  </si>
  <si>
    <t>CUST1177</t>
  </si>
  <si>
    <t>Curtis Lam</t>
  </si>
  <si>
    <t>Kentucky</t>
  </si>
  <si>
    <t>CUST1178</t>
  </si>
  <si>
    <t>Michelle Myers</t>
  </si>
  <si>
    <t>CUST1179</t>
  </si>
  <si>
    <t>Nicholas Bradshaw</t>
  </si>
  <si>
    <t>CUST1180</t>
  </si>
  <si>
    <t>Wesley Thompson</t>
  </si>
  <si>
    <t>CUST1181</t>
  </si>
  <si>
    <t>Erin Ward</t>
  </si>
  <si>
    <t>CUST1182</t>
  </si>
  <si>
    <t>Melissa Hamilton</t>
  </si>
  <si>
    <t>CUST1183</t>
  </si>
  <si>
    <t>Mario Jacobs</t>
  </si>
  <si>
    <t>CUST1184</t>
  </si>
  <si>
    <t>Leonard Cochran</t>
  </si>
  <si>
    <t>CUST1185</t>
  </si>
  <si>
    <t>Brent Rivas</t>
  </si>
  <si>
    <t>CUST1186</t>
  </si>
  <si>
    <t>Jennifer Pruitt</t>
  </si>
  <si>
    <t>CUST1187</t>
  </si>
  <si>
    <t>Dr. Suzanne Bullock</t>
  </si>
  <si>
    <t>CUST1188</t>
  </si>
  <si>
    <t>Kimberly Brooks</t>
  </si>
  <si>
    <t>CUST1189</t>
  </si>
  <si>
    <t>Daniel Austin</t>
  </si>
  <si>
    <t>CUST1190</t>
  </si>
  <si>
    <t>Christopher Stewart</t>
  </si>
  <si>
    <t>CUST1191</t>
  </si>
  <si>
    <t>Todd Poole</t>
  </si>
  <si>
    <t>CUST1192</t>
  </si>
  <si>
    <t>Jacob Wood</t>
  </si>
  <si>
    <t>CUST1193</t>
  </si>
  <si>
    <t>David Roberts</t>
  </si>
  <si>
    <t>CUST1194</t>
  </si>
  <si>
    <t>Ashley Ferguson</t>
  </si>
  <si>
    <t>CUST1195</t>
  </si>
  <si>
    <t>Anthony Garcia</t>
  </si>
  <si>
    <t>CUST1196</t>
  </si>
  <si>
    <t>Megan Greer</t>
  </si>
  <si>
    <t>CUST1197</t>
  </si>
  <si>
    <t>Andrea Jacobs</t>
  </si>
  <si>
    <t>CUST1198</t>
  </si>
  <si>
    <t>Wanda Snyder</t>
  </si>
  <si>
    <t>CUST1199</t>
  </si>
  <si>
    <t>Carmen Price</t>
  </si>
  <si>
    <t>CUST1200</t>
  </si>
  <si>
    <t>Anna Perez</t>
  </si>
  <si>
    <t>CUST1201</t>
  </si>
  <si>
    <t>Mary Boyd</t>
  </si>
  <si>
    <t>CUST1202</t>
  </si>
  <si>
    <t>Christina Garcia</t>
  </si>
  <si>
    <t>CUST1203</t>
  </si>
  <si>
    <t>Sarah Brady</t>
  </si>
  <si>
    <t>CUST1204</t>
  </si>
  <si>
    <t>Tiffany Herrera</t>
  </si>
  <si>
    <t>CUST1205</t>
  </si>
  <si>
    <t>Michelle Carpenter</t>
  </si>
  <si>
    <t>CUST1206</t>
  </si>
  <si>
    <t>Ronald Jones</t>
  </si>
  <si>
    <t>CUST1207</t>
  </si>
  <si>
    <t>Jacqueline Pacheco</t>
  </si>
  <si>
    <t>CUST1208</t>
  </si>
  <si>
    <t>John Perez</t>
  </si>
  <si>
    <t>CUST1209</t>
  </si>
  <si>
    <t>Joan Johnson</t>
  </si>
  <si>
    <t>CUST1210</t>
  </si>
  <si>
    <t>Antonio Jones</t>
  </si>
  <si>
    <t>CUST1211</t>
  </si>
  <si>
    <t>Rodney Huffman</t>
  </si>
  <si>
    <t>CUST1212</t>
  </si>
  <si>
    <t>Blake Harrison</t>
  </si>
  <si>
    <t>CUST1213</t>
  </si>
  <si>
    <t>Stuart Johnson</t>
  </si>
  <si>
    <t>CUST1214</t>
  </si>
  <si>
    <t>Eric Todd</t>
  </si>
  <si>
    <t>CUST1215</t>
  </si>
  <si>
    <t>Steve Medina</t>
  </si>
  <si>
    <t>CUST1216</t>
  </si>
  <si>
    <t>Kathryn Garcia</t>
  </si>
  <si>
    <t>CUST1217</t>
  </si>
  <si>
    <t>Kathy Copeland</t>
  </si>
  <si>
    <t>CUST1218</t>
  </si>
  <si>
    <t>Julia Jackson</t>
  </si>
  <si>
    <t>CUST1219</t>
  </si>
  <si>
    <t>Jordan Wells</t>
  </si>
  <si>
    <t>CUST1220</t>
  </si>
  <si>
    <t>George Davis</t>
  </si>
  <si>
    <t>Massachusetts</t>
  </si>
  <si>
    <t>CUST1221</t>
  </si>
  <si>
    <t>Lisa Young</t>
  </si>
  <si>
    <t>CUST1222</t>
  </si>
  <si>
    <t>Alejandro Doyle</t>
  </si>
  <si>
    <t>CUST1223</t>
  </si>
  <si>
    <t>Robert Harris</t>
  </si>
  <si>
    <t>CUST1224</t>
  </si>
  <si>
    <t>Anthony Morgan</t>
  </si>
  <si>
    <t>CUST1225</t>
  </si>
  <si>
    <t>Elizabeth Stanley</t>
  </si>
  <si>
    <t>CUST1226</t>
  </si>
  <si>
    <t>Alexis Castaneda</t>
  </si>
  <si>
    <t>CUST1227</t>
  </si>
  <si>
    <t>Gregory Pham</t>
  </si>
  <si>
    <t>CUST1228</t>
  </si>
  <si>
    <t>Casey Flores</t>
  </si>
  <si>
    <t>CUST1229</t>
  </si>
  <si>
    <t>Tanner Thompson</t>
  </si>
  <si>
    <t>CUST1230</t>
  </si>
  <si>
    <t>Timothy Sanders</t>
  </si>
  <si>
    <t>CUST1231</t>
  </si>
  <si>
    <t>Timothy Juarez</t>
  </si>
  <si>
    <t>CUST1232</t>
  </si>
  <si>
    <t>Christy Hill</t>
  </si>
  <si>
    <t>CUST1233</t>
  </si>
  <si>
    <t>Michelle Gonzalez</t>
  </si>
  <si>
    <t>CUST1234</t>
  </si>
  <si>
    <t>Nathaniel Hill</t>
  </si>
  <si>
    <t>CUST1235</t>
  </si>
  <si>
    <t>Jon Ortiz</t>
  </si>
  <si>
    <t>CUST1236</t>
  </si>
  <si>
    <t>Joshua Wilson</t>
  </si>
  <si>
    <t>CUST1237</t>
  </si>
  <si>
    <t>Wesley Short</t>
  </si>
  <si>
    <t>CUST1238</t>
  </si>
  <si>
    <t>Steven Smith</t>
  </si>
  <si>
    <t>CUST1239</t>
  </si>
  <si>
    <t>Maria Hill</t>
  </si>
  <si>
    <t>CUST1240</t>
  </si>
  <si>
    <t>William Hull</t>
  </si>
  <si>
    <t>CUST1241</t>
  </si>
  <si>
    <t>Mr. William Horton</t>
  </si>
  <si>
    <t>CUST1242</t>
  </si>
  <si>
    <t>William Jackson</t>
  </si>
  <si>
    <t>CUST1243</t>
  </si>
  <si>
    <t>Brian Hammond</t>
  </si>
  <si>
    <t>CUST1244</t>
  </si>
  <si>
    <t>Nancy Page</t>
  </si>
  <si>
    <t>CUST1245</t>
  </si>
  <si>
    <t>Laura Soto</t>
  </si>
  <si>
    <t>CUST1246</t>
  </si>
  <si>
    <t>Mary Russell</t>
  </si>
  <si>
    <t>CUST1247</t>
  </si>
  <si>
    <t>Douglas Rhodes</t>
  </si>
  <si>
    <t>CUST1248</t>
  </si>
  <si>
    <t>Nicholas Webb</t>
  </si>
  <si>
    <t>CUST1249</t>
  </si>
  <si>
    <t>Lauren George</t>
  </si>
  <si>
    <t>CUST1250</t>
  </si>
  <si>
    <t>Veronica Newman</t>
  </si>
  <si>
    <t>CUST1251</t>
  </si>
  <si>
    <t>Tyler Garner</t>
  </si>
  <si>
    <t>CUST1252</t>
  </si>
  <si>
    <t>John Mccoy</t>
  </si>
  <si>
    <t>CUST1253</t>
  </si>
  <si>
    <t>Dr. Ashley Yates MD</t>
  </si>
  <si>
    <t>CUST1254</t>
  </si>
  <si>
    <t>Linda Kline</t>
  </si>
  <si>
    <t>CUST1255</t>
  </si>
  <si>
    <t>Damon Perez</t>
  </si>
  <si>
    <t>CUST1256</t>
  </si>
  <si>
    <t>Kristen Fischer</t>
  </si>
  <si>
    <t>CUST1257</t>
  </si>
  <si>
    <t>Christopher David</t>
  </si>
  <si>
    <t>CUST1258</t>
  </si>
  <si>
    <t>Sarah Stewart</t>
  </si>
  <si>
    <t>CUST1259</t>
  </si>
  <si>
    <t>Beth Allen</t>
  </si>
  <si>
    <t>CUST1260</t>
  </si>
  <si>
    <t>Russell Lamb</t>
  </si>
  <si>
    <t>CUST1261</t>
  </si>
  <si>
    <t>Carol Bishop</t>
  </si>
  <si>
    <t>CUST1262</t>
  </si>
  <si>
    <t>Katherine Cowan</t>
  </si>
  <si>
    <t>CUST1263</t>
  </si>
  <si>
    <t>Crystal Davis</t>
  </si>
  <si>
    <t>CUST1264</t>
  </si>
  <si>
    <t>Matthew Payne</t>
  </si>
  <si>
    <t>Wyoming</t>
  </si>
  <si>
    <t>CUST1265</t>
  </si>
  <si>
    <t>Tracy Kelly</t>
  </si>
  <si>
    <t>CUST1266</t>
  </si>
  <si>
    <t>Cynthia Payne</t>
  </si>
  <si>
    <t>CUST1267</t>
  </si>
  <si>
    <t>Zachary Shelton</t>
  </si>
  <si>
    <t>CUST1268</t>
  </si>
  <si>
    <t>Kevin Orr</t>
  </si>
  <si>
    <t>CUST1269</t>
  </si>
  <si>
    <t>Tyrone Olson</t>
  </si>
  <si>
    <t>CUST1270</t>
  </si>
  <si>
    <t>Brian Garcia</t>
  </si>
  <si>
    <t>CUST1271</t>
  </si>
  <si>
    <t>Daisy Johnson DDS</t>
  </si>
  <si>
    <t>CUST1272</t>
  </si>
  <si>
    <t>Adam Rowland</t>
  </si>
  <si>
    <t>CUST1273</t>
  </si>
  <si>
    <t>Samantha Robinson</t>
  </si>
  <si>
    <t>CUST1274</t>
  </si>
  <si>
    <t>Sarah Lane</t>
  </si>
  <si>
    <t>CUST1275</t>
  </si>
  <si>
    <t>Shannon Miller</t>
  </si>
  <si>
    <t>CUST1276</t>
  </si>
  <si>
    <t>Arthur Warren</t>
  </si>
  <si>
    <t>CUST1277</t>
  </si>
  <si>
    <t>Jeffrey Gomez</t>
  </si>
  <si>
    <t>CUST1278</t>
  </si>
  <si>
    <t>Stephen Fowler</t>
  </si>
  <si>
    <t>CUST1279</t>
  </si>
  <si>
    <t>Aaron Luna</t>
  </si>
  <si>
    <t>CUST1280</t>
  </si>
  <si>
    <t>Antonio Leon</t>
  </si>
  <si>
    <t>CUST1281</t>
  </si>
  <si>
    <t>Brittany Watson</t>
  </si>
  <si>
    <t>CUST1282</t>
  </si>
  <si>
    <t>Kristi Lopez</t>
  </si>
  <si>
    <t>CUST1283</t>
  </si>
  <si>
    <t>Bryan Garcia</t>
  </si>
  <si>
    <t>CUST1284</t>
  </si>
  <si>
    <t>Hunter Sutton</t>
  </si>
  <si>
    <t>CUST1285</t>
  </si>
  <si>
    <t>Donna Guerra</t>
  </si>
  <si>
    <t>CUST1286</t>
  </si>
  <si>
    <t>Tommy Roberts</t>
  </si>
  <si>
    <t>CUST1287</t>
  </si>
  <si>
    <t>Cynthia Roberts</t>
  </si>
  <si>
    <t>CUST1288</t>
  </si>
  <si>
    <t>Misty Ferguson</t>
  </si>
  <si>
    <t>CUST1289</t>
  </si>
  <si>
    <t>Jennifer Figueroa</t>
  </si>
  <si>
    <t>CUST1290</t>
  </si>
  <si>
    <t>Chase Williams MD</t>
  </si>
  <si>
    <t>CUST1291</t>
  </si>
  <si>
    <t>James Powell</t>
  </si>
  <si>
    <t>CUST1292</t>
  </si>
  <si>
    <t>Ricardo Jones</t>
  </si>
  <si>
    <t>CUST1293</t>
  </si>
  <si>
    <t>Gloria Taylor</t>
  </si>
  <si>
    <t>CUST1294</t>
  </si>
  <si>
    <t>Lisa Chandler</t>
  </si>
  <si>
    <t>CUST1295</t>
  </si>
  <si>
    <t>Crystal Waters</t>
  </si>
  <si>
    <t>CUST1296</t>
  </si>
  <si>
    <t>Jared Moran</t>
  </si>
  <si>
    <t>CUST1297</t>
  </si>
  <si>
    <t>Jennifer Carr</t>
  </si>
  <si>
    <t>CUST1298</t>
  </si>
  <si>
    <t>Tracy Stephens</t>
  </si>
  <si>
    <t>CUST1299</t>
  </si>
  <si>
    <t>Stephanie Jacobs</t>
  </si>
  <si>
    <t>CUST1300</t>
  </si>
  <si>
    <t>Matthew Avery</t>
  </si>
  <si>
    <t>CUST1301</t>
  </si>
  <si>
    <t>Ryan Kane</t>
  </si>
  <si>
    <t>CUST1302</t>
  </si>
  <si>
    <t>Edward Cole</t>
  </si>
  <si>
    <t>CUST1303</t>
  </si>
  <si>
    <t>John Sloan</t>
  </si>
  <si>
    <t>CUST1304</t>
  </si>
  <si>
    <t>Miss Alexandria Li DVM</t>
  </si>
  <si>
    <t>CUST1305</t>
  </si>
  <si>
    <t>Roberta Green</t>
  </si>
  <si>
    <t>CUST1306</t>
  </si>
  <si>
    <t>Angela Robinson</t>
  </si>
  <si>
    <t>CUST1307</t>
  </si>
  <si>
    <t>Brandy Thompson</t>
  </si>
  <si>
    <t>CUST1308</t>
  </si>
  <si>
    <t>Jennifer Zamora</t>
  </si>
  <si>
    <t>CUST1309</t>
  </si>
  <si>
    <t>Stacy Collins</t>
  </si>
  <si>
    <t>CUST1310</t>
  </si>
  <si>
    <t>Kara Dodson</t>
  </si>
  <si>
    <t>CUST1311</t>
  </si>
  <si>
    <t>Kevin Larson</t>
  </si>
  <si>
    <t>CUST1312</t>
  </si>
  <si>
    <t>Jason Mullins</t>
  </si>
  <si>
    <t>CUST1313</t>
  </si>
  <si>
    <t>Elizabeth Jones</t>
  </si>
  <si>
    <t>CUST1314</t>
  </si>
  <si>
    <t>Elizabeth Johnson</t>
  </si>
  <si>
    <t>CUST1315</t>
  </si>
  <si>
    <t>William Rodriguez</t>
  </si>
  <si>
    <t>CUST1316</t>
  </si>
  <si>
    <t>Robert House</t>
  </si>
  <si>
    <t>CUST1317</t>
  </si>
  <si>
    <t>Tiffany Williams</t>
  </si>
  <si>
    <t>CUST1318</t>
  </si>
  <si>
    <t>Madison Wright</t>
  </si>
  <si>
    <t>CUST1319</t>
  </si>
  <si>
    <t>Casey Simpson</t>
  </si>
  <si>
    <t>CUST1320</t>
  </si>
  <si>
    <t>Jessica Gonzalez</t>
  </si>
  <si>
    <t>CUST1321</t>
  </si>
  <si>
    <t>Darren Burton</t>
  </si>
  <si>
    <t>CUST1322</t>
  </si>
  <si>
    <t>Samuel Arias</t>
  </si>
  <si>
    <t>CUST1323</t>
  </si>
  <si>
    <t>Kristy Dunlap</t>
  </si>
  <si>
    <t>CUST1324</t>
  </si>
  <si>
    <t>Alex Mann II</t>
  </si>
  <si>
    <t>CUST1325</t>
  </si>
  <si>
    <t>Andrew Smith</t>
  </si>
  <si>
    <t>CUST1326</t>
  </si>
  <si>
    <t>Robert King</t>
  </si>
  <si>
    <t>CUST1327</t>
  </si>
  <si>
    <t>Reginald Willis</t>
  </si>
  <si>
    <t>CUST1328</t>
  </si>
  <si>
    <t>Mario Harvey Jr.</t>
  </si>
  <si>
    <t>CUST1329</t>
  </si>
  <si>
    <t>Victor Mcintosh</t>
  </si>
  <si>
    <t>CUST1330</t>
  </si>
  <si>
    <t>Pamela Mcguire</t>
  </si>
  <si>
    <t>CUST1331</t>
  </si>
  <si>
    <t>Maria Phillips</t>
  </si>
  <si>
    <t>CUST1332</t>
  </si>
  <si>
    <t>Dr. Lindsay Hanna</t>
  </si>
  <si>
    <t>CUST1333</t>
  </si>
  <si>
    <t>Teresa Johnson</t>
  </si>
  <si>
    <t>CUST1334</t>
  </si>
  <si>
    <t>Mr. Christopher Sims</t>
  </si>
  <si>
    <t>CUST1335</t>
  </si>
  <si>
    <t>Jennifer Woods</t>
  </si>
  <si>
    <t>CUST1336</t>
  </si>
  <si>
    <t>John Jones</t>
  </si>
  <si>
    <t>CUST1337</t>
  </si>
  <si>
    <t>Carol Lewis</t>
  </si>
  <si>
    <t>CUST1338</t>
  </si>
  <si>
    <t>Jasmine Snyder</t>
  </si>
  <si>
    <t>CUST1339</t>
  </si>
  <si>
    <t>Mrs. Susan Buckley</t>
  </si>
  <si>
    <t>CUST1340</t>
  </si>
  <si>
    <t>Eric Davis</t>
  </si>
  <si>
    <t>CUST1341</t>
  </si>
  <si>
    <t>Angela Williams</t>
  </si>
  <si>
    <t>CUST1342</t>
  </si>
  <si>
    <t>Michelle Cunningham</t>
  </si>
  <si>
    <t>CUST1343</t>
  </si>
  <si>
    <t>Ryan Moore</t>
  </si>
  <si>
    <t>CUST1344</t>
  </si>
  <si>
    <t>Evelyn Brown</t>
  </si>
  <si>
    <t>CUST1345</t>
  </si>
  <si>
    <t>Daniel Nelson</t>
  </si>
  <si>
    <t>CUST1346</t>
  </si>
  <si>
    <t>John Jordan</t>
  </si>
  <si>
    <t>CUST1347</t>
  </si>
  <si>
    <t>Justin Mason DDS</t>
  </si>
  <si>
    <t>CUST1348</t>
  </si>
  <si>
    <t>Sherry Cabrera</t>
  </si>
  <si>
    <t>CUST1349</t>
  </si>
  <si>
    <t>Heather Valenzuela</t>
  </si>
  <si>
    <t>CUST1350</t>
  </si>
  <si>
    <t>Charles Miller</t>
  </si>
  <si>
    <t>CUST1351</t>
  </si>
  <si>
    <t>Jeffrey Mccarthy</t>
  </si>
  <si>
    <t>CUST1352</t>
  </si>
  <si>
    <t>Michael Greene</t>
  </si>
  <si>
    <t>CUST1353</t>
  </si>
  <si>
    <t>CUST1354</t>
  </si>
  <si>
    <t>Ryan Torres</t>
  </si>
  <si>
    <t>CUST1355</t>
  </si>
  <si>
    <t>Carlos Flores</t>
  </si>
  <si>
    <t>CUST1356</t>
  </si>
  <si>
    <t>Steve Hunt</t>
  </si>
  <si>
    <t>CUST1357</t>
  </si>
  <si>
    <t>Manuel Castillo</t>
  </si>
  <si>
    <t>CUST1358</t>
  </si>
  <si>
    <t>Ashley Anderson</t>
  </si>
  <si>
    <t>CUST1359</t>
  </si>
  <si>
    <t>Melanie Lam</t>
  </si>
  <si>
    <t>CUST1360</t>
  </si>
  <si>
    <t>Denise Tate</t>
  </si>
  <si>
    <t>CUST1361</t>
  </si>
  <si>
    <t>Natalie Johnson</t>
  </si>
  <si>
    <t>CUST1362</t>
  </si>
  <si>
    <t>Joshua Smith DVM</t>
  </si>
  <si>
    <t>CUST1363</t>
  </si>
  <si>
    <t>Elizabeth Smith</t>
  </si>
  <si>
    <t>CUST1364</t>
  </si>
  <si>
    <t>Chloe Aguilar</t>
  </si>
  <si>
    <t>CUST1365</t>
  </si>
  <si>
    <t>Brandon Mcbride</t>
  </si>
  <si>
    <t>CUST1366</t>
  </si>
  <si>
    <t>Mallory Allen</t>
  </si>
  <si>
    <t>CUST1367</t>
  </si>
  <si>
    <t>Melinda Johnson</t>
  </si>
  <si>
    <t>CUST1368</t>
  </si>
  <si>
    <t>Miranda King</t>
  </si>
  <si>
    <t>CUST1369</t>
  </si>
  <si>
    <t>Gregory Allen</t>
  </si>
  <si>
    <t>CUST1370</t>
  </si>
  <si>
    <t>James Holloway Jr.</t>
  </si>
  <si>
    <t>CUST1371</t>
  </si>
  <si>
    <t>Michael Garner</t>
  </si>
  <si>
    <t>CUST1372</t>
  </si>
  <si>
    <t>Jacqueline Anthony</t>
  </si>
  <si>
    <t>CUST1373</t>
  </si>
  <si>
    <t>James Orozco</t>
  </si>
  <si>
    <t>CUST1374</t>
  </si>
  <si>
    <t>Emma Wilson</t>
  </si>
  <si>
    <t>CUST1375</t>
  </si>
  <si>
    <t>Joshua Bell</t>
  </si>
  <si>
    <t>CUST1376</t>
  </si>
  <si>
    <t>Michele Burke</t>
  </si>
  <si>
    <t>CUST1377</t>
  </si>
  <si>
    <t>Charles Conley</t>
  </si>
  <si>
    <t>CUST1378</t>
  </si>
  <si>
    <t>Frank Stewart</t>
  </si>
  <si>
    <t>CUST1379</t>
  </si>
  <si>
    <t>Tanya Lopez</t>
  </si>
  <si>
    <t>CUST1380</t>
  </si>
  <si>
    <t>Shelley Ponce</t>
  </si>
  <si>
    <t>CUST1381</t>
  </si>
  <si>
    <t>Erika Padilla</t>
  </si>
  <si>
    <t>CUST1382</t>
  </si>
  <si>
    <t>Martha Brown</t>
  </si>
  <si>
    <t>CUST1383</t>
  </si>
  <si>
    <t>Kristine Higgins</t>
  </si>
  <si>
    <t>CUST1384</t>
  </si>
  <si>
    <t>Andrew Mason</t>
  </si>
  <si>
    <t>CUST1385</t>
  </si>
  <si>
    <t>Tammy Brennan</t>
  </si>
  <si>
    <t>CUST1386</t>
  </si>
  <si>
    <t>Melanie Mitchell</t>
  </si>
  <si>
    <t>CUST1387</t>
  </si>
  <si>
    <t>Timothy Gardner</t>
  </si>
  <si>
    <t>CUST1388</t>
  </si>
  <si>
    <t>Timothy Valenzuela</t>
  </si>
  <si>
    <t>CUST1389</t>
  </si>
  <si>
    <t>Cynthia Lopez</t>
  </si>
  <si>
    <t>CUST1390</t>
  </si>
  <si>
    <t>Daniel Bell</t>
  </si>
  <si>
    <t>CUST1391</t>
  </si>
  <si>
    <t>Heidi Tyler</t>
  </si>
  <si>
    <t>CUST1392</t>
  </si>
  <si>
    <t>Jacqueline Payne</t>
  </si>
  <si>
    <t>CUST1393</t>
  </si>
  <si>
    <t>Michael Mcneil</t>
  </si>
  <si>
    <t>CUST1394</t>
  </si>
  <si>
    <t>Alejandro Evans</t>
  </si>
  <si>
    <t>CUST1395</t>
  </si>
  <si>
    <t>Brandon Mcguire</t>
  </si>
  <si>
    <t>CUST1396</t>
  </si>
  <si>
    <t>Alexander Byrd</t>
  </si>
  <si>
    <t>CUST1397</t>
  </si>
  <si>
    <t>Charles Norman PhD</t>
  </si>
  <si>
    <t>CUST1398</t>
  </si>
  <si>
    <t>Jennifer Johnson</t>
  </si>
  <si>
    <t>CUST1399</t>
  </si>
  <si>
    <t>John Donaldson</t>
  </si>
  <si>
    <t>CUST1400</t>
  </si>
  <si>
    <t>Mark Rogers</t>
  </si>
  <si>
    <t>CUST1401</t>
  </si>
  <si>
    <t>Terry Moses</t>
  </si>
  <si>
    <t>CUST1402</t>
  </si>
  <si>
    <t>Cassandra Perez</t>
  </si>
  <si>
    <t>CUST1403</t>
  </si>
  <si>
    <t>Justin Ingram</t>
  </si>
  <si>
    <t>CUST1404</t>
  </si>
  <si>
    <t>David Ross</t>
  </si>
  <si>
    <t>CUST1405</t>
  </si>
  <si>
    <t>Eric Wolfe</t>
  </si>
  <si>
    <t>CUST1406</t>
  </si>
  <si>
    <t>David Lozano</t>
  </si>
  <si>
    <t>CUST1407</t>
  </si>
  <si>
    <t>Joseph Mendoza</t>
  </si>
  <si>
    <t>CUST1408</t>
  </si>
  <si>
    <t>Isabel Foster</t>
  </si>
  <si>
    <t>CUST1409</t>
  </si>
  <si>
    <t>Sarah Smith</t>
  </si>
  <si>
    <t>CUST1410</t>
  </si>
  <si>
    <t>Jackie Thompson</t>
  </si>
  <si>
    <t>CUST1411</t>
  </si>
  <si>
    <t>Katrina Perez</t>
  </si>
  <si>
    <t>CUST1412</t>
  </si>
  <si>
    <t>Shane Brown</t>
  </si>
  <si>
    <t>CUST1413</t>
  </si>
  <si>
    <t>Megan Ryan</t>
  </si>
  <si>
    <t>CUST1414</t>
  </si>
  <si>
    <t>Melissa Valentine</t>
  </si>
  <si>
    <t>CUST1415</t>
  </si>
  <si>
    <t>Tyler Cook</t>
  </si>
  <si>
    <t>CUST1416</t>
  </si>
  <si>
    <t>Jennifer Myers</t>
  </si>
  <si>
    <t>CUST1417</t>
  </si>
  <si>
    <t>Karen King</t>
  </si>
  <si>
    <t>CUST1418</t>
  </si>
  <si>
    <t>Luke Parks</t>
  </si>
  <si>
    <t>CUST1419</t>
  </si>
  <si>
    <t>Monica Miller</t>
  </si>
  <si>
    <t>CUST1420</t>
  </si>
  <si>
    <t>Dr. Tamara White MD</t>
  </si>
  <si>
    <t>CUST1421</t>
  </si>
  <si>
    <t>Holly Robinson</t>
  </si>
  <si>
    <t>CUST1422</t>
  </si>
  <si>
    <t>Brittany Edwards DDS</t>
  </si>
  <si>
    <t>CUST1423</t>
  </si>
  <si>
    <t>Rebecca Baker</t>
  </si>
  <si>
    <t>CUST1424</t>
  </si>
  <si>
    <t>Edwin Barnes</t>
  </si>
  <si>
    <t>CUST1425</t>
  </si>
  <si>
    <t>Bryce Hawkins</t>
  </si>
  <si>
    <t>CUST1426</t>
  </si>
  <si>
    <t>Jeanette Nichols</t>
  </si>
  <si>
    <t>CUST1427</t>
  </si>
  <si>
    <t>Jose Stewart</t>
  </si>
  <si>
    <t>CUST1428</t>
  </si>
  <si>
    <t>Samuel Mullins</t>
  </si>
  <si>
    <t>CUST1429</t>
  </si>
  <si>
    <t>Sean Vang</t>
  </si>
  <si>
    <t>CUST1430</t>
  </si>
  <si>
    <t>Kimberly Roberts</t>
  </si>
  <si>
    <t>CUST1431</t>
  </si>
  <si>
    <t>John Smith</t>
  </si>
  <si>
    <t>CUST1432</t>
  </si>
  <si>
    <t>Summer Weiss</t>
  </si>
  <si>
    <t>CUST1433</t>
  </si>
  <si>
    <t>Thomas Moore</t>
  </si>
  <si>
    <t>CUST1434</t>
  </si>
  <si>
    <t>Monique Castro</t>
  </si>
  <si>
    <t>CUST1435</t>
  </si>
  <si>
    <t>Lindsay Beasley</t>
  </si>
  <si>
    <t>CUST1436</t>
  </si>
  <si>
    <t>Sharon Simpson</t>
  </si>
  <si>
    <t>CUST1437</t>
  </si>
  <si>
    <t>Melinda Rivera</t>
  </si>
  <si>
    <t>CUST1438</t>
  </si>
  <si>
    <t>Monica Flynn</t>
  </si>
  <si>
    <t>CUST1439</t>
  </si>
  <si>
    <t>John Compton</t>
  </si>
  <si>
    <t>CUST1440</t>
  </si>
  <si>
    <t>Tammy Trevino</t>
  </si>
  <si>
    <t>CUST1441</t>
  </si>
  <si>
    <t>Dalton Walters</t>
  </si>
  <si>
    <t>CUST1442</t>
  </si>
  <si>
    <t>Kelli Smith</t>
  </si>
  <si>
    <t>CUST1443</t>
  </si>
  <si>
    <t>Adam Castro</t>
  </si>
  <si>
    <t>CUST1444</t>
  </si>
  <si>
    <t>Cheryl Carr</t>
  </si>
  <si>
    <t>CUST1445</t>
  </si>
  <si>
    <t>Gene Lee</t>
  </si>
  <si>
    <t>CUST1446</t>
  </si>
  <si>
    <t>Shannon Turner</t>
  </si>
  <si>
    <t>CUST1447</t>
  </si>
  <si>
    <t>Monica Wright</t>
  </si>
  <si>
    <t>CUST1448</t>
  </si>
  <si>
    <t>Eric Holmes</t>
  </si>
  <si>
    <t>CUST1449</t>
  </si>
  <si>
    <t>William Cortez</t>
  </si>
  <si>
    <t>CUST1450</t>
  </si>
  <si>
    <t>Shane Mills</t>
  </si>
  <si>
    <t>CUST1451</t>
  </si>
  <si>
    <t>Ashley Roberts</t>
  </si>
  <si>
    <t>CUST1452</t>
  </si>
  <si>
    <t>Jeffery Wolf</t>
  </si>
  <si>
    <t>CUST1453</t>
  </si>
  <si>
    <t>April Phillips</t>
  </si>
  <si>
    <t>CUST1454</t>
  </si>
  <si>
    <t>John Berg</t>
  </si>
  <si>
    <t>CUST1455</t>
  </si>
  <si>
    <t>Tyler Weber</t>
  </si>
  <si>
    <t>CUST1456</t>
  </si>
  <si>
    <t>Julie Powell</t>
  </si>
  <si>
    <t>CUST1457</t>
  </si>
  <si>
    <t>Christina Robertson</t>
  </si>
  <si>
    <t>CUST1458</t>
  </si>
  <si>
    <t>Kelly Garrett</t>
  </si>
  <si>
    <t>CUST1459</t>
  </si>
  <si>
    <t>CUST1460</t>
  </si>
  <si>
    <t>Justin Johnson</t>
  </si>
  <si>
    <t>CUST1461</t>
  </si>
  <si>
    <t>Paul Cox</t>
  </si>
  <si>
    <t>CUST1462</t>
  </si>
  <si>
    <t>Beth Martin</t>
  </si>
  <si>
    <t>CUST1463</t>
  </si>
  <si>
    <t>Samantha Lee</t>
  </si>
  <si>
    <t>CUST1464</t>
  </si>
  <si>
    <t>David Pierce</t>
  </si>
  <si>
    <t>CUST1465</t>
  </si>
  <si>
    <t>Ronald Ross</t>
  </si>
  <si>
    <t>CUST1466</t>
  </si>
  <si>
    <t>Cynthia Parrish</t>
  </si>
  <si>
    <t>CUST1467</t>
  </si>
  <si>
    <t>Michael Foley</t>
  </si>
  <si>
    <t>CUST1468</t>
  </si>
  <si>
    <t>Gregory Curtis</t>
  </si>
  <si>
    <t>CUST1469</t>
  </si>
  <si>
    <t>James Foster</t>
  </si>
  <si>
    <t>CUST1470</t>
  </si>
  <si>
    <t>Manuel Fisher</t>
  </si>
  <si>
    <t>CUST1471</t>
  </si>
  <si>
    <t>Debra Mccullough</t>
  </si>
  <si>
    <t>CUST1472</t>
  </si>
  <si>
    <t>Philip Mendoza</t>
  </si>
  <si>
    <t>CUST1473</t>
  </si>
  <si>
    <t>Laura Mathews</t>
  </si>
  <si>
    <t>CUST1474</t>
  </si>
  <si>
    <t>Joshua Howard</t>
  </si>
  <si>
    <t>CUST1475</t>
  </si>
  <si>
    <t>Barbara Berry</t>
  </si>
  <si>
    <t>CUST1476</t>
  </si>
  <si>
    <t>Elizabeth Foster</t>
  </si>
  <si>
    <t>CUST1477</t>
  </si>
  <si>
    <t>Andrea Harris</t>
  </si>
  <si>
    <t>CUST1478</t>
  </si>
  <si>
    <t>Earl Smith DDS</t>
  </si>
  <si>
    <t>CUST1479</t>
  </si>
  <si>
    <t>Dylan Gutierrez</t>
  </si>
  <si>
    <t>CUST1480</t>
  </si>
  <si>
    <t>Jordan Medina</t>
  </si>
  <si>
    <t>CUST1481</t>
  </si>
  <si>
    <t>Bryan Tran</t>
  </si>
  <si>
    <t>CUST1482</t>
  </si>
  <si>
    <t>Sheri Joyce</t>
  </si>
  <si>
    <t>CUST1483</t>
  </si>
  <si>
    <t>CUST1484</t>
  </si>
  <si>
    <t>Jessica Castro</t>
  </si>
  <si>
    <t>CUST1485</t>
  </si>
  <si>
    <t>Sara Ingram</t>
  </si>
  <si>
    <t>CUST1486</t>
  </si>
  <si>
    <t>Eric Lee</t>
  </si>
  <si>
    <t>CUST1487</t>
  </si>
  <si>
    <t>Amanda Medina</t>
  </si>
  <si>
    <t>CUST1488</t>
  </si>
  <si>
    <t>Zachary Andrade</t>
  </si>
  <si>
    <t>CUST1489</t>
  </si>
  <si>
    <t>Melinda Thomas</t>
  </si>
  <si>
    <t>CUST1490</t>
  </si>
  <si>
    <t>Scott Harris</t>
  </si>
  <si>
    <t>CUST1491</t>
  </si>
  <si>
    <t>Kaitlin Brown</t>
  </si>
  <si>
    <t>CUST1492</t>
  </si>
  <si>
    <t>Darrell Miller</t>
  </si>
  <si>
    <t>CUST1493</t>
  </si>
  <si>
    <t>Amanda Powell</t>
  </si>
  <si>
    <t>CUST1494</t>
  </si>
  <si>
    <t>Justin Lopez</t>
  </si>
  <si>
    <t>CUST1495</t>
  </si>
  <si>
    <t>James Berger</t>
  </si>
  <si>
    <t>CUST1496</t>
  </si>
  <si>
    <t>Christopher Ford</t>
  </si>
  <si>
    <t>CUST1497</t>
  </si>
  <si>
    <t>Sarah Marsh</t>
  </si>
  <si>
    <t>CUST1498</t>
  </si>
  <si>
    <t>Traci Gonzalez</t>
  </si>
  <si>
    <t>CUST1499</t>
  </si>
  <si>
    <t>Philip Pennington</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</si>
  <si>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</si>
  <si>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</si>
  <si>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</si>
  <si>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</si>
  <si>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</si>
  <si>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</si>
  <si>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</si>
  <si>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</si>
  <si>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</si>
  <si>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</si>
  <si>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</si>
  <si>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</si>
  <si>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</si>
  <si>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</si>
  <si>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</si>
  <si>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</si>
  <si>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</si>
  <si>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</si>
  <si>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</si>
  <si>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</si>
  <si>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</si>
  <si>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</si>
  <si>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</si>
  <si>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</si>
  <si>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</si>
  <si>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</si>
  <si>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</si>
  <si>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</si>
  <si>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</si>
  <si>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</si>
  <si>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</si>
  <si>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</si>
  <si>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</si>
  <si>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</si>
  <si>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</si>
  <si>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</si>
  <si>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</si>
  <si>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</si>
  <si>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</si>
  <si>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</si>
  <si>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</si>
  <si>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</si>
  <si>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</si>
  <si>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</si>
  <si>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</si>
  <si>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</si>
  <si>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</si>
  <si>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</si>
  <si>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</si>
  <si>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</si>
  <si>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</si>
  <si>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</si>
  <si>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</si>
  <si>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</si>
  <si>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</si>
  <si>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</si>
  <si>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</si>
  <si>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</si>
  <si>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</si>
  <si>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</si>
  <si>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</si>
  <si>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</si>
  <si>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</si>
  <si>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</si>
  <si>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</si>
  <si>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</si>
  <si>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</si>
  <si>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</si>
  <si>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</si>
  <si>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</si>
  <si>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</si>
  <si>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</si>
  <si>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</si>
  <si>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</si>
  <si>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</si>
  <si>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</si>
  <si>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</si>
  <si>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</si>
  <si>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</si>
  <si>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</si>
  <si>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</si>
  <si>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</si>
  <si>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</si>
  <si>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</si>
  <si>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</si>
  <si>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</si>
  <si>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</si>
  <si>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</si>
  <si>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</si>
  <si>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</si>
  <si>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</si>
  <si>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</si>
  <si>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</si>
  <si>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</si>
  <si>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</si>
  <si>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</si>
  <si>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</si>
  <si>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</si>
  <si>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</si>
  <si>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</si>
  <si>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</si>
  <si>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</si>
  <si>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</si>
  <si>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</si>
  <si>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</si>
  <si>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</si>
  <si>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</si>
  <si>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</si>
  <si>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</si>
  <si>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</si>
  <si>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</si>
  <si>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</si>
  <si>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</si>
  <si>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</si>
  <si>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</si>
  <si>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</si>
  <si>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</si>
  <si>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</si>
  <si>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</si>
  <si>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</si>
  <si>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</si>
  <si>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</si>
  <si>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</si>
  <si>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</si>
  <si>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</si>
  <si>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</si>
  <si>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</si>
  <si>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</si>
  <si>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</si>
  <si>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</si>
  <si>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</si>
  <si>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</si>
  <si>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</si>
  <si>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</si>
  <si>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</si>
  <si>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</si>
  <si>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</si>
  <si>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</si>
  <si>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</si>
  <si>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</si>
  <si>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</si>
  <si>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</si>
  <si>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</si>
  <si>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</si>
  <si>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</si>
  <si>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</si>
  <si>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</si>
  <si>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</si>
  <si>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</si>
  <si>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</si>
  <si>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</si>
  <si>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</si>
  <si>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</si>
  <si>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</si>
  <si>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</si>
  <si>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</si>
  <si>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</si>
  <si>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</si>
  <si>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</si>
  <si>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</si>
  <si>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</si>
  <si>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</si>
  <si>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</si>
  <si>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</si>
  <si>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</si>
  <si>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</si>
  <si>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</si>
  <si>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</si>
  <si>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</si>
  <si>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</si>
  <si>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</si>
  <si>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</si>
  <si>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</si>
  <si>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</si>
  <si>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</si>
  <si>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</si>
  <si>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</si>
  <si>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</si>
  <si>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</si>
  <si>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</si>
  <si>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</si>
  <si>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</si>
  <si>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</si>
  <si>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</si>
  <si>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</si>
  <si>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</si>
  <si>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</si>
  <si>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</si>
  <si>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</si>
  <si>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</si>
  <si>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</si>
  <si>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</si>
  <si>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</si>
  <si>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</si>
  <si>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</si>
  <si>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</si>
  <si>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</si>
  <si>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</si>
  <si>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</si>
  <si>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</si>
  <si>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</si>
  <si>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</si>
  <si>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</si>
  <si>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</si>
  <si>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</si>
  <si>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</si>
  <si>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</si>
  <si>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</si>
  <si>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</si>
  <si>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</si>
  <si>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</si>
  <si>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</si>
  <si>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</si>
  <si>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</si>
  <si>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</si>
  <si>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</si>
  <si>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</si>
  <si>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</si>
  <si>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</si>
  <si>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</si>
  <si>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</si>
  <si>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</si>
  <si>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</si>
  <si>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</si>
  <si>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</si>
  <si>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</si>
  <si>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</si>
  <si>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</si>
  <si>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</si>
  <si>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</si>
  <si>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</si>
  <si>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</si>
  <si>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</si>
  <si>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</si>
  <si>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</si>
  <si>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</si>
  <si>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</si>
  <si>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</si>
  <si>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</si>
  <si>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</si>
  <si>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</si>
  <si>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</si>
  <si>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</si>
  <si>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</si>
  <si>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</si>
  <si>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</si>
  <si>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</si>
  <si>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</si>
  <si>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</si>
  <si>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</si>
  <si>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</si>
  <si>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</si>
  <si>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</si>
  <si>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</si>
  <si>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</si>
  <si>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</si>
  <si>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</si>
  <si>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</si>
  <si>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</si>
  <si>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</si>
  <si>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</si>
  <si>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</si>
  <si>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</si>
  <si>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</si>
  <si>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</si>
  <si>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</si>
  <si>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</si>
  <si>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</si>
  <si>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</si>
  <si>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</si>
  <si>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</si>
  <si>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</si>
  <si>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</si>
  <si>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</si>
  <si>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</si>
  <si>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</si>
  <si>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</si>
  <si>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</si>
  <si>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</si>
  <si>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</si>
  <si>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</si>
  <si>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</si>
  <si>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</si>
  <si>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</si>
  <si>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</si>
  <si>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</si>
  <si>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</si>
  <si>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</si>
  <si>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</si>
  <si>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</si>
  <si>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</si>
  <si>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</si>
  <si>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</si>
  <si>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</si>
  <si>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</si>
  <si>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</si>
  <si>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</si>
  <si>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</si>
  <si>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</si>
  <si>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</si>
  <si>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</si>
  <si>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</si>
  <si>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</si>
  <si>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</si>
  <si>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</si>
  <si>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</si>
  <si>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</si>
  <si>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</si>
  <si>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</si>
  <si>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</si>
  <si>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</si>
  <si>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</si>
  <si>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</si>
  <si>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</si>
  <si>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</si>
  <si>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</si>
  <si>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</si>
  <si>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</si>
  <si>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</si>
  <si>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</si>
  <si>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</si>
  <si>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</si>
  <si>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</si>
  <si>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</si>
  <si>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</si>
  <si>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</si>
  <si>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</si>
  <si>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</si>
  <si>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</si>
  <si>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</si>
  <si>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</si>
  <si>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</si>
  <si>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</si>
  <si>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</si>
  <si>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</si>
  <si>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</si>
  <si>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</si>
  <si>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</si>
  <si>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</si>
  <si>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</si>
  <si>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</si>
  <si>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</si>
  <si>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</si>
  <si>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</si>
  <si>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</si>
  <si>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</si>
  <si>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</si>
  <si>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</si>
  <si>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</si>
  <si>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</si>
  <si>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</si>
  <si>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</si>
  <si>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</si>
  <si>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</si>
  <si>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</si>
  <si>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</si>
  <si>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</si>
  <si>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</si>
  <si>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</si>
  <si>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</si>
  <si>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</si>
  <si>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</si>
  <si>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</si>
  <si>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</si>
  <si>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</si>
  <si>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</si>
  <si>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</si>
  <si>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</si>
  <si>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</si>
  <si>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</si>
  <si>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</si>
  <si>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</si>
  <si>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</si>
  <si>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</si>
  <si>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</si>
  <si>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</si>
  <si>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</si>
  <si>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</si>
  <si>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</si>
  <si>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</si>
  <si>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</si>
  <si>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</si>
  <si>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</si>
  <si>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</si>
  <si>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</si>
  <si>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</si>
  <si>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</si>
  <si>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</si>
  <si>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</si>
  <si>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</si>
  <si>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</si>
  <si>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</si>
  <si>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</si>
  <si>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</si>
  <si>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</si>
  <si>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</si>
  <si>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</si>
  <si>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</si>
  <si>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</si>
  <si>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</si>
  <si>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</si>
  <si>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</si>
  <si>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</si>
  <si>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</si>
  <si>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</si>
  <si>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</si>
  <si>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</si>
  <si>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</si>
  <si>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</si>
  <si>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</si>
  <si>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</si>
  <si>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</si>
  <si>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</si>
  <si>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</si>
  <si>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</si>
  <si>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</si>
  <si>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</si>
  <si>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</si>
  <si>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</si>
  <si>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</si>
  <si>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</si>
  <si>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</si>
  <si>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</si>
  <si>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</si>
  <si>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</si>
  <si>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</si>
  <si>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</si>
  <si>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</si>
  <si>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</si>
  <si>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</si>
  <si>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</si>
  <si>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</si>
  <si>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</si>
  <si>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</si>
  <si>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</si>
  <si>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</si>
  <si>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</si>
  <si>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</si>
  <si>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</si>
  <si>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</si>
  <si>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</si>
  <si>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</si>
  <si>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</si>
  <si>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</si>
  <si>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</si>
  <si>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</si>
  <si>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</si>
  <si>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</si>
  <si>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</si>
  <si>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</si>
  <si>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</si>
  <si>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</si>
  <si>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</si>
  <si>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</si>
  <si>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</si>
  <si>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</si>
  <si>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</si>
  <si>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</si>
  <si>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</si>
  <si>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</si>
  <si>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</si>
  <si>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</si>
  <si>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</si>
  <si>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</si>
  <si>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</si>
  <si>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</si>
  <si>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</si>
  <si>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</si>
  <si>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</si>
  <si>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</si>
  <si>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</si>
  <si>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</si>
  <si>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</si>
  <si>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</si>
  <si>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</si>
  <si>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</si>
  <si>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</si>
  <si>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</si>
  <si>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</si>
  <si>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</si>
  <si>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</si>
  <si>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</si>
  <si>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</si>
  <si>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</si>
  <si>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</si>
  <si>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</si>
  <si>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</si>
  <si>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</si>
  <si>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</si>
  <si>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</si>
  <si>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</si>
  <si>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</si>
  <si>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</si>
  <si>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</si>
  <si>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</si>
  <si>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</si>
  <si>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</si>
  <si>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</si>
  <si>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</si>
  <si>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</si>
  <si>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</si>
  <si>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</si>
  <si>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</si>
  <si>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</si>
  <si>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</si>
  <si>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</si>
  <si>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</si>
  <si>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</si>
  <si>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</si>
  <si>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</si>
  <si>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</si>
  <si>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</si>
  <si>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</si>
  <si>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</si>
  <si>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</si>
  <si>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</si>
  <si>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</si>
  <si>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</si>
  <si>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</si>
  <si>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</si>
  <si>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</si>
  <si>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</si>
  <si>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</si>
  <si>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</si>
  <si>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</si>
  <si>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</si>
  <si>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</si>
  <si>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</si>
  <si>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</si>
  <si>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</si>
  <si>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</si>
  <si>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</si>
  <si>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</si>
  <si>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</si>
  <si>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</si>
  <si>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</si>
  <si>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</si>
  <si>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</si>
  <si>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</si>
  <si>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</si>
  <si>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</si>
  <si>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</si>
  <si>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</si>
  <si>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</si>
  <si>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</si>
  <si>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</si>
  <si>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</si>
  <si>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</si>
  <si>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</si>
  <si>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</si>
  <si>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</si>
  <si>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</si>
  <si>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</si>
  <si>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</si>
  <si>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</si>
  <si>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</si>
  <si>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</si>
  <si>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</si>
  <si>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</si>
  <si>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</si>
  <si>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</si>
  <si>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</si>
  <si>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</si>
  <si>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</si>
  <si>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</si>
  <si>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</si>
  <si>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</si>
  <si>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</si>
  <si>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</si>
  <si>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</si>
  <si>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</si>
  <si>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</si>
  <si>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</si>
  <si>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</si>
  <si>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</si>
  <si>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</si>
  <si>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</si>
  <si>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</si>
  <si>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</si>
  <si>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</si>
  <si>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</si>
  <si>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</si>
  <si>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</si>
  <si>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</si>
  <si>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</si>
  <si>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</si>
  <si>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</si>
  <si>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</si>
  <si>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</si>
  <si>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</si>
  <si>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</si>
  <si>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</si>
  <si>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</si>
  <si>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</si>
  <si>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</si>
  <si>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</si>
  <si>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</si>
  <si>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</si>
  <si>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</si>
  <si>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</si>
  <si>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</si>
  <si>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</si>
  <si>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</si>
  <si>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</si>
  <si>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</si>
  <si>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</si>
  <si>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</si>
  <si>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</si>
  <si>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</si>
  <si>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</si>
  <si>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</si>
  <si>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</si>
  <si>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</si>
  <si>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</si>
  <si>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</si>
  <si>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</si>
  <si>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</si>
  <si>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</si>
  <si>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</si>
  <si>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</si>
  <si>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</si>
  <si>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</si>
  <si>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</si>
  <si>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</si>
  <si>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</si>
  <si>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</si>
  <si>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</si>
  <si>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</si>
  <si>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</si>
  <si>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</si>
  <si>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</si>
  <si>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</si>
  <si>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</si>
  <si>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</si>
  <si>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</si>
  <si>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</si>
  <si>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</si>
  <si>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</si>
  <si>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</si>
  <si>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</si>
  <si>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</si>
  <si>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</si>
  <si>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</si>
  <si>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</si>
  <si>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</si>
  <si>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</si>
  <si>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</si>
  <si>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</si>
  <si>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</si>
  <si>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</si>
  <si>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</si>
  <si>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</si>
  <si>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</si>
  <si>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</si>
  <si>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</si>
  <si>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</si>
  <si>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</si>
  <si>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</si>
  <si>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</si>
  <si>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</si>
  <si>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</si>
  <si>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</si>
  <si>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</si>
  <si>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</si>
  <si>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</si>
  <si>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</si>
  <si>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</si>
  <si>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</si>
  <si>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</si>
  <si>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</si>
  <si>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</si>
  <si>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</si>
  <si>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</si>
  <si>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</si>
  <si>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</si>
  <si>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</si>
  <si>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</si>
  <si>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</si>
  <si>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</si>
  <si>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</si>
  <si>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</si>
  <si>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</si>
  <si>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</si>
  <si>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</si>
  <si>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</si>
  <si>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</si>
  <si>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</si>
  <si>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</si>
  <si>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</si>
  <si>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</si>
  <si>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</si>
  <si>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</si>
  <si>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</si>
  <si>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</si>
  <si>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</si>
  <si>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</si>
  <si>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</si>
  <si>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</si>
  <si>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</si>
  <si>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</si>
  <si>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</si>
  <si>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</si>
  <si>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</si>
  <si>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</si>
  <si>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</si>
  <si>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</si>
  <si>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</si>
  <si>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</si>
  <si>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</si>
  <si>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</si>
  <si>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</si>
  <si>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</si>
  <si>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</si>
  <si>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</si>
  <si>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</si>
  <si>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</si>
  <si>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</si>
  <si>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</si>
  <si>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</si>
  <si>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</si>
  <si>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</si>
  <si>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</si>
  <si>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</si>
  <si>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</si>
  <si>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</si>
  <si>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</si>
  <si>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</si>
  <si>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</si>
  <si>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</si>
  <si>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</si>
  <si>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</si>
  <si>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</si>
  <si>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</si>
  <si>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</si>
  <si>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</si>
  <si>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</si>
  <si>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</si>
  <si>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</si>
  <si>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</si>
  <si>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</si>
  <si>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</si>
  <si>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</si>
  <si>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</si>
  <si>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</si>
  <si>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</si>
  <si>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</si>
  <si>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</si>
  <si>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</si>
  <si>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</si>
  <si>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</si>
  <si>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</si>
  <si>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</si>
  <si>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</si>
  <si>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</si>
  <si>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</si>
  <si>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</si>
  <si>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</si>
  <si>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</si>
  <si>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</si>
  <si>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</si>
  <si>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</si>
  <si>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</si>
  <si>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</si>
  <si>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</si>
  <si>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</si>
  <si>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</si>
  <si>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</si>
  <si>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</si>
  <si>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</si>
  <si>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</si>
  <si>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</si>
  <si>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</si>
  <si>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</si>
  <si>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</si>
  <si>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</si>
  <si>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</si>
  <si>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</si>
  <si>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</si>
  <si>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</si>
  <si>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</si>
  <si>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</si>
  <si>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</si>
  <si>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</si>
  <si>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</si>
  <si>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</si>
  <si>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</si>
  <si>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</si>
  <si>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</si>
  <si>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</si>
  <si>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</si>
  <si>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</si>
  <si>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</si>
  <si>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</si>
  <si>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</si>
  <si>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</si>
  <si>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</si>
  <si>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</si>
  <si>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</si>
  <si>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</si>
  <si>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</si>
  <si>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</si>
  <si>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</si>
  <si>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</si>
  <si>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</si>
  <si>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</si>
  <si>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</si>
  <si>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</si>
  <si>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</si>
  <si>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</si>
  <si>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</si>
  <si>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</si>
  <si>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</si>
  <si>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</si>
  <si>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</si>
  <si>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</si>
  <si>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</si>
  <si>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</si>
  <si>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</si>
  <si>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</si>
  <si>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</si>
  <si>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</si>
  <si>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</si>
  <si>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</si>
  <si>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</si>
  <si>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</si>
  <si>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</si>
  <si>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</si>
  <si>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</si>
  <si>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</si>
  <si>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</si>
  <si>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</si>
  <si>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</si>
  <si>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</si>
  <si>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</si>
  <si>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</si>
  <si>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</si>
  <si>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</si>
  <si>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</si>
  <si>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</si>
  <si>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</si>
  <si>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</si>
  <si>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</si>
  <si>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</si>
  <si>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</si>
  <si>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</si>
  <si>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</si>
  <si>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</si>
  <si>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</si>
  <si>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</si>
  <si>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</si>
  <si>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</si>
  <si>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</si>
  <si>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</si>
  <si>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</si>
  <si>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</si>
  <si>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</si>
  <si>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</si>
  <si>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</si>
  <si>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</si>
  <si>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</si>
  <si>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</si>
  <si>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</si>
  <si>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</si>
  <si>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</si>
  <si>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</si>
  <si>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</si>
  <si>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</si>
  <si>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</si>
  <si>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</si>
  <si>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</si>
  <si>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</si>
  <si>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</si>
  <si>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</si>
  <si>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</si>
  <si>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</si>
  <si>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</si>
  <si>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</si>
  <si>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</si>
  <si>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</si>
  <si>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</si>
  <si>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</si>
  <si>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</si>
  <si>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</si>
  <si>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</si>
  <si>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</si>
  <si>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</si>
  <si>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</si>
  <si>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</si>
  <si>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</si>
  <si>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</si>
  <si>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</si>
  <si>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</si>
  <si>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</si>
  <si>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</si>
  <si>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</si>
  <si>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</si>
  <si>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</si>
  <si>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</si>
  <si>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</si>
  <si>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</si>
  <si>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</si>
  <si>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</si>
  <si>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</si>
  <si>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</si>
  <si>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</si>
  <si>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</si>
  <si>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</si>
  <si>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</si>
  <si>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</si>
  <si>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</si>
  <si>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</si>
  <si>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</si>
  <si>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</si>
  <si>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</si>
  <si>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</si>
  <si>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</si>
  <si>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</si>
  <si>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</si>
  <si>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</si>
  <si>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</si>
  <si>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</si>
  <si>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</si>
  <si>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</si>
  <si>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</si>
  <si>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</si>
  <si>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</si>
  <si>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</si>
  <si>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</si>
  <si>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</si>
  <si>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</si>
  <si>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</si>
  <si>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</si>
  <si>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</si>
  <si>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</si>
  <si>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</si>
  <si>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</si>
  <si>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</si>
  <si>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</si>
  <si>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</si>
  <si>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</si>
  <si>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</si>
  <si>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</si>
  <si>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</si>
  <si>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</si>
  <si>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</si>
  <si>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</si>
  <si>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</si>
  <si>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</si>
  <si>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</si>
  <si>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</si>
  <si>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</si>
  <si>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</si>
  <si>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</si>
  <si>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</si>
  <si>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</si>
  <si>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</si>
  <si>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</si>
  <si>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</si>
  <si>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</si>
  <si>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</si>
  <si>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</si>
  <si>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</si>
  <si>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</si>
  <si>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</si>
  <si>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</si>
  <si>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</si>
  <si>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</si>
  <si>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</si>
  <si>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</si>
  <si>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</si>
  <si>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</si>
  <si>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</si>
  <si>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</si>
  <si>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</si>
  <si>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</si>
  <si>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</si>
  <si>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</si>
  <si>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</si>
  <si>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</si>
  <si>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</si>
  <si>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</si>
  <si>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</si>
  <si>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</si>
  <si>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</si>
  <si>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</si>
  <si>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</si>
  <si>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</si>
  <si>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</si>
  <si>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</si>
  <si>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</si>
  <si>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</si>
  <si>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</si>
  <si>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</si>
  <si>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</si>
  <si>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</si>
  <si>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</si>
  <si>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</si>
  <si>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</si>
  <si>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</si>
  <si>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</si>
  <si>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</si>
  <si>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</si>
  <si>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</si>
  <si>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</si>
  <si>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</si>
  <si>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</si>
  <si>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</si>
  <si>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</si>
  <si>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</si>
  <si>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</si>
  <si>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</si>
  <si>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</si>
  <si>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</si>
  <si>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</si>
  <si>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</si>
  <si>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</si>
  <si>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</si>
  <si>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</si>
  <si>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</si>
  <si>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</si>
  <si>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</si>
  <si>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</si>
  <si>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</si>
  <si>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</si>
  <si>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</si>
  <si>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</si>
  <si>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</si>
  <si>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</si>
  <si>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</si>
  <si>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</si>
  <si>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</si>
  <si>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</si>
  <si>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</si>
  <si>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</si>
  <si>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</si>
  <si>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</si>
  <si>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</si>
  <si>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</si>
  <si>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</si>
  <si>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</si>
  <si>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</si>
  <si>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</si>
  <si>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</si>
  <si>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</si>
  <si>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</si>
  <si>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</si>
  <si>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</si>
  <si>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</si>
  <si>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</si>
  <si>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</si>
  <si>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</si>
  <si>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</si>
  <si>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</si>
  <si>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</si>
  <si>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</si>
  <si>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</si>
  <si>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</si>
  <si>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</si>
  <si>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</si>
  <si>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</si>
  <si>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</si>
  <si>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</si>
  <si>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</si>
  <si>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</si>
  <si>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</si>
  <si>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</si>
  <si>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</si>
  <si>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</si>
  <si>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</si>
  <si>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</si>
  <si>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</si>
  <si>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</si>
  <si>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</si>
  <si>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</si>
  <si>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</si>
  <si>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</si>
  <si>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</si>
  <si>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</si>
  <si>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</si>
  <si>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</si>
  <si>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</si>
  <si>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</si>
  <si>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</si>
  <si>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</si>
  <si>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</si>
  <si>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</si>
  <si>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</si>
  <si>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</si>
  <si>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</si>
  <si>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</si>
  <si>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</si>
  <si>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</si>
  <si>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</si>
  <si>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</si>
  <si>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</si>
  <si>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</si>
  <si>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</si>
  <si>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</si>
  <si>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</si>
  <si>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</si>
  <si>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</si>
  <si>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</si>
  <si>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</si>
  <si>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</si>
  <si>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</si>
  <si>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</si>
  <si>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</si>
  <si>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</si>
  <si>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</si>
  <si>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</si>
  <si>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</si>
  <si>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</si>
  <si>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</si>
  <si>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</si>
  <si>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</si>
  <si>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</si>
  <si>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</si>
  <si>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</si>
  <si>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</si>
  <si>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</si>
  <si>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</si>
  <si>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</si>
  <si>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</si>
  <si>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</si>
  <si>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</si>
  <si>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</si>
  <si>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</si>
  <si>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</si>
  <si>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</si>
  <si>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</si>
  <si>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</si>
  <si>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</si>
  <si>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</si>
  <si>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</si>
  <si>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</si>
  <si>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</si>
  <si>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</si>
  <si>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</si>
  <si>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</si>
  <si>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</si>
  <si>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</si>
  <si>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</si>
  <si>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</si>
  <si>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</si>
  <si>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</si>
  <si>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</si>
  <si>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</si>
  <si>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</si>
  <si>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</si>
  <si>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</si>
  <si>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</si>
  <si>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</si>
  <si>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</si>
  <si>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</si>
  <si>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</si>
  <si>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</si>
  <si>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</si>
  <si>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</si>
  <si>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</si>
  <si>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</si>
  <si>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</si>
  <si>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</si>
  <si>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</si>
  <si>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</si>
  <si>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</si>
  <si>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</si>
  <si>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</si>
  <si>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</si>
  <si>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</si>
  <si>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</si>
  <si>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</si>
  <si>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</si>
  <si>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</si>
  <si>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</si>
  <si>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</si>
  <si>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</si>
  <si>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</si>
  <si>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</si>
  <si>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</si>
  <si>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</si>
  <si>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</si>
  <si>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</si>
  <si>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</si>
  <si>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</si>
  <si>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</si>
  <si>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</si>
  <si>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</si>
  <si>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</si>
  <si>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</si>
  <si>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</si>
  <si>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</si>
  <si>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</si>
  <si>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</si>
  <si>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</si>
  <si>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</si>
  <si>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</si>
  <si>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</si>
  <si>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</si>
  <si>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</si>
  <si>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</si>
  <si>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</si>
  <si>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</si>
  <si>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</si>
  <si>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</si>
  <si>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</si>
  <si>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</si>
  <si>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</si>
  <si>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</si>
  <si>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</si>
  <si>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</si>
  <si>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</si>
  <si>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</si>
  <si>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</si>
  <si>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</si>
  <si>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</si>
  <si>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</si>
  <si>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</si>
  <si>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</si>
  <si>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</si>
  <si>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</si>
  <si>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</si>
  <si>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</si>
  <si>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</si>
  <si>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</si>
  <si>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</si>
  <si>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</si>
  <si>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</si>
  <si>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</si>
  <si>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</si>
  <si>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</si>
  <si>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</si>
  <si>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</si>
  <si>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</si>
  <si>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</si>
  <si>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</si>
  <si>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</si>
  <si>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</si>
  <si>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</si>
  <si>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</si>
  <si>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</si>
  <si>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</si>
  <si>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</si>
  <si>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</si>
  <si>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</si>
  <si>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</si>
  <si>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</si>
  <si>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</si>
  <si>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</si>
  <si>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</si>
  <si>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</si>
  <si>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</si>
  <si>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</si>
  <si>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</si>
  <si>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</si>
  <si>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</si>
  <si>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</si>
  <si>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</si>
  <si>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</si>
  <si>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</si>
  <si>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</si>
  <si>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</si>
  <si>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</si>
  <si>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</si>
  <si>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</si>
  <si>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</si>
  <si>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</si>
  <si>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</si>
  <si>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</si>
  <si>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</si>
  <si>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</si>
  <si>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</si>
  <si>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</si>
  <si>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</si>
  <si>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</si>
  <si>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</si>
  <si>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</si>
  <si>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</si>
  <si>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</si>
  <si>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</si>
  <si>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</si>
  <si>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</si>
  <si>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</si>
  <si>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</si>
  <si>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</si>
  <si>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</si>
  <si>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</si>
  <si>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</si>
  <si>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</si>
  <si>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</si>
  <si>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</si>
  <si>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</si>
  <si>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</si>
  <si>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</si>
  <si>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</si>
  <si>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</si>
  <si>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</si>
  <si>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</si>
  <si>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</si>
  <si>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</si>
  <si>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</si>
  <si>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</si>
  <si>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</si>
  <si>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</si>
  <si>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</si>
  <si>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</si>
  <si>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</si>
  <si>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</si>
  <si>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</si>
  <si>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</si>
  <si>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</si>
  <si>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</si>
  <si>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</si>
  <si>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</si>
  <si>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</si>
  <si>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</si>
  <si>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</si>
  <si>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</si>
  <si>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</si>
  <si>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</si>
  <si>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</si>
  <si>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</si>
  <si>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</si>
  <si>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</si>
  <si>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</si>
  <si>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</si>
  <si>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</si>
  <si>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</si>
  <si>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</si>
  <si>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</si>
  <si>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</si>
  <si>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</si>
  <si>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</si>
  <si>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</si>
  <si>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</si>
  <si>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</si>
  <si>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</si>
  <si>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</si>
  <si>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</si>
  <si>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</si>
  <si>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</si>
  <si>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</si>
  <si>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</si>
  <si>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</si>
  <si>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</si>
  <si>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</si>
  <si>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</si>
  <si>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</si>
  <si>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</si>
  <si>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</si>
  <si>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</si>
  <si>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</si>
  <si>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</si>
  <si>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</si>
  <si>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</si>
  <si>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</si>
  <si>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</si>
  <si>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</si>
  <si>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</si>
  <si>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</si>
  <si>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</si>
  <si>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</si>
  <si>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</si>
  <si>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</si>
  <si>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</si>
  <si>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</si>
  <si>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</si>
  <si>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</si>
  <si>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</si>
  <si>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</si>
  <si>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</si>
  <si>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</si>
  <si>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</si>
  <si>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</si>
  <si>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</si>
  <si>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</si>
  <si>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</si>
  <si>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</si>
  <si>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</si>
  <si>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</si>
  <si>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</si>
  <si>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</si>
  <si>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</si>
  <si>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</si>
  <si>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</si>
  <si>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</si>
  <si>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</si>
  <si>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</si>
  <si>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</si>
  <si>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</si>
  <si>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</si>
  <si>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</si>
  <si>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</si>
  <si>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</si>
  <si>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</si>
  <si>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</si>
  <si>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</si>
  <si>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</si>
  <si>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</si>
  <si>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</si>
  <si>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</si>
  <si>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</si>
  <si>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</si>
  <si>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</si>
  <si>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</si>
  <si>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</si>
  <si>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</si>
  <si>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</si>
  <si>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</si>
  <si>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</si>
  <si>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</si>
  <si>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</si>
  <si>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</si>
  <si>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</si>
  <si>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</si>
  <si>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</si>
  <si>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</si>
  <si>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</si>
  <si>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</si>
  <si>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</si>
  <si>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</si>
  <si>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</si>
  <si>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</si>
  <si>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</si>
  <si>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</si>
  <si>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</si>
  <si>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</si>
  <si>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</si>
  <si>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</si>
  <si>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</si>
  <si>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</si>
  <si>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</si>
  <si>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</si>
  <si>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</si>
  <si>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</si>
  <si>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</si>
  <si>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</si>
  <si>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</si>
  <si>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</si>
  <si>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</si>
  <si>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</si>
  <si>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</si>
  <si>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</si>
  <si>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</si>
  <si>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</si>
  <si>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</si>
  <si>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</si>
  <si>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</si>
  <si>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</si>
  <si>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</si>
  <si>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</si>
  <si>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</si>
  <si>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</si>
  <si>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</si>
  <si>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</si>
  <si>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</si>
  <si>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</si>
  <si>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</si>
  <si>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</si>
  <si>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</si>
  <si>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</si>
  <si>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</si>
  <si>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</si>
  <si>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</si>
  <si>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</si>
  <si>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</si>
  <si>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</si>
  <si>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</si>
  <si>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</si>
  <si>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</si>
  <si>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</si>
  <si>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</si>
  <si>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</si>
  <si>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</si>
  <si>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</si>
  <si>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</si>
  <si>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</si>
  <si>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</si>
  <si>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</si>
  <si>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</si>
  <si>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</si>
  <si>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</si>
  <si>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</si>
  <si>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</si>
  <si>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</si>
  <si>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</si>
  <si>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</si>
  <si>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</si>
  <si>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</si>
  <si>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</si>
  <si>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</si>
  <si>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</si>
  <si>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</si>
  <si>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</si>
  <si>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</si>
  <si>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</si>
  <si>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</si>
  <si>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</si>
  <si>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</si>
  <si>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</si>
  <si>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</si>
  <si>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</si>
  <si>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</si>
  <si>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</si>
  <si>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</si>
  <si>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</si>
  <si>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</si>
  <si>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</si>
  <si>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</si>
  <si>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</si>
  <si>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</si>
  <si>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</si>
  <si>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</si>
  <si>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</si>
  <si>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</si>
  <si>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</si>
  <si>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</si>
  <si>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</si>
  <si>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</si>
  <si>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</si>
  <si>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</si>
  <si>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</si>
  <si>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</si>
  <si>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</si>
  <si>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</si>
  <si>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</si>
  <si>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</si>
  <si>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</si>
  <si>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</si>
  <si>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</si>
  <si>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</si>
  <si>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</si>
  <si>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</si>
  <si>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</si>
  <si>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</si>
  <si>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</si>
  <si>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</si>
  <si>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</si>
  <si>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</si>
  <si>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</si>
  <si>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</si>
  <si>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</si>
  <si>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</si>
  <si>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</si>
  <si>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</si>
  <si>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</si>
  <si>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</si>
  <si>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</si>
  <si>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</si>
  <si>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</si>
  <si>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</si>
  <si>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</si>
  <si>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</si>
  <si>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</si>
  <si>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</si>
  <si>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</si>
  <si>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</si>
  <si>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</si>
  <si>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</si>
  <si>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</si>
  <si>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</si>
  <si>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</si>
  <si>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</si>
  <si>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</si>
  <si>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</si>
  <si>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</si>
  <si>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</si>
  <si>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</si>
  <si>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</si>
  <si>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</si>
  <si>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</si>
  <si>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</si>
  <si>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</si>
  <si>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</si>
  <si>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</si>
  <si>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</si>
  <si>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</si>
  <si>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</si>
  <si>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</si>
  <si>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</si>
  <si>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</si>
  <si>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</si>
  <si>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</si>
  <si>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</si>
  <si>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</si>
  <si>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</si>
  <si>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</si>
  <si>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</si>
  <si>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</si>
  <si>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</si>
  <si>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</si>
  <si>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</si>
  <si>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</si>
  <si>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</si>
  <si>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</si>
  <si>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</si>
  <si>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</si>
  <si>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</si>
  <si>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</si>
  <si>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</si>
  <si>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</si>
  <si>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</si>
  <si>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</si>
  <si>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</si>
  <si>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</si>
  <si>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</si>
  <si>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</si>
  <si>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</si>
  <si>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</si>
  <si>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</si>
  <si>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</si>
  <si>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</si>
  <si>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</si>
  <si>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</si>
  <si>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</si>
  <si>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</si>
  <si>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</si>
  <si>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</si>
  <si>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</si>
  <si>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</si>
  <si>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</si>
  <si>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</si>
  <si>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</si>
  <si>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</si>
  <si>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</si>
  <si>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</si>
  <si>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</si>
  <si>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</si>
  <si>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</si>
  <si>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</si>
  <si>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</si>
  <si>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</si>
  <si>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</si>
  <si>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</si>
  <si>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</si>
  <si>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</si>
  <si>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</si>
  <si>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</si>
  <si>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</si>
  <si>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</si>
  <si>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</si>
  <si>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</si>
  <si>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</si>
  <si>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</si>
  <si>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</si>
  <si>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</si>
  <si>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</si>
  <si>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</si>
  <si>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</si>
  <si>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</si>
  <si>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</si>
  <si>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</si>
  <si>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</si>
  <si>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</si>
  <si>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</si>
  <si>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</si>
  <si>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</si>
  <si>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</si>
  <si>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</si>
  <si>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</si>
  <si>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</si>
  <si>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</si>
  <si>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</si>
  <si>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</si>
  <si>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</si>
  <si>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</si>
  <si>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</si>
  <si>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</si>
  <si>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</si>
  <si>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</si>
  <si>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</si>
  <si>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</si>
  <si>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</si>
  <si>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</si>
  <si>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</si>
  <si>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</si>
  <si>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</si>
  <si>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</si>
  <si>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</si>
  <si>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</si>
  <si>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</si>
  <si>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</si>
  <si>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</si>
  <si>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</si>
  <si>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</si>
  <si>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</si>
  <si>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</si>
  <si>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</si>
  <si>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</si>
  <si>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</si>
  <si>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</si>
  <si>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</si>
  <si>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</si>
  <si>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</si>
  <si>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</si>
  <si>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</si>
  <si>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</si>
  <si>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</si>
  <si>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</si>
  <si>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</si>
  <si>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</si>
  <si>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</si>
  <si>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</si>
  <si>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</si>
  <si>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</si>
  <si>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</si>
  <si>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</si>
  <si>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</si>
  <si>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</si>
  <si>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</si>
  <si>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</si>
  <si>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</si>
  <si>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</si>
  <si>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</si>
  <si>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</si>
  <si>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</si>
  <si>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</si>
  <si>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</si>
  <si>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</si>
  <si>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</si>
  <si>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</si>
  <si>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</si>
  <si>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</si>
  <si>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</si>
  <si>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</si>
  <si>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</si>
  <si>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</si>
  <si>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</si>
  <si>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</si>
  <si>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</si>
  <si>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</si>
  <si>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</si>
  <si>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</si>
  <si>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</si>
  <si>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</si>
  <si>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</si>
  <si>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</si>
  <si>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</si>
  <si>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</si>
  <si>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</si>
  <si>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</si>
  <si>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</si>
  <si>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</si>
  <si>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</si>
  <si>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</si>
  <si>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</si>
  <si>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</si>
  <si>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</si>
  <si>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</si>
  <si>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</si>
  <si>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</si>
  <si>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</si>
  <si>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</si>
  <si>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</si>
  <si>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</si>
  <si>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</si>
  <si>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</si>
  <si>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</si>
  <si>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</si>
  <si>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</si>
  <si>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</si>
  <si>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</si>
  <si>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</si>
  <si>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</si>
  <si>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</si>
  <si>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</si>
  <si>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</si>
  <si>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</si>
  <si>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</si>
  <si>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</si>
  <si>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</si>
  <si>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</si>
  <si>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</si>
  <si>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</si>
  <si>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</si>
  <si>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</si>
  <si>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</si>
  <si>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</si>
  <si>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</si>
  <si>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</si>
  <si>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</si>
  <si>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</si>
  <si>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</si>
  <si>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</si>
  <si>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</si>
  <si>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</si>
  <si>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</si>
  <si>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</si>
  <si>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</si>
  <si>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</si>
  <si>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</si>
  <si>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</si>
  <si>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</si>
  <si>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</si>
  <si>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</si>
  <si>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</si>
  <si>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</si>
  <si>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</si>
  <si>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</si>
  <si>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</si>
  <si>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</si>
  <si>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</si>
  <si>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</si>
  <si>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</si>
  <si>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</si>
  <si>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</si>
  <si>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</si>
  <si>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</si>
  <si>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</si>
  <si>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</si>
  <si>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</si>
  <si>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</si>
  <si>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</si>
  <si>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</si>
  <si>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</si>
  <si>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</si>
  <si>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</si>
  <si>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</si>
  <si>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</si>
  <si>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</si>
  <si>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</si>
  <si>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</si>
  <si>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</si>
  <si>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</si>
  <si>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</si>
  <si>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</si>
  <si>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</si>
  <si>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</si>
  <si>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</si>
  <si>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</si>
  <si>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</si>
  <si>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</si>
  <si>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</si>
  <si>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</si>
  <si>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</si>
  <si>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</si>
  <si>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</si>
  <si>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</si>
  <si>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</si>
  <si>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</si>
  <si>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</si>
  <si>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</si>
  <si>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</si>
  <si>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</si>
  <si>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</si>
  <si>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</si>
  <si>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</si>
  <si>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</si>
  <si>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</si>
  <si>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</si>
  <si>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</si>
  <si>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</si>
  <si>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</si>
  <si>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</si>
  <si>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</si>
  <si>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</si>
  <si>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</si>
  <si>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</si>
  <si>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</si>
  <si>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</si>
  <si>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</si>
  <si>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</si>
  <si>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</si>
  <si>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</si>
  <si>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</si>
  <si>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</si>
  <si>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</si>
  <si>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</si>
  <si>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</si>
  <si>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</si>
  <si>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</si>
  <si>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</si>
  <si>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</si>
  <si>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</si>
  <si>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</si>
  <si>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</si>
  <si>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</si>
  <si>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</si>
  <si>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</si>
  <si>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</si>
  <si>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</si>
  <si>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</si>
  <si>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</si>
  <si>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</si>
  <si>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</si>
  <si>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</si>
  <si>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</si>
  <si>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</si>
  <si>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</si>
  <si>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</si>
  <si>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</si>
  <si>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</si>
  <si>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</si>
  <si>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</si>
  <si>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</si>
  <si>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</si>
  <si>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</si>
  <si>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</si>
  <si>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</si>
  <si>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</si>
  <si>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</si>
  <si>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</si>
  <si>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</si>
  <si>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</si>
  <si>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</si>
  <si>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</si>
  <si>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</si>
  <si>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</si>
  <si>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</si>
  <si>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</si>
  <si>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</si>
  <si>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</si>
  <si>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</si>
  <si>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</si>
  <si>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</si>
  <si>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</si>
  <si>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</si>
  <si>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</si>
  <si>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</si>
  <si>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</si>
  <si>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</si>
  <si>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</si>
  <si>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</si>
  <si>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</si>
  <si>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</si>
  <si>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</si>
  <si>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</si>
  <si>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</si>
  <si>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</si>
  <si>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</si>
  <si>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</si>
  <si>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</si>
  <si>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</si>
  <si>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</si>
  <si>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</si>
  <si>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</si>
  <si>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</si>
  <si>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</si>
  <si>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</si>
  <si>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</si>
  <si>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</si>
  <si>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</si>
  <si>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</si>
  <si>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</si>
  <si>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</si>
  <si>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</si>
  <si>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</si>
  <si>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</si>
  <si>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</si>
  <si>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</si>
  <si>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</si>
  <si>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</si>
  <si>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</si>
  <si>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</si>
  <si>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</si>
  <si>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</si>
  <si>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</si>
  <si>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</si>
  <si>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</si>
  <si>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</si>
  <si>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</si>
  <si>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</si>
  <si>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</si>
  <si>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</si>
  <si>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</si>
  <si>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</si>
  <si>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</si>
  <si>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</si>
  <si>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</si>
  <si>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</si>
  <si>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</si>
  <si>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</si>
  <si>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</si>
  <si>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</si>
  <si>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</si>
  <si>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</si>
  <si>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</si>
  <si>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</si>
  <si>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</si>
  <si>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</si>
  <si>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</si>
  <si>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</si>
  <si>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</si>
  <si>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</si>
  <si>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</si>
  <si>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</si>
  <si>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</si>
  <si>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</si>
  <si>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</si>
  <si>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</si>
  <si>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</si>
  <si>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</si>
  <si>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</si>
  <si>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</si>
  <si>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</si>
  <si>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</si>
  <si>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</si>
  <si>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</si>
  <si>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</si>
  <si>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</si>
  <si>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</si>
  <si>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</si>
  <si>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</si>
  <si>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</si>
  <si>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</si>
  <si>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</si>
  <si>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</si>
  <si>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</si>
  <si>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</si>
  <si>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</si>
  <si>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</si>
  <si>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</si>
  <si>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</si>
  <si>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</si>
  <si>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</si>
  <si>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</si>
  <si>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</si>
  <si>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</si>
  <si>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</si>
  <si>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</si>
  <si>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</si>
  <si>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</si>
  <si>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</si>
  <si>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</si>
  <si>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</si>
  <si>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</si>
  <si>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</si>
  <si>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</si>
  <si>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</si>
  <si>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</si>
  <si>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</si>
  <si>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</si>
  <si>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</si>
  <si>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</si>
  <si>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</si>
  <si>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</si>
  <si>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</si>
  <si>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</si>
  <si>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</si>
  <si>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</si>
  <si>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</si>
  <si>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</si>
  <si>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</si>
  <si>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</si>
  <si>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</si>
  <si>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</si>
  <si>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</si>
  <si>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</si>
  <si>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</si>
  <si>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</si>
  <si>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</si>
  <si>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</si>
  <si>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</si>
  <si>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</si>
  <si>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</si>
  <si>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</si>
  <si>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</si>
  <si>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</si>
  <si>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</si>
  <si>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</si>
  <si>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</si>
  <si>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</si>
  <si>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</si>
  <si>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</si>
  <si>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</si>
  <si>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</si>
  <si>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</si>
  <si>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</si>
  <si>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</si>
  <si>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</si>
  <si>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</si>
  <si>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</si>
  <si>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</si>
  <si>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</si>
  <si>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</si>
  <si>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</si>
  <si>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</si>
  <si>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</si>
  <si>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</si>
  <si>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</si>
  <si>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</si>
  <si>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</si>
  <si>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</si>
  <si>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</si>
  <si>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</si>
  <si>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</si>
  <si>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</si>
  <si>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</si>
  <si>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</si>
  <si>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</si>
  <si>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</si>
  <si>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</si>
  <si>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</si>
  <si>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</si>
  <si>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</si>
  <si>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</si>
  <si>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</si>
  <si>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</si>
  <si>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</si>
  <si>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</si>
  <si>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</si>
  <si>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</si>
  <si>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</si>
  <si>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</si>
  <si>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</si>
  <si>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</si>
  <si>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</si>
  <si>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</si>
  <si>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</si>
  <si>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</si>
  <si>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</si>
  <si>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</si>
  <si>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</si>
  <si>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</si>
  <si>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</si>
  <si>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</si>
  <si>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</si>
  <si>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</si>
  <si>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</si>
  <si>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</si>
  <si>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</si>
  <si>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</si>
  <si>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</si>
  <si>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</si>
  <si>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</si>
  <si>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</si>
  <si>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</si>
  <si>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</si>
  <si>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</si>
  <si>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</si>
  <si>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</si>
  <si>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</si>
  <si>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</si>
  <si>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</si>
  <si>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</si>
  <si>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</si>
  <si>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</si>
  <si>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</si>
  <si>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</si>
  <si>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</si>
  <si>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</si>
  <si>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</si>
  <si>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</si>
  <si>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</si>
  <si>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</si>
  <si>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</si>
  <si>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</si>
  <si>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</si>
  <si>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</si>
  <si>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</si>
  <si>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</si>
  <si>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</si>
  <si>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</si>
  <si>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</si>
  <si>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</si>
  <si>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</si>
  <si>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</si>
  <si>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</si>
  <si>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</si>
  <si>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</si>
  <si>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</si>
  <si>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</si>
  <si>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</si>
  <si>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</si>
  <si>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</si>
  <si>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</si>
  <si>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</si>
  <si>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</si>
  <si>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</si>
  <si>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</si>
  <si>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</si>
  <si>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</si>
  <si>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</si>
  <si>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</si>
  <si>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</si>
  <si>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</si>
  <si>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</si>
  <si>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</si>
  <si>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</si>
  <si>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</si>
  <si>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</si>
  <si>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</si>
  <si>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</si>
  <si>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</si>
  <si>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</si>
  <si>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</si>
  <si>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</si>
  <si>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</si>
  <si>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</si>
  <si>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</si>
  <si>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</si>
  <si>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</si>
  <si>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</si>
  <si>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</si>
  <si>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</si>
  <si>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</si>
  <si>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</si>
  <si>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</si>
  <si>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</si>
  <si>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</si>
  <si>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</si>
  <si>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</si>
  <si>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</si>
  <si>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</si>
  <si>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</si>
  <si>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</si>
  <si>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</si>
  <si>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</si>
  <si>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</si>
  <si>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</si>
  <si>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</si>
  <si>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</si>
  <si>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</si>
  <si>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</si>
  <si>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</si>
  <si>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</si>
  <si>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</si>
  <si>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</si>
  <si>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</si>
  <si>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</si>
  <si>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</si>
  <si>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</si>
  <si>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</si>
  <si>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</si>
  <si>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</si>
  <si>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</si>
  <si>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</si>
  <si>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</si>
  <si>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</si>
  <si>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</si>
  <si>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</si>
  <si>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</si>
  <si>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</si>
  <si>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</si>
  <si>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</si>
  <si>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</si>
  <si>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</si>
  <si>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</si>
  <si>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</si>
  <si>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</si>
  <si>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</si>
  <si>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</si>
  <si>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</si>
  <si>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</si>
  <si>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</si>
  <si>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</si>
  <si>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</si>
  <si>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</si>
  <si>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</si>
  <si>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</si>
  <si>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</si>
  <si>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</si>
  <si>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</si>
  <si>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</si>
  <si>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</si>
  <si>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</si>
  <si>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</si>
  <si>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</si>
  <si>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</si>
  <si>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</si>
  <si>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</si>
  <si>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</si>
  <si>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</si>
  <si>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</si>
  <si>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</si>
  <si>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</si>
  <si>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</si>
  <si>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</si>
  <si>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</si>
  <si>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</si>
  <si>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</si>
  <si>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</si>
  <si>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</si>
  <si>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</si>
  <si>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</si>
  <si>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</si>
  <si>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</si>
  <si>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</si>
  <si>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</si>
  <si>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</si>
  <si>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</si>
  <si>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</si>
  <si>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</si>
  <si>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</si>
  <si>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</si>
  <si>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</si>
  <si>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</si>
  <si>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</si>
  <si>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</si>
  <si>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</si>
  <si>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</si>
  <si>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United States of America</t>
  </si>
  <si>
    <t>usa</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</si>
  <si>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</si>
  <si>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</si>
  <si>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</si>
  <si>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</si>
  <si>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</si>
  <si>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</si>
  <si>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</si>
  <si>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</si>
  <si>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</si>
  <si>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</si>
  <si>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</si>
  <si>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</si>
  <si>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</si>
  <si>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</si>
  <si>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</si>
  <si>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</si>
  <si>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</si>
  <si>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</si>
  <si>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</si>
  <si>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</si>
  <si>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</si>
  <si>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</si>
  <si>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</si>
  <si>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</si>
  <si>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</si>
  <si>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</si>
  <si>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</si>
  <si>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</si>
  <si>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</si>
  <si>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</si>
  <si>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</si>
  <si>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</si>
  <si>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</si>
  <si>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</si>
  <si>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</si>
  <si>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</si>
  <si>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</si>
  <si>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</si>
  <si>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</si>
  <si>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</si>
  <si>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</si>
  <si>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</si>
  <si>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</si>
  <si>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</si>
  <si>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</si>
  <si>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</si>
  <si>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</si>
  <si>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</si>
  <si>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</si>
  <si>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</si>
  <si>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</si>
  <si>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</si>
  <si>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</si>
  <si>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</si>
  <si>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</si>
  <si>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</si>
  <si>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</si>
  <si>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</si>
  <si>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</si>
  <si>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</si>
  <si>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</si>
  <si>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</si>
  <si>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</si>
  <si>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</si>
  <si>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</si>
  <si>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</si>
  <si>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</si>
  <si>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</si>
  <si>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</si>
  <si>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</si>
  <si>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</si>
  <si>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</si>
  <si>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</si>
  <si>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</si>
  <si>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</si>
  <si>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</si>
  <si>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</si>
  <si>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</si>
  <si>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</si>
  <si>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</si>
  <si>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</si>
  <si>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</si>
  <si>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</si>
  <si>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</si>
  <si>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</si>
  <si>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</si>
  <si>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</si>
  <si>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</si>
  <si>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</si>
  <si>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</si>
  <si>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</si>
  <si>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</si>
  <si>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</si>
  <si>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</si>
  <si>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</si>
  <si>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</si>
  <si>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</si>
  <si>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</si>
  <si>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</si>
  <si>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</si>
  <si>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</si>
  <si>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</si>
  <si>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</si>
  <si>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</si>
  <si>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</si>
  <si>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</si>
  <si>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</si>
  <si>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</si>
  <si>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</si>
  <si>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</si>
  <si>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</si>
  <si>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</si>
  <si>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</si>
  <si>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</si>
  <si>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</si>
  <si>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</si>
  <si>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</si>
  <si>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</si>
  <si>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</si>
  <si>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</si>
  <si>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</si>
  <si>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</si>
  <si>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</si>
  <si>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</si>
  <si>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</si>
  <si>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</si>
  <si>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</si>
  <si>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</si>
  <si>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</si>
  <si>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</si>
  <si>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</si>
  <si>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</si>
  <si>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</si>
  <si>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</si>
  <si>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Column1</t>
  </si>
  <si>
    <t>Loyality level</t>
  </si>
  <si>
    <t>Stocks</t>
  </si>
  <si>
    <t>Cost2</t>
  </si>
  <si>
    <t>Unknown</t>
  </si>
  <si>
    <t>Uknown</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</si>
  <si>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</si>
  <si>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</si>
  <si>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</si>
  <si>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</si>
  <si>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</si>
  <si>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</si>
  <si>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</si>
  <si>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</si>
  <si>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</si>
  <si>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</si>
  <si>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</si>
  <si>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</si>
  <si>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</si>
  <si>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</si>
  <si>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</si>
  <si>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</si>
  <si>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</si>
  <si>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</si>
  <si>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</si>
  <si>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</si>
  <si>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</si>
  <si>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</si>
  <si>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Product name</t>
  </si>
  <si>
    <t>Customer Name</t>
  </si>
  <si>
    <t>Store name</t>
  </si>
  <si>
    <t>Sum</t>
  </si>
  <si>
    <t>Mean</t>
  </si>
  <si>
    <t>Median</t>
  </si>
  <si>
    <t>Standard Deviation</t>
  </si>
  <si>
    <t>Min</t>
  </si>
  <si>
    <t>Max</t>
  </si>
  <si>
    <t>Average</t>
  </si>
  <si>
    <t>tools</t>
  </si>
  <si>
    <t>result</t>
  </si>
  <si>
    <t>Row Labels</t>
  </si>
  <si>
    <t>Not Found</t>
  </si>
  <si>
    <t>Grand Total</t>
  </si>
  <si>
    <t>Sum of Total_Amount</t>
  </si>
  <si>
    <t>Sales</t>
  </si>
  <si>
    <t>Pivot-Style Summaries</t>
  </si>
  <si>
    <t>Sales by Store</t>
  </si>
  <si>
    <t>Sales by Payment Type</t>
  </si>
  <si>
    <t>Sales by Region</t>
  </si>
  <si>
    <t>Sales by Category Category</t>
  </si>
  <si>
    <t>Donaldton</t>
  </si>
  <si>
    <t>Phillipsmouth</t>
  </si>
  <si>
    <t>Kylebury</t>
  </si>
  <si>
    <t>Thomastown</t>
  </si>
  <si>
    <t>Nicholasshire</t>
  </si>
  <si>
    <t>East Amandamouth</t>
  </si>
  <si>
    <t>Deborahborough</t>
  </si>
  <si>
    <t>West Pamelafurt</t>
  </si>
  <si>
    <t>Maynardton</t>
  </si>
  <si>
    <t>Melissashire</t>
  </si>
  <si>
    <t>Port Michaelburgh</t>
  </si>
  <si>
    <t>East Krista</t>
  </si>
  <si>
    <t>North Kathryn</t>
  </si>
  <si>
    <t>New Becky</t>
  </si>
  <si>
    <t>Lake Kristamouth</t>
  </si>
  <si>
    <t>Lawsonhaven</t>
  </si>
  <si>
    <t>South Christopher</t>
  </si>
  <si>
    <t>Brandonville</t>
  </si>
  <si>
    <t>South William</t>
  </si>
  <si>
    <t>Gonzalezfort</t>
  </si>
  <si>
    <t>Lake Shaneburgh</t>
  </si>
  <si>
    <t>Smithburgh</t>
  </si>
  <si>
    <t>Michaelton</t>
  </si>
  <si>
    <t>Molinabury</t>
  </si>
  <si>
    <t>Rogerschester</t>
  </si>
  <si>
    <t>Vasqueztown</t>
  </si>
  <si>
    <t>East Michellemouth</t>
  </si>
  <si>
    <t>Mollyshire</t>
  </si>
  <si>
    <t>New David</t>
  </si>
  <si>
    <t>East Jennifer</t>
  </si>
  <si>
    <t>Amybury</t>
  </si>
  <si>
    <t>Fostermouth</t>
  </si>
  <si>
    <t>Tristanton</t>
  </si>
  <si>
    <t>West Richard</t>
  </si>
  <si>
    <t>Robertberg</t>
  </si>
  <si>
    <t>Luisfurt</t>
  </si>
  <si>
    <t>Brendastad</t>
  </si>
  <si>
    <t>Brownport</t>
  </si>
  <si>
    <t>Darleneton</t>
  </si>
  <si>
    <t>Williamsonland</t>
  </si>
  <si>
    <t>Mooneyshire</t>
  </si>
  <si>
    <t>Ryanburgh</t>
  </si>
  <si>
    <t>South Michaelfort</t>
  </si>
  <si>
    <t>Christianstad</t>
  </si>
  <si>
    <t>North Johnview</t>
  </si>
  <si>
    <t>Perezbury</t>
  </si>
  <si>
    <t>Lake Roberthaven</t>
  </si>
  <si>
    <t>Dawsonbury</t>
  </si>
  <si>
    <t>New Amy</t>
  </si>
  <si>
    <t>Gregoryview</t>
  </si>
  <si>
    <t>New Julia</t>
  </si>
  <si>
    <t>South Timtown</t>
  </si>
  <si>
    <t>East Andrea</t>
  </si>
  <si>
    <t>Edwardsfort</t>
  </si>
  <si>
    <t>Deborahberg</t>
  </si>
  <si>
    <t>Morrisbury</t>
  </si>
  <si>
    <t>Snowmouth</t>
  </si>
  <si>
    <t>New Kathrynland</t>
  </si>
  <si>
    <t>Schmidtchester</t>
  </si>
  <si>
    <t>Jennifermouth</t>
  </si>
  <si>
    <t>Stevensonton</t>
  </si>
  <si>
    <t>New Jesse</t>
  </si>
  <si>
    <t>Port Kathrynhaven</t>
  </si>
  <si>
    <t>Woodmouth</t>
  </si>
  <si>
    <t>South Aaronside</t>
  </si>
  <si>
    <t>Brendaburgh</t>
  </si>
  <si>
    <t>West Johnchester</t>
  </si>
  <si>
    <t>North Cynthiatown</t>
  </si>
  <si>
    <t>Port Lisa</t>
  </si>
  <si>
    <t>South Shaun</t>
  </si>
  <si>
    <t>Olsonhaven</t>
  </si>
  <si>
    <t>Sandrastad</t>
  </si>
  <si>
    <t>Longport</t>
  </si>
  <si>
    <t>Lake Barryfurt</t>
  </si>
  <si>
    <t>Rodrigueztown</t>
  </si>
  <si>
    <t>North Valeriemouth</t>
  </si>
  <si>
    <t>North Scottport</t>
  </si>
  <si>
    <t>Nicoleborough</t>
  </si>
  <si>
    <t>New Sean</t>
  </si>
  <si>
    <t>South David</t>
  </si>
  <si>
    <t>Leburgh</t>
  </si>
  <si>
    <t>Nicholastown</t>
  </si>
  <si>
    <t>Garyberg</t>
  </si>
  <si>
    <t>West Theodorechester</t>
  </si>
  <si>
    <t>Austinfurt</t>
  </si>
  <si>
    <t>East Jenna</t>
  </si>
  <si>
    <t>Ashleystad</t>
  </si>
  <si>
    <t>New Gabrielleville</t>
  </si>
  <si>
    <t>West Cody</t>
  </si>
  <si>
    <t>South Amandahaven</t>
  </si>
  <si>
    <t>Lake Brandy</t>
  </si>
  <si>
    <t>Port Travisstad</t>
  </si>
  <si>
    <t>New Amyport</t>
  </si>
  <si>
    <t>West Bobbyshire</t>
  </si>
  <si>
    <t>Timothyburgh</t>
  </si>
  <si>
    <t>Lake Thomas</t>
  </si>
  <si>
    <t>Lake Kaylahaven</t>
  </si>
  <si>
    <t>South Dustin</t>
  </si>
  <si>
    <t>North Codyport</t>
  </si>
  <si>
    <t>Singletonmouth</t>
  </si>
  <si>
    <t>Port Joshuachester</t>
  </si>
  <si>
    <t>West Lauren</t>
  </si>
  <si>
    <t>South Jenniferville</t>
  </si>
  <si>
    <t>Port Victoria</t>
  </si>
  <si>
    <t>East Linda</t>
  </si>
  <si>
    <t>North Justin</t>
  </si>
  <si>
    <t>Webstermouth</t>
  </si>
  <si>
    <t>Smithland</t>
  </si>
  <si>
    <t>New Dawnton</t>
  </si>
  <si>
    <t>Rodriguezmouth</t>
  </si>
  <si>
    <t>New William</t>
  </si>
  <si>
    <t>East Donna</t>
  </si>
  <si>
    <t>North Curtischester</t>
  </si>
  <si>
    <t>North Davidport</t>
  </si>
  <si>
    <t>North Katherine</t>
  </si>
  <si>
    <t>New Jenniferburgh</t>
  </si>
  <si>
    <t>North Edwardton</t>
  </si>
  <si>
    <t>lake tylerfort</t>
  </si>
  <si>
    <t>Lake Danielport</t>
  </si>
  <si>
    <t>Kathrynport</t>
  </si>
  <si>
    <t>North Sabrina</t>
  </si>
  <si>
    <t>Wongberg</t>
  </si>
  <si>
    <t>West Jameston</t>
  </si>
  <si>
    <t>Benjaminton</t>
  </si>
  <si>
    <t>South Nathan</t>
  </si>
  <si>
    <t>East Ellen</t>
  </si>
  <si>
    <t>Matthewbury</t>
  </si>
  <si>
    <t xml:space="preserve">   jonesbury </t>
  </si>
  <si>
    <t>Wigginsville</t>
  </si>
  <si>
    <t>Taylorberg</t>
  </si>
  <si>
    <t>West Stephenville</t>
  </si>
  <si>
    <t>Parksfort</t>
  </si>
  <si>
    <t>Gonzalezbury</t>
  </si>
  <si>
    <t>New Jeffrey</t>
  </si>
  <si>
    <t>North Johnbury</t>
  </si>
  <si>
    <t>Port Travis</t>
  </si>
  <si>
    <t>South Brooke</t>
  </si>
  <si>
    <t>Port Denise</t>
  </si>
  <si>
    <t>West Brandon</t>
  </si>
  <si>
    <t>Dwaynemouth</t>
  </si>
  <si>
    <t>North Anthonychester</t>
  </si>
  <si>
    <t>Michaelfort</t>
  </si>
  <si>
    <t>Chungmouth</t>
  </si>
  <si>
    <t>Lake Nathanfort</t>
  </si>
  <si>
    <t>New Brian</t>
  </si>
  <si>
    <t>West Markhaven</t>
  </si>
  <si>
    <t>Port Frankmouth</t>
  </si>
  <si>
    <t>Lake Stevenfort</t>
  </si>
  <si>
    <t>Jaredville</t>
  </si>
  <si>
    <t>New Leahfurt</t>
  </si>
  <si>
    <t>Owensview</t>
  </si>
  <si>
    <t>Estradaside</t>
  </si>
  <si>
    <t>East Peterbury</t>
  </si>
  <si>
    <t>North Larryfurt</t>
  </si>
  <si>
    <t>South Kevin</t>
  </si>
  <si>
    <t>Floydton</t>
  </si>
  <si>
    <t>New Juliemouth</t>
  </si>
  <si>
    <t>Hessmouth</t>
  </si>
  <si>
    <t>Palmerbury</t>
  </si>
  <si>
    <t>North Matthew</t>
  </si>
  <si>
    <t>Dominiquefort</t>
  </si>
  <si>
    <t>Carolview</t>
  </si>
  <si>
    <t>South Ashleyton</t>
  </si>
  <si>
    <t>New Jasonmouth</t>
  </si>
  <si>
    <t>Robertview</t>
  </si>
  <si>
    <t>Josephmouth</t>
  </si>
  <si>
    <t>New Joseph</t>
  </si>
  <si>
    <t>Morrisburgh</t>
  </si>
  <si>
    <t>Port Richard</t>
  </si>
  <si>
    <t>Avilahaven</t>
  </si>
  <si>
    <t>East Jessicaborough</t>
  </si>
  <si>
    <t>Anabury</t>
  </si>
  <si>
    <t>Butlerberg</t>
  </si>
  <si>
    <t>West Daniel</t>
  </si>
  <si>
    <t>Murphyfurt</t>
  </si>
  <si>
    <t>East Davidmouth</t>
  </si>
  <si>
    <t>New Brianchester</t>
  </si>
  <si>
    <t>Hutchinsonville</t>
  </si>
  <si>
    <t>Port James</t>
  </si>
  <si>
    <t>Port Sherryview</t>
  </si>
  <si>
    <t>North Kellyberg</t>
  </si>
  <si>
    <t>East Justin</t>
  </si>
  <si>
    <t>Lake Blaketon</t>
  </si>
  <si>
    <t>Kingfort</t>
  </si>
  <si>
    <t>Lake Howardberg</t>
  </si>
  <si>
    <t>Amandaside</t>
  </si>
  <si>
    <t>Johnsonshire</t>
  </si>
  <si>
    <t>Lake Samanthafort</t>
  </si>
  <si>
    <t>Port Amanda</t>
  </si>
  <si>
    <t>Sarahmouth</t>
  </si>
  <si>
    <t>Taraberg</t>
  </si>
  <si>
    <t>West John</t>
  </si>
  <si>
    <t>Frostmouth</t>
  </si>
  <si>
    <t>North Briannamouth</t>
  </si>
  <si>
    <t>South Jerry</t>
  </si>
  <si>
    <t>New Logan</t>
  </si>
  <si>
    <t>Clarkeside</t>
  </si>
  <si>
    <t>Johnsonland</t>
  </si>
  <si>
    <t>New Dianebury</t>
  </si>
  <si>
    <t>Lake Danielleton</t>
  </si>
  <si>
    <t>Brownshire</t>
  </si>
  <si>
    <t>South Emily</t>
  </si>
  <si>
    <t>Kathrynview</t>
  </si>
  <si>
    <t>Lake Josephport</t>
  </si>
  <si>
    <t>Matthewborough</t>
  </si>
  <si>
    <t>Garzafort</t>
  </si>
  <si>
    <t>Lyonsfort</t>
  </si>
  <si>
    <t>West Markport</t>
  </si>
  <si>
    <t>Danielstad</t>
  </si>
  <si>
    <t>East Josephside</t>
  </si>
  <si>
    <t>Morrismouth</t>
  </si>
  <si>
    <t>North Christinemouth</t>
  </si>
  <si>
    <t>Edwardland</t>
  </si>
  <si>
    <t xml:space="preserve">Phillipschester   </t>
  </si>
  <si>
    <t xml:space="preserve">    lake lisa</t>
  </si>
  <si>
    <t>Maybury</t>
  </si>
  <si>
    <t>East Crystalton</t>
  </si>
  <si>
    <t>East jeremy</t>
  </si>
  <si>
    <t>New Anthonyfurt</t>
  </si>
  <si>
    <t>Bethanyton</t>
  </si>
  <si>
    <t>Pollardton</t>
  </si>
  <si>
    <t>Port Lisashire</t>
  </si>
  <si>
    <t>Aaronmouth</t>
  </si>
  <si>
    <t>Grahamstad</t>
  </si>
  <si>
    <t>Tammyton</t>
  </si>
  <si>
    <t>Clarkport</t>
  </si>
  <si>
    <t>Lake Mark</t>
  </si>
  <si>
    <t>South Angelaport</t>
  </si>
  <si>
    <t>North Larryport</t>
  </si>
  <si>
    <t>Susanstad</t>
  </si>
  <si>
    <t>Port Krista</t>
  </si>
  <si>
    <t>Zamoraborough</t>
  </si>
  <si>
    <t>Heathfort</t>
  </si>
  <si>
    <t>Dawsonchester</t>
  </si>
  <si>
    <t>New Tina</t>
  </si>
  <si>
    <t>North Nicholas</t>
  </si>
  <si>
    <t>West Julia</t>
  </si>
  <si>
    <t>Rodriguezton</t>
  </si>
  <si>
    <t>South Regina</t>
  </si>
  <si>
    <t>Mikehaven</t>
  </si>
  <si>
    <t>Lake Timothy</t>
  </si>
  <si>
    <t>Garciamouth</t>
  </si>
  <si>
    <t>New Daniel</t>
  </si>
  <si>
    <t>Port Coreyfort</t>
  </si>
  <si>
    <t>Robinborough</t>
  </si>
  <si>
    <t>New Maria</t>
  </si>
  <si>
    <t>Masseyland</t>
  </si>
  <si>
    <t>Jasonton</t>
  </si>
  <si>
    <t>Lake Christopher</t>
  </si>
  <si>
    <t>Karenmouth</t>
  </si>
  <si>
    <t>East Richard</t>
  </si>
  <si>
    <t>South Kathrynmouth</t>
  </si>
  <si>
    <t>North Jonathon</t>
  </si>
  <si>
    <t>Lake Saramouth</t>
  </si>
  <si>
    <t>New Ana</t>
  </si>
  <si>
    <t>Sallymouth</t>
  </si>
  <si>
    <t>Grahamfurt</t>
  </si>
  <si>
    <t>West Jamieport</t>
  </si>
  <si>
    <t>South Gina</t>
  </si>
  <si>
    <t>Ryanberg</t>
  </si>
  <si>
    <t>Emilytown</t>
  </si>
  <si>
    <t>Ramosmouth</t>
  </si>
  <si>
    <t>North Stephanie</t>
  </si>
  <si>
    <t>Welchview</t>
  </si>
  <si>
    <t>North Roy</t>
  </si>
  <si>
    <t>Edwardborough</t>
  </si>
  <si>
    <t>North Austinport</t>
  </si>
  <si>
    <t>Ericshire</t>
  </si>
  <si>
    <t>Lake Nicole</t>
  </si>
  <si>
    <t>Port Mariastad</t>
  </si>
  <si>
    <t>Gilltown</t>
  </si>
  <si>
    <t>Morrisville</t>
  </si>
  <si>
    <t>North Joshualand</t>
  </si>
  <si>
    <t>Spencermouth</t>
  </si>
  <si>
    <t>Garciaborough</t>
  </si>
  <si>
    <t>Patrickshire</t>
  </si>
  <si>
    <t>North Robert</t>
  </si>
  <si>
    <t>Port Tonyfort</t>
  </si>
  <si>
    <t>Millerfort</t>
  </si>
  <si>
    <t>North Joseside</t>
  </si>
  <si>
    <t>North Brookestad</t>
  </si>
  <si>
    <t>Sherimouth</t>
  </si>
  <si>
    <t>West Beverlymouth</t>
  </si>
  <si>
    <t>Danielland</t>
  </si>
  <si>
    <t>North Daniel</t>
  </si>
  <si>
    <t>North Michelleport</t>
  </si>
  <si>
    <t>Lake Brett</t>
  </si>
  <si>
    <t>New Joshuatown</t>
  </si>
  <si>
    <t>West Robinmouth</t>
  </si>
  <si>
    <t>Lake Melissashire</t>
  </si>
  <si>
    <t>West Bruceburgh</t>
  </si>
  <si>
    <t>Lake Charlotte</t>
  </si>
  <si>
    <t>East Johntown</t>
  </si>
  <si>
    <t>Port Jenniferton</t>
  </si>
  <si>
    <t>West Joseph</t>
  </si>
  <si>
    <t>New Nicholasstad</t>
  </si>
  <si>
    <t>West Patriciaview</t>
  </si>
  <si>
    <t>Sarahland</t>
  </si>
  <si>
    <t>Randychester</t>
  </si>
  <si>
    <t>Joelside</t>
  </si>
  <si>
    <t>Port Edwardmouth</t>
  </si>
  <si>
    <t>Brianchester</t>
  </si>
  <si>
    <t>Brownburgh</t>
  </si>
  <si>
    <t>Anitaland</t>
  </si>
  <si>
    <t>Port Chad</t>
  </si>
  <si>
    <t>Lake James</t>
  </si>
  <si>
    <t>Richardsport</t>
  </si>
  <si>
    <t>Monicaview</t>
  </si>
  <si>
    <t>West Mathewside</t>
  </si>
  <si>
    <t>South Darrenland</t>
  </si>
  <si>
    <t>Lake Alice</t>
  </si>
  <si>
    <t>North Nicole</t>
  </si>
  <si>
    <t>Whiteport</t>
  </si>
  <si>
    <t>South Zacharychester</t>
  </si>
  <si>
    <t>East Matthew</t>
  </si>
  <si>
    <t>Cindyton</t>
  </si>
  <si>
    <t>Kellybury</t>
  </si>
  <si>
    <t>Jessicaport</t>
  </si>
  <si>
    <t>Tiffanyshire</t>
  </si>
  <si>
    <t>South Jasontown</t>
  </si>
  <si>
    <t>North Kathytown</t>
  </si>
  <si>
    <t>New Paulstad</t>
  </si>
  <si>
    <t>Johnsonbury</t>
  </si>
  <si>
    <t>Donaldsontown</t>
  </si>
  <si>
    <t>West Brendamouth</t>
  </si>
  <si>
    <t>North Michaelborough</t>
  </si>
  <si>
    <t>Ryanport</t>
  </si>
  <si>
    <t>Hudsonfort</t>
  </si>
  <si>
    <t>Stevensbury</t>
  </si>
  <si>
    <t>Johntown</t>
  </si>
  <si>
    <t>Lake Alyssaburgh</t>
  </si>
  <si>
    <t>Amandaborough</t>
  </si>
  <si>
    <t>Cartershire</t>
  </si>
  <si>
    <t>West Victoriaborough</t>
  </si>
  <si>
    <t>North Jonathan</t>
  </si>
  <si>
    <t>Port Crystalberg</t>
  </si>
  <si>
    <t>Peggystad</t>
  </si>
  <si>
    <t>Shannonview</t>
  </si>
  <si>
    <t>New Angiefurt</t>
  </si>
  <si>
    <t>Lake Allisonborough</t>
  </si>
  <si>
    <t>North Samuel</t>
  </si>
  <si>
    <t>Port Saramouth</t>
  </si>
  <si>
    <t>Westbury</t>
  </si>
  <si>
    <t>Guerreroport</t>
  </si>
  <si>
    <t>North Johnfurt</t>
  </si>
  <si>
    <t>North Richard</t>
  </si>
  <si>
    <t>Nealview</t>
  </si>
  <si>
    <t>West Johnmouth</t>
  </si>
  <si>
    <t>East Michaelton</t>
  </si>
  <si>
    <t>Andersonside</t>
  </si>
  <si>
    <t>New Jessechester</t>
  </si>
  <si>
    <t>Melvinton</t>
  </si>
  <si>
    <t>Murphytown</t>
  </si>
  <si>
    <t>Lake Johnside</t>
  </si>
  <si>
    <t>Kellyside</t>
  </si>
  <si>
    <t>North Theresa</t>
  </si>
  <si>
    <t>Kaufmanfurt</t>
  </si>
  <si>
    <t>West Mathew</t>
  </si>
  <si>
    <t>West Bruce</t>
  </si>
  <si>
    <t>Millston</t>
  </si>
  <si>
    <t>Port Crystal</t>
  </si>
  <si>
    <t>Vincentside</t>
  </si>
  <si>
    <t>Simpsonfort</t>
  </si>
  <si>
    <t>Andersonburgh</t>
  </si>
  <si>
    <t>Port Richardshire</t>
  </si>
  <si>
    <t>Chambersberg</t>
  </si>
  <si>
    <t>Nathanshire</t>
  </si>
  <si>
    <t>Fischerborough</t>
  </si>
  <si>
    <t>West Jeffreyburgh</t>
  </si>
  <si>
    <t>South Cassandrachester</t>
  </si>
  <si>
    <t>Andrewsland</t>
  </si>
  <si>
    <t>Novakstad</t>
  </si>
  <si>
    <t>Jennifertown</t>
  </si>
  <si>
    <t>North Michael</t>
  </si>
  <si>
    <t>Lake Brandontown</t>
  </si>
  <si>
    <t>West Laura</t>
  </si>
  <si>
    <t>New Dawn</t>
  </si>
  <si>
    <t>Stevensshire</t>
  </si>
  <si>
    <t>Joseland</t>
  </si>
  <si>
    <t>Deniseberg</t>
  </si>
  <si>
    <t>Dawnstad</t>
  </si>
  <si>
    <t>Gutierrezstad</t>
  </si>
  <si>
    <t>Stewartchester</t>
  </si>
  <si>
    <t>Cannonberg</t>
  </si>
  <si>
    <t>Lake Morganland</t>
  </si>
  <si>
    <t>Parkerview</t>
  </si>
  <si>
    <t>Cheyenneborough</t>
  </si>
  <si>
    <t>New Edward</t>
  </si>
  <si>
    <t>Bookertown</t>
  </si>
  <si>
    <t>Leahmouth</t>
  </si>
  <si>
    <t>Lake Lisaland</t>
  </si>
  <si>
    <t>South Angela</t>
  </si>
  <si>
    <t>Garciaview</t>
  </si>
  <si>
    <t>North Michaelfurt</t>
  </si>
  <si>
    <t>Ashleymouth</t>
  </si>
  <si>
    <t>Port Joshuaville</t>
  </si>
  <si>
    <t>Kathleenport</t>
  </si>
  <si>
    <t>South Edwin</t>
  </si>
  <si>
    <t>West Rebecca</t>
  </si>
  <si>
    <t>Andrewsfurt</t>
  </si>
  <si>
    <t>East Patriciafort</t>
  </si>
  <si>
    <t>Kramerview</t>
  </si>
  <si>
    <t>Marthaborough</t>
  </si>
  <si>
    <t>Kimburgh</t>
  </si>
  <si>
    <t>West Mario</t>
  </si>
  <si>
    <t>Lake David</t>
  </si>
  <si>
    <t>New Benjamin</t>
  </si>
  <si>
    <t>East Amy</t>
  </si>
  <si>
    <t>Aliciahaven</t>
  </si>
  <si>
    <t>New Katherine</t>
  </si>
  <si>
    <t>Lake Alexandra</t>
  </si>
  <si>
    <t>Lake Monique</t>
  </si>
  <si>
    <t>Aguilarland</t>
  </si>
  <si>
    <t>South Robert</t>
  </si>
  <si>
    <t>Hartmouth</t>
  </si>
  <si>
    <t>Davidchester</t>
  </si>
  <si>
    <t>Josephchester</t>
  </si>
  <si>
    <t>South Andrewport</t>
  </si>
  <si>
    <t>Phyllisport</t>
  </si>
  <si>
    <t>Williamsberg</t>
  </si>
  <si>
    <t>New Sarah</t>
  </si>
  <si>
    <t>Wesleyhaven</t>
  </si>
  <si>
    <t>South Michellebury</t>
  </si>
  <si>
    <t>Amberburgh</t>
  </si>
  <si>
    <t>Justinberg</t>
  </si>
  <si>
    <t>Jonesstad</t>
  </si>
  <si>
    <t>North Maryfort</t>
  </si>
  <si>
    <t>New Donnabury</t>
  </si>
  <si>
    <t>Jessicaland</t>
  </si>
  <si>
    <t>Mcfarlandmouth</t>
  </si>
  <si>
    <t>West Jorge</t>
  </si>
  <si>
    <t>Paulside</t>
  </si>
  <si>
    <t>Smithville</t>
  </si>
  <si>
    <t>Port Hannahport</t>
  </si>
  <si>
    <t>Lake Meganstad</t>
  </si>
  <si>
    <t>New Laura</t>
  </si>
  <si>
    <t>Lake Carolyn</t>
  </si>
  <si>
    <t>East Yvette</t>
  </si>
  <si>
    <t>South Barbara</t>
  </si>
  <si>
    <t>Hubbardborough</t>
  </si>
  <si>
    <t>Port Taylorberg</t>
  </si>
  <si>
    <t>Brandontown</t>
  </si>
  <si>
    <t>Hughesview</t>
  </si>
  <si>
    <t>East Julie</t>
  </si>
  <si>
    <t>Burkefurt</t>
  </si>
  <si>
    <t>Port Anthony</t>
  </si>
  <si>
    <t>Grayland</t>
  </si>
  <si>
    <t>Hartmanside</t>
  </si>
  <si>
    <t>Espinozaberg</t>
  </si>
  <si>
    <t>Oneillfurt</t>
  </si>
  <si>
    <t>Bergermouth</t>
  </si>
  <si>
    <t>East Audrey</t>
  </si>
  <si>
    <t>Kanebury</t>
  </si>
  <si>
    <t>Mcdanielfurt</t>
  </si>
  <si>
    <t>Tylermouth</t>
  </si>
  <si>
    <t>Chambersfurt</t>
  </si>
  <si>
    <t>East Christopherhaven</t>
  </si>
  <si>
    <t>Anthonymouth</t>
  </si>
  <si>
    <t>West Kelseyberg</t>
  </si>
  <si>
    <t>West Sarah</t>
  </si>
  <si>
    <t>New Jamesview</t>
  </si>
  <si>
    <t>Robinchester</t>
  </si>
  <si>
    <t>Kelseybury</t>
  </si>
  <si>
    <t>West Tylerfort</t>
  </si>
  <si>
    <t>East Rodney</t>
  </si>
  <si>
    <t>West Markton</t>
  </si>
  <si>
    <t>East Dillonview</t>
  </si>
  <si>
    <t>Lake April</t>
  </si>
  <si>
    <t>East Patriciastad</t>
  </si>
  <si>
    <t>South Davidport</t>
  </si>
  <si>
    <t>Lake Elizabethside</t>
  </si>
  <si>
    <t>North Nataliemouth</t>
  </si>
  <si>
    <t>Kellyberg</t>
  </si>
  <si>
    <t>Port Carol</t>
  </si>
  <si>
    <t>Port Cheryl</t>
  </si>
  <si>
    <t>Bryanmouth</t>
  </si>
  <si>
    <t>North Seanfurt</t>
  </si>
  <si>
    <t>Port William</t>
  </si>
  <si>
    <t>Snyderfurt</t>
  </si>
  <si>
    <t>East Valerieview</t>
  </si>
  <si>
    <t xml:space="preserve"> Sales Dashboard</t>
  </si>
  <si>
    <t>PRDO16</t>
  </si>
  <si>
    <t>mode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</si>
</sst>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
    <numFmt numFmtId="166" formatCode="\$#,##0.00"/>
    <numFmt numFmtId="167" formatCode="dd\-mmm\-yyyy"/>
  </numFmts>
  <fonts count="7">
    <font>
      <sz val="11"/>
      <color theme="1"/>
      <name val="Calibri"/>
      <family val="2"/>
      <scheme val="minor"/>
    </font>
    <font>
      <b/>
      <sz val="11"/>
      <name val="Calibri"/>
    </font>
    <font>
      <b/>
      <sz val="11"/>
      <color theme="1"/>
      <name val="Calibri"/>
      <family val="2"/>
      <scheme val="minor"/>
    </font>
    <font>
      <b/>
      <sz val="11"/>
      <name val="Calibri"/>
      <family val="2"/>
    </font>
    <font>
      <sz val="8"/>
      <name val="Calibri"/>
      <family val="2"/>
      <scheme val="minor"/>
    </font>
    <font>
      <sz val="10"/>
      <color theme="1"/>
      <name val="Arial Unicode MS"/>
    </font>
    <font>
      <b/>
      <sz val="16"/>
      <color theme="0"/>
      <name val="Calibri"/>
      <family val="2"/>
      <scheme val="minor"/>
    </font>
  </fonts>
  <fills count="6">
    <fill>
      <patternFill patternType="none"/>
    </fill>
    <fill>
      <patternFill patternType="gray125"/>
    </fill>
    <fill>
      <patternFill patternType="solid">
        <fgColor rgb="FFD9EAF7"/>
        <bgColor indexed="64"/>
      </patternFill>
    </fill>
    <fill>
      <patternFill patternType="solid">
        <fgColor theme="4"/>
        <bgColor indexed="64"/>
      </patternFill>
    </fill>
    <fill>
      <patternFill patternType="solid">
        <fgColor theme="3"/>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164" fontId="0" fillId="0" borderId="0" xfId="0" applyNumberFormat="1"/>
    <xf numFmtId="0" fontId="1" fillId="0" borderId="2" xfId="0" applyFont="1" applyBorder="1" applyAlignment="1">
      <alignment horizontal="center" vertical="top"/>
    </xf>
    <xf numFmtId="0" fontId="3" fillId="0" borderId="2" xfId="0" applyFont="1" applyBorder="1" applyAlignment="1">
      <alignment horizontal="center" vertical="top"/>
    </xf>
    <xf numFmtId="165" fontId="3" fillId="0" borderId="2" xfId="0" applyNumberFormat="1" applyFont="1" applyBorder="1" applyAlignment="1">
      <alignment horizontal="center" vertical="top"/>
    </xf>
    <xf numFmtId="165" fontId="0" fillId="0" borderId="0" xfId="0" applyNumberFormat="1"/>
    <xf numFmtId="166" fontId="0" fillId="0" borderId="0" xfId="0" applyNumberFormat="1"/>
    <xf numFmtId="167" fontId="0" fillId="0" borderId="0" xfId="0" applyNumberFormat="1"/>
    <xf numFmtId="0" fontId="1" fillId="0" borderId="0" xfId="0" applyFont="1" applyAlignment="1">
      <alignment horizontal="center" vertical="top"/>
    </xf>
    <xf numFmtId="0" fontId="0" fillId="0" borderId="0" xfId="0" applyAlignment="1">
      <alignment vertical="center" wrapText="1"/>
    </xf>
    <xf numFmtId="0" fontId="5" fillId="0" borderId="0" xfId="0" applyFont="1" applyAlignment="1">
      <alignment vertical="center" wrapText="1"/>
    </xf>
    <xf numFmtId="0" fontId="0" fillId="0" borderId="0" xfId="0" pivotButton="1"/>
    <xf numFmtId="0" fontId="0" fillId="0" borderId="0" xfId="0" applyAlignment="1">
      <alignment horizontal="left"/>
    </xf>
    <xf numFmtId="0" fontId="2" fillId="2" borderId="1" xfId="0" applyFont="1" applyFill="1" applyBorder="1" applyAlignment="1">
      <alignment wrapText="1"/>
    </xf>
    <xf numFmtId="0" fontId="2" fillId="3" borderId="0" xfId="0" applyFont="1" applyFill="1"/>
    <xf numFmtId="0" fontId="0" fillId="5" borderId="0" xfId="0" applyFill="1"/>
    <xf numFmtId="0" fontId="3" fillId="0" borderId="1" xfId="0" applyFont="1" applyBorder="1" applyAlignment="1">
      <alignment horizontal="center" vertical="top"/>
    </xf>
    <xf numFmtId="0" fontId="6" fillId="4" borderId="0" xfId="0" applyFont="1" applyFill="1" applyAlignment="1">
      <alignment horizontal="center" vertical="center"/>
    </xf>
    <xf numFmtId="165" fontId="1" fillId="0" borderId="2" xfId="0" applyNumberFormat="1" applyFont="1" applyBorder="1" applyAlignment="1">
      <alignment horizontal="center" vertical="top"/>
    </xf>
  </cellXfs>
  <cellStyles count="1">
    <cellStyle name="Normal" xfId="0" builtinId="0"/>
  </cellStyles>
  <dxfs count="43">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67"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1.xlsx]Pivot summary!PivotTable2</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summary'!$A$4:$A$10</c:f>
              <c:strCache>
                <c:ptCount val="6"/>
                <c:pt idx="0">
                  <c:v>Beauty</c:v>
                </c:pt>
                <c:pt idx="1">
                  <c:v>Clothing</c:v>
                </c:pt>
                <c:pt idx="2">
                  <c:v>Electronics</c:v>
                </c:pt>
                <c:pt idx="3">
                  <c:v>Home</c:v>
                </c:pt>
                <c:pt idx="4">
                  <c:v>Not Found</c:v>
                </c:pt>
                <c:pt idx="5">
                  <c:v>Sports</c:v>
                </c:pt>
              </c:strCache>
            </c:strRef>
          </c:cat>
          <c:val>
            <c:numRef>
              <c:f>'Pivot summary'!$B$4:$B$10</c:f>
              <c:numCache>
                <c:formatCode>"₹"\ #,##0.00</c:formatCode>
                <c:ptCount val="6"/>
                <c:pt idx="0">
                  <c:v>299613.50169999967</c:v>
                </c:pt>
                <c:pt idx="1">
                  <c:v>352743.7922000002</c:v>
                </c:pt>
                <c:pt idx="2">
                  <c:v>504311.34800000023</c:v>
                </c:pt>
                <c:pt idx="3">
                  <c:v>427295.80359999998</c:v>
                </c:pt>
                <c:pt idx="4">
                  <c:v>46060.170099999988</c:v>
                </c:pt>
                <c:pt idx="5">
                  <c:v>540882.8418000004</c:v>
                </c:pt>
              </c:numCache>
            </c:numRef>
          </c:val>
          <c:extLst>
            <c:ext xmlns:c16="http://schemas.microsoft.com/office/drawing/2014/chart" uri="{C3380CC4-5D6E-409C-BE32-E72D297353CC}">
              <c16:uniqueId val="{00000000-E74A-4624-AFCB-7D0448609102}"/>
            </c:ext>
          </c:extLst>
        </c:ser>
        <c:dLbls>
          <c:showLegendKey val="0"/>
          <c:showVal val="0"/>
          <c:showCatName val="0"/>
          <c:showSerName val="0"/>
          <c:showPercent val="0"/>
          <c:showBubbleSize val="0"/>
        </c:dLbls>
        <c:gapWidth val="315"/>
        <c:overlap val="-40"/>
        <c:axId val="2140724800"/>
        <c:axId val="2138172592"/>
      </c:barChart>
      <c:catAx>
        <c:axId val="21407248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172592"/>
        <c:crosses val="autoZero"/>
        <c:auto val="1"/>
        <c:lblAlgn val="ctr"/>
        <c:lblOffset val="100"/>
        <c:noMultiLvlLbl val="0"/>
      </c:catAx>
      <c:valAx>
        <c:axId val="2138172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07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1.xlsx]Pivot summary!PivotTable5</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summary'!$D$4:$D$24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summary'!$E$4:$E$24</c:f>
              <c:numCache>
                <c:formatCode>"₹"\ #,##0.00</c:formatCode>
                <c:ptCount val="20"/>
                <c:pt idx="0">
                  <c:v>93048.140500000009</c:v>
                </c:pt>
                <c:pt idx="1">
                  <c:v>118814.11569999999</c:v>
                </c:pt>
                <c:pt idx="2">
                  <c:v>158971.46239999999</c:v>
                </c:pt>
                <c:pt idx="3">
                  <c:v>114533.79660000003</c:v>
                </c:pt>
                <c:pt idx="4">
                  <c:v>98960.807799999995</c:v>
                </c:pt>
                <c:pt idx="5">
                  <c:v>111704.9436</c:v>
                </c:pt>
                <c:pt idx="6">
                  <c:v>114401.4715</c:v>
                </c:pt>
                <c:pt idx="7">
                  <c:v>81144.350499999986</c:v>
                </c:pt>
                <c:pt idx="8">
                  <c:v>104313.05449999998</c:v>
                </c:pt>
                <c:pt idx="9">
                  <c:v>108365.93699999998</c:v>
                </c:pt>
                <c:pt idx="10">
                  <c:v>121441.65559999997</c:v>
                </c:pt>
                <c:pt idx="11">
                  <c:v>125011.8285</c:v>
                </c:pt>
                <c:pt idx="12">
                  <c:v>93098.39049999995</c:v>
                </c:pt>
                <c:pt idx="13">
                  <c:v>101060.60920000002</c:v>
                </c:pt>
                <c:pt idx="14">
                  <c:v>108039.34940000001</c:v>
                </c:pt>
                <c:pt idx="15">
                  <c:v>106248.28329999997</c:v>
                </c:pt>
                <c:pt idx="16">
                  <c:v>110102.39899999999</c:v>
                </c:pt>
                <c:pt idx="17">
                  <c:v>85138.555199999988</c:v>
                </c:pt>
                <c:pt idx="18">
                  <c:v>99679.086000000025</c:v>
                </c:pt>
                <c:pt idx="19">
                  <c:v>116829.22059999997</c:v>
                </c:pt>
              </c:numCache>
            </c:numRef>
          </c:val>
          <c:extLst>
            <c:ext xmlns:c16="http://schemas.microsoft.com/office/drawing/2014/chart" uri="{C3380CC4-5D6E-409C-BE32-E72D297353CC}">
              <c16:uniqueId val="{00000000-F1A6-4D33-B686-24B070498B07}"/>
            </c:ext>
          </c:extLst>
        </c:ser>
        <c:dLbls>
          <c:showLegendKey val="0"/>
          <c:showVal val="0"/>
          <c:showCatName val="0"/>
          <c:showSerName val="0"/>
          <c:showPercent val="0"/>
          <c:showBubbleSize val="0"/>
        </c:dLbls>
        <c:gapWidth val="182"/>
        <c:overlap val="-50"/>
        <c:axId val="426693616"/>
        <c:axId val="2138071792"/>
      </c:barChart>
      <c:catAx>
        <c:axId val="4266936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8071792"/>
        <c:crosses val="autoZero"/>
        <c:auto val="1"/>
        <c:lblAlgn val="ctr"/>
        <c:lblOffset val="100"/>
        <c:noMultiLvlLbl val="0"/>
      </c:catAx>
      <c:valAx>
        <c:axId val="21380717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66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1.xlsx]Pivot summary!PivotTable4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summary'!$B$13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42-4FBC-99B2-D909F3BB5D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42-4FBC-99B2-D909F3BB5D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42-4FBC-99B2-D909F3BB5D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summary'!$A$14:$A$17</c:f>
              <c:strCache>
                <c:ptCount val="3"/>
                <c:pt idx="0">
                  <c:v>COD</c:v>
                </c:pt>
                <c:pt idx="1">
                  <c:v>Credit Card</c:v>
                </c:pt>
                <c:pt idx="2">
                  <c:v>PayPal</c:v>
                </c:pt>
              </c:strCache>
            </c:strRef>
          </c:cat>
          <c:val>
            <c:numRef>
              <c:f>'Pivot summary'!$B$14:$B$17</c:f>
              <c:numCache>
                <c:formatCode>"₹"\ #,##0.00</c:formatCode>
                <c:ptCount val="3"/>
                <c:pt idx="0">
                  <c:v>701525.28580000019</c:v>
                </c:pt>
                <c:pt idx="1">
                  <c:v>713754.93280000042</c:v>
                </c:pt>
                <c:pt idx="2">
                  <c:v>755627.23879999993</c:v>
                </c:pt>
              </c:numCache>
            </c:numRef>
          </c:val>
          <c:extLst>
            <c:ext xmlns:c16="http://schemas.microsoft.com/office/drawing/2014/chart" uri="{C3380CC4-5D6E-409C-BE32-E72D297353CC}">
              <c16:uniqueId val="{00000006-DD42-4FBC-99B2-D909F3BB5D5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1.xlsx]Pivot summary!PivotTable11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summary'!$A$21:$A$25</c:f>
              <c:strCache>
                <c:ptCount val="4"/>
                <c:pt idx="0">
                  <c:v>East</c:v>
                </c:pt>
                <c:pt idx="1">
                  <c:v>North</c:v>
                </c:pt>
                <c:pt idx="2">
                  <c:v>South</c:v>
                </c:pt>
                <c:pt idx="3">
                  <c:v>West</c:v>
                </c:pt>
              </c:strCache>
            </c:strRef>
          </c:cat>
          <c:val>
            <c:numRef>
              <c:f>'Pivot summary'!$B$21:$B$25</c:f>
              <c:numCache>
                <c:formatCode>"₹"\ #,##0.00</c:formatCode>
                <c:ptCount val="4"/>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0-DF44-49CA-AF39-A1959B54C09A}"/>
            </c:ext>
          </c:extLst>
        </c:ser>
        <c:dLbls>
          <c:dLblPos val="inEnd"/>
          <c:showLegendKey val="0"/>
          <c:showVal val="1"/>
          <c:showCatName val="0"/>
          <c:showSerName val="0"/>
          <c:showPercent val="0"/>
          <c:showBubbleSize val="0"/>
        </c:dLbls>
        <c:gapWidth val="65"/>
        <c:axId val="412231600"/>
        <c:axId val="2138241232"/>
      </c:barChart>
      <c:catAx>
        <c:axId val="4122316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8241232"/>
        <c:crosses val="autoZero"/>
        <c:auto val="1"/>
        <c:lblAlgn val="ctr"/>
        <c:lblOffset val="100"/>
        <c:noMultiLvlLbl val="0"/>
      </c:catAx>
      <c:valAx>
        <c:axId val="213824123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4122316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185487</xdr:colOff>
      <xdr:row>2</xdr:row>
      <xdr:rowOff>25734</xdr:rowOff>
    </xdr:from>
    <xdr:to>
      <xdr:col>7</xdr:col>
      <xdr:colOff>593224</xdr:colOff>
      <xdr:row>14</xdr:row>
      <xdr:rowOff>50132</xdr:rowOff>
    </xdr:to>
    <xdr:sp macro="" textlink="">
      <xdr:nvSpPr>
        <xdr:cNvPr id="4" name="TextBox 3">
          <a:extLst>
            <a:ext uri="{FF2B5EF4-FFF2-40B4-BE49-F238E27FC236}">
              <a16:creationId xmlns:a16="http://schemas.microsoft.com/office/drawing/2014/main" id="{151C13FF-DD29-B183-74E5-096C061BA754}"/>
            </a:ext>
          </a:extLst>
        </xdr:cNvPr>
        <xdr:cNvSpPr txBox="1"/>
      </xdr:nvSpPr>
      <xdr:spPr>
        <a:xfrm>
          <a:off x="7345948" y="476918"/>
          <a:ext cx="1627605" cy="222183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Pivot Tables were used to summarize and analyze the sales data. The data was grouped by Category, Region, Stores</a:t>
          </a:r>
          <a:r>
            <a:rPr lang="en-IN" baseline="0"/>
            <a:t> </a:t>
          </a:r>
          <a:r>
            <a:rPr lang="en-IN"/>
            <a:t>and Payment Type to identify sales patterns and compare performance. Total Sales (Total_Amount) was used as the main value for comparison.</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317500</xdr:colOff>
      <xdr:row>2</xdr:row>
      <xdr:rowOff>120650</xdr:rowOff>
    </xdr:from>
    <xdr:to>
      <xdr:col>5</xdr:col>
      <xdr:colOff>298450</xdr:colOff>
      <xdr:row>13</xdr:row>
      <xdr:rowOff>107950</xdr:rowOff>
    </xdr:to>
    <xdr:graphicFrame macro="">
      <xdr:nvGraphicFramePr>
        <xdr:cNvPr id="4" name="Chart 3">
          <a:extLst>
            <a:ext uri="{FF2B5EF4-FFF2-40B4-BE49-F238E27FC236}">
              <a16:creationId xmlns:a16="http://schemas.microsoft.com/office/drawing/2014/main" id="{B9BAA450-C907-4CFD-BA37-7308C1119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482601</xdr:colOff>
      <xdr:row>2</xdr:row>
      <xdr:rowOff>152400</xdr:rowOff>
    </xdr:from>
    <xdr:to>
      <xdr:col>14</xdr:col>
      <xdr:colOff>463551</xdr:colOff>
      <xdr:row>13</xdr:row>
      <xdr:rowOff>127000</xdr:rowOff>
    </xdr:to>
    <xdr:graphicFrame macro="">
      <xdr:nvGraphicFramePr>
        <xdr:cNvPr id="5" name="Chart 4">
          <a:extLst>
            <a:ext uri="{FF2B5EF4-FFF2-40B4-BE49-F238E27FC236}">
              <a16:creationId xmlns:a16="http://schemas.microsoft.com/office/drawing/2014/main" id="{D8F9CD2B-0393-41FA-88DA-7E38A1AEE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577850</xdr:colOff>
      <xdr:row>14</xdr:row>
      <xdr:rowOff>76200</xdr:rowOff>
    </xdr:from>
    <xdr:to>
      <xdr:col>15</xdr:col>
      <xdr:colOff>0</xdr:colOff>
      <xdr:row>25</xdr:row>
      <xdr:rowOff>38100</xdr:rowOff>
    </xdr:to>
    <xdr:graphicFrame macro="">
      <xdr:nvGraphicFramePr>
        <xdr:cNvPr id="6" name="Chart 5">
          <a:extLst>
            <a:ext uri="{FF2B5EF4-FFF2-40B4-BE49-F238E27FC236}">
              <a16:creationId xmlns:a16="http://schemas.microsoft.com/office/drawing/2014/main" id="{7C613785-62C9-46A7-A2BB-77E220E1F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311150</xdr:colOff>
      <xdr:row>14</xdr:row>
      <xdr:rowOff>63501</xdr:rowOff>
    </xdr:from>
    <xdr:to>
      <xdr:col>7</xdr:col>
      <xdr:colOff>406230</xdr:colOff>
      <xdr:row>26</xdr:row>
      <xdr:rowOff>69851</xdr:rowOff>
    </xdr:to>
    <xdr:graphicFrame macro="">
      <xdr:nvGraphicFramePr>
        <xdr:cNvPr id="7" name="Chart 6">
          <a:extLst>
            <a:ext uri="{FF2B5EF4-FFF2-40B4-BE49-F238E27FC236}">
              <a16:creationId xmlns:a16="http://schemas.microsoft.com/office/drawing/2014/main" id="{0DE91F79-C7C5-4691-A1E2-E15EF981B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527050</xdr:colOff>
      <xdr:row>2</xdr:row>
      <xdr:rowOff>152401</xdr:rowOff>
    </xdr:from>
    <xdr:to>
      <xdr:col>17</xdr:col>
      <xdr:colOff>330200</xdr:colOff>
      <xdr:row>13</xdr:row>
      <xdr:rowOff>114300</xdr:rowOff>
    </xdr:to>
    <mc:AlternateContent xmlns:mc="http://schemas.openxmlformats.org/markup-compatibility/2006" xmlns:a14="http://schemas.microsoft.com/office/drawing/2010/main">
      <mc:Choice Requires="a14">
        <xdr:graphicFrame macro="">
          <xdr:nvGraphicFramePr>
            <xdr:cNvPr id="8" name="Store name 1">
              <a:extLst>
                <a:ext uri="{FF2B5EF4-FFF2-40B4-BE49-F238E27FC236}">
                  <a16:creationId xmlns:a16="http://schemas.microsoft.com/office/drawing/2014/main" id="{1DBC6407-4F71-453D-91F3-8DC48AFBBDC0}"/>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9012959" y="527628"/>
              <a:ext cx="1621559" cy="2025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482600</xdr:colOff>
      <xdr:row>14</xdr:row>
      <xdr:rowOff>63501</xdr:rowOff>
    </xdr:from>
    <xdr:to>
      <xdr:col>10</xdr:col>
      <xdr:colOff>482600</xdr:colOff>
      <xdr:row>22</xdr:row>
      <xdr:rowOff>63501</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896CF134-3DFB-4181-9AE9-D563B414F7C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25555" y="2690092"/>
              <a:ext cx="1818409" cy="1500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330200</xdr:colOff>
      <xdr:row>2</xdr:row>
      <xdr:rowOff>139701</xdr:rowOff>
    </xdr:from>
    <xdr:to>
      <xdr:col>7</xdr:col>
      <xdr:colOff>285750</xdr:colOff>
      <xdr:row>13</xdr:row>
      <xdr:rowOff>107950</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A897E53E-8390-40EC-BD5C-0592301974E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60882" y="514928"/>
              <a:ext cx="1167823" cy="203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42a5334d10bba63/Desktop/Ecommerce_Sales_Assignment_Completed.xlsx" TargetMode="External"/><Relationship Id="rId1" Type="http://schemas.openxmlformats.org/officeDocument/2006/relationships/externalLinkPath" Target="Ecommerce_Sales_Assignment_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Customer_Dim"/>
      <sheetName val="Raw_Product_Dim"/>
      <sheetName val="Raw_Store_Dim"/>
      <sheetName val="Raw_Sales_Fact"/>
      <sheetName val="Clean_Customer"/>
      <sheetName val="Clean_Product"/>
      <sheetName val="Clean_Store"/>
      <sheetName val="Clean_Sales"/>
      <sheetName val="Cleaning_Log"/>
      <sheetName val="Sales_Analysis"/>
      <sheetName val="Descriptive_Stats"/>
      <sheetName val="Pivot_Summary"/>
      <sheetName val="Word_Problem_Answers"/>
      <sheetName val="Dashboard"/>
      <sheetName val="One_Page_Summary"/>
    </sheetNames>
    <sheetDataSet>
      <sheetData sheetId="0">
        <row r="2">
          <cell r="A2" t="str">
            <v>CUST1000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AN" refreshedDate="46270.60256608796" createdVersion="8" refreshedVersion="8" minRefreshableVersion="3" recordCount="2000" xr:uid="{008953EF-B5E4-45A8-A44F-867FE1CE9EEC}">
  <cacheSource type="worksheet">
    <worksheetSource name="Table511"/>
  </cacheSource>
  <cacheFields count="15">
    <cacheField name="Sales_ID" numFmtId="0">
      <sharedItems/>
    </cacheField>
    <cacheField name="Order_Date" numFmtId="167">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Stor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Product name" numFmtId="0">
      <sharedItems/>
    </cacheField>
    <cacheField name="Category" numFmtId="0">
      <sharedItems count="6">
        <s v="Sports"/>
        <s v="Electronics"/>
        <s v="Beauty"/>
        <s v="Home"/>
        <s v="Clothing"/>
        <s v="Not Found"/>
      </sharedItems>
    </cacheField>
    <cacheField name="Region" numFmtId="0">
      <sharedItems count="4">
        <s v="North"/>
        <s v="West"/>
        <s v="South"/>
        <s v="East"/>
      </sharedItems>
    </cacheField>
    <cacheField name="Customer Name" numFmtId="0">
      <sharedItems/>
    </cacheField>
    <cacheField name="Quantity" numFmtId="0">
      <sharedItems containsMixedTypes="1" containsNumber="1" minValue="0" maxValue="4.0000000000000009"/>
    </cacheField>
    <cacheField name="Unit_Price" numFmtId="0">
      <sharedItems containsMixedTypes="1" containsNumber="1" minValue="20.09" maxValue="999.89"/>
    </cacheField>
    <cacheField name="Discount" numFmtId="0">
      <sharedItems containsMixedTypes="1"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m/>
        <n v="1301.9864"/>
        <n v="2670.74"/>
        <n v="791.33600000000001"/>
        <n v="204.93440000000001"/>
        <n v="1706.1695999999999"/>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s>
  <extLst>
    <ext xmlns:x14="http://schemas.microsoft.com/office/spreadsheetml/2009/9/main" uri="{725AE2AE-9491-48be-B2B4-4EB974FC3084}">
      <x14:pivotCacheDefinition pivotCacheId="1845708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PROD97"/>
    <s v="STORE3"/>
    <x v="0"/>
    <s v="Cricket Bat"/>
    <x v="0"/>
    <x v="0"/>
    <s v="Sarah Smith"/>
    <n v="1"/>
    <n v="218.04"/>
    <n v="0.09"/>
    <x v="0"/>
    <x v="0"/>
  </r>
  <r>
    <s v="SALE1"/>
    <d v="2023-12-25T00:00:00"/>
    <s v="CUST1467"/>
    <s v="PROD74"/>
    <s v="STORE17"/>
    <x v="1"/>
    <s v="Bluetooth Car Audio System"/>
    <x v="1"/>
    <x v="0"/>
    <s v="Michael Foley"/>
    <n v="3"/>
    <n v="104.47"/>
    <n v="0.27"/>
    <x v="1"/>
    <x v="1"/>
  </r>
  <r>
    <s v="SALE2"/>
    <d v="2024-06-03T00:00:00"/>
    <s v="CUST1056"/>
    <s v="PROD49"/>
    <s v="STORE8"/>
    <x v="2"/>
    <s v="Men's Roll-On Perfume"/>
    <x v="2"/>
    <x v="1"/>
    <s v="Christopher Sutton"/>
    <n v="4"/>
    <n v="914.05"/>
    <n v="0.25"/>
    <x v="0"/>
    <x v="2"/>
  </r>
  <r>
    <s v="SALE3"/>
    <d v="2023-11-29T00:00:00"/>
    <s v="CUST1346"/>
    <s v="PROD76"/>
    <s v="STORE8"/>
    <x v="2"/>
    <s v="Wireless Mouse"/>
    <x v="1"/>
    <x v="1"/>
    <s v="John Jordan"/>
    <n v="1"/>
    <n v="921.51"/>
    <n v="0.16"/>
    <x v="2"/>
    <x v="3"/>
  </r>
  <r>
    <s v="SALE4"/>
    <d v="2024-01-06T00:00:00"/>
    <s v="CUST1493"/>
    <s v="PROD59"/>
    <s v="STORE5"/>
    <x v="3"/>
    <s v="Men's Hair Styling Gel"/>
    <x v="2"/>
    <x v="0"/>
    <s v="Amanda Powell"/>
    <n v="3"/>
    <n v="745.3"/>
    <n v="0.18"/>
    <x v="0"/>
    <x v="4"/>
  </r>
  <r>
    <s v="SALE5"/>
    <d v="2024-07-26T00:00:00"/>
    <s v="CUST1116"/>
    <s v="PROD15"/>
    <s v="STORE7"/>
    <x v="4"/>
    <s v="4K Home Projector"/>
    <x v="1"/>
    <x v="2"/>
    <s v="Anthony Phillips"/>
    <n v="3"/>
    <n v="147.01"/>
    <n v="0.19"/>
    <x v="2"/>
    <x v="5"/>
  </r>
  <r>
    <s v="SALE6"/>
    <d v="2025-07-12T00:00:00"/>
    <s v="CUST1016"/>
    <s v="PROD56"/>
    <s v="STORE4"/>
    <x v="5"/>
    <s v="Premium Blanket Throw"/>
    <x v="3"/>
    <x v="2"/>
    <s v="John Scott"/>
    <n v="2"/>
    <n v="785.31"/>
    <n v="0.15"/>
    <x v="1"/>
    <x v="6"/>
  </r>
  <r>
    <s v="SALE7"/>
    <d v="2023-11-18T00:00:00"/>
    <s v="CUST1152"/>
    <s v="PROD70"/>
    <s v="STORE8"/>
    <x v="2"/>
    <s v="Kitchen Storage Rack"/>
    <x v="3"/>
    <x v="1"/>
    <s v="Patrick Roberts"/>
    <n v="4"/>
    <n v="342.39"/>
    <n v="0.23"/>
    <x v="1"/>
    <x v="7"/>
  </r>
  <r>
    <s v="SALE8"/>
    <d v="2025-05-04T00:00:00"/>
    <s v="CUST1187"/>
    <s v="PROD99"/>
    <s v="STORE5"/>
    <x v="3"/>
    <s v="Stainless Steel Cookware Set"/>
    <x v="3"/>
    <x v="0"/>
    <s v="Dr. Suzanne Bullock"/>
    <n v="3.0000000000000004"/>
    <n v="448.25"/>
    <n v="7.0000000000000007E-2"/>
    <x v="1"/>
    <x v="8"/>
  </r>
  <r>
    <s v="SALE9"/>
    <d v="2025-07-31T00:00:00"/>
    <s v="CUST1464"/>
    <s v="PROD33"/>
    <s v="STORE0"/>
    <x v="6"/>
    <s v="Modern Wall Clock"/>
    <x v="3"/>
    <x v="3"/>
    <s v="Not Found"/>
    <n v="2"/>
    <n v="873.17"/>
    <n v="0.23"/>
    <x v="1"/>
    <x v="9"/>
  </r>
  <r>
    <s v="SALE10"/>
    <d v="2024-02-13T00:00:00"/>
    <s v="CUST1065"/>
    <s v="PROD24"/>
    <s v="STORE14"/>
    <x v="7"/>
    <s v="Foldable Camping Chair"/>
    <x v="0"/>
    <x v="2"/>
    <s v="Michael Thomas"/>
    <n v="1"/>
    <n v="278.63"/>
    <n v="7.0000000000000007E-2"/>
    <x v="0"/>
    <x v="10"/>
  </r>
  <r>
    <s v="SALE11"/>
    <d v="2025-05-24T00:00:00"/>
    <s v="CUST1320"/>
    <s v="PROD39"/>
    <s v="STORE1"/>
    <x v="8"/>
    <s v="Portable Power Bank"/>
    <x v="1"/>
    <x v="0"/>
    <s v="Jessica Gonzalez"/>
    <n v="4"/>
    <n v="286.92"/>
    <n v="0.17"/>
    <x v="0"/>
    <x v="11"/>
  </r>
  <r>
    <s v="SALE12"/>
    <d v="2024-08-24T00:00:00"/>
    <s v="CUST1237"/>
    <s v="PROD88"/>
    <s v="STORE4"/>
    <x v="5"/>
    <s v="Sports Wrist Sweatbands"/>
    <x v="0"/>
    <x v="2"/>
    <s v="Wesley Short"/>
    <n v="3.9999999999999991"/>
    <n v="644.58000000000004"/>
    <n v="0.01"/>
    <x v="0"/>
    <x v="12"/>
  </r>
  <r>
    <s v="SALE13"/>
    <d v="2025-08-06T00:00:00"/>
    <s v="CUST1443"/>
    <s v="PROD34"/>
    <s v="STORE16"/>
    <x v="9"/>
    <s v="Gaming Mechanical Keyboard"/>
    <x v="1"/>
    <x v="1"/>
    <s v="Adam Castro"/>
    <n v="2.0000000000000004"/>
    <n v="316.89999999999998"/>
    <n v="0.3"/>
    <x v="1"/>
    <x v="13"/>
  </r>
  <r>
    <s v="SALE14"/>
    <d v="2025-06-21T00:00:00"/>
    <s v="CUST1348"/>
    <s v="PROD24"/>
    <s v="STORE15"/>
    <x v="10"/>
    <s v="Foldable Camping Chair"/>
    <x v="0"/>
    <x v="0"/>
    <s v="Sherry Cabrera"/>
    <n v="4"/>
    <n v="403.47"/>
    <n v="0.28999999999999998"/>
    <x v="1"/>
    <x v="14"/>
  </r>
  <r>
    <s v="SALE15"/>
    <d v="2024-12-10T00:00:00"/>
    <s v="CUST1435"/>
    <s v="PROD36"/>
    <s v="STORE9"/>
    <x v="11"/>
    <s v="Women's Summer Dress"/>
    <x v="4"/>
    <x v="2"/>
    <s v="Lindsay Beasley"/>
    <n v="2.9999999999999996"/>
    <n v="871.34"/>
    <n v="0.04"/>
    <x v="2"/>
    <x v="15"/>
  </r>
  <r>
    <s v="SALE16"/>
    <d v="2025-09-13T00:00:00"/>
    <s v="CUST1276"/>
    <s v="PROD65"/>
    <s v="STORE19"/>
    <x v="12"/>
    <s v="Adjustable Dumbbells 20kg"/>
    <x v="0"/>
    <x v="3"/>
    <s v="Arthur Warren"/>
    <n v="2"/>
    <n v="451.98"/>
    <n v="0.25"/>
    <x v="0"/>
    <x v="16"/>
  </r>
  <r>
    <s v="SALE17"/>
    <d v="2024-12-11T00:00:00"/>
    <s v="CUST1079"/>
    <s v="PROD27"/>
    <s v="STORE4"/>
    <x v="5"/>
    <s v="Decorative Floor Vase"/>
    <x v="3"/>
    <x v="2"/>
    <s v="Molly Gardner"/>
    <n v="2"/>
    <n v="502.69"/>
    <n v="0.23"/>
    <x v="0"/>
    <x v="17"/>
  </r>
  <r>
    <s v="SALE18"/>
    <d v="2024-08-13T00:00:00"/>
    <s v="CUST1094"/>
    <s v="PROD39"/>
    <s v="STORE4"/>
    <x v="5"/>
    <s v="Portable Power Bank"/>
    <x v="1"/>
    <x v="2"/>
    <s v="David Patterson"/>
    <n v="2"/>
    <n v="559.23"/>
    <n v="0.25"/>
    <x v="2"/>
    <x v="18"/>
  </r>
  <r>
    <s v="SALE19"/>
    <d v="2024-03-18T00:00:00"/>
    <s v="CUST1239"/>
    <s v="PROD60"/>
    <s v="STORE13"/>
    <x v="13"/>
    <s v="Luxury Perfume Spray"/>
    <x v="2"/>
    <x v="3"/>
    <s v="Maria Hill"/>
    <s v="Uknown"/>
    <s v="Unknown"/>
    <n v="0.04"/>
    <x v="2"/>
    <x v="19"/>
  </r>
  <r>
    <s v="SALE20"/>
    <d v="2025-07-05T00:00:00"/>
    <s v="CUST1144"/>
    <s v="PROD72"/>
    <s v="STORE17"/>
    <x v="1"/>
    <s v="Professional Jump Rope"/>
    <x v="0"/>
    <x v="0"/>
    <s v="Justin Cross"/>
    <n v="3.0000000000000004"/>
    <n v="986.04"/>
    <n v="0.27"/>
    <x v="2"/>
    <x v="20"/>
  </r>
  <r>
    <s v="SALE21"/>
    <d v="2024-06-04T00:00:00"/>
    <s v="CUST1396"/>
    <s v="PROD43"/>
    <s v="STORE18"/>
    <x v="14"/>
    <s v="USB External Hard Drive"/>
    <x v="1"/>
    <x v="3"/>
    <s v="Alexander Byrd"/>
    <n v="1.0000000000000002"/>
    <n v="589.55999999999995"/>
    <n v="0.22"/>
    <x v="0"/>
    <x v="21"/>
  </r>
  <r>
    <s v="SALE22"/>
    <d v="2024-04-12T00:00:00"/>
    <s v="CUST1476"/>
    <s v="PROD69"/>
    <s v="STORE10"/>
    <x v="15"/>
    <s v="Men's Sports Shorts"/>
    <x v="4"/>
    <x v="3"/>
    <s v="Elizabeth Foster"/>
    <n v="3.0000000000000004"/>
    <n v="979.42"/>
    <n v="0.03"/>
    <x v="1"/>
    <x v="22"/>
  </r>
  <r>
    <s v="SALE23"/>
    <d v="2024-06-23T00:00:00"/>
    <s v="CUST1368"/>
    <s v="PROD12"/>
    <s v="STORE8"/>
    <x v="2"/>
    <s v="Hair Strengthening Shampoo"/>
    <x v="2"/>
    <x v="1"/>
    <s v="Miranda King"/>
    <n v="1"/>
    <n v="719.28"/>
    <n v="0.08"/>
    <x v="0"/>
    <x v="23"/>
  </r>
  <r>
    <s v="SALE24"/>
    <d v="2025-09-08T00:00:00"/>
    <s v="CUST1186"/>
    <s v="PROD67"/>
    <s v="STORE6"/>
    <x v="16"/>
    <s v="Smart LED Light Strip"/>
    <x v="1"/>
    <x v="3"/>
    <s v="Jennifer Pruitt"/>
    <n v="3"/>
    <n v="77.599999999999994"/>
    <n v="7.0000000000000007E-2"/>
    <x v="0"/>
    <x v="24"/>
  </r>
  <r>
    <s v="SALE25"/>
    <d v="2024-09-17T00:00:00"/>
    <s v="CUST1381"/>
    <s v="PROD5"/>
    <s v="STORE3"/>
    <x v="0"/>
    <s v="Men's Leather Belt"/>
    <x v="4"/>
    <x v="0"/>
    <s v="Erika Padilla"/>
    <n v="4"/>
    <n v="852.71"/>
    <n v="0.14000000000000001"/>
    <x v="1"/>
    <x v="25"/>
  </r>
  <r>
    <s v="SALE26"/>
    <d v="2024-01-03T00:00:00"/>
    <s v="CUST1213"/>
    <s v="PROD98"/>
    <s v="STORE8"/>
    <x v="2"/>
    <s v="Portable Bluetooth Speaker"/>
    <x v="1"/>
    <x v="1"/>
    <s v="Stuart Johnson"/>
    <s v="Uknown"/>
    <n v="156.16"/>
    <s v="Unknown"/>
    <x v="0"/>
    <x v="26"/>
  </r>
  <r>
    <s v="SALE27"/>
    <d v="2025-02-22T00:00:00"/>
    <s v="CUST1200"/>
    <s v="PROD77"/>
    <s v="STORE8"/>
    <x v="2"/>
    <s v="WiFi Mesh Router"/>
    <x v="1"/>
    <x v="1"/>
    <s v="Anna Perez"/>
    <n v="3"/>
    <n v="815.49"/>
    <n v="0.17"/>
    <x v="0"/>
    <x v="27"/>
  </r>
  <r>
    <s v="SALE28"/>
    <d v="2025-09-23T00:00:00"/>
    <s v="CUST1148"/>
    <s v="PROD13"/>
    <s v="STORE2"/>
    <x v="17"/>
    <s v="USB-C Fast Charger"/>
    <x v="1"/>
    <x v="2"/>
    <s v="Theresa Campbell"/>
    <n v="2"/>
    <n v="74.209999999999994"/>
    <n v="0.11"/>
    <x v="1"/>
    <x v="28"/>
  </r>
  <r>
    <s v="SALE29"/>
    <d v="2024-01-11T00:00:00"/>
    <s v="CUST1348"/>
    <s v="PROD99"/>
    <s v="STORE3"/>
    <x v="0"/>
    <s v="Stainless Steel Cookware Set"/>
    <x v="3"/>
    <x v="0"/>
    <s v="Sherry Cabrera"/>
    <n v="4"/>
    <n v="451.67"/>
    <n v="0.15"/>
    <x v="0"/>
    <x v="29"/>
  </r>
  <r>
    <s v="SALE30"/>
    <d v="2023-10-18T00:00:00"/>
    <s v="CUST1028"/>
    <s v="PROD5"/>
    <s v="STORE19"/>
    <x v="12"/>
    <s v="Men's Leather Belt"/>
    <x v="4"/>
    <x v="3"/>
    <s v="Joshua Ryan"/>
    <n v="1"/>
    <n v="429.38"/>
    <n v="0.13"/>
    <x v="1"/>
    <x v="30"/>
  </r>
  <r>
    <s v="SALE31"/>
    <d v="2024-10-28T00:00:00"/>
    <s v="CUST1412"/>
    <s v="PROD53"/>
    <s v="STORE12"/>
    <x v="18"/>
    <s v="Men's Track Pants"/>
    <x v="4"/>
    <x v="0"/>
    <s v="Shane Brown"/>
    <n v="2"/>
    <n v="148.96"/>
    <n v="0.03"/>
    <x v="2"/>
    <x v="31"/>
  </r>
  <r>
    <s v="SALE32"/>
    <d v="2024-11-01T00:00:00"/>
    <s v="CUST1398"/>
    <s v="PROD75"/>
    <s v="STORE8"/>
    <x v="2"/>
    <s v="Women's Ankle Boots"/>
    <x v="4"/>
    <x v="1"/>
    <s v="Jennifer Johnson"/>
    <n v="4"/>
    <n v="313.83"/>
    <n v="0.08"/>
    <x v="0"/>
    <x v="32"/>
  </r>
  <r>
    <s v="SALE33"/>
    <d v="2024-11-24T00:00:00"/>
    <s v="CUST1453"/>
    <s v="PROD12"/>
    <s v="STORE6"/>
    <x v="16"/>
    <s v="Hair Strengthening Shampoo"/>
    <x v="2"/>
    <x v="3"/>
    <s v="April Phillips"/>
    <n v="2"/>
    <n v="717.31"/>
    <n v="0.15"/>
    <x v="0"/>
    <x v="33"/>
  </r>
  <r>
    <s v="SALE34"/>
    <d v="2023-10-16T00:00:00"/>
    <s v="CUST1344"/>
    <s v="PROD79"/>
    <s v="STORE1"/>
    <x v="8"/>
    <s v="Decorative Lamp Shade"/>
    <x v="3"/>
    <x v="0"/>
    <s v="Evelyn Brown"/>
    <n v="2.9999999999999996"/>
    <n v="873.22"/>
    <n v="0.18"/>
    <x v="0"/>
    <x v="34"/>
  </r>
  <r>
    <s v="SALE35"/>
    <d v="2025-08-09T00:00:00"/>
    <s v="CUST1218"/>
    <s v="PROD16"/>
    <s v="STORE3"/>
    <x v="0"/>
    <s v="Not Found"/>
    <x v="5"/>
    <x v="0"/>
    <s v="Julia Jackson"/>
    <n v="3.9999999999999996"/>
    <n v="109.36"/>
    <n v="0.19"/>
    <x v="2"/>
    <x v="35"/>
  </r>
  <r>
    <s v="SALE36"/>
    <d v="2024-12-09T00:00:00"/>
    <s v="CUST1086"/>
    <s v="PROD5"/>
    <s v="STORE7"/>
    <x v="4"/>
    <s v="Men's Leather Belt"/>
    <x v="4"/>
    <x v="2"/>
    <s v="Tammy Miller MD"/>
    <n v="3"/>
    <n v="559.52"/>
    <n v="0.16"/>
    <x v="1"/>
    <x v="36"/>
  </r>
  <r>
    <s v="SALE37"/>
    <d v="2024-02-07T00:00:00"/>
    <s v="CUST1492"/>
    <s v="PROD10"/>
    <s v="STORE17"/>
    <x v="1"/>
    <s v="Ceramic Kitchen Bowl Set"/>
    <x v="3"/>
    <x v="0"/>
    <s v="Darrell Miller"/>
    <n v="3"/>
    <n v="121.76"/>
    <n v="0.27"/>
    <x v="1"/>
    <x v="37"/>
  </r>
  <r>
    <s v="SALE38"/>
    <d v="2024-03-27T00:00:00"/>
    <s v="CUST1189"/>
    <s v="PROD33"/>
    <s v="STORE13"/>
    <x v="13"/>
    <s v="Modern Wall Clock"/>
    <x v="3"/>
    <x v="3"/>
    <s v="Daniel Austin"/>
    <n v="4"/>
    <n v="735.32"/>
    <n v="0.06"/>
    <x v="2"/>
    <x v="38"/>
  </r>
  <r>
    <s v="SALE39"/>
    <d v="2023-12-04T00:00:00"/>
    <s v="CUST1431"/>
    <s v="PROD94"/>
    <s v="STORE3"/>
    <x v="0"/>
    <s v="Vitamin E Body Lotion"/>
    <x v="2"/>
    <x v="0"/>
    <s v="John Smith"/>
    <n v="2"/>
    <n v="600.73"/>
    <n v="0.08"/>
    <x v="0"/>
    <x v="39"/>
  </r>
  <r>
    <s v="SALE40"/>
    <d v="2024-07-13T00:00:00"/>
    <s v="CUST1072"/>
    <s v="PROD26"/>
    <s v="STORE19"/>
    <x v="12"/>
    <s v="Wireless Bluetooth Speaker"/>
    <x v="1"/>
    <x v="3"/>
    <s v="Tonya Burch"/>
    <n v="2"/>
    <n v="873.86"/>
    <n v="7.0000000000000007E-2"/>
    <x v="2"/>
    <x v="40"/>
  </r>
  <r>
    <s v="SALE41"/>
    <d v="2023-11-11T00:00:00"/>
    <s v="CUST1302"/>
    <s v="PROD23"/>
    <s v="STORE8"/>
    <x v="2"/>
    <s v="Men's Formal Shirt"/>
    <x v="4"/>
    <x v="1"/>
    <s v="Edward Cole"/>
    <n v="3.0000000000000004"/>
    <n v="342.47"/>
    <n v="0.08"/>
    <x v="1"/>
    <x v="41"/>
  </r>
  <r>
    <s v="SALE42"/>
    <d v="2024-12-23T00:00:00"/>
    <s v="CUST1335"/>
    <s v="PROD29"/>
    <s v="STORE9"/>
    <x v="11"/>
    <s v="Fabric Sofa Throw Blanket"/>
    <x v="3"/>
    <x v="2"/>
    <s v="Jennifer Woods"/>
    <n v="2"/>
    <n v="915.15"/>
    <n v="0.16"/>
    <x v="1"/>
    <x v="42"/>
  </r>
  <r>
    <s v="SALE43"/>
    <d v="2025-01-20T00:00:00"/>
    <s v="CUST1084"/>
    <s v="PROD33"/>
    <s v="STORE17"/>
    <x v="1"/>
    <s v="Modern Wall Clock"/>
    <x v="3"/>
    <x v="0"/>
    <s v="Christy Hoffman"/>
    <n v="3"/>
    <n v="863.11"/>
    <n v="0.28000000000000003"/>
    <x v="1"/>
    <x v="43"/>
  </r>
  <r>
    <s v="SALE44"/>
    <d v="2024-09-03T00:00:00"/>
    <s v="CUST1203"/>
    <s v="PROD43"/>
    <s v="STORE12"/>
    <x v="18"/>
    <s v="USB External Hard Drive"/>
    <x v="1"/>
    <x v="0"/>
    <s v="Sarah Brady"/>
    <n v="2"/>
    <n v="209.32"/>
    <n v="0.23"/>
    <x v="2"/>
    <x v="44"/>
  </r>
  <r>
    <s v="SALE45"/>
    <d v="2024-11-10T00:00:00"/>
    <s v="CUST1470"/>
    <s v="PROD59"/>
    <s v="STORE8"/>
    <x v="2"/>
    <s v="Men's Hair Styling Gel"/>
    <x v="2"/>
    <x v="1"/>
    <s v="Manuel Fisher"/>
    <n v="3.9999999999999991"/>
    <n v="288.60000000000002"/>
    <n v="0.09"/>
    <x v="1"/>
    <x v="45"/>
  </r>
  <r>
    <s v="SALE46"/>
    <d v="2024-10-05T00:00:00"/>
    <s v="CUST1070"/>
    <s v="PROD78"/>
    <s v="STORE16"/>
    <x v="9"/>
    <s v="Essential Oil Diffuser"/>
    <x v="3"/>
    <x v="1"/>
    <s v="Eric Singh"/>
    <n v="1"/>
    <n v="418.69"/>
    <n v="0.06"/>
    <x v="1"/>
    <x v="46"/>
  </r>
  <r>
    <s v="SALE47"/>
    <d v="2024-06-23T00:00:00"/>
    <s v="CUST1008"/>
    <s v="PROD30"/>
    <s v="STORE11"/>
    <x v="19"/>
    <s v="Stainless Steel Cutlery Set"/>
    <x v="3"/>
    <x v="2"/>
    <s v="Melissa Howard"/>
    <n v="1"/>
    <n v="135.78"/>
    <n v="0.14000000000000001"/>
    <x v="1"/>
    <x v="47"/>
  </r>
  <r>
    <s v="SALE48"/>
    <d v="2023-10-19T00:00:00"/>
    <s v="CUST1203"/>
    <s v="PROD44"/>
    <s v="STORE17"/>
    <x v="1"/>
    <s v="Adjustable Jump Rope"/>
    <x v="0"/>
    <x v="0"/>
    <s v="Sarah Brady"/>
    <n v="1"/>
    <n v="517.13"/>
    <n v="0.28000000000000003"/>
    <x v="0"/>
    <x v="48"/>
  </r>
  <r>
    <s v="SALE49"/>
    <d v="2024-11-11T00:00:00"/>
    <s v="CUST1420"/>
    <s v="PROD21"/>
    <s v="STORE16"/>
    <x v="9"/>
    <s v="Multi-Purpose Storage Box"/>
    <x v="3"/>
    <x v="1"/>
    <s v="Dr. Tamara White MD"/>
    <n v="2"/>
    <n v="384.66"/>
    <n v="0.08"/>
    <x v="2"/>
    <x v="49"/>
  </r>
  <r>
    <s v="SALE50"/>
    <d v="2023-12-31T00:00:00"/>
    <s v="CUST1070"/>
    <s v="PROD52"/>
    <s v="STORE9"/>
    <x v="11"/>
    <s v="Rugby Ball"/>
    <x v="0"/>
    <x v="2"/>
    <s v="Eric Singh"/>
    <n v="3"/>
    <n v="83.7"/>
    <n v="0.24"/>
    <x v="1"/>
    <x v="50"/>
  </r>
  <r>
    <s v="SALE51"/>
    <d v="2025-02-01T00:00:00"/>
    <s v="CUST1142"/>
    <s v="PROD69"/>
    <s v="STORE7"/>
    <x v="4"/>
    <s v="Men's Sports Shorts"/>
    <x v="4"/>
    <x v="2"/>
    <s v="Maria Ramirez"/>
    <n v="3.0000000000000004"/>
    <n v="76.569999999999993"/>
    <n v="0.26"/>
    <x v="0"/>
    <x v="51"/>
  </r>
  <r>
    <s v="SALE52"/>
    <d v="2025-08-25T00:00:00"/>
    <s v="CUST1148"/>
    <s v="PROD89"/>
    <s v="STORE6"/>
    <x v="16"/>
    <s v="Face Foundation Kit"/>
    <x v="2"/>
    <x v="3"/>
    <s v="Theresa Campbell"/>
    <s v="Uknown"/>
    <s v="Unknown"/>
    <s v="Unknown"/>
    <x v="0"/>
    <x v="52"/>
  </r>
  <r>
    <s v="SALE53"/>
    <d v="2025-01-20T00:00:00"/>
    <s v="CUST1324"/>
    <s v="PROD20"/>
    <s v="STORE8"/>
    <x v="2"/>
    <s v="Outdoor Sports Water Bottle"/>
    <x v="0"/>
    <x v="1"/>
    <s v="Alex Mann II"/>
    <n v="1"/>
    <n v="900.35"/>
    <n v="0.13"/>
    <x v="2"/>
    <x v="53"/>
  </r>
  <r>
    <s v="SALE54"/>
    <d v="2025-02-18T00:00:00"/>
    <s v="CUST1095"/>
    <s v="PROD40"/>
    <s v="STORE10"/>
    <x v="15"/>
    <s v="Noise-Canceling Headphones"/>
    <x v="1"/>
    <x v="3"/>
    <s v="Amy Fowler"/>
    <n v="4.0000000000000009"/>
    <n v="428.09"/>
    <n v="7.0000000000000007E-2"/>
    <x v="0"/>
    <x v="54"/>
  </r>
  <r>
    <s v="SALE55"/>
    <d v="2024-10-24T00:00:00"/>
    <s v="CUST1416"/>
    <s v="PROD49"/>
    <s v="STORE11"/>
    <x v="19"/>
    <s v="Men's Roll-On Perfume"/>
    <x v="2"/>
    <x v="2"/>
    <s v="Jennifer Myers"/>
    <n v="2"/>
    <n v="559.71"/>
    <n v="0.3"/>
    <x v="2"/>
    <x v="55"/>
  </r>
  <r>
    <s v="SALE56"/>
    <d v="2023-12-22T00:00:00"/>
    <s v="CUST1080"/>
    <s v="PROD34"/>
    <s v="STORE6"/>
    <x v="16"/>
    <s v="Gaming Mechanical Keyboard"/>
    <x v="1"/>
    <x v="3"/>
    <s v="Jennifer Garcia"/>
    <n v="2"/>
    <n v="833.7"/>
    <n v="0.06"/>
    <x v="1"/>
    <x v="56"/>
  </r>
  <r>
    <s v="SALE57"/>
    <d v="2024-06-19T00:00:00"/>
    <s v="CUST1467"/>
    <s v="PROD47"/>
    <s v="STORE14"/>
    <x v="7"/>
    <s v="Makeup Brush Set"/>
    <x v="2"/>
    <x v="2"/>
    <s v="Michael Foley"/>
    <n v="2"/>
    <n v="680.16"/>
    <n v="0.28000000000000003"/>
    <x v="0"/>
    <x v="57"/>
  </r>
  <r>
    <s v="SALE58"/>
    <d v="2024-12-07T00:00:00"/>
    <s v="CUST1404"/>
    <s v="PROD15"/>
    <s v="STORE7"/>
    <x v="4"/>
    <s v="4K Home Projector"/>
    <x v="1"/>
    <x v="2"/>
    <s v="David Ross"/>
    <s v="Uknown"/>
    <n v="733.42"/>
    <s v="Unknown"/>
    <x v="1"/>
    <x v="58"/>
  </r>
  <r>
    <s v="SALE59"/>
    <d v="2023-11-27T00:00:00"/>
    <s v="CUST1367"/>
    <s v="PROD89"/>
    <s v="STORE11"/>
    <x v="19"/>
    <s v="Face Foundation Kit"/>
    <x v="2"/>
    <x v="2"/>
    <s v="Melinda Johnson"/>
    <n v="1"/>
    <n v="996.33"/>
    <n v="0.23"/>
    <x v="1"/>
    <x v="59"/>
  </r>
  <r>
    <s v="SALE60"/>
    <d v="2025-07-16T00:00:00"/>
    <s v="CUST1408"/>
    <s v="PROD31"/>
    <s v="STORE10"/>
    <x v="15"/>
    <s v="Basketball"/>
    <x v="0"/>
    <x v="3"/>
    <s v="Isabel Foster"/>
    <n v="1"/>
    <n v="198.83"/>
    <n v="0.09"/>
    <x v="2"/>
    <x v="60"/>
  </r>
  <r>
    <s v="SALE61"/>
    <d v="2025-02-28T00:00:00"/>
    <s v="CUST1239"/>
    <s v="PROD19"/>
    <s v="STORE7"/>
    <x v="4"/>
    <s v="Knee Support Brace"/>
    <x v="0"/>
    <x v="2"/>
    <s v="Maria Hill"/>
    <n v="0.99999999999999978"/>
    <n v="374.92"/>
    <n v="0.18"/>
    <x v="1"/>
    <x v="61"/>
  </r>
  <r>
    <s v="SALE62"/>
    <d v="2024-08-11T00:00:00"/>
    <s v="CUST1464"/>
    <s v="PROD93"/>
    <s v="STORE16"/>
    <x v="9"/>
    <s v="USB-C Laptop Charger"/>
    <x v="1"/>
    <x v="1"/>
    <s v="Not Found"/>
    <n v="1"/>
    <n v="468.94"/>
    <n v="0.12"/>
    <x v="0"/>
    <x v="62"/>
  </r>
  <r>
    <s v="SALE63"/>
    <d v="2025-09-27T00:00:00"/>
    <s v="CUST1126"/>
    <s v="PROD89"/>
    <s v="STORE12"/>
    <x v="18"/>
    <s v="Face Foundation Kit"/>
    <x v="2"/>
    <x v="0"/>
    <s v="James Wolfe"/>
    <n v="2"/>
    <n v="121.37"/>
    <n v="0.05"/>
    <x v="0"/>
    <x v="63"/>
  </r>
  <r>
    <s v="SALE64"/>
    <d v="2025-09-14T00:00:00"/>
    <s v="CUST1255"/>
    <s v="PROD53"/>
    <s v="STORE10"/>
    <x v="15"/>
    <s v="Men's Track Pants"/>
    <x v="4"/>
    <x v="3"/>
    <s v="Damon Perez"/>
    <n v="0"/>
    <n v="480.06"/>
    <n v="0.01"/>
    <x v="0"/>
    <x v="64"/>
  </r>
  <r>
    <s v="SALE65"/>
    <d v="2023-12-30T00:00:00"/>
    <s v="CUST1162"/>
    <s v="PROD99"/>
    <s v="STORE17"/>
    <x v="1"/>
    <s v="Stainless Steel Cookware Set"/>
    <x v="3"/>
    <x v="0"/>
    <s v="Mariah Brown"/>
    <n v="2"/>
    <n v="856.57"/>
    <n v="0.24"/>
    <x v="0"/>
    <x v="65"/>
  </r>
  <r>
    <s v="SALE66"/>
    <d v="2023-10-14T00:00:00"/>
    <s v="CUST1269"/>
    <s v="PROD77"/>
    <s v="STORE2"/>
    <x v="17"/>
    <s v="WiFi Mesh Router"/>
    <x v="1"/>
    <x v="2"/>
    <s v="Tyrone Olson"/>
    <n v="3.9999999999999991"/>
    <n v="814.25"/>
    <n v="0.18"/>
    <x v="0"/>
    <x v="66"/>
  </r>
  <r>
    <s v="SALE67"/>
    <d v="2023-11-25T00:00:00"/>
    <s v="CUST1483"/>
    <s v="PROD12"/>
    <s v="STORE2"/>
    <x v="17"/>
    <s v="Hair Strengthening Shampoo"/>
    <x v="2"/>
    <x v="2"/>
    <s v="Sarah Smith"/>
    <n v="1"/>
    <n v="989.17"/>
    <n v="0.2"/>
    <x v="1"/>
    <x v="67"/>
  </r>
  <r>
    <s v="SALE68"/>
    <d v="2023-12-10T00:00:00"/>
    <s v="CUST1372"/>
    <s v="PROD72"/>
    <s v="STORE10"/>
    <x v="15"/>
    <s v="Professional Jump Rope"/>
    <x v="0"/>
    <x v="3"/>
    <s v="Jacqueline Anthony"/>
    <n v="4"/>
    <n v="62.48"/>
    <n v="0.18"/>
    <x v="0"/>
    <x v="68"/>
  </r>
  <r>
    <s v="SALE69"/>
    <d v="2025-08-28T00:00:00"/>
    <s v="CUST1423"/>
    <s v="PROD13"/>
    <s v="STORE16"/>
    <x v="9"/>
    <s v="USB-C Fast Charger"/>
    <x v="1"/>
    <x v="1"/>
    <s v="Rebecca Baker"/>
    <n v="4"/>
    <n v="561.24"/>
    <n v="0.24"/>
    <x v="0"/>
    <x v="69"/>
  </r>
  <r>
    <s v="SALE70"/>
    <d v="2025-07-11T00:00:00"/>
    <s v="CUST1058"/>
    <s v="PROD60"/>
    <s v="STORE5"/>
    <x v="3"/>
    <s v="Luxury Perfume Spray"/>
    <x v="2"/>
    <x v="0"/>
    <s v="Cheryl Copeland"/>
    <n v="0"/>
    <n v="92.24"/>
    <n v="0.28000000000000003"/>
    <x v="2"/>
    <x v="64"/>
  </r>
  <r>
    <s v="SALE71"/>
    <d v="2025-08-20T00:00:00"/>
    <s v="CUST1168"/>
    <s v="PROD72"/>
    <s v="STORE1"/>
    <x v="8"/>
    <s v="Professional Jump Rope"/>
    <x v="0"/>
    <x v="0"/>
    <s v="Daniel Contreras"/>
    <n v="2.0000000000000004"/>
    <n v="668.3"/>
    <n v="7.0000000000000007E-2"/>
    <x v="0"/>
    <x v="70"/>
  </r>
  <r>
    <s v="SALE72"/>
    <d v="2024-08-29T00:00:00"/>
    <s v="CUST1409"/>
    <s v="PROD38"/>
    <s v="STORE5"/>
    <x v="3"/>
    <s v="Sports Water Hydration Pack"/>
    <x v="0"/>
    <x v="0"/>
    <s v="Sarah Smith"/>
    <n v="1.0000000000000002"/>
    <n v="553.82000000000005"/>
    <n v="0.09"/>
    <x v="0"/>
    <x v="71"/>
  </r>
  <r>
    <s v="SALE73"/>
    <d v="2024-11-30T00:00:00"/>
    <s v="CUST1037"/>
    <s v="PROD45"/>
    <s v="STORE11"/>
    <x v="19"/>
    <s v="High-Grip Football"/>
    <x v="0"/>
    <x v="2"/>
    <s v="Christopher Carter"/>
    <n v="2"/>
    <n v="556.42999999999995"/>
    <n v="0.13"/>
    <x v="0"/>
    <x v="72"/>
  </r>
  <r>
    <s v="SALE74"/>
    <d v="2025-10-12T00:00:00"/>
    <s v="CUST1273"/>
    <s v="PROD20"/>
    <s v="STORE8"/>
    <x v="2"/>
    <s v="Outdoor Sports Water Bottle"/>
    <x v="0"/>
    <x v="1"/>
    <s v="Samantha Robinson"/>
    <n v="1"/>
    <n v="184.98"/>
    <n v="0.1"/>
    <x v="2"/>
    <x v="73"/>
  </r>
  <r>
    <s v="SALE75"/>
    <d v="2024-07-27T00:00:00"/>
    <s v="CUST1035"/>
    <s v="PROD97"/>
    <s v="STORE12"/>
    <x v="18"/>
    <s v="Cricket Bat"/>
    <x v="0"/>
    <x v="0"/>
    <s v="Rachel Myers"/>
    <n v="4"/>
    <n v="700.18"/>
    <n v="0.23"/>
    <x v="0"/>
    <x v="74"/>
  </r>
  <r>
    <s v="SALE76"/>
    <d v="2023-12-25T00:00:00"/>
    <s v="CUST1019"/>
    <s v="PROD76"/>
    <s v="STORE10"/>
    <x v="15"/>
    <s v="Wireless Mouse"/>
    <x v="1"/>
    <x v="3"/>
    <s v="Michael Torres"/>
    <n v="2"/>
    <n v="686.31"/>
    <n v="0.25"/>
    <x v="0"/>
    <x v="75"/>
  </r>
  <r>
    <s v="SALE77"/>
    <d v="2025-05-23T00:00:00"/>
    <s v="CUST1007"/>
    <s v="PROD67"/>
    <s v="STORE15"/>
    <x v="10"/>
    <s v="Smart LED Light Strip"/>
    <x v="1"/>
    <x v="0"/>
    <s v="Daniel Boyd"/>
    <n v="1"/>
    <n v="687.82"/>
    <n v="0.27"/>
    <x v="2"/>
    <x v="76"/>
  </r>
  <r>
    <s v="SALE78"/>
    <d v="2024-11-13T00:00:00"/>
    <s v="CUST1221"/>
    <s v="PROD83"/>
    <s v="STORE8"/>
    <x v="2"/>
    <s v="Hydrating Face Cleanser"/>
    <x v="2"/>
    <x v="1"/>
    <s v="Lisa Young"/>
    <n v="2"/>
    <n v="900.55"/>
    <n v="0.16"/>
    <x v="0"/>
    <x v="77"/>
  </r>
  <r>
    <s v="SALE79"/>
    <d v="2023-12-08T00:00:00"/>
    <s v="CUST1115"/>
    <s v="PROD21"/>
    <s v="STORE2"/>
    <x v="17"/>
    <s v="Multi-Purpose Storage Box"/>
    <x v="3"/>
    <x v="2"/>
    <s v="Tyler Conrad"/>
    <n v="1"/>
    <n v="341.17"/>
    <n v="0.15"/>
    <x v="0"/>
    <x v="78"/>
  </r>
  <r>
    <s v="SALE80"/>
    <d v="2025-08-16T00:00:00"/>
    <s v="CUST1176"/>
    <s v="PROD52"/>
    <s v="STORE8"/>
    <x v="2"/>
    <s v="Rugby Ball"/>
    <x v="0"/>
    <x v="1"/>
    <s v="John Bradford"/>
    <n v="1"/>
    <n v="442.27"/>
    <n v="0.06"/>
    <x v="2"/>
    <x v="79"/>
  </r>
  <r>
    <s v="SALE81"/>
    <d v="2024-11-20T00:00:00"/>
    <s v="CUST1253"/>
    <s v="PROD71"/>
    <s v="STORE9"/>
    <x v="11"/>
    <s v="Hair Repair Oil Treatment"/>
    <x v="2"/>
    <x v="2"/>
    <s v="Dr. Ashley Yates MD"/>
    <n v="1"/>
    <n v="363.73"/>
    <n v="0.25"/>
    <x v="1"/>
    <x v="80"/>
  </r>
  <r>
    <s v="SALE82"/>
    <d v="2024-08-14T00:00:00"/>
    <s v="CUST1378"/>
    <s v="PROD91"/>
    <s v="STORE17"/>
    <x v="1"/>
    <s v="Women's High Heels"/>
    <x v="4"/>
    <x v="0"/>
    <s v="Frank Stewart"/>
    <n v="2"/>
    <n v="601.33000000000004"/>
    <n v="0.16"/>
    <x v="1"/>
    <x v="81"/>
  </r>
  <r>
    <s v="SALE83"/>
    <d v="2024-05-15T00:00:00"/>
    <s v="CUST1403"/>
    <s v="PROD17"/>
    <s v="STORE18"/>
    <x v="14"/>
    <s v="Soccer Training Cone Set"/>
    <x v="0"/>
    <x v="3"/>
    <s v="Justin Ingram"/>
    <n v="4"/>
    <n v="34.39"/>
    <n v="0.03"/>
    <x v="1"/>
    <x v="82"/>
  </r>
  <r>
    <s v="SALE84"/>
    <d v="2023-12-08T00:00:00"/>
    <s v="CUST1423"/>
    <s v="PROD46"/>
    <s v="STORE17"/>
    <x v="1"/>
    <s v="Men's Winter Jacket"/>
    <x v="4"/>
    <x v="0"/>
    <s v="Rebecca Baker"/>
    <n v="0"/>
    <n v="773.57"/>
    <n v="0.05"/>
    <x v="2"/>
    <x v="64"/>
  </r>
  <r>
    <s v="SALE85"/>
    <d v="2023-12-22T00:00:00"/>
    <s v="CUST1054"/>
    <s v="PROD88"/>
    <s v="STORE7"/>
    <x v="4"/>
    <s v="Sports Wrist Sweatbands"/>
    <x v="0"/>
    <x v="2"/>
    <s v="Katherine Dorsey"/>
    <n v="4"/>
    <n v="127.1"/>
    <n v="0.24"/>
    <x v="2"/>
    <x v="83"/>
  </r>
  <r>
    <s v="SALE86"/>
    <d v="2024-09-10T00:00:00"/>
    <s v="CUST1303"/>
    <s v="PROD20"/>
    <s v="STORE3"/>
    <x v="0"/>
    <s v="Outdoor Sports Water Bottle"/>
    <x v="0"/>
    <x v="0"/>
    <s v="John Sloan"/>
    <n v="3"/>
    <n v="899.58"/>
    <n v="0.28000000000000003"/>
    <x v="1"/>
    <x v="84"/>
  </r>
  <r>
    <s v="SALE87"/>
    <d v="2025-04-08T00:00:00"/>
    <s v="CUST1327"/>
    <s v="PROD1"/>
    <s v="STORE10"/>
    <x v="15"/>
    <s v="Men's Graphic T-Shirt"/>
    <x v="4"/>
    <x v="3"/>
    <s v="Reginald Willis"/>
    <n v="3.0000000000000004"/>
    <n v="964.39"/>
    <n v="0.04"/>
    <x v="0"/>
    <x v="85"/>
  </r>
  <r>
    <s v="SALE88"/>
    <d v="2024-10-23T00:00:00"/>
    <s v="CUST1183"/>
    <s v="PROD38"/>
    <s v="STORE0"/>
    <x v="6"/>
    <s v="Sports Water Hydration Pack"/>
    <x v="0"/>
    <x v="3"/>
    <s v="Mario Jacobs"/>
    <n v="2"/>
    <n v="217.83"/>
    <n v="0.14000000000000001"/>
    <x v="1"/>
    <x v="86"/>
  </r>
  <r>
    <s v="SALE89"/>
    <d v="2025-07-10T00:00:00"/>
    <s v="CUST1143"/>
    <s v="PROD17"/>
    <s v="STORE1"/>
    <x v="8"/>
    <s v="Soccer Training Cone Set"/>
    <x v="0"/>
    <x v="0"/>
    <s v="Carlos Skinner"/>
    <n v="4"/>
    <n v="187.71"/>
    <n v="0.06"/>
    <x v="2"/>
    <x v="87"/>
  </r>
  <r>
    <s v="SALE90"/>
    <d v="2024-10-12T00:00:00"/>
    <s v="CUST1010"/>
    <s v="PROD33"/>
    <s v="STORE18"/>
    <x v="14"/>
    <s v="Modern Wall Clock"/>
    <x v="3"/>
    <x v="3"/>
    <s v="Dominic Page"/>
    <n v="2"/>
    <n v="350.12"/>
    <n v="0.12"/>
    <x v="2"/>
    <x v="88"/>
  </r>
  <r>
    <s v="SALE91"/>
    <d v="2024-01-21T00:00:00"/>
    <s v="CUST1406"/>
    <s v="PROD16"/>
    <s v="STORE1"/>
    <x v="8"/>
    <s v="Not Found"/>
    <x v="5"/>
    <x v="0"/>
    <s v="David Lozano"/>
    <n v="4.0000000000000009"/>
    <n v="102.19"/>
    <n v="0.17"/>
    <x v="1"/>
    <x v="89"/>
  </r>
  <r>
    <s v="SALE92"/>
    <d v="2024-02-28T00:00:00"/>
    <s v="CUST1007"/>
    <s v="PROD86"/>
    <s v="STORE4"/>
    <x v="5"/>
    <s v="Kitchen Cutting Board"/>
    <x v="3"/>
    <x v="2"/>
    <s v="Daniel Boyd"/>
    <n v="1"/>
    <n v="696.53"/>
    <n v="0.17"/>
    <x v="0"/>
    <x v="90"/>
  </r>
  <r>
    <s v="SALE93"/>
    <d v="2024-12-31T00:00:00"/>
    <s v="CUST1065"/>
    <s v="PROD19"/>
    <s v="STORE4"/>
    <x v="5"/>
    <s v="Knee Support Brace"/>
    <x v="0"/>
    <x v="2"/>
    <s v="Michael Thomas"/>
    <n v="2"/>
    <n v="327.52"/>
    <n v="0.15"/>
    <x v="1"/>
    <x v="91"/>
  </r>
  <r>
    <s v="SALE94"/>
    <d v="2024-08-26T00:00:00"/>
    <s v="CUST1298"/>
    <s v="PROD97"/>
    <s v="STORE19"/>
    <x v="12"/>
    <s v="Cricket Bat"/>
    <x v="0"/>
    <x v="3"/>
    <s v="Tracy Stephens"/>
    <n v="0"/>
    <n v="569.36"/>
    <n v="0.01"/>
    <x v="1"/>
    <x v="64"/>
  </r>
  <r>
    <s v="SALE95"/>
    <d v="2024-09-21T00:00:00"/>
    <s v="CUST1321"/>
    <s v="PROD99"/>
    <s v="STORE6"/>
    <x v="16"/>
    <s v="Stainless Steel Cookware Set"/>
    <x v="3"/>
    <x v="3"/>
    <s v="Darren Burton"/>
    <n v="1.9999999999999998"/>
    <n v="68.290000000000006"/>
    <n v="0.14000000000000001"/>
    <x v="2"/>
    <x v="92"/>
  </r>
  <r>
    <s v="SALE96"/>
    <d v="2024-08-19T00:00:00"/>
    <s v="CUST1244"/>
    <s v="PROD50"/>
    <s v="STORE10"/>
    <x v="15"/>
    <s v="Boxing Hand Wraps"/>
    <x v="0"/>
    <x v="3"/>
    <s v="Nancy Page"/>
    <n v="1"/>
    <n v="842.9"/>
    <n v="0.06"/>
    <x v="2"/>
    <x v="93"/>
  </r>
  <r>
    <s v="SALE97"/>
    <d v="2024-10-22T00:00:00"/>
    <s v="CUST1287"/>
    <s v="PROD3"/>
    <s v="STORE3"/>
    <x v="0"/>
    <s v="Not Found"/>
    <x v="5"/>
    <x v="0"/>
    <s v="Cynthia Roberts"/>
    <n v="3"/>
    <n v="751.94"/>
    <n v="0.26"/>
    <x v="1"/>
    <x v="94"/>
  </r>
  <r>
    <s v="SALE98"/>
    <d v="2024-10-15T00:00:00"/>
    <s v="CUST1131"/>
    <s v="PROD56"/>
    <s v="STORE7"/>
    <x v="4"/>
    <s v="Premium Blanket Throw"/>
    <x v="3"/>
    <x v="2"/>
    <s v="Joseph Richards"/>
    <n v="4.0000000000000009"/>
    <n v="476.28"/>
    <n v="0.17"/>
    <x v="0"/>
    <x v="95"/>
  </r>
  <r>
    <s v="SALE99"/>
    <d v="2024-07-06T00:00:00"/>
    <s v="CUST1325"/>
    <s v="PROD54"/>
    <s v="STORE3"/>
    <x v="0"/>
    <s v="Sports Stopwatch Pro"/>
    <x v="0"/>
    <x v="0"/>
    <s v="Andrew Smith"/>
    <n v="3"/>
    <n v="541.99"/>
    <n v="0.24"/>
    <x v="2"/>
    <x v="96"/>
  </r>
  <r>
    <s v="SALE100"/>
    <d v="2025-01-20T00:00:00"/>
    <s v="CUST1369"/>
    <s v="PROD33"/>
    <s v="STORE5"/>
    <x v="3"/>
    <s v="Modern Wall Clock"/>
    <x v="3"/>
    <x v="0"/>
    <s v="Gregory Allen"/>
    <n v="2"/>
    <n v="401.5"/>
    <n v="0.18"/>
    <x v="0"/>
    <x v="97"/>
  </r>
  <r>
    <s v="SALE101"/>
    <d v="2024-06-10T00:00:00"/>
    <s v="CUST1084"/>
    <s v="PROD25"/>
    <s v="STORE13"/>
    <x v="13"/>
    <s v="Women's Scarf Set"/>
    <x v="4"/>
    <x v="3"/>
    <s v="Christy Hoffman"/>
    <n v="3"/>
    <n v="359.56"/>
    <n v="0.17"/>
    <x v="1"/>
    <x v="98"/>
  </r>
  <r>
    <s v="SALE102"/>
    <d v="2024-09-17T00:00:00"/>
    <s v="CUST1097"/>
    <s v="PROD80"/>
    <s v="STORE12"/>
    <x v="18"/>
    <s v="Wall-Mounted Spice Rack"/>
    <x v="3"/>
    <x v="0"/>
    <s v="David Cobb"/>
    <n v="2"/>
    <n v="471.88"/>
    <n v="0.24"/>
    <x v="1"/>
    <x v="99"/>
  </r>
  <r>
    <s v="SALE103"/>
    <d v="2025-09-07T00:00:00"/>
    <s v="CUST1182"/>
    <s v="PROD34"/>
    <s v="STORE4"/>
    <x v="5"/>
    <s v="Gaming Mechanical Keyboard"/>
    <x v="1"/>
    <x v="2"/>
    <s v="Melissa Hamilton"/>
    <n v="4.0000000000000009"/>
    <n v="925.19"/>
    <n v="0.19"/>
    <x v="1"/>
    <x v="100"/>
  </r>
  <r>
    <s v="SALE104"/>
    <d v="2024-02-08T00:00:00"/>
    <s v="CUST1029"/>
    <s v="PROD86"/>
    <s v="STORE11"/>
    <x v="19"/>
    <s v="Kitchen Cutting Board"/>
    <x v="3"/>
    <x v="2"/>
    <s v="David Arnold"/>
    <n v="2"/>
    <n v="879.63"/>
    <n v="7.0000000000000007E-2"/>
    <x v="2"/>
    <x v="101"/>
  </r>
  <r>
    <s v="SALE105"/>
    <d v="2023-10-15T00:00:00"/>
    <s v="CUST1002"/>
    <s v="PROD79"/>
    <s v="STORE17"/>
    <x v="1"/>
    <s v="Decorative Lamp Shade"/>
    <x v="3"/>
    <x v="0"/>
    <s v="dr. Benjamin Price"/>
    <n v="2"/>
    <n v="418.23"/>
    <n v="0.28000000000000003"/>
    <x v="0"/>
    <x v="102"/>
  </r>
  <r>
    <s v="SALE106"/>
    <d v="2025-08-22T00:00:00"/>
    <s v="CUST1269"/>
    <s v="PROD19"/>
    <s v="STORE18"/>
    <x v="14"/>
    <s v="Knee Support Brace"/>
    <x v="0"/>
    <x v="3"/>
    <s v="Tyrone Olson"/>
    <n v="3"/>
    <n v="551.72"/>
    <n v="0.03"/>
    <x v="2"/>
    <x v="103"/>
  </r>
  <r>
    <s v="SALE107"/>
    <d v="2024-02-01T00:00:00"/>
    <s v="CUST1338"/>
    <s v="PROD86"/>
    <s v="STORE7"/>
    <x v="4"/>
    <s v="Kitchen Cutting Board"/>
    <x v="3"/>
    <x v="2"/>
    <s v="Jasmine Snyder"/>
    <n v="4"/>
    <n v="525.61"/>
    <n v="0.02"/>
    <x v="1"/>
    <x v="104"/>
  </r>
  <r>
    <s v="SALE108"/>
    <d v="2025-05-08T00:00:00"/>
    <s v="CUST1041"/>
    <s v="PROD22"/>
    <s v="STORE13"/>
    <x v="13"/>
    <s v="Carbon Fiber Tennis Racket"/>
    <x v="0"/>
    <x v="3"/>
    <s v="James Gibbs"/>
    <n v="3.0000000000000004"/>
    <n v="815.3"/>
    <n v="0.03"/>
    <x v="0"/>
    <x v="105"/>
  </r>
  <r>
    <s v="SALE109"/>
    <d v="2025-03-22T00:00:00"/>
    <s v="CUST1214"/>
    <s v="PROD91"/>
    <s v="STORE0"/>
    <x v="6"/>
    <s v="Women's High Heels"/>
    <x v="4"/>
    <x v="3"/>
    <s v="Eric Todd"/>
    <n v="3"/>
    <n v="376.46"/>
    <n v="0.09"/>
    <x v="2"/>
    <x v="106"/>
  </r>
  <r>
    <s v="SALE110"/>
    <d v="2025-07-13T00:00:00"/>
    <s v="CUST1007"/>
    <s v="PROD42"/>
    <s v="STORE8"/>
    <x v="2"/>
    <s v="Smart Home WiFi Camera"/>
    <x v="1"/>
    <x v="1"/>
    <s v="Daniel Boyd"/>
    <n v="4"/>
    <n v="239.83"/>
    <n v="0.08"/>
    <x v="0"/>
    <x v="107"/>
  </r>
  <r>
    <s v="SALE111"/>
    <d v="2025-05-21T00:00:00"/>
    <s v="CUST1119"/>
    <s v="PROD90"/>
    <s v="STORE3"/>
    <x v="0"/>
    <s v="Gaming Mouse Pad XL"/>
    <x v="1"/>
    <x v="0"/>
    <s v="Michael Jones"/>
    <n v="1.9999999999999998"/>
    <n v="845.71"/>
    <n v="0.01"/>
    <x v="1"/>
    <x v="108"/>
  </r>
  <r>
    <s v="SALE112"/>
    <d v="2025-02-17T00:00:00"/>
    <s v="CUST1087"/>
    <s v="PROD76"/>
    <s v="STORE13"/>
    <x v="13"/>
    <s v="Wireless Mouse"/>
    <x v="1"/>
    <x v="3"/>
    <s v="Melissa Duffy MD"/>
    <n v="3.0000000000000004"/>
    <n v="948.69"/>
    <n v="0.28999999999999998"/>
    <x v="0"/>
    <x v="109"/>
  </r>
  <r>
    <s v="SALE113"/>
    <d v="2024-05-01T00:00:00"/>
    <s v="CUST1467"/>
    <s v="PROD27"/>
    <s v="STORE10"/>
    <x v="15"/>
    <s v="Decorative Floor Vase"/>
    <x v="3"/>
    <x v="3"/>
    <s v="Michael Foley"/>
    <n v="0.99999999999999989"/>
    <n v="281.97000000000003"/>
    <n v="0.2"/>
    <x v="1"/>
    <x v="110"/>
  </r>
  <r>
    <s v="SALE114"/>
    <d v="2024-07-09T00:00:00"/>
    <s v="CUST1152"/>
    <s v="PROD91"/>
    <s v="STORE4"/>
    <x v="5"/>
    <s v="Women's High Heels"/>
    <x v="4"/>
    <x v="2"/>
    <s v="Patrick Roberts"/>
    <n v="2.0000000000000004"/>
    <n v="731.01"/>
    <n v="0.05"/>
    <x v="1"/>
    <x v="111"/>
  </r>
  <r>
    <s v="SALE115"/>
    <d v="2025-09-25T00:00:00"/>
    <s v="CUST1257"/>
    <s v="PROD85"/>
    <s v="STORE7"/>
    <x v="4"/>
    <s v="Women's Beanie Hat"/>
    <x v="4"/>
    <x v="2"/>
    <s v="Christopher David"/>
    <n v="4"/>
    <n v="930.85"/>
    <n v="0.13"/>
    <x v="1"/>
    <x v="112"/>
  </r>
  <r>
    <s v="SALE116"/>
    <d v="2024-05-08T00:00:00"/>
    <s v="CUST1419"/>
    <s v="PROD3"/>
    <s v="STORE8"/>
    <x v="2"/>
    <s v="Not Found"/>
    <x v="5"/>
    <x v="1"/>
    <s v="Monica Miller"/>
    <n v="4"/>
    <n v="770.77"/>
    <n v="0.22"/>
    <x v="0"/>
    <x v="113"/>
  </r>
  <r>
    <s v="SALE117"/>
    <d v="2024-09-19T00:00:00"/>
    <s v="CUST1067"/>
    <s v="PROD46"/>
    <s v="STORE4"/>
    <x v="5"/>
    <s v="Men's Winter Jacket"/>
    <x v="4"/>
    <x v="2"/>
    <s v="Amber Mcclain"/>
    <n v="3"/>
    <n v="479.63"/>
    <n v="0.3"/>
    <x v="1"/>
    <x v="114"/>
  </r>
  <r>
    <s v="SALE118"/>
    <d v="2024-04-23T00:00:00"/>
    <s v="CUST1105"/>
    <s v="PROD39"/>
    <s v="STORE11"/>
    <x v="19"/>
    <s v="Portable Power Bank"/>
    <x v="1"/>
    <x v="2"/>
    <s v="Lance Baker"/>
    <n v="1.0000000000000002"/>
    <n v="165"/>
    <n v="0.3"/>
    <x v="2"/>
    <x v="115"/>
  </r>
  <r>
    <s v="SALE119"/>
    <d v="2024-07-30T00:00:00"/>
    <s v="CUST1158"/>
    <s v="PROD19"/>
    <s v="STORE8"/>
    <x v="2"/>
    <s v="Knee Support Brace"/>
    <x v="0"/>
    <x v="1"/>
    <s v="Sean Powell"/>
    <n v="2.0000000000000004"/>
    <n v="151.51"/>
    <n v="0.28999999999999998"/>
    <x v="2"/>
    <x v="116"/>
  </r>
  <r>
    <s v="SALE120"/>
    <d v="2023-12-14T00:00:00"/>
    <s v="CUST1231"/>
    <s v="PROD31"/>
    <s v="STORE17"/>
    <x v="1"/>
    <s v="Basketball"/>
    <x v="0"/>
    <x v="0"/>
    <s v="Timothy Juarez"/>
    <n v="2.0000000000000004"/>
    <n v="872.93"/>
    <n v="0.28999999999999998"/>
    <x v="2"/>
    <x v="117"/>
  </r>
  <r>
    <s v="SALE121"/>
    <d v="2024-09-23T00:00:00"/>
    <s v="CUST1264"/>
    <s v="PROD22"/>
    <s v="STORE10"/>
    <x v="15"/>
    <s v="Carbon Fiber Tennis Racket"/>
    <x v="0"/>
    <x v="3"/>
    <s v="Matthew Payne"/>
    <n v="3"/>
    <n v="432.4"/>
    <n v="0.04"/>
    <x v="0"/>
    <x v="118"/>
  </r>
  <r>
    <s v="SALE122"/>
    <d v="2025-08-17T00:00:00"/>
    <s v="CUST1338"/>
    <s v="PROD50"/>
    <s v="STORE7"/>
    <x v="4"/>
    <s v="Boxing Hand Wraps"/>
    <x v="0"/>
    <x v="2"/>
    <s v="Jasmine Snyder"/>
    <n v="2.0000000000000004"/>
    <n v="197.76"/>
    <n v="0.04"/>
    <x v="0"/>
    <x v="119"/>
  </r>
  <r>
    <s v="SALE123"/>
    <d v="2025-01-17T00:00:00"/>
    <s v="CUST1476"/>
    <s v="PROD40"/>
    <s v="STORE2"/>
    <x v="17"/>
    <s v="Noise-Canceling Headphones"/>
    <x v="1"/>
    <x v="2"/>
    <s v="Elizabeth Foster"/>
    <n v="3"/>
    <n v="334.6"/>
    <n v="0.11"/>
    <x v="1"/>
    <x v="120"/>
  </r>
  <r>
    <s v="SALE124"/>
    <d v="2025-04-30T00:00:00"/>
    <s v="CUST1087"/>
    <s v="PROD14"/>
    <s v="STORE3"/>
    <x v="0"/>
    <s v="Decorative Wall Mirror"/>
    <x v="3"/>
    <x v="0"/>
    <s v="Melissa Duffy MD"/>
    <n v="2"/>
    <n v="44.35"/>
    <n v="0.2"/>
    <x v="2"/>
    <x v="121"/>
  </r>
  <r>
    <s v="SALE125"/>
    <d v="2024-11-02T00:00:00"/>
    <s v="CUST1498"/>
    <s v="PROD8"/>
    <s v="STORE6"/>
    <x v="16"/>
    <s v="Wireless Bluetooth Earbuds"/>
    <x v="1"/>
    <x v="3"/>
    <s v="Traci Gonzalez"/>
    <n v="1"/>
    <n v="846.31"/>
    <n v="0.05"/>
    <x v="1"/>
    <x v="122"/>
  </r>
  <r>
    <s v="SALE126"/>
    <d v="2025-08-15T00:00:00"/>
    <s v="CUST1131"/>
    <s v="PROD35"/>
    <s v="STORE12"/>
    <x v="18"/>
    <s v="Bedroom Table Lamp"/>
    <x v="3"/>
    <x v="0"/>
    <s v="Joseph Richards"/>
    <n v="1"/>
    <n v="996.48"/>
    <n v="7.0000000000000007E-2"/>
    <x v="2"/>
    <x v="123"/>
  </r>
  <r>
    <s v="SALE127"/>
    <d v="2025-09-16T00:00:00"/>
    <s v="CUST1277"/>
    <s v="PROD93"/>
    <s v="STORE6"/>
    <x v="16"/>
    <s v="USB-C Laptop Charger"/>
    <x v="1"/>
    <x v="3"/>
    <s v="Jeffrey Gomez"/>
    <n v="3"/>
    <n v="949.19"/>
    <n v="0.03"/>
    <x v="2"/>
    <x v="124"/>
  </r>
  <r>
    <s v="SALE128"/>
    <d v="2024-02-25T00:00:00"/>
    <s v="CUST1397"/>
    <s v="PROD94"/>
    <s v="STORE9"/>
    <x v="11"/>
    <s v="Vitamin E Body Lotion"/>
    <x v="2"/>
    <x v="2"/>
    <s v="Charles Norman PhD"/>
    <n v="1.9999999999999996"/>
    <n v="724.97"/>
    <n v="0.1"/>
    <x v="0"/>
    <x v="125"/>
  </r>
  <r>
    <s v="SALE129"/>
    <d v="2025-03-07T00:00:00"/>
    <s v="CUST1315"/>
    <s v="PROD1"/>
    <s v="STORE16"/>
    <x v="9"/>
    <s v="Men's Graphic T-Shirt"/>
    <x v="4"/>
    <x v="1"/>
    <s v="William Rodriguez"/>
    <n v="1"/>
    <n v="783.25"/>
    <n v="0.3"/>
    <x v="0"/>
    <x v="126"/>
  </r>
  <r>
    <s v="SALE130"/>
    <d v="2024-07-22T00:00:00"/>
    <s v="CUST1343"/>
    <s v="PROD17"/>
    <s v="STORE3"/>
    <x v="0"/>
    <s v="Soccer Training Cone Set"/>
    <x v="0"/>
    <x v="0"/>
    <s v="Ryan Moore"/>
    <n v="1"/>
    <n v="942.38"/>
    <n v="0.17"/>
    <x v="0"/>
    <x v="127"/>
  </r>
  <r>
    <s v="SALE131"/>
    <d v="2024-06-01T00:00:00"/>
    <s v="CUST1496"/>
    <s v="PROD51"/>
    <s v="STORE11"/>
    <x v="19"/>
    <s v="HDMI Cable – 2m"/>
    <x v="1"/>
    <x v="2"/>
    <s v="Christopher Ford"/>
    <n v="3"/>
    <n v="298.35000000000002"/>
    <n v="0.05"/>
    <x v="2"/>
    <x v="128"/>
  </r>
  <r>
    <s v="SALE132"/>
    <d v="2025-01-05T00:00:00"/>
    <s v="CUST1164"/>
    <s v="PROD48"/>
    <s v="STORE12"/>
    <x v="18"/>
    <s v="Car Dashboard Phone Holder"/>
    <x v="1"/>
    <x v="0"/>
    <s v="Daniel Rivas"/>
    <n v="4"/>
    <n v="950.04"/>
    <n v="0.13"/>
    <x v="1"/>
    <x v="129"/>
  </r>
  <r>
    <s v="SALE133"/>
    <d v="2025-09-10T00:00:00"/>
    <s v="CUST1329"/>
    <s v="PROD57"/>
    <s v="STORE4"/>
    <x v="5"/>
    <s v="Foam Roller"/>
    <x v="0"/>
    <x v="2"/>
    <s v="Victor Mcintosh"/>
    <n v="2.0000000000000004"/>
    <n v="267.19"/>
    <n v="7.0000000000000007E-2"/>
    <x v="0"/>
    <x v="130"/>
  </r>
  <r>
    <s v="SALE134"/>
    <d v="2025-06-19T00:00:00"/>
    <s v="CUST1201"/>
    <s v="PROD87"/>
    <s v="STORE15"/>
    <x v="10"/>
    <s v="LED Bedside Lamp"/>
    <x v="3"/>
    <x v="0"/>
    <s v="Mary Boyd"/>
    <n v="4"/>
    <n v="72.63"/>
    <n v="0.06"/>
    <x v="1"/>
    <x v="131"/>
  </r>
  <r>
    <s v="SALE135"/>
    <d v="2024-09-09T00:00:00"/>
    <s v="CUST1427"/>
    <s v="PROD53"/>
    <s v="STORE5"/>
    <x v="3"/>
    <s v="Men's Track Pants"/>
    <x v="4"/>
    <x v="0"/>
    <s v="Jose Stewart"/>
    <n v="3"/>
    <n v="576.52"/>
    <n v="0.22"/>
    <x v="2"/>
    <x v="132"/>
  </r>
  <r>
    <s v="SALE136"/>
    <d v="2025-04-04T00:00:00"/>
    <s v="CUST1349"/>
    <s v="PROD71"/>
    <s v="STORE9"/>
    <x v="11"/>
    <s v="Hair Repair Oil Treatment"/>
    <x v="2"/>
    <x v="2"/>
    <s v="Heather Valenzuela"/>
    <n v="3"/>
    <n v="849.36"/>
    <n v="0.03"/>
    <x v="0"/>
    <x v="133"/>
  </r>
  <r>
    <s v="SALE137"/>
    <d v="2024-04-10T00:00:00"/>
    <s v="CUST1473"/>
    <s v="PROD50"/>
    <s v="STORE6"/>
    <x v="16"/>
    <s v="Boxing Hand Wraps"/>
    <x v="0"/>
    <x v="3"/>
    <s v="Laura Mathews"/>
    <n v="1"/>
    <n v="245.85"/>
    <n v="0.18"/>
    <x v="2"/>
    <x v="134"/>
  </r>
  <r>
    <s v="SALE138"/>
    <d v="2024-10-24T00:00:00"/>
    <s v="CUST1178"/>
    <s v="PROD97"/>
    <s v="STORE10"/>
    <x v="15"/>
    <s v="Cricket Bat"/>
    <x v="0"/>
    <x v="3"/>
    <s v="Michelle Myers"/>
    <n v="3"/>
    <n v="237.68"/>
    <n v="0.1"/>
    <x v="2"/>
    <x v="135"/>
  </r>
  <r>
    <s v="SALE139"/>
    <d v="2025-04-09T00:00:00"/>
    <s v="CUST1337"/>
    <s v="PROD71"/>
    <s v="STORE14"/>
    <x v="7"/>
    <s v="Hair Repair Oil Treatment"/>
    <x v="2"/>
    <x v="2"/>
    <s v="Carol Lewis"/>
    <n v="4"/>
    <n v="715.85"/>
    <n v="0.25"/>
    <x v="1"/>
    <x v="136"/>
  </r>
  <r>
    <s v="SALE140"/>
    <d v="2023-11-25T00:00:00"/>
    <s v="CUST1171"/>
    <s v="PROD90"/>
    <s v="STORE5"/>
    <x v="3"/>
    <s v="Gaming Mouse Pad XL"/>
    <x v="1"/>
    <x v="0"/>
    <s v="Amy Wilson"/>
    <n v="2"/>
    <n v="478.85"/>
    <n v="0.01"/>
    <x v="2"/>
    <x v="137"/>
  </r>
  <r>
    <s v="SALE141"/>
    <d v="2025-03-02T00:00:00"/>
    <s v="CUST1113"/>
    <s v="PROD47"/>
    <s v="STORE0"/>
    <x v="6"/>
    <s v="Makeup Brush Set"/>
    <x v="2"/>
    <x v="3"/>
    <s v="Edward Hall"/>
    <n v="1"/>
    <n v="503.95"/>
    <n v="0.26"/>
    <x v="2"/>
    <x v="138"/>
  </r>
  <r>
    <s v="SALE142"/>
    <d v="2024-10-08T00:00:00"/>
    <s v="CUST1399"/>
    <s v="PROD66"/>
    <s v="STORE12"/>
    <x v="18"/>
    <s v="Women's Hair Dryer Brush"/>
    <x v="2"/>
    <x v="0"/>
    <s v="John Donaldson"/>
    <n v="2"/>
    <n v="975.48"/>
    <n v="0.26"/>
    <x v="2"/>
    <x v="139"/>
  </r>
  <r>
    <s v="SALE143"/>
    <d v="2025-08-15T00:00:00"/>
    <s v="CUST1401"/>
    <s v="PROD34"/>
    <s v="STORE16"/>
    <x v="9"/>
    <s v="Gaming Mechanical Keyboard"/>
    <x v="1"/>
    <x v="1"/>
    <s v="Terry Moses"/>
    <n v="4"/>
    <n v="450.12"/>
    <n v="0.28999999999999998"/>
    <x v="2"/>
    <x v="140"/>
  </r>
  <r>
    <s v="SALE144"/>
    <d v="2024-06-05T00:00:00"/>
    <s v="CUST1435"/>
    <s v="PROD36"/>
    <s v="STORE8"/>
    <x v="2"/>
    <s v="Women's Summer Dress"/>
    <x v="4"/>
    <x v="1"/>
    <s v="Lindsay Beasley"/>
    <n v="3"/>
    <n v="237.24"/>
    <n v="0.24"/>
    <x v="1"/>
    <x v="141"/>
  </r>
  <r>
    <s v="SALE145"/>
    <d v="2024-08-18T00:00:00"/>
    <s v="CUST1459"/>
    <s v="PROD54"/>
    <s v="STORE15"/>
    <x v="10"/>
    <s v="Sports Stopwatch Pro"/>
    <x v="0"/>
    <x v="0"/>
    <s v="John Perez"/>
    <n v="2"/>
    <n v="536.84"/>
    <n v="0.09"/>
    <x v="2"/>
    <x v="142"/>
  </r>
  <r>
    <s v="SALE146"/>
    <d v="2024-11-30T00:00:00"/>
    <s v="CUST1443"/>
    <s v="PROD36"/>
    <s v="STORE19"/>
    <x v="12"/>
    <s v="Women's Summer Dress"/>
    <x v="4"/>
    <x v="3"/>
    <s v="Adam Castro"/>
    <n v="3"/>
    <n v="584.41"/>
    <n v="0"/>
    <x v="2"/>
    <x v="143"/>
  </r>
  <r>
    <s v="SALE147"/>
    <d v="2024-11-21T00:00:00"/>
    <s v="CUST1294"/>
    <s v="PROD82"/>
    <s v="STORE19"/>
    <x v="12"/>
    <s v="Fitness Resistance Bands"/>
    <x v="0"/>
    <x v="3"/>
    <s v="Lisa Chandler"/>
    <n v="1"/>
    <n v="653.87"/>
    <n v="0.14000000000000001"/>
    <x v="1"/>
    <x v="144"/>
  </r>
  <r>
    <s v="SALE148"/>
    <d v="2025-08-09T00:00:00"/>
    <s v="CUST1493"/>
    <s v="PROD87"/>
    <s v="STORE0"/>
    <x v="6"/>
    <s v="LED Bedside Lamp"/>
    <x v="3"/>
    <x v="3"/>
    <s v="Amanda Powell"/>
    <n v="1"/>
    <n v="652.03"/>
    <n v="0.27"/>
    <x v="0"/>
    <x v="145"/>
  </r>
  <r>
    <s v="SALE149"/>
    <d v="2024-07-29T00:00:00"/>
    <s v="CUST1093"/>
    <s v="PROD5"/>
    <s v="STORE12"/>
    <x v="18"/>
    <s v="Men's Leather Belt"/>
    <x v="4"/>
    <x v="0"/>
    <s v="Christy Vasquez"/>
    <n v="3"/>
    <n v="513.36"/>
    <n v="7.0000000000000007E-2"/>
    <x v="2"/>
    <x v="146"/>
  </r>
  <r>
    <s v="SALE150"/>
    <d v="2024-05-21T00:00:00"/>
    <s v="CUST1068"/>
    <s v="PROD52"/>
    <s v="STORE5"/>
    <x v="3"/>
    <s v="Rugby Ball"/>
    <x v="0"/>
    <x v="0"/>
    <s v="Mr. Mark Beasley"/>
    <n v="4"/>
    <n v="355.64"/>
    <n v="0.16"/>
    <x v="2"/>
    <x v="147"/>
  </r>
  <r>
    <s v="SALE151"/>
    <d v="2024-10-29T00:00:00"/>
    <s v="CUST1022"/>
    <s v="PROD13"/>
    <s v="STORE8"/>
    <x v="2"/>
    <s v="USB-C Fast Charger"/>
    <x v="1"/>
    <x v="1"/>
    <s v="   paul fox"/>
    <n v="4.0000000000000009"/>
    <n v="535.4"/>
    <n v="0.26"/>
    <x v="1"/>
    <x v="148"/>
  </r>
  <r>
    <s v="SALE152"/>
    <d v="2025-05-21T00:00:00"/>
    <s v="CUST1243"/>
    <s v="PROD69"/>
    <s v="STORE19"/>
    <x v="12"/>
    <s v="Men's Sports Shorts"/>
    <x v="4"/>
    <x v="3"/>
    <s v="Brian Hammond"/>
    <n v="2"/>
    <n v="108.74"/>
    <n v="0.11"/>
    <x v="1"/>
    <x v="149"/>
  </r>
  <r>
    <s v="SALE153"/>
    <d v="2024-10-14T00:00:00"/>
    <s v="CUST1314"/>
    <s v="PROD11"/>
    <s v="STORE19"/>
    <x v="12"/>
    <s v="HD Smart TV Stick"/>
    <x v="1"/>
    <x v="3"/>
    <s v="Elizabeth Johnson"/>
    <n v="3.0000000000000004"/>
    <n v="591.98"/>
    <n v="0.16"/>
    <x v="0"/>
    <x v="150"/>
  </r>
  <r>
    <s v="SALE154"/>
    <d v="2024-11-17T00:00:00"/>
    <s v="CUST1405"/>
    <s v="PROD48"/>
    <s v="STORE2"/>
    <x v="17"/>
    <s v="Car Dashboard Phone Holder"/>
    <x v="1"/>
    <x v="2"/>
    <s v="Eric Wolfe"/>
    <n v="1"/>
    <n v="345.06"/>
    <n v="0.13"/>
    <x v="2"/>
    <x v="151"/>
  </r>
  <r>
    <s v="SALE155"/>
    <d v="2025-03-29T00:00:00"/>
    <s v="CUST1307"/>
    <s v="PROD93"/>
    <s v="STORE12"/>
    <x v="18"/>
    <s v="USB-C Laptop Charger"/>
    <x v="1"/>
    <x v="0"/>
    <s v="Brandy Thompson"/>
    <n v="4"/>
    <n v="986.41"/>
    <n v="0.22"/>
    <x v="0"/>
    <x v="152"/>
  </r>
  <r>
    <s v="SALE156"/>
    <d v="2024-07-21T00:00:00"/>
    <s v="CUST1319"/>
    <s v="PROD49"/>
    <s v="STORE0"/>
    <x v="6"/>
    <s v="Men's Roll-On Perfume"/>
    <x v="2"/>
    <x v="3"/>
    <s v="Casey Simpson"/>
    <n v="2"/>
    <n v="921.52"/>
    <n v="0"/>
    <x v="1"/>
    <x v="153"/>
  </r>
  <r>
    <s v="SALE157"/>
    <d v="2025-08-14T00:00:00"/>
    <s v="CUST1097"/>
    <s v="PROD55"/>
    <s v="STORE5"/>
    <x v="3"/>
    <s v="Ceramic Plant Pot"/>
    <x v="3"/>
    <x v="0"/>
    <s v="David Cobb"/>
    <n v="1"/>
    <n v="83.1"/>
    <n v="0.04"/>
    <x v="1"/>
    <x v="154"/>
  </r>
  <r>
    <s v="SALE158"/>
    <d v="2024-11-05T00:00:00"/>
    <s v="CUST1369"/>
    <s v="PROD28"/>
    <s v="STORE11"/>
    <x v="19"/>
    <s v="Sports Stopwatch Timer"/>
    <x v="0"/>
    <x v="2"/>
    <s v="Gregory Allen"/>
    <n v="2"/>
    <n v="60.98"/>
    <n v="0.23"/>
    <x v="1"/>
    <x v="155"/>
  </r>
  <r>
    <s v="SALE159"/>
    <d v="2024-06-11T00:00:00"/>
    <s v="CUST1394"/>
    <s v="PROD89"/>
    <s v="STORE16"/>
    <x v="9"/>
    <s v="Face Foundation Kit"/>
    <x v="2"/>
    <x v="1"/>
    <s v="Alejandro Evans"/>
    <n v="2"/>
    <n v="122.23"/>
    <n v="0.21"/>
    <x v="2"/>
    <x v="156"/>
  </r>
  <r>
    <s v="SALE160"/>
    <d v="2025-09-18T00:00:00"/>
    <s v="CUST1020"/>
    <s v="PROD70"/>
    <s v="STORE18"/>
    <x v="14"/>
    <s v="Kitchen Storage Rack"/>
    <x v="3"/>
    <x v="3"/>
    <s v="Bridget Allen"/>
    <n v="2"/>
    <n v="623.38"/>
    <n v="0.13"/>
    <x v="0"/>
    <x v="157"/>
  </r>
  <r>
    <s v="SALE161"/>
    <d v="2025-03-13T00:00:00"/>
    <s v="CUST1058"/>
    <s v="PROD70"/>
    <s v="STORE0"/>
    <x v="6"/>
    <s v="Kitchen Storage Rack"/>
    <x v="3"/>
    <x v="3"/>
    <s v="Cheryl Copeland"/>
    <n v="0.99999999999999989"/>
    <n v="479.58"/>
    <n v="0.05"/>
    <x v="1"/>
    <x v="158"/>
  </r>
  <r>
    <s v="SALE162"/>
    <d v="2023-12-16T00:00:00"/>
    <s v="CUST1298"/>
    <s v="PROD73"/>
    <s v="STORE6"/>
    <x v="16"/>
    <s v="Shin Guards – Adult"/>
    <x v="0"/>
    <x v="3"/>
    <s v="Tracy Stephens"/>
    <n v="3"/>
    <n v="369.32"/>
    <n v="0.14000000000000001"/>
    <x v="1"/>
    <x v="159"/>
  </r>
  <r>
    <s v="SALE163"/>
    <d v="2025-07-13T00:00:00"/>
    <s v="CUST1076"/>
    <s v="PROD32"/>
    <s v="STORE1"/>
    <x v="8"/>
    <s v="Vitamin C Face Serum"/>
    <x v="2"/>
    <x v="0"/>
    <s v="Nathan Campbell"/>
    <n v="1.0000000000000002"/>
    <n v="488.31"/>
    <n v="0.03"/>
    <x v="1"/>
    <x v="160"/>
  </r>
  <r>
    <s v="SALE164"/>
    <d v="2024-05-06T00:00:00"/>
    <s v="CUST1276"/>
    <s v="PROD54"/>
    <s v="STORE12"/>
    <x v="18"/>
    <s v="Sports Stopwatch Pro"/>
    <x v="0"/>
    <x v="0"/>
    <s v="Arthur Warren"/>
    <n v="3.9999999999999996"/>
    <n v="164.04"/>
    <n v="0.26"/>
    <x v="0"/>
    <x v="161"/>
  </r>
  <r>
    <s v="SALE165"/>
    <d v="2024-08-04T00:00:00"/>
    <s v="CUST1073"/>
    <s v="PROD10"/>
    <s v="STORE17"/>
    <x v="1"/>
    <s v="Ceramic Kitchen Bowl Set"/>
    <x v="3"/>
    <x v="0"/>
    <s v="Christopher Brown"/>
    <n v="2.9999999999999996"/>
    <n v="707.95"/>
    <n v="0.18"/>
    <x v="1"/>
    <x v="162"/>
  </r>
  <r>
    <s v="SALE166"/>
    <d v="2023-12-09T00:00:00"/>
    <s v="CUST1295"/>
    <s v="PROD69"/>
    <s v="STORE8"/>
    <x v="2"/>
    <s v="Men's Sports Shorts"/>
    <x v="4"/>
    <x v="1"/>
    <s v="Crystal Waters"/>
    <n v="4"/>
    <n v="714.47"/>
    <n v="0.18"/>
    <x v="2"/>
    <x v="163"/>
  </r>
  <r>
    <s v="SALE167"/>
    <d v="2025-07-28T00:00:00"/>
    <s v="CUST1415"/>
    <s v="PROD79"/>
    <s v="STORE7"/>
    <x v="4"/>
    <s v="Decorative Lamp Shade"/>
    <x v="3"/>
    <x v="2"/>
    <s v="Tyler Cook"/>
    <n v="4"/>
    <n v="422.09"/>
    <n v="0.04"/>
    <x v="0"/>
    <x v="164"/>
  </r>
  <r>
    <s v="SALE168"/>
    <d v="2024-06-19T00:00:00"/>
    <s v="CUST1108"/>
    <s v="PROD30"/>
    <s v="STORE9"/>
    <x v="11"/>
    <s v="Stainless Steel Cutlery Set"/>
    <x v="3"/>
    <x v="2"/>
    <s v="Travis Holland"/>
    <n v="1"/>
    <n v="998.19"/>
    <n v="0.2"/>
    <x v="0"/>
    <x v="165"/>
  </r>
  <r>
    <s v="SALE169"/>
    <d v="2024-01-22T00:00:00"/>
    <s v="CUST1373"/>
    <s v="PROD72"/>
    <s v="STORE7"/>
    <x v="4"/>
    <s v="Professional Jump Rope"/>
    <x v="0"/>
    <x v="2"/>
    <s v="James Orozco"/>
    <n v="2"/>
    <n v="343.42"/>
    <n v="0.12"/>
    <x v="2"/>
    <x v="166"/>
  </r>
  <r>
    <s v="SALE170"/>
    <d v="2024-04-08T00:00:00"/>
    <s v="CUST1256"/>
    <s v="PROD34"/>
    <s v="STORE6"/>
    <x v="16"/>
    <s v="Gaming Mechanical Keyboard"/>
    <x v="1"/>
    <x v="3"/>
    <s v="Kristen Fischer"/>
    <n v="1.0000000000000002"/>
    <n v="152.16999999999999"/>
    <n v="0.28000000000000003"/>
    <x v="2"/>
    <x v="167"/>
  </r>
  <r>
    <s v="SALE171"/>
    <d v="2025-05-18T00:00:00"/>
    <s v="CUST1175"/>
    <s v="PROD49"/>
    <s v="STORE11"/>
    <x v="19"/>
    <s v="Men's Roll-On Perfume"/>
    <x v="2"/>
    <x v="2"/>
    <s v="Michelle Rogers"/>
    <n v="1.0000000000000002"/>
    <n v="325.08"/>
    <n v="0.26"/>
    <x v="1"/>
    <x v="168"/>
  </r>
  <r>
    <s v="SALE172"/>
    <d v="2023-12-07T00:00:00"/>
    <s v="CUST1344"/>
    <s v="PROD89"/>
    <s v="STORE10"/>
    <x v="15"/>
    <s v="Face Foundation Kit"/>
    <x v="2"/>
    <x v="3"/>
    <s v="Evelyn Brown"/>
    <n v="2.0000000000000004"/>
    <n v="827.92"/>
    <n v="0.25"/>
    <x v="2"/>
    <x v="169"/>
  </r>
  <r>
    <s v="SALE173"/>
    <d v="2024-01-23T00:00:00"/>
    <s v="CUST1485"/>
    <s v="PROD26"/>
    <s v="STORE2"/>
    <x v="17"/>
    <s v="Wireless Bluetooth Speaker"/>
    <x v="1"/>
    <x v="2"/>
    <s v="Sara Ingram"/>
    <n v="2"/>
    <n v="593.47"/>
    <n v="0.1"/>
    <x v="2"/>
    <x v="170"/>
  </r>
  <r>
    <s v="SALE174"/>
    <d v="2023-12-07T00:00:00"/>
    <s v="CUST1293"/>
    <s v="PROD20"/>
    <s v="STORE7"/>
    <x v="4"/>
    <s v="Outdoor Sports Water Bottle"/>
    <x v="0"/>
    <x v="2"/>
    <s v="Gloria Taylor"/>
    <n v="4.0000000000000009"/>
    <n v="756.28"/>
    <n v="0.05"/>
    <x v="2"/>
    <x v="171"/>
  </r>
  <r>
    <s v="SALE175"/>
    <d v="2024-12-15T00:00:00"/>
    <s v="CUST1377"/>
    <s v="PROD92"/>
    <s v="STORE1"/>
    <x v="8"/>
    <s v="Microwave Oven"/>
    <x v="3"/>
    <x v="0"/>
    <s v="Charles Conley"/>
    <n v="2"/>
    <n v="707.65"/>
    <n v="0.14000000000000001"/>
    <x v="0"/>
    <x v="172"/>
  </r>
  <r>
    <s v="SALE176"/>
    <d v="2024-03-20T00:00:00"/>
    <s v="CUST1128"/>
    <s v="PROD25"/>
    <s v="STORE15"/>
    <x v="10"/>
    <s v="Women's Scarf Set"/>
    <x v="4"/>
    <x v="0"/>
    <s v="Susan Mcdonald"/>
    <n v="1"/>
    <n v="857.35"/>
    <n v="0.28000000000000003"/>
    <x v="1"/>
    <x v="173"/>
  </r>
  <r>
    <s v="SALE177"/>
    <d v="2025-01-13T00:00:00"/>
    <s v="CUST1499"/>
    <s v="PROD55"/>
    <s v="STORE8"/>
    <x v="2"/>
    <s v="Ceramic Plant Pot"/>
    <x v="3"/>
    <x v="1"/>
    <s v="Not Found"/>
    <n v="1"/>
    <n v="79"/>
    <n v="0.04"/>
    <x v="1"/>
    <x v="174"/>
  </r>
  <r>
    <s v="SALE178"/>
    <d v="2025-08-16T00:00:00"/>
    <s v="CUST1066"/>
    <s v="PROD94"/>
    <s v="STORE5"/>
    <x v="3"/>
    <s v="Vitamin E Body Lotion"/>
    <x v="2"/>
    <x v="0"/>
    <s v="Cody Diaz"/>
    <n v="4"/>
    <n v="638.91"/>
    <n v="0"/>
    <x v="2"/>
    <x v="175"/>
  </r>
  <r>
    <s v="SALE179"/>
    <d v="2025-06-04T00:00:00"/>
    <s v="CUST1081"/>
    <s v="PROD45"/>
    <s v="STORE0"/>
    <x v="6"/>
    <s v="High-Grip Football"/>
    <x v="0"/>
    <x v="3"/>
    <s v="Krystal Ford"/>
    <n v="2"/>
    <n v="522.16999999999996"/>
    <n v="0.27"/>
    <x v="0"/>
    <x v="176"/>
  </r>
  <r>
    <s v="SALE180"/>
    <d v="2023-11-05T00:00:00"/>
    <s v="CUST1478"/>
    <s v="PROD39"/>
    <s v="STORE12"/>
    <x v="18"/>
    <s v="Portable Power Bank"/>
    <x v="1"/>
    <x v="0"/>
    <s v="Earl Smith DDS"/>
    <n v="3.0000000000000004"/>
    <n v="954.29"/>
    <n v="0.27"/>
    <x v="0"/>
    <x v="177"/>
  </r>
  <r>
    <s v="SALE181"/>
    <d v="2025-02-22T00:00:00"/>
    <s v="CUST1462"/>
    <s v="PROD33"/>
    <s v="STORE13"/>
    <x v="13"/>
    <s v="Modern Wall Clock"/>
    <x v="3"/>
    <x v="3"/>
    <s v="Beth Martin"/>
    <n v="3"/>
    <n v="53.92"/>
    <n v="0.15"/>
    <x v="1"/>
    <x v="178"/>
  </r>
  <r>
    <s v="SALE182"/>
    <d v="2025-04-06T00:00:00"/>
    <s v="CUST1396"/>
    <s v="PROD34"/>
    <s v="STORE0"/>
    <x v="6"/>
    <s v="Gaming Mechanical Keyboard"/>
    <x v="1"/>
    <x v="3"/>
    <s v="Alexander Byrd"/>
    <n v="4.0000000000000009"/>
    <n v="741.88"/>
    <n v="0.02"/>
    <x v="2"/>
    <x v="179"/>
  </r>
  <r>
    <s v="SALE183"/>
    <d v="2024-10-29T00:00:00"/>
    <s v="CUST1033"/>
    <s v="PROD46"/>
    <s v="STORE3"/>
    <x v="0"/>
    <s v="Men's Winter Jacket"/>
    <x v="4"/>
    <x v="0"/>
    <s v="Robert Jones DDS"/>
    <n v="1"/>
    <n v="547.09"/>
    <n v="0.01"/>
    <x v="1"/>
    <x v="180"/>
  </r>
  <r>
    <s v="SALE184"/>
    <d v="2025-01-29T00:00:00"/>
    <s v="CUST1489"/>
    <s v="PROD89"/>
    <s v="STORE3"/>
    <x v="0"/>
    <s v="Face Foundation Kit"/>
    <x v="2"/>
    <x v="0"/>
    <s v="Melinda Thomas"/>
    <n v="1"/>
    <n v="789.35"/>
    <n v="0.14000000000000001"/>
    <x v="1"/>
    <x v="181"/>
  </r>
  <r>
    <s v="SALE185"/>
    <d v="2024-03-03T00:00:00"/>
    <s v="CUST1428"/>
    <s v="PROD63"/>
    <s v="STORE3"/>
    <x v="0"/>
    <s v="Organic Sunscreen Lotion"/>
    <x v="2"/>
    <x v="0"/>
    <s v="Samuel Mullins"/>
    <n v="3"/>
    <n v="476.78"/>
    <n v="0.09"/>
    <x v="2"/>
    <x v="182"/>
  </r>
  <r>
    <s v="SALE186"/>
    <d v="2024-11-04T00:00:00"/>
    <s v="CUST1453"/>
    <s v="PROD79"/>
    <s v="STORE18"/>
    <x v="14"/>
    <s v="Decorative Lamp Shade"/>
    <x v="3"/>
    <x v="3"/>
    <s v="April Phillips"/>
    <n v="2"/>
    <n v="504.26"/>
    <n v="0.04"/>
    <x v="1"/>
    <x v="183"/>
  </r>
  <r>
    <s v="SALE187"/>
    <d v="2024-09-03T00:00:00"/>
    <s v="CUST1272"/>
    <s v="PROD81"/>
    <s v="STORE6"/>
    <x v="16"/>
    <s v="Badminton Racket Set"/>
    <x v="0"/>
    <x v="3"/>
    <s v="Adam Rowland"/>
    <n v="1.9999999999999996"/>
    <n v="549.33000000000004"/>
    <n v="0.01"/>
    <x v="2"/>
    <x v="184"/>
  </r>
  <r>
    <s v="SALE188"/>
    <d v="2024-04-29T00:00:00"/>
    <s v="CUST1382"/>
    <s v="PROD4"/>
    <s v="STORE3"/>
    <x v="0"/>
    <s v="Women's Yoga Pants"/>
    <x v="4"/>
    <x v="0"/>
    <s v="Martha Brown"/>
    <n v="3"/>
    <n v="620.22"/>
    <n v="0.04"/>
    <x v="0"/>
    <x v="185"/>
  </r>
  <r>
    <s v="SALE189"/>
    <d v="2024-04-29T00:00:00"/>
    <s v="CUST1091"/>
    <s v="PROD46"/>
    <s v="STORE3"/>
    <x v="0"/>
    <s v="Men's Winter Jacket"/>
    <x v="4"/>
    <x v="0"/>
    <s v="Donna Gregory"/>
    <n v="1"/>
    <n v="580.76"/>
    <n v="0.1"/>
    <x v="2"/>
    <x v="186"/>
  </r>
  <r>
    <s v="SALE190"/>
    <d v="2025-04-28T00:00:00"/>
    <s v="CUST1334"/>
    <s v="PROD71"/>
    <s v="STORE9"/>
    <x v="11"/>
    <s v="Hair Repair Oil Treatment"/>
    <x v="2"/>
    <x v="2"/>
    <s v="Mr. Christopher Sims"/>
    <n v="3.0000000000000004"/>
    <n v="444.55"/>
    <n v="0.14000000000000001"/>
    <x v="1"/>
    <x v="187"/>
  </r>
  <r>
    <s v="SALE191"/>
    <d v="2024-06-16T00:00:00"/>
    <s v="CUST1138"/>
    <s v="PROD46"/>
    <s v="STORE18"/>
    <x v="14"/>
    <s v="Men's Winter Jacket"/>
    <x v="4"/>
    <x v="3"/>
    <s v="Sean Roth"/>
    <n v="1"/>
    <n v="804.9"/>
    <n v="0.03"/>
    <x v="1"/>
    <x v="188"/>
  </r>
  <r>
    <s v="SALE192"/>
    <d v="2024-11-21T00:00:00"/>
    <s v="CUST1424"/>
    <s v="PROD92"/>
    <s v="STORE14"/>
    <x v="7"/>
    <s v="Microwave Oven"/>
    <x v="3"/>
    <x v="2"/>
    <s v="Edwin Barnes"/>
    <n v="3"/>
    <n v="361.65"/>
    <n v="0.15"/>
    <x v="2"/>
    <x v="189"/>
  </r>
  <r>
    <s v="SALE193"/>
    <d v="2025-04-16T00:00:00"/>
    <s v="CUST1162"/>
    <s v="PROD7"/>
    <s v="STORE4"/>
    <x v="5"/>
    <s v="LED Table Lamp"/>
    <x v="3"/>
    <x v="2"/>
    <s v="Mariah Brown"/>
    <n v="1"/>
    <n v="271.76"/>
    <n v="0.03"/>
    <x v="0"/>
    <x v="190"/>
  </r>
  <r>
    <s v="SALE194"/>
    <d v="2024-11-22T00:00:00"/>
    <s v="CUST1323"/>
    <s v="PROD49"/>
    <s v="STORE10"/>
    <x v="15"/>
    <s v="Men's Roll-On Perfume"/>
    <x v="2"/>
    <x v="3"/>
    <s v="Kristy Dunlap"/>
    <n v="3"/>
    <n v="958.15"/>
    <n v="0.24"/>
    <x v="2"/>
    <x v="191"/>
  </r>
  <r>
    <s v="SALE195"/>
    <d v="2023-12-30T00:00:00"/>
    <s v="CUST1427"/>
    <s v="PROD60"/>
    <s v="STORE17"/>
    <x v="1"/>
    <s v="Luxury Perfume Spray"/>
    <x v="2"/>
    <x v="0"/>
    <s v="Jose Stewart"/>
    <n v="1"/>
    <n v="889.19"/>
    <n v="0.03"/>
    <x v="0"/>
    <x v="192"/>
  </r>
  <r>
    <s v="SALE196"/>
    <d v="2025-09-04T00:00:00"/>
    <s v="CUST1464"/>
    <s v="PROD57"/>
    <s v="STORE16"/>
    <x v="9"/>
    <s v="Foam Roller"/>
    <x v="0"/>
    <x v="1"/>
    <s v="Not Found"/>
    <n v="4.0000000000000009"/>
    <n v="689.67"/>
    <n v="0.05"/>
    <x v="2"/>
    <x v="193"/>
  </r>
  <r>
    <s v="SALE197"/>
    <d v="2023-10-28T00:00:00"/>
    <s v="CUST1135"/>
    <s v="PROD44"/>
    <s v="STORE11"/>
    <x v="19"/>
    <s v="Adjustable Jump Rope"/>
    <x v="0"/>
    <x v="2"/>
    <s v="Matthew Hanna"/>
    <n v="1"/>
    <n v="541.24"/>
    <n v="0.03"/>
    <x v="1"/>
    <x v="194"/>
  </r>
  <r>
    <s v="SALE198"/>
    <d v="2024-11-04T00:00:00"/>
    <s v="CUST1448"/>
    <s v="PROD81"/>
    <s v="STORE6"/>
    <x v="16"/>
    <s v="Badminton Racket Set"/>
    <x v="0"/>
    <x v="3"/>
    <s v="Eric Holmes"/>
    <n v="1"/>
    <n v="454.71"/>
    <n v="0.16"/>
    <x v="1"/>
    <x v="195"/>
  </r>
  <r>
    <s v="SALE199"/>
    <d v="2024-12-20T00:00:00"/>
    <s v="CUST1038"/>
    <s v="PROD66"/>
    <s v="STORE5"/>
    <x v="3"/>
    <s v="Women's Hair Dryer Brush"/>
    <x v="2"/>
    <x v="0"/>
    <s v="Deanna Simpson"/>
    <n v="2"/>
    <n v="397.63"/>
    <n v="0.26"/>
    <x v="0"/>
    <x v="196"/>
  </r>
  <r>
    <s v="SALE200"/>
    <d v="2025-03-09T00:00:00"/>
    <s v="CUST1170"/>
    <s v="PROD83"/>
    <s v="STORE6"/>
    <x v="16"/>
    <s v="Hydrating Face Cleanser"/>
    <x v="2"/>
    <x v="3"/>
    <s v="Christopher Garcia DDS"/>
    <n v="3"/>
    <n v="748.56"/>
    <n v="0.26"/>
    <x v="1"/>
    <x v="197"/>
  </r>
  <r>
    <s v="SALE201"/>
    <d v="2025-03-26T00:00:00"/>
    <s v="CUST1144"/>
    <s v="PROD33"/>
    <s v="STORE4"/>
    <x v="5"/>
    <s v="Modern Wall Clock"/>
    <x v="3"/>
    <x v="2"/>
    <s v="Justin Cross"/>
    <n v="1"/>
    <n v="885.72"/>
    <n v="0.15"/>
    <x v="0"/>
    <x v="198"/>
  </r>
  <r>
    <s v="SALE202"/>
    <d v="2025-04-03T00:00:00"/>
    <s v="CUST1108"/>
    <s v="PROD62"/>
    <s v="STORE1"/>
    <x v="8"/>
    <s v="Laptop Cooling Pad"/>
    <x v="1"/>
    <x v="0"/>
    <s v="Travis Holland"/>
    <n v="4.0000000000000009"/>
    <n v="408.07"/>
    <n v="0.28000000000000003"/>
    <x v="2"/>
    <x v="199"/>
  </r>
  <r>
    <s v="SALE203"/>
    <d v="2024-02-05T00:00:00"/>
    <s v="CUST1472"/>
    <s v="PROD34"/>
    <s v="STORE9"/>
    <x v="11"/>
    <s v="Gaming Mechanical Keyboard"/>
    <x v="1"/>
    <x v="2"/>
    <s v="Philip Mendoza"/>
    <n v="2"/>
    <n v="597.07000000000005"/>
    <n v="0.28000000000000003"/>
    <x v="1"/>
    <x v="200"/>
  </r>
  <r>
    <s v="SALE204"/>
    <d v="2024-06-22T00:00:00"/>
    <s v="CUST1022"/>
    <s v="PROD67"/>
    <s v="STORE9"/>
    <x v="11"/>
    <s v="Smart LED Light Strip"/>
    <x v="1"/>
    <x v="2"/>
    <s v="   paul fox"/>
    <n v="3"/>
    <n v="723.47"/>
    <n v="0.12"/>
    <x v="2"/>
    <x v="201"/>
  </r>
  <r>
    <s v="SALE205"/>
    <d v="2025-08-14T00:00:00"/>
    <s v="CUST1437"/>
    <s v="PROD88"/>
    <s v="STORE5"/>
    <x v="3"/>
    <s v="Sports Wrist Sweatbands"/>
    <x v="0"/>
    <x v="0"/>
    <s v="Melinda Rivera"/>
    <n v="0.99999999999999989"/>
    <n v="479.93"/>
    <n v="0.22"/>
    <x v="0"/>
    <x v="202"/>
  </r>
  <r>
    <s v="SALE206"/>
    <d v="2024-06-02T00:00:00"/>
    <s v="CUST1243"/>
    <s v="PROD34"/>
    <s v="STORE16"/>
    <x v="9"/>
    <s v="Gaming Mechanical Keyboard"/>
    <x v="1"/>
    <x v="1"/>
    <s v="Brian Hammond"/>
    <n v="3.9999999999999991"/>
    <n v="362.81"/>
    <n v="0.21"/>
    <x v="2"/>
    <x v="203"/>
  </r>
  <r>
    <s v="SALE207"/>
    <d v="2024-12-14T00:00:00"/>
    <s v="CUST1185"/>
    <s v="PROD79"/>
    <s v="STORE3"/>
    <x v="0"/>
    <s v="Decorative Lamp Shade"/>
    <x v="3"/>
    <x v="0"/>
    <s v="Brent Rivas"/>
    <n v="1"/>
    <n v="127.11"/>
    <n v="0.01"/>
    <x v="1"/>
    <x v="204"/>
  </r>
  <r>
    <s v="SALE208"/>
    <d v="2024-04-29T00:00:00"/>
    <s v="CUST1184"/>
    <s v="PROD34"/>
    <s v="STORE17"/>
    <x v="1"/>
    <s v="Gaming Mechanical Keyboard"/>
    <x v="1"/>
    <x v="0"/>
    <s v="Leonard Cochran"/>
    <n v="4"/>
    <n v="931.26"/>
    <n v="0.04"/>
    <x v="0"/>
    <x v="205"/>
  </r>
  <r>
    <s v="SALE209"/>
    <d v="2023-10-25T00:00:00"/>
    <s v="CUST1371"/>
    <s v="PROD67"/>
    <s v="STORE8"/>
    <x v="2"/>
    <s v="Smart LED Light Strip"/>
    <x v="1"/>
    <x v="1"/>
    <s v="Michael Garner"/>
    <n v="1"/>
    <n v="620.80999999999995"/>
    <n v="0.04"/>
    <x v="1"/>
    <x v="206"/>
  </r>
  <r>
    <s v="SALE210"/>
    <d v="2024-07-24T00:00:00"/>
    <s v="CUST1094"/>
    <s v="PROD50"/>
    <s v="STORE2"/>
    <x v="17"/>
    <s v="Boxing Hand Wraps"/>
    <x v="0"/>
    <x v="2"/>
    <s v="David Patterson"/>
    <n v="1"/>
    <n v="823.26"/>
    <n v="0.27"/>
    <x v="2"/>
    <x v="207"/>
  </r>
  <r>
    <s v="SALE211"/>
    <d v="2025-05-30T00:00:00"/>
    <s v="CUST1012"/>
    <s v="PROD27"/>
    <s v="STORE8"/>
    <x v="2"/>
    <s v="Decorative Floor Vase"/>
    <x v="3"/>
    <x v="1"/>
    <s v="Kenneth Lambert"/>
    <n v="3.0000000000000004"/>
    <n v="681.01"/>
    <n v="0.27"/>
    <x v="2"/>
    <x v="208"/>
  </r>
  <r>
    <s v="SALE212"/>
    <d v="2025-10-12T00:00:00"/>
    <s v="CUST1442"/>
    <s v="PROD56"/>
    <s v="STORE19"/>
    <x v="12"/>
    <s v="Premium Blanket Throw"/>
    <x v="3"/>
    <x v="3"/>
    <s v="Kelli Smith"/>
    <n v="4"/>
    <n v="119.83"/>
    <n v="0.13"/>
    <x v="0"/>
    <x v="209"/>
  </r>
  <r>
    <s v="SALE213"/>
    <d v="2024-01-23T00:00:00"/>
    <s v="CUST1307"/>
    <s v="PROD78"/>
    <s v="STORE2"/>
    <x v="17"/>
    <s v="Essential Oil Diffuser"/>
    <x v="3"/>
    <x v="2"/>
    <s v="Brandy Thompson"/>
    <n v="1"/>
    <n v="575.66"/>
    <n v="0.03"/>
    <x v="1"/>
    <x v="210"/>
  </r>
  <r>
    <s v="SALE214"/>
    <d v="2025-10-13T00:00:00"/>
    <s v="CUST1199"/>
    <s v="PROD48"/>
    <s v="STORE16"/>
    <x v="9"/>
    <s v="Car Dashboard Phone Holder"/>
    <x v="1"/>
    <x v="1"/>
    <s v="Carmen Price"/>
    <n v="1"/>
    <n v="775.84"/>
    <n v="0.26"/>
    <x v="0"/>
    <x v="211"/>
  </r>
  <r>
    <s v="SALE215"/>
    <d v="2024-03-05T00:00:00"/>
    <s v="CUST1443"/>
    <s v="PROD14"/>
    <s v="STORE9"/>
    <x v="11"/>
    <s v="Decorative Wall Mirror"/>
    <x v="3"/>
    <x v="2"/>
    <s v="Adam Castro"/>
    <n v="3"/>
    <n v="318.43"/>
    <n v="0.05"/>
    <x v="0"/>
    <x v="212"/>
  </r>
  <r>
    <s v="SALE216"/>
    <d v="2025-07-16T00:00:00"/>
    <s v="CUST1153"/>
    <s v="PROD72"/>
    <s v="STORE8"/>
    <x v="2"/>
    <s v="Professional Jump Rope"/>
    <x v="0"/>
    <x v="1"/>
    <s v="Joseph Faulkner"/>
    <n v="3"/>
    <n v="141.6"/>
    <n v="0.08"/>
    <x v="2"/>
    <x v="213"/>
  </r>
  <r>
    <s v="SALE217"/>
    <d v="2023-10-20T00:00:00"/>
    <s v="CUST1266"/>
    <s v="PROD15"/>
    <s v="STORE19"/>
    <x v="12"/>
    <s v="4K Home Projector"/>
    <x v="1"/>
    <x v="3"/>
    <s v="Cynthia Payne"/>
    <n v="1"/>
    <n v="332.82"/>
    <n v="0.14000000000000001"/>
    <x v="1"/>
    <x v="214"/>
  </r>
  <r>
    <s v="SALE218"/>
    <d v="2024-06-04T00:00:00"/>
    <s v="CUST1246"/>
    <s v="PROD72"/>
    <s v="STORE1"/>
    <x v="8"/>
    <s v="Professional Jump Rope"/>
    <x v="0"/>
    <x v="0"/>
    <s v="Mary Russell"/>
    <n v="4"/>
    <n v="640.97"/>
    <n v="0.11"/>
    <x v="2"/>
    <x v="215"/>
  </r>
  <r>
    <s v="SALE219"/>
    <d v="2023-10-26T00:00:00"/>
    <s v="CUST1203"/>
    <s v="PROD90"/>
    <s v="STORE15"/>
    <x v="10"/>
    <s v="Gaming Mouse Pad XL"/>
    <x v="1"/>
    <x v="0"/>
    <s v="Sarah Brady"/>
    <n v="4"/>
    <n v="75.37"/>
    <n v="0.02"/>
    <x v="2"/>
    <x v="216"/>
  </r>
  <r>
    <s v="SALE220"/>
    <d v="2025-04-07T00:00:00"/>
    <s v="CUST1075"/>
    <s v="PROD16"/>
    <s v="STORE18"/>
    <x v="14"/>
    <s v="Not Found"/>
    <x v="5"/>
    <x v="3"/>
    <s v="Rhonda Morales"/>
    <n v="3"/>
    <n v="434.55"/>
    <n v="0.08"/>
    <x v="2"/>
    <x v="217"/>
  </r>
  <r>
    <s v="SALE221"/>
    <d v="2025-03-13T00:00:00"/>
    <s v="CUST1099"/>
    <s v="PROD26"/>
    <s v="STORE14"/>
    <x v="7"/>
    <s v="Wireless Bluetooth Speaker"/>
    <x v="1"/>
    <x v="2"/>
    <s v="Sheila Wilson"/>
    <n v="4"/>
    <n v="652.28"/>
    <n v="0.15"/>
    <x v="0"/>
    <x v="218"/>
  </r>
  <r>
    <s v="SALE222"/>
    <d v="2024-07-07T00:00:00"/>
    <s v="CUST1269"/>
    <s v="PROD76"/>
    <s v="STORE17"/>
    <x v="1"/>
    <s v="Wireless Mouse"/>
    <x v="1"/>
    <x v="0"/>
    <s v="Tyrone Olson"/>
    <n v="3.0000000000000004"/>
    <n v="207.8"/>
    <n v="0.15"/>
    <x v="0"/>
    <x v="219"/>
  </r>
  <r>
    <s v="SALE223"/>
    <d v="2024-03-10T00:00:00"/>
    <s v="CUST1495"/>
    <s v="PROD61"/>
    <s v="STORE15"/>
    <x v="10"/>
    <s v="Tennis Ball 3-Pack"/>
    <x v="0"/>
    <x v="0"/>
    <s v="James Berger"/>
    <n v="4"/>
    <n v="385.5"/>
    <n v="0.03"/>
    <x v="1"/>
    <x v="220"/>
  </r>
  <r>
    <s v="SALE224"/>
    <d v="2025-09-15T00:00:00"/>
    <s v="CUST1096"/>
    <s v="PROD65"/>
    <s v="STORE6"/>
    <x v="16"/>
    <s v="Adjustable Dumbbells 20kg"/>
    <x v="0"/>
    <x v="3"/>
    <s v="Samantha Walker"/>
    <n v="3"/>
    <n v="548.19000000000005"/>
    <n v="0.12"/>
    <x v="0"/>
    <x v="221"/>
  </r>
  <r>
    <s v="SALE225"/>
    <d v="2024-11-11T00:00:00"/>
    <s v="CUST1069"/>
    <s v="PROD73"/>
    <s v="STORE9"/>
    <x v="11"/>
    <s v="Shin Guards – Adult"/>
    <x v="0"/>
    <x v="2"/>
    <s v="Roy Cole"/>
    <n v="2.9999999999999996"/>
    <n v="927.6"/>
    <n v="0.09"/>
    <x v="0"/>
    <x v="222"/>
  </r>
  <r>
    <s v="SALE226"/>
    <d v="2025-01-09T00:00:00"/>
    <s v="CUST1266"/>
    <s v="PROD61"/>
    <s v="STORE3"/>
    <x v="0"/>
    <s v="Tennis Ball 3-Pack"/>
    <x v="0"/>
    <x v="0"/>
    <s v="Cynthia Payne"/>
    <n v="4.0000000000000009"/>
    <n v="585.04"/>
    <n v="0.22"/>
    <x v="1"/>
    <x v="223"/>
  </r>
  <r>
    <s v="SALE227"/>
    <d v="2024-04-24T00:00:00"/>
    <s v="CUST1499"/>
    <s v="PROD39"/>
    <s v="STORE2"/>
    <x v="17"/>
    <s v="Portable Power Bank"/>
    <x v="1"/>
    <x v="2"/>
    <s v="Not Found"/>
    <n v="2"/>
    <n v="999.89"/>
    <n v="0.09"/>
    <x v="0"/>
    <x v="224"/>
  </r>
  <r>
    <s v="SALE228"/>
    <d v="2023-12-24T00:00:00"/>
    <s v="CUST1107"/>
    <s v="PROD75"/>
    <s v="STORE3"/>
    <x v="0"/>
    <s v="Women's Ankle Boots"/>
    <x v="4"/>
    <x v="0"/>
    <s v="Erica Carney"/>
    <n v="2"/>
    <n v="848.98"/>
    <n v="0.04"/>
    <x v="1"/>
    <x v="225"/>
  </r>
  <r>
    <s v="SALE229"/>
    <d v="2024-02-26T00:00:00"/>
    <s v="CUST1142"/>
    <s v="PROD60"/>
    <s v="STORE14"/>
    <x v="7"/>
    <s v="Luxury Perfume Spray"/>
    <x v="2"/>
    <x v="2"/>
    <s v="Maria Ramirez"/>
    <n v="3"/>
    <n v="769.56"/>
    <n v="0.08"/>
    <x v="0"/>
    <x v="226"/>
  </r>
  <r>
    <s v="SALE230"/>
    <d v="2025-01-19T00:00:00"/>
    <s v="CUST1049"/>
    <s v="PROD48"/>
    <s v="STORE13"/>
    <x v="13"/>
    <s v="Car Dashboard Phone Holder"/>
    <x v="1"/>
    <x v="3"/>
    <s v="Timothy Weaver"/>
    <n v="3"/>
    <n v="449.88"/>
    <n v="0.1"/>
    <x v="1"/>
    <x v="227"/>
  </r>
  <r>
    <s v="SALE231"/>
    <d v="2025-07-25T00:00:00"/>
    <s v="CUST1275"/>
    <s v="PROD69"/>
    <s v="STORE12"/>
    <x v="18"/>
    <s v="Men's Sports Shorts"/>
    <x v="4"/>
    <x v="0"/>
    <s v="Shannon Miller"/>
    <n v="4"/>
    <n v="383.74"/>
    <n v="0.01"/>
    <x v="0"/>
    <x v="228"/>
  </r>
  <r>
    <s v="SALE232"/>
    <d v="2024-04-27T00:00:00"/>
    <s v="CUST1148"/>
    <s v="PROD58"/>
    <s v="STORE10"/>
    <x v="15"/>
    <s v="Womens Cotton Scarf"/>
    <x v="4"/>
    <x v="3"/>
    <s v="Theresa Campbell"/>
    <n v="3.9999999999999991"/>
    <n v="794.97"/>
    <n v="0.24"/>
    <x v="1"/>
    <x v="229"/>
  </r>
  <r>
    <s v="SALE233"/>
    <d v="2025-08-11T00:00:00"/>
    <s v="CUST1010"/>
    <s v="PROD79"/>
    <s v="STORE5"/>
    <x v="3"/>
    <s v="Decorative Lamp Shade"/>
    <x v="3"/>
    <x v="0"/>
    <s v="Dominic Page"/>
    <n v="1"/>
    <n v="989.63"/>
    <n v="0.05"/>
    <x v="1"/>
    <x v="230"/>
  </r>
  <r>
    <s v="SALE234"/>
    <d v="2025-03-15T00:00:00"/>
    <s v="CUST1335"/>
    <s v="PROD54"/>
    <s v="STORE0"/>
    <x v="6"/>
    <s v="Sports Stopwatch Pro"/>
    <x v="0"/>
    <x v="3"/>
    <s v="Jennifer Woods"/>
    <n v="1"/>
    <n v="447.16"/>
    <n v="0.22"/>
    <x v="2"/>
    <x v="231"/>
  </r>
  <r>
    <s v="SALE235"/>
    <d v="2025-01-14T00:00:00"/>
    <s v="CUST1008"/>
    <s v="PROD94"/>
    <s v="STORE6"/>
    <x v="16"/>
    <s v="Vitamin E Body Lotion"/>
    <x v="2"/>
    <x v="3"/>
    <s v="Melissa Howard"/>
    <n v="1"/>
    <n v="946.9"/>
    <n v="0.28999999999999998"/>
    <x v="2"/>
    <x v="232"/>
  </r>
  <r>
    <s v="SALE236"/>
    <d v="2025-06-01T00:00:00"/>
    <s v="CUST1169"/>
    <s v="PROD17"/>
    <s v="STORE0"/>
    <x v="6"/>
    <s v="Soccer Training Cone Set"/>
    <x v="0"/>
    <x v="3"/>
    <s v="Steve Mclaughlin"/>
    <n v="4"/>
    <n v="469.68"/>
    <n v="0.19"/>
    <x v="0"/>
    <x v="233"/>
  </r>
  <r>
    <s v="SALE237"/>
    <d v="2024-09-24T00:00:00"/>
    <s v="CUST1494"/>
    <s v="PROD28"/>
    <s v="STORE17"/>
    <x v="1"/>
    <s v="Sports Stopwatch Timer"/>
    <x v="0"/>
    <x v="0"/>
    <s v="Justin Lopez"/>
    <n v="4"/>
    <n v="320.64"/>
    <n v="0.2"/>
    <x v="2"/>
    <x v="234"/>
  </r>
  <r>
    <s v="SALE238"/>
    <d v="2023-11-23T00:00:00"/>
    <s v="CUST1135"/>
    <s v="PROD15"/>
    <s v="STORE5"/>
    <x v="3"/>
    <s v="4K Home Projector"/>
    <x v="1"/>
    <x v="0"/>
    <s v="Matthew Hanna"/>
    <n v="0.99999999999999989"/>
    <n v="594.44000000000005"/>
    <n v="0.21"/>
    <x v="0"/>
    <x v="235"/>
  </r>
  <r>
    <s v="SALE239"/>
    <d v="2025-07-23T00:00:00"/>
    <s v="CUST1216"/>
    <s v="PROD86"/>
    <s v="STORE8"/>
    <x v="2"/>
    <s v="Kitchen Cutting Board"/>
    <x v="3"/>
    <x v="1"/>
    <s v="Kathryn Garcia"/>
    <n v="3"/>
    <n v="91.7"/>
    <n v="0.08"/>
    <x v="2"/>
    <x v="236"/>
  </r>
  <r>
    <s v="SALE240"/>
    <d v="2025-09-17T00:00:00"/>
    <s v="CUST1031"/>
    <s v="PROD62"/>
    <s v="STORE12"/>
    <x v="18"/>
    <s v="Laptop Cooling Pad"/>
    <x v="1"/>
    <x v="0"/>
    <s v="Sarah Vance"/>
    <n v="3"/>
    <n v="741.33"/>
    <n v="0.03"/>
    <x v="0"/>
    <x v="237"/>
  </r>
  <r>
    <s v="SALE241"/>
    <d v="2025-04-07T00:00:00"/>
    <s v="CUST1476"/>
    <s v="PROD16"/>
    <s v="STORE19"/>
    <x v="12"/>
    <s v="Not Found"/>
    <x v="5"/>
    <x v="3"/>
    <s v="Elizabeth Foster"/>
    <n v="1"/>
    <n v="922.78"/>
    <n v="0.28999999999999998"/>
    <x v="2"/>
    <x v="238"/>
  </r>
  <r>
    <s v="SALE242"/>
    <d v="2024-01-21T00:00:00"/>
    <s v="CUST1325"/>
    <s v="PROD8"/>
    <s v="STORE16"/>
    <x v="9"/>
    <s v="Wireless Bluetooth Earbuds"/>
    <x v="1"/>
    <x v="1"/>
    <s v="Andrew Smith"/>
    <n v="0.99999999999999989"/>
    <n v="394.35"/>
    <n v="0.09"/>
    <x v="1"/>
    <x v="239"/>
  </r>
  <r>
    <s v="SALE243"/>
    <d v="2024-07-07T00:00:00"/>
    <s v="CUST1364"/>
    <s v="PROD65"/>
    <s v="STORE11"/>
    <x v="19"/>
    <s v="Adjustable Dumbbells 20kg"/>
    <x v="0"/>
    <x v="2"/>
    <s v="Chloe Aguilar"/>
    <n v="2"/>
    <n v="703.95"/>
    <n v="0.03"/>
    <x v="0"/>
    <x v="240"/>
  </r>
  <r>
    <s v="SALE244"/>
    <d v="2025-05-03T00:00:00"/>
    <s v="CUST1200"/>
    <s v="PROD14"/>
    <s v="STORE0"/>
    <x v="6"/>
    <s v="Decorative Wall Mirror"/>
    <x v="3"/>
    <x v="3"/>
    <s v="Anna Perez"/>
    <n v="4"/>
    <n v="452.67"/>
    <n v="0.28000000000000003"/>
    <x v="1"/>
    <x v="241"/>
  </r>
  <r>
    <s v="SALE245"/>
    <d v="2024-02-27T00:00:00"/>
    <s v="CUST1463"/>
    <s v="PROD8"/>
    <s v="STORE7"/>
    <x v="4"/>
    <s v="Wireless Bluetooth Earbuds"/>
    <x v="1"/>
    <x v="2"/>
    <s v="Samantha Lee"/>
    <n v="2"/>
    <n v="377.3"/>
    <n v="0.15"/>
    <x v="1"/>
    <x v="242"/>
  </r>
  <r>
    <s v="SALE246"/>
    <d v="2025-07-08T00:00:00"/>
    <s v="CUST1344"/>
    <s v="PROD74"/>
    <s v="STORE7"/>
    <x v="4"/>
    <s v="Bluetooth Car Audio System"/>
    <x v="1"/>
    <x v="2"/>
    <s v="Evelyn Brown"/>
    <n v="2"/>
    <n v="130.47999999999999"/>
    <n v="0.23"/>
    <x v="1"/>
    <x v="243"/>
  </r>
  <r>
    <s v="SALE247"/>
    <d v="2025-03-13T00:00:00"/>
    <s v="CUST1435"/>
    <s v="PROD94"/>
    <s v="STORE12"/>
    <x v="18"/>
    <s v="Vitamin E Body Lotion"/>
    <x v="2"/>
    <x v="0"/>
    <s v="Lindsay Beasley"/>
    <n v="1"/>
    <n v="809.45"/>
    <n v="0.09"/>
    <x v="2"/>
    <x v="244"/>
  </r>
  <r>
    <s v="SALE248"/>
    <d v="2025-04-21T00:00:00"/>
    <s v="CUST1083"/>
    <s v="PROD45"/>
    <s v="STORE9"/>
    <x v="11"/>
    <s v="High-Grip Football"/>
    <x v="0"/>
    <x v="2"/>
    <s v="Thomas Robinson"/>
    <n v="3"/>
    <n v="499.12"/>
    <n v="0.05"/>
    <x v="1"/>
    <x v="245"/>
  </r>
  <r>
    <s v="SALE249"/>
    <d v="2024-11-10T00:00:00"/>
    <s v="CUST1023"/>
    <s v="PROD68"/>
    <s v="STORE3"/>
    <x v="0"/>
    <s v="Wooden Nightstand"/>
    <x v="3"/>
    <x v="0"/>
    <s v="Jonathan Steele"/>
    <n v="1.9999999999999996"/>
    <n v="894.58"/>
    <n v="0.25"/>
    <x v="0"/>
    <x v="246"/>
  </r>
  <r>
    <s v="SALE250"/>
    <d v="2024-08-09T00:00:00"/>
    <s v="CUST1131"/>
    <s v="PROD75"/>
    <s v="STORE9"/>
    <x v="11"/>
    <s v="Women's Ankle Boots"/>
    <x v="4"/>
    <x v="2"/>
    <s v="Joseph Richards"/>
    <n v="4"/>
    <n v="578.39"/>
    <n v="0.01"/>
    <x v="0"/>
    <x v="247"/>
  </r>
  <r>
    <s v="SALE251"/>
    <d v="2024-03-05T00:00:00"/>
    <s v="CUST1485"/>
    <s v="PROD41"/>
    <s v="STORE17"/>
    <x v="1"/>
    <s v="Yoga Exercise Mat"/>
    <x v="0"/>
    <x v="0"/>
    <s v="Sara Ingram"/>
    <n v="4"/>
    <n v="982.45"/>
    <n v="0.2"/>
    <x v="1"/>
    <x v="248"/>
  </r>
  <r>
    <s v="SALE252"/>
    <d v="2025-09-25T00:00:00"/>
    <s v="CUST1449"/>
    <s v="PROD98"/>
    <s v="STORE19"/>
    <x v="12"/>
    <s v="Portable Bluetooth Speaker"/>
    <x v="1"/>
    <x v="3"/>
    <s v="William Cortez"/>
    <n v="1"/>
    <n v="549.52"/>
    <n v="0.1"/>
    <x v="1"/>
    <x v="249"/>
  </r>
  <r>
    <s v="SALE253"/>
    <d v="2025-08-07T00:00:00"/>
    <s v="CUST1240"/>
    <s v="PROD92"/>
    <s v="STORE18"/>
    <x v="14"/>
    <s v="Microwave Oven"/>
    <x v="3"/>
    <x v="3"/>
    <s v="William Hull"/>
    <n v="2.0000000000000004"/>
    <n v="239.92"/>
    <n v="0.16"/>
    <x v="0"/>
    <x v="250"/>
  </r>
  <r>
    <s v="SALE254"/>
    <d v="2024-02-16T00:00:00"/>
    <s v="CUST1082"/>
    <s v="PROD92"/>
    <s v="STORE6"/>
    <x v="16"/>
    <s v="Microwave Oven"/>
    <x v="3"/>
    <x v="3"/>
    <s v="George Rosario"/>
    <n v="2.0000000000000004"/>
    <n v="878.05"/>
    <n v="0.11"/>
    <x v="1"/>
    <x v="251"/>
  </r>
  <r>
    <s v="SALE255"/>
    <d v="2025-03-30T00:00:00"/>
    <s v="CUST1044"/>
    <s v="PROD1"/>
    <s v="STORE9"/>
    <x v="11"/>
    <s v="Men's Graphic T-Shirt"/>
    <x v="4"/>
    <x v="2"/>
    <s v="Denise Williams"/>
    <n v="3"/>
    <n v="546.96"/>
    <n v="0.19"/>
    <x v="0"/>
    <x v="252"/>
  </r>
  <r>
    <s v="SALE256"/>
    <d v="2025-02-18T00:00:00"/>
    <s v="CUST1471"/>
    <s v="PROD17"/>
    <s v="STORE10"/>
    <x v="15"/>
    <s v="Soccer Training Cone Set"/>
    <x v="0"/>
    <x v="3"/>
    <s v="Debra Mccullough"/>
    <n v="2.0000000000000004"/>
    <n v="71.77"/>
    <n v="0.22"/>
    <x v="0"/>
    <x v="253"/>
  </r>
  <r>
    <s v="SALE257"/>
    <d v="2025-03-01T00:00:00"/>
    <s v="CUST1013"/>
    <s v="PROD24"/>
    <s v="STORE1"/>
    <x v="8"/>
    <s v="Foldable Camping Chair"/>
    <x v="0"/>
    <x v="0"/>
    <s v="Nathan Hernandez"/>
    <n v="2"/>
    <n v="679.86"/>
    <n v="0.22"/>
    <x v="2"/>
    <x v="254"/>
  </r>
  <r>
    <s v="SALE258"/>
    <d v="2024-01-09T00:00:00"/>
    <s v="CUST1136"/>
    <s v="PROD35"/>
    <s v="STORE17"/>
    <x v="1"/>
    <s v="Bedroom Table Lamp"/>
    <x v="3"/>
    <x v="0"/>
    <s v="Patrick Coleman"/>
    <n v="1"/>
    <n v="222.94"/>
    <n v="0.19"/>
    <x v="0"/>
    <x v="255"/>
  </r>
  <r>
    <s v="SALE259"/>
    <d v="2025-04-26T00:00:00"/>
    <s v="CUST1248"/>
    <s v="PROD35"/>
    <s v="STORE2"/>
    <x v="17"/>
    <s v="Bedroom Table Lamp"/>
    <x v="3"/>
    <x v="2"/>
    <s v="Nicholas Webb"/>
    <s v="Uknown"/>
    <n v="355.3"/>
    <s v="Unknown"/>
    <x v="1"/>
    <x v="256"/>
  </r>
  <r>
    <s v="SALE260"/>
    <d v="2024-07-24T00:00:00"/>
    <s v="CUST1103"/>
    <s v="PROD89"/>
    <s v="STORE19"/>
    <x v="12"/>
    <s v="Face Foundation Kit"/>
    <x v="2"/>
    <x v="3"/>
    <s v="Steven Stein"/>
    <n v="4"/>
    <n v="611.29999999999995"/>
    <n v="0.11"/>
    <x v="1"/>
    <x v="257"/>
  </r>
  <r>
    <s v="SALE261"/>
    <d v="2025-03-26T00:00:00"/>
    <s v="CUST1333"/>
    <s v="PROD0"/>
    <s v="STORE8"/>
    <x v="2"/>
    <s v="Brother Laser Printer"/>
    <x v="1"/>
    <x v="1"/>
    <s v="Teresa Johnson"/>
    <n v="4"/>
    <n v="849.21"/>
    <n v="7.0000000000000007E-2"/>
    <x v="0"/>
    <x v="258"/>
  </r>
  <r>
    <s v="SALE262"/>
    <d v="2025-02-25T00:00:00"/>
    <s v="CUST1209"/>
    <s v="PROD42"/>
    <s v="STORE7"/>
    <x v="4"/>
    <s v="Smart Home WiFi Camera"/>
    <x v="1"/>
    <x v="2"/>
    <s v="Joan Johnson"/>
    <n v="3"/>
    <n v="553.12"/>
    <n v="0.28000000000000003"/>
    <x v="2"/>
    <x v="259"/>
  </r>
  <r>
    <s v="SALE263"/>
    <d v="2025-06-18T00:00:00"/>
    <s v="CUST1282"/>
    <s v="PROD91"/>
    <s v="STORE9"/>
    <x v="11"/>
    <s v="Women's High Heels"/>
    <x v="4"/>
    <x v="2"/>
    <s v="Kristi Lopez"/>
    <n v="2"/>
    <n v="903.08"/>
    <n v="0.18"/>
    <x v="2"/>
    <x v="260"/>
  </r>
  <r>
    <s v="SALE264"/>
    <d v="2024-12-22T00:00:00"/>
    <s v="CUST1478"/>
    <s v="PROD16"/>
    <s v="STORE11"/>
    <x v="19"/>
    <s v="Not Found"/>
    <x v="5"/>
    <x v="2"/>
    <s v="Earl Smith DDS"/>
    <n v="4"/>
    <n v="640.23"/>
    <n v="0.06"/>
    <x v="2"/>
    <x v="261"/>
  </r>
  <r>
    <s v="SALE265"/>
    <d v="2025-06-28T00:00:00"/>
    <s v="CUST1141"/>
    <s v="PROD21"/>
    <s v="STORE6"/>
    <x v="16"/>
    <s v="Multi-Purpose Storage Box"/>
    <x v="3"/>
    <x v="3"/>
    <s v="Cristian Wright"/>
    <n v="1"/>
    <n v="518"/>
    <n v="0.25"/>
    <x v="0"/>
    <x v="262"/>
  </r>
  <r>
    <s v="SALE266"/>
    <d v="2024-05-25T00:00:00"/>
    <s v="CUST1433"/>
    <s v="PROD64"/>
    <s v="STORE4"/>
    <x v="5"/>
    <s v="Matte Lipstick Set"/>
    <x v="2"/>
    <x v="2"/>
    <s v="Thomas Moore"/>
    <n v="4"/>
    <n v="779.25"/>
    <n v="0.25"/>
    <x v="0"/>
    <x v="263"/>
  </r>
  <r>
    <s v="SALE267"/>
    <d v="2025-05-30T00:00:00"/>
    <s v="CUST1118"/>
    <s v="PROD83"/>
    <s v="STORE7"/>
    <x v="4"/>
    <s v="Hydrating Face Cleanser"/>
    <x v="2"/>
    <x v="2"/>
    <s v="Earl Allen"/>
    <n v="2"/>
    <n v="467.75"/>
    <n v="0.26"/>
    <x v="0"/>
    <x v="264"/>
  </r>
  <r>
    <s v="SALE268"/>
    <d v="2024-09-20T00:00:00"/>
    <s v="CUST1406"/>
    <s v="PROD90"/>
    <s v="STORE18"/>
    <x v="14"/>
    <s v="Gaming Mouse Pad XL"/>
    <x v="1"/>
    <x v="3"/>
    <s v="David Lozano"/>
    <s v="Uknown"/>
    <s v="Unknown"/>
    <n v="0.06"/>
    <x v="0"/>
    <x v="265"/>
  </r>
  <r>
    <s v="SALE269"/>
    <d v="2025-05-26T00:00:00"/>
    <s v="CUST1219"/>
    <s v="PROD37"/>
    <s v="STORE0"/>
    <x v="6"/>
    <s v="Men's Casual Sneakers"/>
    <x v="4"/>
    <x v="3"/>
    <s v="Jordan Wells"/>
    <n v="4"/>
    <n v="747.01"/>
    <n v="0.13"/>
    <x v="1"/>
    <x v="266"/>
  </r>
  <r>
    <s v="SALE270"/>
    <d v="2025-03-19T00:00:00"/>
    <s v="CUST1101"/>
    <s v="PROD89"/>
    <s v="STORE12"/>
    <x v="18"/>
    <s v="Face Foundation Kit"/>
    <x v="2"/>
    <x v="0"/>
    <s v="Colleen Maynard"/>
    <n v="4.0000000000000009"/>
    <n v="461.83"/>
    <n v="0.28000000000000003"/>
    <x v="1"/>
    <x v="267"/>
  </r>
  <r>
    <s v="SALE271"/>
    <d v="2025-04-03T00:00:00"/>
    <s v="CUST1134"/>
    <s v="PROD70"/>
    <s v="STORE8"/>
    <x v="2"/>
    <s v="Kitchen Storage Rack"/>
    <x v="3"/>
    <x v="1"/>
    <s v="Morgan Bowen"/>
    <n v="2"/>
    <n v="105.15"/>
    <n v="0.06"/>
    <x v="0"/>
    <x v="268"/>
  </r>
  <r>
    <s v="SALE272"/>
    <d v="2025-02-05T00:00:00"/>
    <s v="CUST1033"/>
    <s v="PROD23"/>
    <s v="STORE3"/>
    <x v="0"/>
    <s v="Men's Formal Shirt"/>
    <x v="4"/>
    <x v="0"/>
    <s v="Robert Jones DDS"/>
    <n v="3"/>
    <n v="610.24"/>
    <n v="0.17"/>
    <x v="2"/>
    <x v="269"/>
  </r>
  <r>
    <s v="SALE273"/>
    <d v="2025-01-10T00:00:00"/>
    <s v="CUST1312"/>
    <s v="PROD74"/>
    <s v="STORE8"/>
    <x v="2"/>
    <s v="Bluetooth Car Audio System"/>
    <x v="1"/>
    <x v="1"/>
    <s v="Jason Mullins"/>
    <n v="1"/>
    <n v="872.12"/>
    <n v="7.0000000000000007E-2"/>
    <x v="1"/>
    <x v="270"/>
  </r>
  <r>
    <s v="SALE274"/>
    <d v="2024-01-25T00:00:00"/>
    <s v="CUST1433"/>
    <s v="PROD10"/>
    <s v="STORE1"/>
    <x v="8"/>
    <s v="Ceramic Kitchen Bowl Set"/>
    <x v="3"/>
    <x v="0"/>
    <s v="Thomas Moore"/>
    <n v="1"/>
    <n v="406.79"/>
    <n v="0.03"/>
    <x v="2"/>
    <x v="271"/>
  </r>
  <r>
    <s v="SALE275"/>
    <d v="2025-10-02T00:00:00"/>
    <s v="CUST1372"/>
    <s v="PROD54"/>
    <s v="STORE14"/>
    <x v="7"/>
    <s v="Sports Stopwatch Pro"/>
    <x v="0"/>
    <x v="2"/>
    <s v="Jacqueline Anthony"/>
    <n v="1"/>
    <n v="606.01"/>
    <n v="0.04"/>
    <x v="1"/>
    <x v="272"/>
  </r>
  <r>
    <s v="SALE276"/>
    <d v="2024-07-10T00:00:00"/>
    <s v="CUST1349"/>
    <s v="PROD17"/>
    <s v="STORE5"/>
    <x v="3"/>
    <s v="Soccer Training Cone Set"/>
    <x v="0"/>
    <x v="0"/>
    <s v="Heather Valenzuela"/>
    <n v="4"/>
    <n v="322.58"/>
    <n v="0.06"/>
    <x v="0"/>
    <x v="273"/>
  </r>
  <r>
    <s v="SALE277"/>
    <d v="2025-01-04T00:00:00"/>
    <s v="CUST1484"/>
    <s v="PROD77"/>
    <s v="STORE18"/>
    <x v="14"/>
    <s v="WiFi Mesh Router"/>
    <x v="1"/>
    <x v="3"/>
    <s v="Jessica Castro"/>
    <n v="4"/>
    <n v="463.17"/>
    <n v="0.06"/>
    <x v="1"/>
    <x v="274"/>
  </r>
  <r>
    <s v="SALE278"/>
    <d v="2025-05-21T00:00:00"/>
    <s v="CUST1316"/>
    <s v="PROD25"/>
    <s v="STORE7"/>
    <x v="4"/>
    <s v="Women's Scarf Set"/>
    <x v="4"/>
    <x v="2"/>
    <s v="Robert House"/>
    <n v="4"/>
    <n v="285.82"/>
    <n v="0.18"/>
    <x v="1"/>
    <x v="275"/>
  </r>
  <r>
    <s v="SALE279"/>
    <d v="2025-07-30T00:00:00"/>
    <s v="CUST1326"/>
    <s v="PROD37"/>
    <s v="STORE11"/>
    <x v="19"/>
    <s v="Men's Casual Sneakers"/>
    <x v="4"/>
    <x v="2"/>
    <s v="Robert King"/>
    <n v="3"/>
    <n v="995.38"/>
    <n v="0.1"/>
    <x v="1"/>
    <x v="276"/>
  </r>
  <r>
    <s v="SALE280"/>
    <d v="2025-04-10T00:00:00"/>
    <s v="CUST1119"/>
    <s v="PROD62"/>
    <s v="STORE8"/>
    <x v="2"/>
    <s v="Laptop Cooling Pad"/>
    <x v="1"/>
    <x v="1"/>
    <s v="Michael Jones"/>
    <n v="1"/>
    <n v="329.31"/>
    <n v="0.09"/>
    <x v="0"/>
    <x v="277"/>
  </r>
  <r>
    <s v="SALE281"/>
    <d v="2024-07-02T00:00:00"/>
    <s v="CUST1490"/>
    <s v="PROD47"/>
    <s v="STORE16"/>
    <x v="9"/>
    <s v="Makeup Brush Set"/>
    <x v="2"/>
    <x v="1"/>
    <s v="Scott Harris"/>
    <n v="2.9999999999999996"/>
    <n v="64.2"/>
    <n v="0.08"/>
    <x v="2"/>
    <x v="278"/>
  </r>
  <r>
    <s v="SALE282"/>
    <d v="2025-06-21T00:00:00"/>
    <s v="CUST1262"/>
    <s v="PROD11"/>
    <s v="STORE13"/>
    <x v="13"/>
    <s v="HD Smart TV Stick"/>
    <x v="1"/>
    <x v="3"/>
    <s v="Katherine Cowan"/>
    <n v="3"/>
    <n v="697.13"/>
    <n v="0.25"/>
    <x v="2"/>
    <x v="279"/>
  </r>
  <r>
    <s v="SALE283"/>
    <d v="2024-12-13T00:00:00"/>
    <s v="CUST1022"/>
    <s v="PROD9"/>
    <s v="STORE5"/>
    <x v="3"/>
    <s v="Adjustable Dumbbell Set"/>
    <x v="0"/>
    <x v="0"/>
    <s v="   paul fox"/>
    <n v="3"/>
    <n v="134.30000000000001"/>
    <n v="0.14000000000000001"/>
    <x v="0"/>
    <x v="280"/>
  </r>
  <r>
    <s v="SALE284"/>
    <d v="2024-08-14T00:00:00"/>
    <s v="CUST1260"/>
    <s v="PROD84"/>
    <s v="STORE13"/>
    <x v="13"/>
    <s v="Wooden Bookshelf"/>
    <x v="3"/>
    <x v="3"/>
    <s v="Russell Lamb"/>
    <n v="1.0000000000000002"/>
    <n v="520.92999999999995"/>
    <n v="0.15"/>
    <x v="0"/>
    <x v="281"/>
  </r>
  <r>
    <s v="SALE285"/>
    <d v="2025-03-05T00:00:00"/>
    <s v="CUST1225"/>
    <s v="PROD19"/>
    <s v="STORE7"/>
    <x v="4"/>
    <s v="Knee Support Brace"/>
    <x v="0"/>
    <x v="2"/>
    <s v="Elizabeth Stanley"/>
    <n v="2"/>
    <n v="350.12"/>
    <n v="0.21"/>
    <x v="2"/>
    <x v="282"/>
  </r>
  <r>
    <s v="SALE286"/>
    <d v="2024-01-17T00:00:00"/>
    <s v="CUST1466"/>
    <s v="PROD48"/>
    <s v="STORE19"/>
    <x v="12"/>
    <s v="Car Dashboard Phone Holder"/>
    <x v="1"/>
    <x v="3"/>
    <s v="Cynthia Parrish"/>
    <n v="3.0000000000000009"/>
    <n v="807.95"/>
    <n v="0.1"/>
    <x v="1"/>
    <x v="283"/>
  </r>
  <r>
    <s v="SALE287"/>
    <d v="2025-08-20T00:00:00"/>
    <s v="CUST1335"/>
    <s v="PROD38"/>
    <s v="STORE6"/>
    <x v="16"/>
    <s v="Sports Water Hydration Pack"/>
    <x v="0"/>
    <x v="3"/>
    <s v="Jennifer Woods"/>
    <n v="4"/>
    <n v="766.03"/>
    <n v="0.28999999999999998"/>
    <x v="1"/>
    <x v="284"/>
  </r>
  <r>
    <s v="SALE288"/>
    <d v="2024-04-04T00:00:00"/>
    <s v="CUST1182"/>
    <s v="PROD57"/>
    <s v="STORE8"/>
    <x v="2"/>
    <s v="Foam Roller"/>
    <x v="0"/>
    <x v="1"/>
    <s v="Melissa Hamilton"/>
    <n v="3"/>
    <n v="545.1"/>
    <n v="0.08"/>
    <x v="2"/>
    <x v="285"/>
  </r>
  <r>
    <s v="SALE289"/>
    <d v="2024-05-26T00:00:00"/>
    <s v="CUST1263"/>
    <s v="PROD65"/>
    <s v="STORE7"/>
    <x v="4"/>
    <s v="Adjustable Dumbbells 20kg"/>
    <x v="0"/>
    <x v="2"/>
    <s v="Crystal Davis"/>
    <n v="0.99999999999999978"/>
    <n v="203.61"/>
    <n v="0.24"/>
    <x v="2"/>
    <x v="286"/>
  </r>
  <r>
    <s v="SALE290"/>
    <d v="2025-07-18T00:00:00"/>
    <s v="CUST1417"/>
    <s v="PROD97"/>
    <s v="STORE15"/>
    <x v="10"/>
    <s v="Cricket Bat"/>
    <x v="0"/>
    <x v="0"/>
    <s v="Karen King"/>
    <n v="4"/>
    <n v="493.8"/>
    <n v="0.24"/>
    <x v="2"/>
    <x v="287"/>
  </r>
  <r>
    <s v="SALE291"/>
    <d v="2024-07-12T00:00:00"/>
    <s v="CUST1017"/>
    <s v="PROD41"/>
    <s v="STORE17"/>
    <x v="1"/>
    <s v="Yoga Exercise Mat"/>
    <x v="0"/>
    <x v="0"/>
    <s v="Adam Cruz"/>
    <n v="1.0000000000000002"/>
    <n v="640.54999999999995"/>
    <n v="0.25"/>
    <x v="0"/>
    <x v="288"/>
  </r>
  <r>
    <s v="SALE292"/>
    <d v="2024-09-10T00:00:00"/>
    <s v="CUST1119"/>
    <s v="PROD74"/>
    <s v="STORE4"/>
    <x v="5"/>
    <s v="Bluetooth Car Audio System"/>
    <x v="1"/>
    <x v="2"/>
    <s v="Michael Jones"/>
    <n v="1.0000000000000002"/>
    <n v="702.53"/>
    <n v="0.3"/>
    <x v="0"/>
    <x v="289"/>
  </r>
  <r>
    <s v="SALE293"/>
    <d v="2025-06-18T00:00:00"/>
    <s v="CUST1224"/>
    <s v="PROD39"/>
    <s v="STORE8"/>
    <x v="2"/>
    <s v="Portable Power Bank"/>
    <x v="1"/>
    <x v="1"/>
    <s v="Anthony Morgan"/>
    <n v="4"/>
    <n v="139.94"/>
    <n v="0.24"/>
    <x v="0"/>
    <x v="290"/>
  </r>
  <r>
    <s v="SALE294"/>
    <d v="2024-12-28T00:00:00"/>
    <s v="CUST1277"/>
    <s v="PROD19"/>
    <s v="STORE8"/>
    <x v="2"/>
    <s v="Knee Support Brace"/>
    <x v="0"/>
    <x v="1"/>
    <s v="Jeffrey Gomez"/>
    <n v="2"/>
    <n v="230.85"/>
    <n v="0.18"/>
    <x v="0"/>
    <x v="291"/>
  </r>
  <r>
    <s v="SALE295"/>
    <d v="2024-09-21T00:00:00"/>
    <s v="CUST1211"/>
    <s v="PROD85"/>
    <s v="STORE17"/>
    <x v="1"/>
    <s v="Women's Beanie Hat"/>
    <x v="4"/>
    <x v="0"/>
    <s v="Rodney Huffman"/>
    <n v="3.9999999999999996"/>
    <n v="626.35"/>
    <n v="0.25"/>
    <x v="2"/>
    <x v="292"/>
  </r>
  <r>
    <s v="SALE296"/>
    <d v="2024-05-22T00:00:00"/>
    <s v="CUST1082"/>
    <s v="PROD41"/>
    <s v="STORE14"/>
    <x v="7"/>
    <s v="Yoga Exercise Mat"/>
    <x v="0"/>
    <x v="2"/>
    <s v="George Rosario"/>
    <n v="3.9999999999999996"/>
    <n v="108.55"/>
    <n v="0.18"/>
    <x v="1"/>
    <x v="293"/>
  </r>
  <r>
    <s v="SALE297"/>
    <d v="2025-08-02T00:00:00"/>
    <s v="CUST1191"/>
    <s v="PROD17"/>
    <s v="STORE1"/>
    <x v="8"/>
    <s v="Soccer Training Cone Set"/>
    <x v="0"/>
    <x v="0"/>
    <s v="Todd Poole"/>
    <n v="4"/>
    <n v="353.67"/>
    <n v="0.03"/>
    <x v="2"/>
    <x v="294"/>
  </r>
  <r>
    <s v="SALE298"/>
    <d v="2024-10-18T00:00:00"/>
    <s v="CUST1065"/>
    <s v="PROD90"/>
    <s v="STORE1"/>
    <x v="8"/>
    <s v="Gaming Mouse Pad XL"/>
    <x v="1"/>
    <x v="0"/>
    <s v="Michael Thomas"/>
    <n v="4.0000000000000009"/>
    <n v="61.98"/>
    <n v="0.16"/>
    <x v="0"/>
    <x v="295"/>
  </r>
  <r>
    <s v="SALE299"/>
    <d v="2024-02-26T00:00:00"/>
    <s v="CUST1216"/>
    <s v="PROD22"/>
    <s v="STORE19"/>
    <x v="12"/>
    <s v="Carbon Fiber Tennis Racket"/>
    <x v="0"/>
    <x v="3"/>
    <s v="Kathryn Garcia"/>
    <n v="2"/>
    <n v="873.1"/>
    <n v="0.12"/>
    <x v="1"/>
    <x v="296"/>
  </r>
  <r>
    <s v="SALE300"/>
    <d v="2023-12-08T00:00:00"/>
    <s v="CUST1198"/>
    <s v="PROD12"/>
    <s v="STORE15"/>
    <x v="10"/>
    <s v="Hair Strengthening Shampoo"/>
    <x v="2"/>
    <x v="0"/>
    <s v="Wanda Snyder"/>
    <n v="4"/>
    <n v="889.47"/>
    <n v="0.24"/>
    <x v="0"/>
    <x v="297"/>
  </r>
  <r>
    <s v="SALE301"/>
    <d v="2024-10-31T00:00:00"/>
    <s v="CUST1028"/>
    <s v="PROD74"/>
    <s v="STORE11"/>
    <x v="19"/>
    <s v="Bluetooth Car Audio System"/>
    <x v="1"/>
    <x v="2"/>
    <s v="Joshua Ryan"/>
    <n v="3"/>
    <n v="803.76"/>
    <n v="0.19"/>
    <x v="2"/>
    <x v="298"/>
  </r>
  <r>
    <s v="SALE302"/>
    <d v="2024-11-28T00:00:00"/>
    <s v="CUST1468"/>
    <s v="PROD75"/>
    <s v="STORE5"/>
    <x v="3"/>
    <s v="Women's Ankle Boots"/>
    <x v="4"/>
    <x v="0"/>
    <s v="Gregory Curtis"/>
    <n v="1.9999999999999998"/>
    <n v="865.14"/>
    <n v="0.2"/>
    <x v="1"/>
    <x v="299"/>
  </r>
  <r>
    <s v="SALE303"/>
    <d v="2025-06-05T00:00:00"/>
    <s v="CUST1097"/>
    <s v="PROD31"/>
    <s v="STORE9"/>
    <x v="11"/>
    <s v="Basketball"/>
    <x v="0"/>
    <x v="2"/>
    <s v="David Cobb"/>
    <n v="2"/>
    <n v="916.49"/>
    <n v="0.3"/>
    <x v="2"/>
    <x v="300"/>
  </r>
  <r>
    <s v="SALE304"/>
    <d v="2024-11-19T00:00:00"/>
    <s v="CUST1042"/>
    <s v="PROD51"/>
    <s v="STORE12"/>
    <x v="18"/>
    <s v="HDMI Cable – 2m"/>
    <x v="1"/>
    <x v="0"/>
    <s v="William Martin"/>
    <n v="3"/>
    <n v="781.39"/>
    <n v="0.12"/>
    <x v="0"/>
    <x v="301"/>
  </r>
  <r>
    <s v="SALE305"/>
    <d v="2024-05-19T00:00:00"/>
    <s v="CUST1211"/>
    <s v="PROD38"/>
    <s v="STORE12"/>
    <x v="18"/>
    <s v="Sports Water Hydration Pack"/>
    <x v="0"/>
    <x v="0"/>
    <s v="Rodney Huffman"/>
    <n v="4"/>
    <n v="619.74"/>
    <n v="0.13"/>
    <x v="2"/>
    <x v="302"/>
  </r>
  <r>
    <s v="SALE306"/>
    <d v="2025-01-22T00:00:00"/>
    <s v="CUST1481"/>
    <s v="PROD62"/>
    <s v="STORE14"/>
    <x v="7"/>
    <s v="Laptop Cooling Pad"/>
    <x v="1"/>
    <x v="2"/>
    <s v="Bryan Tran"/>
    <n v="2"/>
    <n v="837.76"/>
    <n v="0.03"/>
    <x v="2"/>
    <x v="303"/>
  </r>
  <r>
    <s v="SALE307"/>
    <d v="2025-07-04T00:00:00"/>
    <s v="CUST1451"/>
    <s v="PROD90"/>
    <s v="STORE1"/>
    <x v="8"/>
    <s v="Gaming Mouse Pad XL"/>
    <x v="1"/>
    <x v="0"/>
    <s v="Ashley Roberts"/>
    <n v="2.9999999999999996"/>
    <n v="135.94"/>
    <n v="0.2"/>
    <x v="0"/>
    <x v="304"/>
  </r>
  <r>
    <s v="SALE308"/>
    <d v="2025-05-19T00:00:00"/>
    <s v="CUST1479"/>
    <s v="PROD74"/>
    <s v="STORE1"/>
    <x v="8"/>
    <s v="Bluetooth Car Audio System"/>
    <x v="1"/>
    <x v="0"/>
    <s v="Dylan Gutierrez"/>
    <n v="4.0000000000000009"/>
    <n v="396.53"/>
    <n v="7.0000000000000007E-2"/>
    <x v="1"/>
    <x v="305"/>
  </r>
  <r>
    <s v="SALE309"/>
    <d v="2023-12-04T00:00:00"/>
    <s v="CUST1220"/>
    <s v="PROD29"/>
    <s v="STORE14"/>
    <x v="7"/>
    <s v="Fabric Sofa Throw Blanket"/>
    <x v="3"/>
    <x v="2"/>
    <s v="George Davis"/>
    <n v="1.9999999999999996"/>
    <n v="722.45"/>
    <n v="0.22"/>
    <x v="1"/>
    <x v="306"/>
  </r>
  <r>
    <s v="SALE310"/>
    <d v="2024-07-31T00:00:00"/>
    <s v="CUST1047"/>
    <s v="PROD64"/>
    <s v="STORE2"/>
    <x v="17"/>
    <s v="Matte Lipstick Set"/>
    <x v="2"/>
    <x v="2"/>
    <s v="Gina Knight"/>
    <n v="2"/>
    <n v="138.41"/>
    <n v="0.02"/>
    <x v="0"/>
    <x v="307"/>
  </r>
  <r>
    <s v="SALE311"/>
    <d v="2025-01-22T00:00:00"/>
    <s v="CUST1126"/>
    <s v="PROD80"/>
    <s v="STORE2"/>
    <x v="17"/>
    <s v="Wall-Mounted Spice Rack"/>
    <x v="3"/>
    <x v="2"/>
    <s v="James Wolfe"/>
    <n v="4"/>
    <n v="741.51"/>
    <n v="0.09"/>
    <x v="2"/>
    <x v="308"/>
  </r>
  <r>
    <s v="SALE312"/>
    <d v="2024-11-15T00:00:00"/>
    <s v="CUST1023"/>
    <s v="PROD80"/>
    <s v="STORE17"/>
    <x v="1"/>
    <s v="Wall-Mounted Spice Rack"/>
    <x v="3"/>
    <x v="0"/>
    <s v="Jonathan Steele"/>
    <n v="2"/>
    <n v="588.9"/>
    <n v="0.19"/>
    <x v="1"/>
    <x v="309"/>
  </r>
  <r>
    <s v="SALE313"/>
    <d v="2024-04-07T00:00:00"/>
    <s v="CUST1304"/>
    <s v="PROD50"/>
    <s v="STORE2"/>
    <x v="17"/>
    <s v="Boxing Hand Wraps"/>
    <x v="0"/>
    <x v="2"/>
    <s v="Miss Alexandria Li DVM"/>
    <n v="1"/>
    <n v="88.92"/>
    <n v="0.19"/>
    <x v="1"/>
    <x v="310"/>
  </r>
  <r>
    <s v="SALE314"/>
    <d v="2024-02-17T00:00:00"/>
    <s v="CUST1118"/>
    <s v="PROD61"/>
    <s v="STORE16"/>
    <x v="9"/>
    <s v="Tennis Ball 3-Pack"/>
    <x v="0"/>
    <x v="1"/>
    <s v="Earl Allen"/>
    <n v="1"/>
    <n v="299.13"/>
    <n v="0.1"/>
    <x v="2"/>
    <x v="311"/>
  </r>
  <r>
    <s v="SALE315"/>
    <d v="2024-05-21T00:00:00"/>
    <s v="CUST1116"/>
    <s v="PROD77"/>
    <s v="STORE3"/>
    <x v="0"/>
    <s v="WiFi Mesh Router"/>
    <x v="1"/>
    <x v="0"/>
    <s v="Anthony Phillips"/>
    <n v="2"/>
    <n v="548.29999999999995"/>
    <n v="0.23"/>
    <x v="0"/>
    <x v="312"/>
  </r>
  <r>
    <s v="SALE316"/>
    <d v="2024-05-23T00:00:00"/>
    <s v="CUST1262"/>
    <s v="PROD54"/>
    <s v="STORE10"/>
    <x v="15"/>
    <s v="Sports Stopwatch Pro"/>
    <x v="0"/>
    <x v="3"/>
    <s v="Katherine Cowan"/>
    <n v="2.9999999999999991"/>
    <n v="977.55"/>
    <n v="0.02"/>
    <x v="1"/>
    <x v="313"/>
  </r>
  <r>
    <s v="SALE317"/>
    <d v="2025-06-15T00:00:00"/>
    <s v="CUST1346"/>
    <s v="PROD44"/>
    <s v="STORE18"/>
    <x v="14"/>
    <s v="Adjustable Jump Rope"/>
    <x v="0"/>
    <x v="3"/>
    <s v="John Jordan"/>
    <n v="1"/>
    <n v="459.42"/>
    <n v="0.28000000000000003"/>
    <x v="2"/>
    <x v="314"/>
  </r>
  <r>
    <s v="SALE318"/>
    <d v="2025-01-06T00:00:00"/>
    <s v="CUST1088"/>
    <s v="PROD2"/>
    <s v="STORE4"/>
    <x v="5"/>
    <s v="Women's Casual Hoodie"/>
    <x v="4"/>
    <x v="2"/>
    <s v="Timothy Wright"/>
    <n v="2"/>
    <n v="123.19"/>
    <n v="0.19"/>
    <x v="0"/>
    <x v="315"/>
  </r>
  <r>
    <s v="SALE319"/>
    <d v="2025-08-10T00:00:00"/>
    <s v="CUST1358"/>
    <s v="PROD55"/>
    <s v="STORE19"/>
    <x v="12"/>
    <s v="Ceramic Plant Pot"/>
    <x v="3"/>
    <x v="3"/>
    <s v="Ashley Anderson"/>
    <n v="1.0000000000000002"/>
    <n v="222.95"/>
    <n v="0.02"/>
    <x v="1"/>
    <x v="316"/>
  </r>
  <r>
    <s v="SALE320"/>
    <d v="2025-07-02T00:00:00"/>
    <s v="CUST1332"/>
    <s v="PROD32"/>
    <s v="STORE4"/>
    <x v="5"/>
    <s v="Vitamin C Face Serum"/>
    <x v="2"/>
    <x v="2"/>
    <s v="Dr. Lindsay Hanna"/>
    <n v="3.0000000000000004"/>
    <n v="601.92999999999995"/>
    <n v="0.14000000000000001"/>
    <x v="0"/>
    <x v="317"/>
  </r>
  <r>
    <s v="SALE321"/>
    <d v="2024-03-29T00:00:00"/>
    <s v="CUST1297"/>
    <s v="PROD69"/>
    <s v="STORE2"/>
    <x v="17"/>
    <s v="Men's Sports Shorts"/>
    <x v="4"/>
    <x v="2"/>
    <s v="Jennifer Carr"/>
    <n v="1"/>
    <n v="564.1"/>
    <n v="0.03"/>
    <x v="0"/>
    <x v="318"/>
  </r>
  <r>
    <s v="SALE322"/>
    <d v="2025-01-15T00:00:00"/>
    <s v="CUST1095"/>
    <s v="PROD80"/>
    <s v="STORE5"/>
    <x v="3"/>
    <s v="Wall-Mounted Spice Rack"/>
    <x v="3"/>
    <x v="0"/>
    <s v="Amy Fowler"/>
    <n v="1.0000000000000002"/>
    <n v="516.62"/>
    <n v="0.18"/>
    <x v="0"/>
    <x v="319"/>
  </r>
  <r>
    <s v="SALE323"/>
    <d v="2024-07-24T00:00:00"/>
    <s v="CUST1438"/>
    <s v="PROD63"/>
    <s v="STORE12"/>
    <x v="18"/>
    <s v="Organic Sunscreen Lotion"/>
    <x v="2"/>
    <x v="0"/>
    <s v="Monica Flynn"/>
    <n v="1"/>
    <n v="934.75"/>
    <n v="0.11"/>
    <x v="1"/>
    <x v="320"/>
  </r>
  <r>
    <s v="SALE324"/>
    <d v="2024-04-25T00:00:00"/>
    <s v="CUST1234"/>
    <s v="PROD98"/>
    <s v="STORE7"/>
    <x v="4"/>
    <s v="Portable Bluetooth Speaker"/>
    <x v="1"/>
    <x v="2"/>
    <s v="Nathaniel Hill"/>
    <n v="4"/>
    <n v="548.44000000000005"/>
    <n v="0.05"/>
    <x v="1"/>
    <x v="321"/>
  </r>
  <r>
    <s v="SALE325"/>
    <d v="2025-04-17T00:00:00"/>
    <s v="CUST1013"/>
    <s v="PROD37"/>
    <s v="STORE3"/>
    <x v="0"/>
    <s v="Men's Casual Sneakers"/>
    <x v="4"/>
    <x v="0"/>
    <s v="Nathan Hernandez"/>
    <n v="3"/>
    <n v="361.11"/>
    <n v="0.06"/>
    <x v="0"/>
    <x v="322"/>
  </r>
  <r>
    <s v="SALE326"/>
    <d v="2025-09-24T00:00:00"/>
    <s v="CUST1187"/>
    <s v="PROD13"/>
    <s v="STORE1"/>
    <x v="8"/>
    <s v="USB-C Fast Charger"/>
    <x v="1"/>
    <x v="0"/>
    <s v="Dr. Suzanne Bullock"/>
    <n v="2"/>
    <n v="610.37"/>
    <n v="0.1"/>
    <x v="1"/>
    <x v="323"/>
  </r>
  <r>
    <s v="SALE327"/>
    <d v="2023-11-10T00:00:00"/>
    <s v="CUST1334"/>
    <s v="PROD51"/>
    <s v="STORE16"/>
    <x v="9"/>
    <s v="HDMI Cable – 2m"/>
    <x v="1"/>
    <x v="1"/>
    <s v="Mr. Christopher Sims"/>
    <n v="1"/>
    <n v="272.2"/>
    <n v="0.3"/>
    <x v="0"/>
    <x v="324"/>
  </r>
  <r>
    <s v="SALE328"/>
    <d v="2024-02-27T00:00:00"/>
    <s v="CUST1438"/>
    <s v="PROD77"/>
    <s v="STORE6"/>
    <x v="16"/>
    <s v="WiFi Mesh Router"/>
    <x v="1"/>
    <x v="3"/>
    <s v="Monica Flynn"/>
    <n v="3"/>
    <n v="573.1"/>
    <n v="0.16"/>
    <x v="2"/>
    <x v="325"/>
  </r>
  <r>
    <s v="SALE329"/>
    <d v="2025-04-09T00:00:00"/>
    <s v="CUST1322"/>
    <s v="PROD6"/>
    <s v="STORE0"/>
    <x v="6"/>
    <s v="Herbal Face Moisturizer"/>
    <x v="2"/>
    <x v="3"/>
    <s v="Samuel Arias"/>
    <n v="4"/>
    <n v="24.72"/>
    <n v="0.28000000000000003"/>
    <x v="0"/>
    <x v="326"/>
  </r>
  <r>
    <s v="SALE330"/>
    <d v="2024-07-05T00:00:00"/>
    <s v="CUST1251"/>
    <s v="PROD9"/>
    <s v="STORE9"/>
    <x v="11"/>
    <s v="Adjustable Dumbbell Set"/>
    <x v="0"/>
    <x v="2"/>
    <s v="Tyler Garner"/>
    <n v="3"/>
    <n v="268.89"/>
    <n v="7.0000000000000007E-2"/>
    <x v="2"/>
    <x v="327"/>
  </r>
  <r>
    <s v="SALE331"/>
    <d v="2025-08-21T00:00:00"/>
    <s v="CUST1257"/>
    <s v="PROD68"/>
    <s v="STORE9"/>
    <x v="11"/>
    <s v="Wooden Nightstand"/>
    <x v="3"/>
    <x v="2"/>
    <s v="Christopher David"/>
    <n v="1"/>
    <n v="78.5"/>
    <n v="0.17"/>
    <x v="2"/>
    <x v="328"/>
  </r>
  <r>
    <s v="SALE332"/>
    <d v="2025-06-07T00:00:00"/>
    <s v="CUST1133"/>
    <s v="PROD36"/>
    <s v="STORE4"/>
    <x v="5"/>
    <s v="Women's Summer Dress"/>
    <x v="4"/>
    <x v="2"/>
    <s v="Hayley Pope"/>
    <n v="2.9999999999999996"/>
    <n v="399.42"/>
    <n v="0.02"/>
    <x v="0"/>
    <x v="329"/>
  </r>
  <r>
    <s v="SALE333"/>
    <d v="2025-08-22T00:00:00"/>
    <s v="CUST1085"/>
    <s v="PROD31"/>
    <s v="STORE19"/>
    <x v="12"/>
    <s v="Basketball"/>
    <x v="0"/>
    <x v="3"/>
    <s v="Richard Delgado"/>
    <n v="3"/>
    <n v="455.82"/>
    <n v="0.01"/>
    <x v="1"/>
    <x v="330"/>
  </r>
  <r>
    <s v="SALE334"/>
    <d v="2024-11-13T00:00:00"/>
    <s v="CUST1349"/>
    <s v="PROD50"/>
    <s v="STORE5"/>
    <x v="3"/>
    <s v="Boxing Hand Wraps"/>
    <x v="0"/>
    <x v="0"/>
    <s v="Heather Valenzuela"/>
    <n v="2"/>
    <n v="613.23"/>
    <n v="0.15"/>
    <x v="1"/>
    <x v="331"/>
  </r>
  <r>
    <s v="SALE335"/>
    <d v="2024-01-18T00:00:00"/>
    <s v="CUST1458"/>
    <s v="PROD2"/>
    <s v="STORE14"/>
    <x v="7"/>
    <s v="Women's Casual Hoodie"/>
    <x v="4"/>
    <x v="2"/>
    <s v="Kelly Garrett"/>
    <n v="4.0000000000000009"/>
    <n v="971.9"/>
    <n v="0.28000000000000003"/>
    <x v="1"/>
    <x v="332"/>
  </r>
  <r>
    <s v="SALE336"/>
    <d v="2024-08-15T00:00:00"/>
    <s v="CUST1034"/>
    <s v="PROD28"/>
    <s v="STORE7"/>
    <x v="4"/>
    <s v="Sports Stopwatch Timer"/>
    <x v="0"/>
    <x v="2"/>
    <s v="Christopher Olson"/>
    <n v="3.0000000000000004"/>
    <n v="884.92"/>
    <n v="0.06"/>
    <x v="1"/>
    <x v="333"/>
  </r>
  <r>
    <s v="SALE337"/>
    <d v="2025-09-21T00:00:00"/>
    <s v="CUST1087"/>
    <s v="PROD8"/>
    <s v="STORE9"/>
    <x v="11"/>
    <s v="Wireless Bluetooth Earbuds"/>
    <x v="1"/>
    <x v="2"/>
    <s v="Melissa Duffy MD"/>
    <n v="1"/>
    <n v="125"/>
    <n v="0.23"/>
    <x v="0"/>
    <x v="334"/>
  </r>
  <r>
    <s v="SALE338"/>
    <d v="2024-06-22T00:00:00"/>
    <s v="CUST1128"/>
    <s v="PROD10"/>
    <s v="STORE15"/>
    <x v="10"/>
    <s v="Ceramic Kitchen Bowl Set"/>
    <x v="3"/>
    <x v="0"/>
    <s v="Susan Mcdonald"/>
    <n v="2"/>
    <n v="188.25"/>
    <n v="0.08"/>
    <x v="1"/>
    <x v="335"/>
  </r>
  <r>
    <s v="SALE339"/>
    <d v="2024-01-12T00:00:00"/>
    <s v="CUST1222"/>
    <s v="PROD46"/>
    <s v="STORE6"/>
    <x v="16"/>
    <s v="Men's Winter Jacket"/>
    <x v="4"/>
    <x v="3"/>
    <s v="Alejandro Doyle"/>
    <n v="3.9999999999999991"/>
    <n v="344.12"/>
    <n v="0.25"/>
    <x v="1"/>
    <x v="336"/>
  </r>
  <r>
    <s v="SALE340"/>
    <d v="2023-10-19T00:00:00"/>
    <s v="CUST1047"/>
    <s v="PROD17"/>
    <s v="STORE19"/>
    <x v="12"/>
    <s v="Soccer Training Cone Set"/>
    <x v="0"/>
    <x v="3"/>
    <s v="Gina Knight"/>
    <n v="2.9999999999999996"/>
    <n v="997.95"/>
    <n v="0.09"/>
    <x v="2"/>
    <x v="337"/>
  </r>
  <r>
    <s v="SALE341"/>
    <d v="2025-03-11T00:00:00"/>
    <s v="CUST1150"/>
    <s v="PROD11"/>
    <s v="STORE15"/>
    <x v="10"/>
    <s v="HD Smart TV Stick"/>
    <x v="1"/>
    <x v="0"/>
    <s v="Stephanie Conway"/>
    <n v="3.0000000000000004"/>
    <n v="121.64"/>
    <n v="7.0000000000000007E-2"/>
    <x v="1"/>
    <x v="338"/>
  </r>
  <r>
    <s v="SALE342"/>
    <d v="2024-09-22T00:00:00"/>
    <s v="CUST1221"/>
    <s v="PROD68"/>
    <s v="STORE10"/>
    <x v="15"/>
    <s v="Wooden Nightstand"/>
    <x v="3"/>
    <x v="3"/>
    <s v="Lisa Young"/>
    <n v="1.9999999999999996"/>
    <n v="692.72"/>
    <n v="0.13"/>
    <x v="1"/>
    <x v="339"/>
  </r>
  <r>
    <s v="SALE343"/>
    <d v="2024-11-27T00:00:00"/>
    <s v="CUST1027"/>
    <s v="PROD24"/>
    <s v="STORE19"/>
    <x v="12"/>
    <s v="Foldable Camping Chair"/>
    <x v="0"/>
    <x v="3"/>
    <s v="Leslie Johnson"/>
    <n v="3"/>
    <n v="794.59"/>
    <n v="0.03"/>
    <x v="1"/>
    <x v="340"/>
  </r>
  <r>
    <s v="SALE344"/>
    <d v="2023-10-25T00:00:00"/>
    <s v="CUST1014"/>
    <s v="PROD26"/>
    <s v="STORE9"/>
    <x v="11"/>
    <s v="Wireless Bluetooth Speaker"/>
    <x v="1"/>
    <x v="2"/>
    <s v="Ashley Cohen"/>
    <n v="1"/>
    <n v="907.95"/>
    <n v="0.1"/>
    <x v="1"/>
    <x v="341"/>
  </r>
  <r>
    <s v="SALE345"/>
    <d v="2025-10-10T00:00:00"/>
    <s v="CUST1287"/>
    <s v="PROD50"/>
    <s v="STORE0"/>
    <x v="6"/>
    <s v="Boxing Hand Wraps"/>
    <x v="0"/>
    <x v="3"/>
    <s v="Cynthia Roberts"/>
    <n v="2"/>
    <n v="660.81"/>
    <n v="0.18"/>
    <x v="0"/>
    <x v="342"/>
  </r>
  <r>
    <s v="SALE346"/>
    <d v="2025-09-15T00:00:00"/>
    <s v="CUST1061"/>
    <s v="PROD51"/>
    <s v="STORE8"/>
    <x v="2"/>
    <s v="HDMI Cable – 2m"/>
    <x v="1"/>
    <x v="1"/>
    <s v="Kristin Stein"/>
    <n v="2.9999999999999991"/>
    <n v="564.94000000000005"/>
    <n v="0.22"/>
    <x v="2"/>
    <x v="343"/>
  </r>
  <r>
    <s v="SALE347"/>
    <d v="2024-09-06T00:00:00"/>
    <s v="CUST1054"/>
    <s v="PROD15"/>
    <s v="STORE15"/>
    <x v="10"/>
    <s v="4K Home Projector"/>
    <x v="1"/>
    <x v="0"/>
    <s v="Katherine Dorsey"/>
    <n v="2"/>
    <n v="280.37"/>
    <n v="0.22"/>
    <x v="2"/>
    <x v="344"/>
  </r>
  <r>
    <s v="SALE348"/>
    <d v="2024-07-16T00:00:00"/>
    <s v="CUST1372"/>
    <s v="PROD50"/>
    <s v="STORE3"/>
    <x v="0"/>
    <s v="Boxing Hand Wraps"/>
    <x v="0"/>
    <x v="0"/>
    <s v="Jacqueline Anthony"/>
    <n v="1.9999999999999996"/>
    <n v="85.23"/>
    <n v="0.13"/>
    <x v="0"/>
    <x v="345"/>
  </r>
  <r>
    <s v="SALE349"/>
    <d v="2025-04-01T00:00:00"/>
    <s v="CUST1312"/>
    <s v="PROD27"/>
    <s v="STORE13"/>
    <x v="13"/>
    <s v="Decorative Floor Vase"/>
    <x v="3"/>
    <x v="3"/>
    <s v="Jason Mullins"/>
    <n v="2"/>
    <n v="563.29999999999995"/>
    <n v="0.26"/>
    <x v="0"/>
    <x v="346"/>
  </r>
  <r>
    <s v="SALE350"/>
    <d v="2024-01-18T00:00:00"/>
    <s v="CUST1033"/>
    <s v="PROD80"/>
    <s v="STORE18"/>
    <x v="14"/>
    <s v="Wall-Mounted Spice Rack"/>
    <x v="3"/>
    <x v="3"/>
    <s v="Robert Jones DDS"/>
    <n v="2"/>
    <n v="827.81"/>
    <n v="0.04"/>
    <x v="1"/>
    <x v="347"/>
  </r>
  <r>
    <s v="SALE351"/>
    <d v="2024-11-25T00:00:00"/>
    <s v="CUST1214"/>
    <s v="PROD12"/>
    <s v="STORE18"/>
    <x v="14"/>
    <s v="Hair Strengthening Shampoo"/>
    <x v="2"/>
    <x v="3"/>
    <s v="Eric Todd"/>
    <n v="2.9999999999999996"/>
    <n v="877.71"/>
    <n v="0.12"/>
    <x v="1"/>
    <x v="348"/>
  </r>
  <r>
    <s v="SALE352"/>
    <d v="2024-11-07T00:00:00"/>
    <s v="CUST1257"/>
    <s v="PROD57"/>
    <s v="STORE9"/>
    <x v="11"/>
    <s v="Foam Roller"/>
    <x v="0"/>
    <x v="2"/>
    <s v="Christopher David"/>
    <n v="4"/>
    <n v="488.56"/>
    <n v="0.26"/>
    <x v="2"/>
    <x v="349"/>
  </r>
  <r>
    <s v="SALE353"/>
    <d v="2024-07-28T00:00:00"/>
    <s v="CUST1104"/>
    <s v="PROD25"/>
    <s v="STORE12"/>
    <x v="18"/>
    <s v="Women's Scarf Set"/>
    <x v="4"/>
    <x v="0"/>
    <s v="Christopher Lester"/>
    <n v="4"/>
    <n v="175.91"/>
    <n v="0.13"/>
    <x v="1"/>
    <x v="350"/>
  </r>
  <r>
    <s v="SALE354"/>
    <d v="2024-04-16T00:00:00"/>
    <s v="CUST1248"/>
    <s v="PROD87"/>
    <s v="STORE8"/>
    <x v="2"/>
    <s v="LED Bedside Lamp"/>
    <x v="3"/>
    <x v="1"/>
    <s v="Nicholas Webb"/>
    <n v="4"/>
    <n v="289.66000000000003"/>
    <n v="0.25"/>
    <x v="2"/>
    <x v="351"/>
  </r>
  <r>
    <s v="SALE355"/>
    <d v="2024-01-13T00:00:00"/>
    <s v="CUST1241"/>
    <s v="PROD15"/>
    <s v="STORE15"/>
    <x v="10"/>
    <s v="4K Home Projector"/>
    <x v="1"/>
    <x v="0"/>
    <s v="Mr. William Horton"/>
    <n v="2"/>
    <n v="899.27"/>
    <n v="0.17"/>
    <x v="0"/>
    <x v="352"/>
  </r>
  <r>
    <s v="SALE356"/>
    <d v="2024-01-08T00:00:00"/>
    <s v="CUST1065"/>
    <s v="PROD18"/>
    <s v="STORE1"/>
    <x v="8"/>
    <s v="Women's Denim Jeans"/>
    <x v="4"/>
    <x v="0"/>
    <s v="Michael Thomas"/>
    <n v="1"/>
    <n v="691.38"/>
    <n v="0.11"/>
    <x v="2"/>
    <x v="353"/>
  </r>
  <r>
    <s v="SALE357"/>
    <d v="2024-09-29T00:00:00"/>
    <s v="CUST1165"/>
    <s v="PROD27"/>
    <s v="STORE0"/>
    <x v="6"/>
    <s v="Decorative Floor Vase"/>
    <x v="3"/>
    <x v="3"/>
    <s v="Jason Wheeler"/>
    <n v="3"/>
    <n v="158.72"/>
    <n v="0.13"/>
    <x v="0"/>
    <x v="354"/>
  </r>
  <r>
    <s v="SALE358"/>
    <d v="2024-05-01T00:00:00"/>
    <s v="CUST1210"/>
    <s v="PROD60"/>
    <s v="STORE16"/>
    <x v="9"/>
    <s v="Luxury Perfume Spray"/>
    <x v="2"/>
    <x v="1"/>
    <s v="Antonio Jones"/>
    <n v="4.0000000000000009"/>
    <n v="537.15"/>
    <n v="0.06"/>
    <x v="2"/>
    <x v="355"/>
  </r>
  <r>
    <s v="SALE359"/>
    <d v="2024-07-07T00:00:00"/>
    <s v="CUST1417"/>
    <s v="PROD41"/>
    <s v="STORE9"/>
    <x v="11"/>
    <s v="Yoga Exercise Mat"/>
    <x v="0"/>
    <x v="2"/>
    <s v="Karen King"/>
    <n v="2.9999999999999996"/>
    <n v="771.7"/>
    <n v="0.05"/>
    <x v="2"/>
    <x v="356"/>
  </r>
  <r>
    <s v="SALE360"/>
    <d v="2024-11-14T00:00:00"/>
    <s v="CUST1108"/>
    <s v="PROD88"/>
    <s v="STORE1"/>
    <x v="8"/>
    <s v="Sports Wrist Sweatbands"/>
    <x v="0"/>
    <x v="0"/>
    <s v="Travis Holland"/>
    <n v="4"/>
    <n v="677.25"/>
    <n v="0.14000000000000001"/>
    <x v="1"/>
    <x v="357"/>
  </r>
  <r>
    <s v="SALE361"/>
    <d v="2025-04-16T00:00:00"/>
    <s v="CUST1102"/>
    <s v="PROD98"/>
    <s v="STORE11"/>
    <x v="19"/>
    <s v="Portable Bluetooth Speaker"/>
    <x v="1"/>
    <x v="2"/>
    <s v="Sarah Schneider"/>
    <n v="1"/>
    <n v="645.48"/>
    <n v="0.26"/>
    <x v="2"/>
    <x v="358"/>
  </r>
  <r>
    <s v="SALE362"/>
    <d v="2025-07-18T00:00:00"/>
    <s v="CUST1360"/>
    <s v="PROD73"/>
    <s v="STORE2"/>
    <x v="17"/>
    <s v="Shin Guards – Adult"/>
    <x v="0"/>
    <x v="2"/>
    <s v="Denise Tate"/>
    <n v="2"/>
    <n v="934"/>
    <n v="0.3"/>
    <x v="2"/>
    <x v="359"/>
  </r>
  <r>
    <s v="SALE363"/>
    <d v="2025-02-24T00:00:00"/>
    <s v="CUST1334"/>
    <s v="PROD46"/>
    <s v="STORE2"/>
    <x v="17"/>
    <s v="Men's Winter Jacket"/>
    <x v="4"/>
    <x v="2"/>
    <s v="Mr. Christopher Sims"/>
    <n v="1"/>
    <n v="669.53"/>
    <n v="0.2"/>
    <x v="0"/>
    <x v="360"/>
  </r>
  <r>
    <s v="SALE364"/>
    <d v="2025-03-07T00:00:00"/>
    <s v="CUST1216"/>
    <s v="PROD35"/>
    <s v="STORE18"/>
    <x v="14"/>
    <s v="Bedroom Table Lamp"/>
    <x v="3"/>
    <x v="3"/>
    <s v="Kathryn Garcia"/>
    <n v="1"/>
    <n v="213.69"/>
    <n v="0.28000000000000003"/>
    <x v="2"/>
    <x v="361"/>
  </r>
  <r>
    <s v="SALE365"/>
    <d v="2025-02-18T00:00:00"/>
    <s v="CUST1077"/>
    <s v="PROD21"/>
    <s v="STORE19"/>
    <x v="12"/>
    <s v="Multi-Purpose Storage Box"/>
    <x v="3"/>
    <x v="3"/>
    <s v="Katherine Young"/>
    <n v="2"/>
    <n v="99.1"/>
    <n v="0.2"/>
    <x v="1"/>
    <x v="362"/>
  </r>
  <r>
    <s v="SALE366"/>
    <d v="2024-06-26T00:00:00"/>
    <s v="CUST1370"/>
    <s v="PROD37"/>
    <s v="STORE16"/>
    <x v="9"/>
    <s v="Men's Casual Sneakers"/>
    <x v="4"/>
    <x v="1"/>
    <s v="James Holloway Jr."/>
    <n v="1"/>
    <n v="628.98"/>
    <n v="0.03"/>
    <x v="2"/>
    <x v="363"/>
  </r>
  <r>
    <s v="SALE367"/>
    <d v="2025-02-23T00:00:00"/>
    <s v="CUST1085"/>
    <s v="PROD84"/>
    <s v="STORE4"/>
    <x v="5"/>
    <s v="Wooden Bookshelf"/>
    <x v="3"/>
    <x v="2"/>
    <s v="Richard Delgado"/>
    <n v="3.0000000000000004"/>
    <n v="944.64"/>
    <n v="0.26"/>
    <x v="0"/>
    <x v="364"/>
  </r>
  <r>
    <s v="SALE368"/>
    <d v="2025-06-15T00:00:00"/>
    <s v="CUST1471"/>
    <s v="PROD93"/>
    <s v="STORE12"/>
    <x v="18"/>
    <s v="USB-C Laptop Charger"/>
    <x v="1"/>
    <x v="0"/>
    <s v="Debra Mccullough"/>
    <n v="2"/>
    <n v="121.7"/>
    <n v="0.06"/>
    <x v="2"/>
    <x v="365"/>
  </r>
  <r>
    <s v="SALE369"/>
    <d v="2023-10-18T00:00:00"/>
    <s v="CUST1448"/>
    <s v="PROD65"/>
    <s v="STORE3"/>
    <x v="0"/>
    <s v="Adjustable Dumbbells 20kg"/>
    <x v="0"/>
    <x v="0"/>
    <s v="Eric Holmes"/>
    <n v="4"/>
    <n v="269.49"/>
    <n v="7.0000000000000007E-2"/>
    <x v="1"/>
    <x v="366"/>
  </r>
  <r>
    <s v="SALE370"/>
    <d v="2025-03-17T00:00:00"/>
    <s v="CUST1099"/>
    <s v="PROD22"/>
    <s v="STORE18"/>
    <x v="14"/>
    <s v="Carbon Fiber Tennis Racket"/>
    <x v="0"/>
    <x v="3"/>
    <s v="Sheila Wilson"/>
    <n v="1"/>
    <n v="678.2"/>
    <n v="0.14000000000000001"/>
    <x v="0"/>
    <x v="367"/>
  </r>
  <r>
    <s v="SALE371"/>
    <d v="2024-08-16T00:00:00"/>
    <s v="CUST1231"/>
    <s v="PROD90"/>
    <s v="STORE13"/>
    <x v="13"/>
    <s v="Gaming Mouse Pad XL"/>
    <x v="1"/>
    <x v="3"/>
    <s v="Timothy Juarez"/>
    <n v="1"/>
    <n v="752.45"/>
    <n v="0.21"/>
    <x v="2"/>
    <x v="368"/>
  </r>
  <r>
    <s v="SALE372"/>
    <d v="2024-03-22T00:00:00"/>
    <s v="CUST1037"/>
    <s v="PROD94"/>
    <s v="STORE13"/>
    <x v="13"/>
    <s v="Vitamin E Body Lotion"/>
    <x v="2"/>
    <x v="3"/>
    <s v="Christopher Carter"/>
    <n v="2"/>
    <n v="209.66"/>
    <n v="0.21"/>
    <x v="0"/>
    <x v="369"/>
  </r>
  <r>
    <s v="SALE373"/>
    <d v="2025-01-31T00:00:00"/>
    <s v="CUST1161"/>
    <s v="PROD97"/>
    <s v="STORE19"/>
    <x v="12"/>
    <s v="Cricket Bat"/>
    <x v="0"/>
    <x v="3"/>
    <s v="Cynthia Morris"/>
    <n v="2"/>
    <n v="739.95"/>
    <n v="0.1"/>
    <x v="2"/>
    <x v="370"/>
  </r>
  <r>
    <s v="SALE374"/>
    <d v="2023-12-16T00:00:00"/>
    <s v="CUST1469"/>
    <s v="PROD45"/>
    <s v="STORE15"/>
    <x v="10"/>
    <s v="High-Grip Football"/>
    <x v="0"/>
    <x v="0"/>
    <s v="James Foster"/>
    <n v="1"/>
    <n v="496.19"/>
    <n v="0.08"/>
    <x v="2"/>
    <x v="371"/>
  </r>
  <r>
    <s v="SALE375"/>
    <d v="2025-04-09T00:00:00"/>
    <s v="CUST1044"/>
    <s v="PROD9"/>
    <s v="STORE12"/>
    <x v="18"/>
    <s v="Adjustable Dumbbell Set"/>
    <x v="0"/>
    <x v="0"/>
    <s v="Denise Williams"/>
    <n v="1"/>
    <n v="306.36"/>
    <n v="0.01"/>
    <x v="1"/>
    <x v="372"/>
  </r>
  <r>
    <s v="SALE376"/>
    <d v="2024-01-18T00:00:00"/>
    <s v="CUST1120"/>
    <s v="PROD73"/>
    <s v="STORE4"/>
    <x v="5"/>
    <s v="Shin Guards – Adult"/>
    <x v="0"/>
    <x v="2"/>
    <s v="Jacob Hopkins"/>
    <n v="4"/>
    <n v="693.16"/>
    <n v="0.05"/>
    <x v="1"/>
    <x v="373"/>
  </r>
  <r>
    <s v="SALE377"/>
    <d v="2025-03-28T00:00:00"/>
    <s v="CUST1455"/>
    <s v="PROD83"/>
    <s v="STORE10"/>
    <x v="15"/>
    <s v="Hydrating Face Cleanser"/>
    <x v="2"/>
    <x v="3"/>
    <s v="Tyler Weber"/>
    <n v="1"/>
    <n v="995.52"/>
    <n v="0.22"/>
    <x v="1"/>
    <x v="374"/>
  </r>
  <r>
    <s v="SALE378"/>
    <d v="2024-08-31T00:00:00"/>
    <s v="CUST1125"/>
    <s v="PROD7"/>
    <s v="STORE18"/>
    <x v="14"/>
    <s v="LED Table Lamp"/>
    <x v="3"/>
    <x v="3"/>
    <s v="Keith Miller"/>
    <n v="4"/>
    <n v="241.32"/>
    <n v="0.28999999999999998"/>
    <x v="2"/>
    <x v="375"/>
  </r>
  <r>
    <s v="SALE379"/>
    <d v="2023-11-10T00:00:00"/>
    <s v="CUST1239"/>
    <s v="PROD78"/>
    <s v="STORE1"/>
    <x v="8"/>
    <s v="Essential Oil Diffuser"/>
    <x v="3"/>
    <x v="0"/>
    <s v="Maria Hill"/>
    <n v="3.0000000000000004"/>
    <n v="636.03"/>
    <n v="0.06"/>
    <x v="2"/>
    <x v="376"/>
  </r>
  <r>
    <s v="SALE380"/>
    <d v="2023-12-15T00:00:00"/>
    <s v="CUST1096"/>
    <s v="PROD4"/>
    <s v="STORE19"/>
    <x v="12"/>
    <s v="Women's Yoga Pants"/>
    <x v="4"/>
    <x v="3"/>
    <s v="Samantha Walker"/>
    <n v="4"/>
    <n v="603.30999999999995"/>
    <n v="0.15"/>
    <x v="0"/>
    <x v="377"/>
  </r>
  <r>
    <s v="SALE381"/>
    <d v="2024-05-15T00:00:00"/>
    <s v="CUST1075"/>
    <s v="PROD89"/>
    <s v="STORE10"/>
    <x v="15"/>
    <s v="Face Foundation Kit"/>
    <x v="2"/>
    <x v="3"/>
    <s v="Rhonda Morales"/>
    <n v="3"/>
    <n v="437.96"/>
    <n v="0.27"/>
    <x v="2"/>
    <x v="378"/>
  </r>
  <r>
    <s v="SALE382"/>
    <d v="2024-01-31T00:00:00"/>
    <s v="CUST1208"/>
    <s v="PROD34"/>
    <s v="STORE4"/>
    <x v="5"/>
    <s v="Gaming Mechanical Keyboard"/>
    <x v="1"/>
    <x v="2"/>
    <s v="John Perez"/>
    <n v="2"/>
    <n v="56.91"/>
    <n v="0.08"/>
    <x v="2"/>
    <x v="379"/>
  </r>
  <r>
    <s v="SALE383"/>
    <d v="2023-12-06T00:00:00"/>
    <s v="CUST1334"/>
    <s v="PROD76"/>
    <s v="STORE6"/>
    <x v="16"/>
    <s v="Wireless Mouse"/>
    <x v="1"/>
    <x v="3"/>
    <s v="Mr. Christopher Sims"/>
    <n v="1.0000000000000002"/>
    <n v="141.79"/>
    <n v="0.1"/>
    <x v="0"/>
    <x v="380"/>
  </r>
  <r>
    <s v="SALE384"/>
    <d v="2024-01-11T00:00:00"/>
    <s v="CUST1483"/>
    <s v="PROD9"/>
    <s v="STORE15"/>
    <x v="10"/>
    <s v="Adjustable Dumbbell Set"/>
    <x v="0"/>
    <x v="0"/>
    <s v="Sarah Smith"/>
    <n v="4.0000000000000009"/>
    <n v="355.14"/>
    <n v="0.16"/>
    <x v="2"/>
    <x v="381"/>
  </r>
  <r>
    <s v="SALE385"/>
    <d v="2025-09-07T00:00:00"/>
    <s v="CUST1211"/>
    <s v="PROD38"/>
    <s v="STORE6"/>
    <x v="16"/>
    <s v="Sports Water Hydration Pack"/>
    <x v="0"/>
    <x v="3"/>
    <s v="Rodney Huffman"/>
    <n v="4"/>
    <n v="960.38"/>
    <n v="0.15"/>
    <x v="2"/>
    <x v="382"/>
  </r>
  <r>
    <s v="SALE386"/>
    <d v="2024-05-21T00:00:00"/>
    <s v="CUST1420"/>
    <s v="PROD69"/>
    <s v="STORE16"/>
    <x v="9"/>
    <s v="Men's Sports Shorts"/>
    <x v="4"/>
    <x v="1"/>
    <s v="Dr. Tamara White MD"/>
    <n v="3"/>
    <n v="847.21"/>
    <n v="0.06"/>
    <x v="1"/>
    <x v="383"/>
  </r>
  <r>
    <s v="SALE387"/>
    <d v="2025-08-23T00:00:00"/>
    <s v="CUST1066"/>
    <s v="PROD80"/>
    <s v="STORE10"/>
    <x v="15"/>
    <s v="Wall-Mounted Spice Rack"/>
    <x v="3"/>
    <x v="3"/>
    <s v="Cody Diaz"/>
    <n v="4"/>
    <n v="773.81"/>
    <n v="0.08"/>
    <x v="2"/>
    <x v="384"/>
  </r>
  <r>
    <s v="SALE388"/>
    <d v="2025-05-03T00:00:00"/>
    <s v="CUST1000"/>
    <s v="PROD63"/>
    <s v="STORE16"/>
    <x v="9"/>
    <s v="Organic Sunscreen Lotion"/>
    <x v="2"/>
    <x v="1"/>
    <s v="  sheena bonilla  "/>
    <n v="1"/>
    <n v="664.71"/>
    <n v="0.1"/>
    <x v="1"/>
    <x v="385"/>
  </r>
  <r>
    <s v="SALE389"/>
    <d v="2023-11-03T00:00:00"/>
    <s v="CUST1347"/>
    <s v="PROD37"/>
    <s v="STORE7"/>
    <x v="4"/>
    <s v="Men's Casual Sneakers"/>
    <x v="4"/>
    <x v="2"/>
    <s v="Justin Mason DDS"/>
    <n v="4.0000000000000009"/>
    <n v="482.06"/>
    <n v="7.0000000000000007E-2"/>
    <x v="1"/>
    <x v="386"/>
  </r>
  <r>
    <s v="SALE390"/>
    <d v="2025-03-26T00:00:00"/>
    <s v="CUST1089"/>
    <s v="PROD57"/>
    <s v="STORE3"/>
    <x v="0"/>
    <s v="Foam Roller"/>
    <x v="0"/>
    <x v="0"/>
    <s v="Jamie Yoder"/>
    <n v="4"/>
    <n v="995.55"/>
    <n v="0.19"/>
    <x v="1"/>
    <x v="387"/>
  </r>
  <r>
    <s v="SALE391"/>
    <d v="2024-07-05T00:00:00"/>
    <s v="CUST1141"/>
    <s v="PROD93"/>
    <s v="STORE13"/>
    <x v="13"/>
    <s v="USB-C Laptop Charger"/>
    <x v="1"/>
    <x v="3"/>
    <s v="Cristian Wright"/>
    <n v="2"/>
    <n v="153.84"/>
    <n v="0.27"/>
    <x v="1"/>
    <x v="388"/>
  </r>
  <r>
    <s v="SALE392"/>
    <d v="2025-05-12T00:00:00"/>
    <s v="CUST1153"/>
    <s v="PROD78"/>
    <s v="STORE6"/>
    <x v="16"/>
    <s v="Essential Oil Diffuser"/>
    <x v="3"/>
    <x v="3"/>
    <s v="Joseph Faulkner"/>
    <n v="2.9999999999999996"/>
    <n v="362.11"/>
    <n v="0.23"/>
    <x v="2"/>
    <x v="389"/>
  </r>
  <r>
    <s v="SALE393"/>
    <d v="2024-09-26T00:00:00"/>
    <s v="CUST1472"/>
    <s v="PROD43"/>
    <s v="STORE8"/>
    <x v="2"/>
    <s v="USB External Hard Drive"/>
    <x v="1"/>
    <x v="1"/>
    <s v="Philip Mendoza"/>
    <n v="3"/>
    <n v="112.26"/>
    <n v="0.11"/>
    <x v="0"/>
    <x v="390"/>
  </r>
  <r>
    <s v="SALE394"/>
    <d v="2024-03-27T00:00:00"/>
    <s v="CUST1203"/>
    <s v="PROD94"/>
    <s v="STORE19"/>
    <x v="12"/>
    <s v="Vitamin E Body Lotion"/>
    <x v="2"/>
    <x v="3"/>
    <s v="Sarah Brady"/>
    <n v="2"/>
    <n v="962.81"/>
    <n v="0.06"/>
    <x v="2"/>
    <x v="391"/>
  </r>
  <r>
    <s v="SALE395"/>
    <d v="2024-01-17T00:00:00"/>
    <s v="CUST1213"/>
    <s v="PROD21"/>
    <s v="STORE0"/>
    <x v="6"/>
    <s v="Multi-Purpose Storage Box"/>
    <x v="3"/>
    <x v="3"/>
    <s v="Stuart Johnson"/>
    <n v="4"/>
    <n v="276.23"/>
    <n v="0.12"/>
    <x v="0"/>
    <x v="392"/>
  </r>
  <r>
    <s v="SALE396"/>
    <d v="2024-04-25T00:00:00"/>
    <s v="CUST1015"/>
    <s v="PROD18"/>
    <s v="STORE14"/>
    <x v="7"/>
    <s v="Women's Denim Jeans"/>
    <x v="4"/>
    <x v="2"/>
    <s v="Laura Alvarez"/>
    <n v="3"/>
    <n v="991.37"/>
    <n v="0.1"/>
    <x v="1"/>
    <x v="393"/>
  </r>
  <r>
    <s v="SALE397"/>
    <d v="2025-09-29T00:00:00"/>
    <s v="CUST1168"/>
    <s v="PROD21"/>
    <s v="STORE13"/>
    <x v="13"/>
    <s v="Multi-Purpose Storage Box"/>
    <x v="3"/>
    <x v="3"/>
    <s v="Daniel Contreras"/>
    <n v="3"/>
    <n v="977.47"/>
    <n v="0.05"/>
    <x v="0"/>
    <x v="394"/>
  </r>
  <r>
    <s v="SALE398"/>
    <d v="2025-07-06T00:00:00"/>
    <s v="CUST1206"/>
    <s v="PROD94"/>
    <s v="STORE12"/>
    <x v="18"/>
    <s v="Vitamin E Body Lotion"/>
    <x v="2"/>
    <x v="0"/>
    <s v="Ronald Jones"/>
    <n v="2"/>
    <n v="308.7"/>
    <n v="0.2"/>
    <x v="1"/>
    <x v="395"/>
  </r>
  <r>
    <s v="SALE399"/>
    <d v="2024-10-14T00:00:00"/>
    <s v="CUST1037"/>
    <s v="PROD6"/>
    <s v="STORE16"/>
    <x v="9"/>
    <s v="Herbal Face Moisturizer"/>
    <x v="2"/>
    <x v="1"/>
    <s v="Christopher Carter"/>
    <n v="1.9999999999999996"/>
    <n v="733.87"/>
    <n v="0.1"/>
    <x v="1"/>
    <x v="396"/>
  </r>
  <r>
    <s v="SALE400"/>
    <d v="2023-10-28T00:00:00"/>
    <s v="CUST1095"/>
    <s v="PROD19"/>
    <s v="STORE16"/>
    <x v="9"/>
    <s v="Knee Support Brace"/>
    <x v="0"/>
    <x v="1"/>
    <s v="Amy Fowler"/>
    <n v="2"/>
    <n v="22.47"/>
    <n v="0.22"/>
    <x v="1"/>
    <x v="397"/>
  </r>
  <r>
    <s v="SALE401"/>
    <d v="2024-03-29T00:00:00"/>
    <s v="CUST1348"/>
    <s v="PROD57"/>
    <s v="STORE13"/>
    <x v="13"/>
    <s v="Foam Roller"/>
    <x v="0"/>
    <x v="3"/>
    <s v="Sherry Cabrera"/>
    <n v="4"/>
    <n v="651.36"/>
    <n v="0.13"/>
    <x v="0"/>
    <x v="398"/>
  </r>
  <r>
    <s v="SALE402"/>
    <d v="2025-06-09T00:00:00"/>
    <s v="CUST1296"/>
    <s v="PROD14"/>
    <s v="STORE10"/>
    <x v="15"/>
    <s v="Decorative Wall Mirror"/>
    <x v="3"/>
    <x v="3"/>
    <s v="Jared Moran"/>
    <n v="1"/>
    <n v="753.39"/>
    <n v="0.04"/>
    <x v="2"/>
    <x v="399"/>
  </r>
  <r>
    <s v="SALE403"/>
    <d v="2024-10-11T00:00:00"/>
    <s v="CUST1201"/>
    <s v="PROD71"/>
    <s v="STORE12"/>
    <x v="18"/>
    <s v="Hair Repair Oil Treatment"/>
    <x v="2"/>
    <x v="0"/>
    <s v="Mary Boyd"/>
    <n v="4"/>
    <n v="849.17"/>
    <n v="0.12"/>
    <x v="2"/>
    <x v="400"/>
  </r>
  <r>
    <s v="SALE404"/>
    <d v="2024-07-22T00:00:00"/>
    <s v="CUST1379"/>
    <s v="PROD20"/>
    <s v="STORE0"/>
    <x v="6"/>
    <s v="Outdoor Sports Water Bottle"/>
    <x v="0"/>
    <x v="3"/>
    <s v="Tanya Lopez"/>
    <n v="3.9999999999999996"/>
    <n v="585.45000000000005"/>
    <n v="0.25"/>
    <x v="2"/>
    <x v="401"/>
  </r>
  <r>
    <s v="SALE405"/>
    <d v="2024-12-02T00:00:00"/>
    <s v="CUST1476"/>
    <s v="PROD75"/>
    <s v="STORE16"/>
    <x v="9"/>
    <s v="Women's Ankle Boots"/>
    <x v="4"/>
    <x v="1"/>
    <s v="Elizabeth Foster"/>
    <n v="1"/>
    <n v="745.15"/>
    <n v="0.25"/>
    <x v="2"/>
    <x v="402"/>
  </r>
  <r>
    <s v="SALE406"/>
    <d v="2023-11-14T00:00:00"/>
    <s v="CUST1050"/>
    <s v="PROD99"/>
    <s v="STORE2"/>
    <x v="17"/>
    <s v="Stainless Steel Cookware Set"/>
    <x v="3"/>
    <x v="2"/>
    <s v="Matthew Hunter Jr."/>
    <n v="1"/>
    <n v="848.69"/>
    <n v="0.04"/>
    <x v="2"/>
    <x v="403"/>
  </r>
  <r>
    <s v="SALE407"/>
    <d v="2024-02-14T00:00:00"/>
    <s v="CUST1413"/>
    <s v="PROD70"/>
    <s v="STORE14"/>
    <x v="7"/>
    <s v="Kitchen Storage Rack"/>
    <x v="3"/>
    <x v="2"/>
    <s v="Megan Ryan"/>
    <n v="2"/>
    <n v="247.67"/>
    <n v="0.1"/>
    <x v="1"/>
    <x v="404"/>
  </r>
  <r>
    <s v="SALE408"/>
    <d v="2024-06-22T00:00:00"/>
    <s v="CUST1039"/>
    <s v="PROD74"/>
    <s v="STORE3"/>
    <x v="0"/>
    <s v="Bluetooth Car Audio System"/>
    <x v="1"/>
    <x v="0"/>
    <s v="Tonya Reynolds"/>
    <n v="3"/>
    <n v="220.51"/>
    <n v="0.02"/>
    <x v="1"/>
    <x v="405"/>
  </r>
  <r>
    <s v="SALE409"/>
    <d v="2025-06-29T00:00:00"/>
    <s v="CUST1327"/>
    <s v="PROD15"/>
    <s v="STORE16"/>
    <x v="9"/>
    <s v="4K Home Projector"/>
    <x v="1"/>
    <x v="1"/>
    <s v="Reginald Willis"/>
    <n v="4"/>
    <n v="370.63"/>
    <n v="0.08"/>
    <x v="0"/>
    <x v="406"/>
  </r>
  <r>
    <s v="SALE410"/>
    <d v="2025-02-18T00:00:00"/>
    <s v="CUST1391"/>
    <s v="PROD29"/>
    <s v="STORE19"/>
    <x v="12"/>
    <s v="Fabric Sofa Throw Blanket"/>
    <x v="3"/>
    <x v="3"/>
    <s v="Heidi Tyler"/>
    <n v="4"/>
    <n v="349.84"/>
    <n v="0.11"/>
    <x v="0"/>
    <x v="407"/>
  </r>
  <r>
    <s v="SALE411"/>
    <d v="2025-06-15T00:00:00"/>
    <s v="CUST1043"/>
    <s v="PROD39"/>
    <s v="STORE12"/>
    <x v="18"/>
    <s v="Portable Power Bank"/>
    <x v="1"/>
    <x v="0"/>
    <s v="Joseph Snow"/>
    <n v="1"/>
    <n v="770.87"/>
    <n v="0.1"/>
    <x v="2"/>
    <x v="408"/>
  </r>
  <r>
    <s v="SALE412"/>
    <d v="2024-08-14T00:00:00"/>
    <s v="CUST1479"/>
    <s v="PROD99"/>
    <s v="STORE17"/>
    <x v="1"/>
    <s v="Stainless Steel Cookware Set"/>
    <x v="3"/>
    <x v="0"/>
    <s v="Dylan Gutierrez"/>
    <n v="3.0000000000000004"/>
    <n v="507.33"/>
    <n v="0.06"/>
    <x v="1"/>
    <x v="409"/>
  </r>
  <r>
    <s v="SALE413"/>
    <d v="2025-07-25T00:00:00"/>
    <s v="CUST1185"/>
    <s v="PROD66"/>
    <s v="STORE9"/>
    <x v="11"/>
    <s v="Women's Hair Dryer Brush"/>
    <x v="2"/>
    <x v="2"/>
    <s v="Brent Rivas"/>
    <n v="1"/>
    <n v="87.78"/>
    <n v="0.06"/>
    <x v="0"/>
    <x v="410"/>
  </r>
  <r>
    <s v="SALE414"/>
    <d v="2025-01-09T00:00:00"/>
    <s v="CUST1006"/>
    <s v="PROD93"/>
    <s v="STORE4"/>
    <x v="5"/>
    <s v="USB-C Laptop Charger"/>
    <x v="1"/>
    <x v="2"/>
    <s v="Amber Jackson"/>
    <n v="2"/>
    <n v="772.24"/>
    <n v="0.22"/>
    <x v="0"/>
    <x v="411"/>
  </r>
  <r>
    <s v="SALE415"/>
    <d v="2025-06-05T00:00:00"/>
    <s v="CUST1047"/>
    <s v="PROD70"/>
    <s v="STORE14"/>
    <x v="7"/>
    <s v="Kitchen Storage Rack"/>
    <x v="3"/>
    <x v="2"/>
    <s v="Gina Knight"/>
    <n v="1"/>
    <n v="108.27"/>
    <n v="0.1"/>
    <x v="2"/>
    <x v="412"/>
  </r>
  <r>
    <s v="SALE416"/>
    <d v="2024-12-07T00:00:00"/>
    <s v="CUST1347"/>
    <s v="PROD38"/>
    <s v="STORE17"/>
    <x v="1"/>
    <s v="Sports Water Hydration Pack"/>
    <x v="0"/>
    <x v="0"/>
    <s v="Justin Mason DDS"/>
    <n v="2"/>
    <n v="839.24"/>
    <n v="0.21"/>
    <x v="1"/>
    <x v="413"/>
  </r>
  <r>
    <s v="SALE417"/>
    <d v="2024-02-09T00:00:00"/>
    <s v="CUST1383"/>
    <s v="PROD58"/>
    <s v="STORE10"/>
    <x v="15"/>
    <s v="Womens Cotton Scarf"/>
    <x v="4"/>
    <x v="3"/>
    <s v="Kristine Higgins"/>
    <n v="2"/>
    <n v="466.27"/>
    <n v="0.11"/>
    <x v="1"/>
    <x v="414"/>
  </r>
  <r>
    <s v="SALE418"/>
    <d v="2025-10-12T00:00:00"/>
    <s v="CUST1398"/>
    <s v="PROD62"/>
    <s v="STORE14"/>
    <x v="7"/>
    <s v="Laptop Cooling Pad"/>
    <x v="1"/>
    <x v="2"/>
    <s v="Jennifer Johnson"/>
    <n v="3"/>
    <n v="969.83"/>
    <n v="0.02"/>
    <x v="0"/>
    <x v="415"/>
  </r>
  <r>
    <s v="SALE419"/>
    <d v="2025-06-16T00:00:00"/>
    <s v="CUST1417"/>
    <s v="PROD91"/>
    <s v="STORE19"/>
    <x v="12"/>
    <s v="Women's High Heels"/>
    <x v="4"/>
    <x v="3"/>
    <s v="Karen King"/>
    <n v="2"/>
    <n v="782.11"/>
    <n v="0.17"/>
    <x v="1"/>
    <x v="416"/>
  </r>
  <r>
    <s v="SALE420"/>
    <d v="2025-09-21T00:00:00"/>
    <s v="CUST1451"/>
    <s v="PROD40"/>
    <s v="STORE11"/>
    <x v="19"/>
    <s v="Noise-Canceling Headphones"/>
    <x v="1"/>
    <x v="2"/>
    <s v="Ashley Roberts"/>
    <n v="2.0000000000000004"/>
    <n v="74.63"/>
    <n v="0.01"/>
    <x v="1"/>
    <x v="417"/>
  </r>
  <r>
    <s v="SALE421"/>
    <d v="2025-09-09T00:00:00"/>
    <s v="CUST1041"/>
    <s v="PROD85"/>
    <s v="STORE6"/>
    <x v="16"/>
    <s v="Women's Beanie Hat"/>
    <x v="4"/>
    <x v="3"/>
    <s v="James Gibbs"/>
    <n v="3.0000000000000004"/>
    <n v="522.78"/>
    <n v="0.25"/>
    <x v="1"/>
    <x v="418"/>
  </r>
  <r>
    <s v="SALE422"/>
    <d v="2025-07-15T00:00:00"/>
    <s v="CUST1338"/>
    <s v="PROD13"/>
    <s v="STORE15"/>
    <x v="10"/>
    <s v="USB-C Fast Charger"/>
    <x v="1"/>
    <x v="0"/>
    <s v="Jasmine Snyder"/>
    <n v="1"/>
    <n v="206.45"/>
    <n v="0.15"/>
    <x v="1"/>
    <x v="419"/>
  </r>
  <r>
    <s v="SALE423"/>
    <d v="2024-10-15T00:00:00"/>
    <s v="CUST1145"/>
    <s v="PROD69"/>
    <s v="STORE5"/>
    <x v="3"/>
    <s v="Men's Sports Shorts"/>
    <x v="4"/>
    <x v="0"/>
    <s v="Cameron Simpson"/>
    <n v="1"/>
    <n v="815.53"/>
    <n v="0.3"/>
    <x v="1"/>
    <x v="420"/>
  </r>
  <r>
    <s v="SALE424"/>
    <d v="2023-10-21T00:00:00"/>
    <s v="CUST1037"/>
    <s v="PROD79"/>
    <s v="STORE13"/>
    <x v="13"/>
    <s v="Decorative Lamp Shade"/>
    <x v="3"/>
    <x v="3"/>
    <s v="Christopher Carter"/>
    <n v="1"/>
    <n v="823.61"/>
    <n v="0.28000000000000003"/>
    <x v="2"/>
    <x v="421"/>
  </r>
  <r>
    <s v="SALE425"/>
    <d v="2025-05-30T00:00:00"/>
    <s v="CUST1478"/>
    <s v="PROD87"/>
    <s v="STORE9"/>
    <x v="11"/>
    <s v="LED Bedside Lamp"/>
    <x v="3"/>
    <x v="2"/>
    <s v="Earl Smith DDS"/>
    <n v="2"/>
    <n v="209.96"/>
    <n v="0"/>
    <x v="0"/>
    <x v="422"/>
  </r>
  <r>
    <s v="SALE426"/>
    <d v="2024-06-19T00:00:00"/>
    <s v="CUST1175"/>
    <s v="PROD0"/>
    <s v="STORE16"/>
    <x v="9"/>
    <s v="Brother Laser Printer"/>
    <x v="1"/>
    <x v="1"/>
    <s v="Michelle Rogers"/>
    <n v="4.0000000000000009"/>
    <n v="897.93"/>
    <n v="0.05"/>
    <x v="2"/>
    <x v="423"/>
  </r>
  <r>
    <s v="SALE427"/>
    <d v="2024-12-20T00:00:00"/>
    <s v="CUST1181"/>
    <s v="PROD63"/>
    <s v="STORE0"/>
    <x v="6"/>
    <s v="Organic Sunscreen Lotion"/>
    <x v="2"/>
    <x v="3"/>
    <s v="Erin Ward"/>
    <n v="4"/>
    <n v="925.95"/>
    <n v="0.16"/>
    <x v="2"/>
    <x v="424"/>
  </r>
  <r>
    <s v="SALE428"/>
    <d v="2024-08-16T00:00:00"/>
    <s v="CUST1084"/>
    <s v="PROD51"/>
    <s v="STORE6"/>
    <x v="16"/>
    <s v="HDMI Cable – 2m"/>
    <x v="1"/>
    <x v="3"/>
    <s v="Christy Hoffman"/>
    <n v="2"/>
    <n v="573.09"/>
    <n v="0.03"/>
    <x v="2"/>
    <x v="425"/>
  </r>
  <r>
    <s v="SALE429"/>
    <d v="2025-03-15T00:00:00"/>
    <s v="CUST1183"/>
    <s v="PROD7"/>
    <s v="STORE4"/>
    <x v="5"/>
    <s v="LED Table Lamp"/>
    <x v="3"/>
    <x v="2"/>
    <s v="Mario Jacobs"/>
    <n v="4"/>
    <n v="149.83000000000001"/>
    <n v="0.02"/>
    <x v="0"/>
    <x v="426"/>
  </r>
  <r>
    <s v="SALE430"/>
    <d v="2024-06-02T00:00:00"/>
    <s v="CUST1001"/>
    <s v="PROD51"/>
    <s v="STORE14"/>
    <x v="7"/>
    <s v="HDMI Cable – 2m"/>
    <x v="1"/>
    <x v="2"/>
    <s v="Eugene Nelson"/>
    <n v="3"/>
    <n v="287.70999999999998"/>
    <n v="0.03"/>
    <x v="2"/>
    <x v="427"/>
  </r>
  <r>
    <s v="SALE431"/>
    <d v="2025-07-22T00:00:00"/>
    <s v="CUST1094"/>
    <s v="PROD67"/>
    <s v="STORE6"/>
    <x v="16"/>
    <s v="Smart LED Light Strip"/>
    <x v="1"/>
    <x v="3"/>
    <s v="David Patterson"/>
    <n v="2.0000000000000004"/>
    <n v="849.8"/>
    <n v="0.06"/>
    <x v="2"/>
    <x v="428"/>
  </r>
  <r>
    <s v="SALE432"/>
    <d v="2025-03-09T00:00:00"/>
    <s v="CUST1016"/>
    <s v="PROD41"/>
    <s v="STORE3"/>
    <x v="0"/>
    <s v="Yoga Exercise Mat"/>
    <x v="0"/>
    <x v="0"/>
    <s v="John Scott"/>
    <n v="3.0000000000000004"/>
    <n v="482.58"/>
    <n v="0.28000000000000003"/>
    <x v="1"/>
    <x v="429"/>
  </r>
  <r>
    <s v="SALE433"/>
    <d v="2025-02-11T00:00:00"/>
    <s v="CUST1114"/>
    <s v="PROD59"/>
    <s v="STORE2"/>
    <x v="17"/>
    <s v="Men's Hair Styling Gel"/>
    <x v="2"/>
    <x v="2"/>
    <s v="Ryan Hernandez"/>
    <n v="2"/>
    <n v="64.7"/>
    <n v="0"/>
    <x v="0"/>
    <x v="430"/>
  </r>
  <r>
    <s v="SALE434"/>
    <d v="2023-12-06T00:00:00"/>
    <s v="CUST1148"/>
    <s v="PROD5"/>
    <s v="STORE5"/>
    <x v="3"/>
    <s v="Men's Leather Belt"/>
    <x v="4"/>
    <x v="0"/>
    <s v="Theresa Campbell"/>
    <n v="3"/>
    <n v="589.83000000000004"/>
    <n v="0.26"/>
    <x v="0"/>
    <x v="431"/>
  </r>
  <r>
    <s v="SALE435"/>
    <d v="2025-08-20T00:00:00"/>
    <s v="CUST1288"/>
    <s v="PROD3"/>
    <s v="STORE9"/>
    <x v="11"/>
    <s v="Not Found"/>
    <x v="5"/>
    <x v="2"/>
    <s v="Misty Ferguson"/>
    <n v="4.0000000000000009"/>
    <n v="758.49"/>
    <n v="0.16"/>
    <x v="2"/>
    <x v="432"/>
  </r>
  <r>
    <s v="SALE436"/>
    <d v="2024-09-20T00:00:00"/>
    <s v="CUST1053"/>
    <s v="PROD37"/>
    <s v="STORE12"/>
    <x v="18"/>
    <s v="Men's Casual Sneakers"/>
    <x v="4"/>
    <x v="0"/>
    <s v="Sharon Brown"/>
    <n v="4"/>
    <n v="747.56"/>
    <n v="0.09"/>
    <x v="2"/>
    <x v="433"/>
  </r>
  <r>
    <s v="SALE437"/>
    <d v="2025-06-05T00:00:00"/>
    <s v="CUST1253"/>
    <s v="PROD40"/>
    <s v="STORE17"/>
    <x v="1"/>
    <s v="Noise-Canceling Headphones"/>
    <x v="1"/>
    <x v="0"/>
    <s v="Dr. Ashley Yates MD"/>
    <n v="3"/>
    <n v="551.22"/>
    <n v="0.12"/>
    <x v="1"/>
    <x v="434"/>
  </r>
  <r>
    <s v="SALE438"/>
    <d v="2025-06-03T00:00:00"/>
    <s v="CUST1159"/>
    <s v="PROD69"/>
    <s v="STORE14"/>
    <x v="7"/>
    <s v="Men's Sports Shorts"/>
    <x v="4"/>
    <x v="2"/>
    <s v="Brian Choi"/>
    <n v="2"/>
    <n v="527.05999999999995"/>
    <n v="0.17"/>
    <x v="1"/>
    <x v="435"/>
  </r>
  <r>
    <s v="SALE439"/>
    <d v="2025-01-13T00:00:00"/>
    <s v="CUST1098"/>
    <s v="PROD62"/>
    <s v="STORE5"/>
    <x v="3"/>
    <s v="Laptop Cooling Pad"/>
    <x v="1"/>
    <x v="0"/>
    <s v="Brittney Morgan"/>
    <n v="4"/>
    <n v="875.41"/>
    <n v="0.27"/>
    <x v="0"/>
    <x v="436"/>
  </r>
  <r>
    <s v="SALE440"/>
    <d v="2025-03-20T00:00:00"/>
    <s v="CUST1007"/>
    <s v="PROD85"/>
    <s v="STORE0"/>
    <x v="6"/>
    <s v="Women's Beanie Hat"/>
    <x v="4"/>
    <x v="3"/>
    <s v="Daniel Boyd"/>
    <n v="2"/>
    <n v="226.43"/>
    <n v="0.03"/>
    <x v="0"/>
    <x v="437"/>
  </r>
  <r>
    <s v="SALE441"/>
    <d v="2024-07-07T00:00:00"/>
    <s v="CUST1035"/>
    <s v="PROD79"/>
    <s v="STORE5"/>
    <x v="3"/>
    <s v="Decorative Lamp Shade"/>
    <x v="3"/>
    <x v="0"/>
    <s v="Rachel Myers"/>
    <n v="2"/>
    <n v="285.39"/>
    <n v="0.1"/>
    <x v="0"/>
    <x v="438"/>
  </r>
  <r>
    <s v="SALE442"/>
    <d v="2025-09-29T00:00:00"/>
    <s v="CUST1334"/>
    <s v="PROD11"/>
    <s v="STORE15"/>
    <x v="10"/>
    <s v="HD Smart TV Stick"/>
    <x v="1"/>
    <x v="0"/>
    <s v="Mr. Christopher Sims"/>
    <n v="2"/>
    <n v="298.01"/>
    <n v="0.05"/>
    <x v="0"/>
    <x v="439"/>
  </r>
  <r>
    <s v="SALE443"/>
    <d v="2024-11-30T00:00:00"/>
    <s v="CUST1159"/>
    <s v="PROD40"/>
    <s v="STORE4"/>
    <x v="5"/>
    <s v="Noise-Canceling Headphones"/>
    <x v="1"/>
    <x v="2"/>
    <s v="Brian Choi"/>
    <n v="4"/>
    <n v="753.49"/>
    <n v="0.26"/>
    <x v="2"/>
    <x v="440"/>
  </r>
  <r>
    <s v="SALE444"/>
    <d v="2024-06-17T00:00:00"/>
    <s v="CUST1488"/>
    <s v="PROD78"/>
    <s v="STORE12"/>
    <x v="18"/>
    <s v="Essential Oil Diffuser"/>
    <x v="3"/>
    <x v="0"/>
    <s v="Zachary Andrade"/>
    <n v="2.0000000000000004"/>
    <n v="130.38999999999999"/>
    <n v="0.17"/>
    <x v="1"/>
    <x v="441"/>
  </r>
  <r>
    <s v="SALE445"/>
    <d v="2025-02-21T00:00:00"/>
    <s v="CUST1345"/>
    <s v="PROD22"/>
    <s v="STORE9"/>
    <x v="11"/>
    <s v="Carbon Fiber Tennis Racket"/>
    <x v="0"/>
    <x v="2"/>
    <s v="Daniel Nelson"/>
    <n v="4"/>
    <n v="164.02"/>
    <n v="0.01"/>
    <x v="1"/>
    <x v="442"/>
  </r>
  <r>
    <s v="SALE446"/>
    <d v="2024-09-16T00:00:00"/>
    <s v="CUST1164"/>
    <s v="PROD29"/>
    <s v="STORE4"/>
    <x v="5"/>
    <s v="Fabric Sofa Throw Blanket"/>
    <x v="3"/>
    <x v="2"/>
    <s v="Daniel Rivas"/>
    <n v="2"/>
    <n v="527.51"/>
    <n v="0.18"/>
    <x v="1"/>
    <x v="443"/>
  </r>
  <r>
    <s v="SALE447"/>
    <d v="2025-10-09T00:00:00"/>
    <s v="CUST1253"/>
    <s v="PROD57"/>
    <s v="STORE13"/>
    <x v="13"/>
    <s v="Foam Roller"/>
    <x v="0"/>
    <x v="3"/>
    <s v="Dr. Ashley Yates MD"/>
    <n v="3.0000000000000004"/>
    <n v="628.17999999999995"/>
    <n v="0.26"/>
    <x v="0"/>
    <x v="444"/>
  </r>
  <r>
    <s v="SALE448"/>
    <d v="2024-09-18T00:00:00"/>
    <s v="CUST1269"/>
    <s v="PROD56"/>
    <s v="STORE3"/>
    <x v="0"/>
    <s v="Premium Blanket Throw"/>
    <x v="3"/>
    <x v="0"/>
    <s v="Tyrone Olson"/>
    <n v="1"/>
    <n v="862.31"/>
    <n v="0.06"/>
    <x v="0"/>
    <x v="445"/>
  </r>
  <r>
    <s v="SALE449"/>
    <d v="2025-05-29T00:00:00"/>
    <s v="CUST1071"/>
    <s v="PROD83"/>
    <s v="STORE14"/>
    <x v="7"/>
    <s v="Hydrating Face Cleanser"/>
    <x v="2"/>
    <x v="2"/>
    <s v="Andrea Perez"/>
    <n v="2"/>
    <n v="541.39"/>
    <n v="0.03"/>
    <x v="2"/>
    <x v="446"/>
  </r>
  <r>
    <s v="SALE450"/>
    <d v="2025-06-03T00:00:00"/>
    <s v="CUST1477"/>
    <s v="PROD76"/>
    <s v="STORE16"/>
    <x v="9"/>
    <s v="Wireless Mouse"/>
    <x v="1"/>
    <x v="1"/>
    <s v="Andrea Harris"/>
    <n v="2.9999999999999991"/>
    <n v="761.8"/>
    <n v="0.06"/>
    <x v="2"/>
    <x v="447"/>
  </r>
  <r>
    <s v="SALE451"/>
    <d v="2024-08-04T00:00:00"/>
    <s v="CUST1422"/>
    <s v="PROD49"/>
    <s v="STORE2"/>
    <x v="17"/>
    <s v="Men's Roll-On Perfume"/>
    <x v="2"/>
    <x v="2"/>
    <s v="Brittany Edwards DDS"/>
    <n v="4"/>
    <n v="829.36"/>
    <n v="0.11"/>
    <x v="1"/>
    <x v="448"/>
  </r>
  <r>
    <s v="SALE452"/>
    <d v="2024-06-17T00:00:00"/>
    <s v="CUST1404"/>
    <s v="PROD23"/>
    <s v="STORE16"/>
    <x v="9"/>
    <s v="Men's Formal Shirt"/>
    <x v="4"/>
    <x v="1"/>
    <s v="David Ross"/>
    <n v="2"/>
    <n v="425.06"/>
    <n v="0.09"/>
    <x v="1"/>
    <x v="449"/>
  </r>
  <r>
    <s v="SALE453"/>
    <d v="2024-01-20T00:00:00"/>
    <s v="CUST1127"/>
    <s v="PROD55"/>
    <s v="STORE0"/>
    <x v="6"/>
    <s v="Ceramic Plant Pot"/>
    <x v="3"/>
    <x v="3"/>
    <s v="John Mcknight"/>
    <n v="2"/>
    <n v="911.14"/>
    <n v="0.1"/>
    <x v="0"/>
    <x v="450"/>
  </r>
  <r>
    <s v="SALE454"/>
    <d v="2025-09-06T00:00:00"/>
    <s v="CUST1084"/>
    <s v="PROD68"/>
    <s v="STORE8"/>
    <x v="2"/>
    <s v="Wooden Nightstand"/>
    <x v="3"/>
    <x v="1"/>
    <s v="Christy Hoffman"/>
    <n v="3"/>
    <n v="811.96"/>
    <n v="0.28999999999999998"/>
    <x v="0"/>
    <x v="451"/>
  </r>
  <r>
    <s v="SALE455"/>
    <d v="2024-03-29T00:00:00"/>
    <s v="CUST1273"/>
    <s v="PROD31"/>
    <s v="STORE10"/>
    <x v="15"/>
    <s v="Basketball"/>
    <x v="0"/>
    <x v="3"/>
    <s v="Samantha Robinson"/>
    <n v="2"/>
    <n v="780.05"/>
    <n v="0.12"/>
    <x v="2"/>
    <x v="452"/>
  </r>
  <r>
    <s v="SALE456"/>
    <d v="2024-08-23T00:00:00"/>
    <s v="CUST1215"/>
    <s v="PROD32"/>
    <s v="STORE9"/>
    <x v="11"/>
    <s v="Vitamin C Face Serum"/>
    <x v="2"/>
    <x v="2"/>
    <s v="Steve Medina"/>
    <n v="4"/>
    <n v="315.95"/>
    <n v="0.19"/>
    <x v="2"/>
    <x v="453"/>
  </r>
  <r>
    <s v="SALE457"/>
    <d v="2025-05-19T00:00:00"/>
    <s v="CUST1229"/>
    <s v="PROD52"/>
    <s v="STORE9"/>
    <x v="11"/>
    <s v="Rugby Ball"/>
    <x v="0"/>
    <x v="2"/>
    <s v="Tanner Thompson"/>
    <n v="2"/>
    <n v="810.17"/>
    <n v="0.27"/>
    <x v="0"/>
    <x v="454"/>
  </r>
  <r>
    <s v="SALE458"/>
    <d v="2024-04-07T00:00:00"/>
    <s v="CUST1205"/>
    <s v="PROD84"/>
    <s v="STORE4"/>
    <x v="5"/>
    <s v="Wooden Bookshelf"/>
    <x v="3"/>
    <x v="2"/>
    <s v="Michelle Carpenter"/>
    <n v="3"/>
    <n v="505.01"/>
    <n v="0.02"/>
    <x v="1"/>
    <x v="455"/>
  </r>
  <r>
    <s v="SALE459"/>
    <d v="2024-01-24T00:00:00"/>
    <s v="CUST1467"/>
    <s v="PROD72"/>
    <s v="STORE17"/>
    <x v="1"/>
    <s v="Professional Jump Rope"/>
    <x v="0"/>
    <x v="0"/>
    <s v="Michael Foley"/>
    <n v="2"/>
    <n v="736.75"/>
    <n v="0.18"/>
    <x v="0"/>
    <x v="456"/>
  </r>
  <r>
    <s v="SALE460"/>
    <d v="2024-01-20T00:00:00"/>
    <s v="CUST1027"/>
    <s v="PROD77"/>
    <s v="STORE9"/>
    <x v="11"/>
    <s v="WiFi Mesh Router"/>
    <x v="1"/>
    <x v="2"/>
    <s v="Leslie Johnson"/>
    <n v="4.0000000000000009"/>
    <n v="700.31"/>
    <n v="0.2"/>
    <x v="1"/>
    <x v="457"/>
  </r>
  <r>
    <s v="SALE461"/>
    <d v="2023-12-10T00:00:00"/>
    <s v="CUST1129"/>
    <s v="PROD91"/>
    <s v="STORE11"/>
    <x v="19"/>
    <s v="Women's High Heels"/>
    <x v="4"/>
    <x v="2"/>
    <s v="Jessica Mitchell"/>
    <n v="4"/>
    <n v="202.46"/>
    <n v="0.24"/>
    <x v="0"/>
    <x v="458"/>
  </r>
  <r>
    <s v="SALE462"/>
    <d v="2023-12-19T00:00:00"/>
    <s v="CUST1265"/>
    <s v="PROD87"/>
    <s v="STORE1"/>
    <x v="8"/>
    <s v="LED Bedside Lamp"/>
    <x v="3"/>
    <x v="0"/>
    <s v="Tracy Kelly"/>
    <n v="2"/>
    <n v="291.83999999999997"/>
    <n v="0.25"/>
    <x v="1"/>
    <x v="459"/>
  </r>
  <r>
    <s v="SALE463"/>
    <d v="2023-11-22T00:00:00"/>
    <s v="CUST1163"/>
    <s v="PROD97"/>
    <s v="STORE5"/>
    <x v="3"/>
    <s v="Cricket Bat"/>
    <x v="0"/>
    <x v="0"/>
    <s v="Joseph Jones"/>
    <n v="2"/>
    <n v="261.48"/>
    <n v="0.17"/>
    <x v="0"/>
    <x v="460"/>
  </r>
  <r>
    <s v="SALE464"/>
    <d v="2025-10-08T00:00:00"/>
    <s v="CUST1300"/>
    <s v="PROD36"/>
    <s v="STORE14"/>
    <x v="7"/>
    <s v="Women's Summer Dress"/>
    <x v="4"/>
    <x v="2"/>
    <s v="Matthew Avery"/>
    <n v="1"/>
    <n v="850.83"/>
    <n v="0.28000000000000003"/>
    <x v="1"/>
    <x v="461"/>
  </r>
  <r>
    <s v="SALE465"/>
    <d v="2025-02-23T00:00:00"/>
    <s v="CUST1405"/>
    <s v="PROD46"/>
    <s v="STORE9"/>
    <x v="11"/>
    <s v="Men's Winter Jacket"/>
    <x v="4"/>
    <x v="2"/>
    <s v="Eric Wolfe"/>
    <n v="1"/>
    <n v="83.83"/>
    <n v="0.05"/>
    <x v="0"/>
    <x v="462"/>
  </r>
  <r>
    <s v="SALE466"/>
    <d v="2025-02-25T00:00:00"/>
    <s v="CUST1006"/>
    <s v="PROD88"/>
    <s v="STORE16"/>
    <x v="9"/>
    <s v="Sports Wrist Sweatbands"/>
    <x v="0"/>
    <x v="1"/>
    <s v="Amber Jackson"/>
    <n v="3"/>
    <n v="649.95000000000005"/>
    <n v="0.28000000000000003"/>
    <x v="2"/>
    <x v="463"/>
  </r>
  <r>
    <s v="SALE467"/>
    <d v="2024-09-30T00:00:00"/>
    <s v="CUST1366"/>
    <s v="PROD73"/>
    <s v="STORE6"/>
    <x v="16"/>
    <s v="Shin Guards – Adult"/>
    <x v="0"/>
    <x v="3"/>
    <s v="Mallory Allen"/>
    <n v="3.9999999999999996"/>
    <n v="934.96"/>
    <n v="0.18"/>
    <x v="1"/>
    <x v="464"/>
  </r>
  <r>
    <s v="SALE468"/>
    <d v="2023-12-19T00:00:00"/>
    <s v="CUST1206"/>
    <s v="PROD17"/>
    <s v="STORE14"/>
    <x v="7"/>
    <s v="Soccer Training Cone Set"/>
    <x v="0"/>
    <x v="2"/>
    <s v="Ronald Jones"/>
    <n v="1"/>
    <n v="880.89"/>
    <n v="0.13"/>
    <x v="2"/>
    <x v="465"/>
  </r>
  <r>
    <s v="SALE469"/>
    <d v="2024-11-18T00:00:00"/>
    <s v="CUST1477"/>
    <s v="PROD98"/>
    <s v="STORE8"/>
    <x v="2"/>
    <s v="Portable Bluetooth Speaker"/>
    <x v="1"/>
    <x v="1"/>
    <s v="Andrea Harris"/>
    <n v="3.9999999999999991"/>
    <n v="610.6"/>
    <n v="0.1"/>
    <x v="1"/>
    <x v="466"/>
  </r>
  <r>
    <s v="SALE470"/>
    <d v="2025-09-12T00:00:00"/>
    <s v="CUST1075"/>
    <s v="PROD28"/>
    <s v="STORE18"/>
    <x v="14"/>
    <s v="Sports Stopwatch Timer"/>
    <x v="0"/>
    <x v="3"/>
    <s v="Rhonda Morales"/>
    <n v="1"/>
    <n v="514.19000000000005"/>
    <n v="0.2"/>
    <x v="0"/>
    <x v="467"/>
  </r>
  <r>
    <s v="SALE471"/>
    <d v="2025-01-31T00:00:00"/>
    <s v="CUST1399"/>
    <s v="PROD37"/>
    <s v="STORE13"/>
    <x v="13"/>
    <s v="Men's Casual Sneakers"/>
    <x v="4"/>
    <x v="3"/>
    <s v="John Donaldson"/>
    <n v="1.0000000000000002"/>
    <n v="546.20000000000005"/>
    <n v="0.22"/>
    <x v="1"/>
    <x v="468"/>
  </r>
  <r>
    <s v="SALE472"/>
    <d v="2024-10-26T00:00:00"/>
    <s v="CUST1197"/>
    <s v="PROD37"/>
    <s v="STORE0"/>
    <x v="6"/>
    <s v="Men's Casual Sneakers"/>
    <x v="4"/>
    <x v="3"/>
    <s v="Andrea Jacobs"/>
    <n v="3.0000000000000004"/>
    <n v="416.01"/>
    <n v="0.02"/>
    <x v="0"/>
    <x v="469"/>
  </r>
  <r>
    <s v="SALE473"/>
    <d v="2025-07-26T00:00:00"/>
    <s v="CUST1384"/>
    <s v="PROD74"/>
    <s v="STORE10"/>
    <x v="15"/>
    <s v="Bluetooth Car Audio System"/>
    <x v="1"/>
    <x v="3"/>
    <s v="Andrew Mason"/>
    <n v="0.99999999999999989"/>
    <n v="30.94"/>
    <n v="0.21"/>
    <x v="2"/>
    <x v="470"/>
  </r>
  <r>
    <s v="SALE474"/>
    <d v="2025-08-06T00:00:00"/>
    <s v="CUST1200"/>
    <s v="PROD58"/>
    <s v="STORE16"/>
    <x v="9"/>
    <s v="Womens Cotton Scarf"/>
    <x v="4"/>
    <x v="1"/>
    <s v="Anna Perez"/>
    <n v="2.9999999999999996"/>
    <n v="666.39"/>
    <n v="0.21"/>
    <x v="2"/>
    <x v="471"/>
  </r>
  <r>
    <s v="SALE475"/>
    <d v="2025-05-20T00:00:00"/>
    <s v="CUST1166"/>
    <s v="PROD81"/>
    <s v="STORE10"/>
    <x v="15"/>
    <s v="Badminton Racket Set"/>
    <x v="0"/>
    <x v="3"/>
    <s v="Patricia Gardner"/>
    <n v="2"/>
    <n v="145.26"/>
    <n v="0.19"/>
    <x v="1"/>
    <x v="472"/>
  </r>
  <r>
    <s v="SALE476"/>
    <d v="2024-03-13T00:00:00"/>
    <s v="CUST1118"/>
    <s v="PROD91"/>
    <s v="STORE5"/>
    <x v="3"/>
    <s v="Women's High Heels"/>
    <x v="4"/>
    <x v="0"/>
    <s v="Earl Allen"/>
    <n v="4"/>
    <n v="940.77"/>
    <n v="0.24"/>
    <x v="2"/>
    <x v="473"/>
  </r>
  <r>
    <s v="SALE477"/>
    <d v="2025-02-12T00:00:00"/>
    <s v="CUST1469"/>
    <s v="PROD46"/>
    <s v="STORE17"/>
    <x v="1"/>
    <s v="Men's Winter Jacket"/>
    <x v="4"/>
    <x v="0"/>
    <s v="James Foster"/>
    <n v="1"/>
    <n v="708.88"/>
    <n v="0.09"/>
    <x v="0"/>
    <x v="474"/>
  </r>
  <r>
    <s v="SALE478"/>
    <d v="2025-09-24T00:00:00"/>
    <s v="CUST1307"/>
    <s v="PROD30"/>
    <s v="STORE2"/>
    <x v="17"/>
    <s v="Stainless Steel Cutlery Set"/>
    <x v="3"/>
    <x v="2"/>
    <s v="Brandy Thompson"/>
    <n v="1"/>
    <n v="790.73"/>
    <n v="0.24"/>
    <x v="1"/>
    <x v="475"/>
  </r>
  <r>
    <s v="SALE479"/>
    <d v="2024-10-09T00:00:00"/>
    <s v="CUST1449"/>
    <s v="PROD15"/>
    <s v="STORE9"/>
    <x v="11"/>
    <s v="4K Home Projector"/>
    <x v="1"/>
    <x v="2"/>
    <s v="William Cortez"/>
    <n v="3"/>
    <n v="635.13"/>
    <n v="0.09"/>
    <x v="1"/>
    <x v="476"/>
  </r>
  <r>
    <s v="SALE480"/>
    <d v="2023-11-03T00:00:00"/>
    <s v="CUST1266"/>
    <s v="PROD93"/>
    <s v="STORE14"/>
    <x v="7"/>
    <s v="USB-C Laptop Charger"/>
    <x v="1"/>
    <x v="2"/>
    <s v="Cynthia Payne"/>
    <n v="1"/>
    <n v="744.88"/>
    <n v="0.15"/>
    <x v="2"/>
    <x v="477"/>
  </r>
  <r>
    <s v="SALE481"/>
    <d v="2025-03-29T00:00:00"/>
    <s v="CUST1183"/>
    <s v="PROD28"/>
    <s v="STORE1"/>
    <x v="8"/>
    <s v="Sports Stopwatch Timer"/>
    <x v="0"/>
    <x v="0"/>
    <s v="Mario Jacobs"/>
    <n v="3"/>
    <n v="205.34"/>
    <n v="0.25"/>
    <x v="0"/>
    <x v="478"/>
  </r>
  <r>
    <s v="SALE482"/>
    <d v="2025-07-13T00:00:00"/>
    <s v="CUST1419"/>
    <s v="PROD29"/>
    <s v="STORE8"/>
    <x v="2"/>
    <s v="Fabric Sofa Throw Blanket"/>
    <x v="3"/>
    <x v="1"/>
    <s v="Monica Miller"/>
    <n v="2"/>
    <n v="756.8"/>
    <n v="0.15"/>
    <x v="0"/>
    <x v="479"/>
  </r>
  <r>
    <s v="SALE483"/>
    <d v="2024-01-17T00:00:00"/>
    <s v="CUST1044"/>
    <s v="PROD21"/>
    <s v="STORE10"/>
    <x v="15"/>
    <s v="Multi-Purpose Storage Box"/>
    <x v="3"/>
    <x v="3"/>
    <s v="Denise Williams"/>
    <n v="1"/>
    <n v="771.73"/>
    <n v="0.2"/>
    <x v="0"/>
    <x v="480"/>
  </r>
  <r>
    <s v="SALE484"/>
    <d v="2024-12-13T00:00:00"/>
    <s v="CUST1479"/>
    <s v="PROD66"/>
    <s v="STORE17"/>
    <x v="1"/>
    <s v="Women's Hair Dryer Brush"/>
    <x v="2"/>
    <x v="0"/>
    <s v="Dylan Gutierrez"/>
    <n v="1.0000000000000002"/>
    <n v="440.19"/>
    <n v="0.03"/>
    <x v="1"/>
    <x v="481"/>
  </r>
  <r>
    <s v="SALE485"/>
    <d v="2025-09-19T00:00:00"/>
    <s v="CUST1047"/>
    <s v="PROD4"/>
    <s v="STORE2"/>
    <x v="17"/>
    <s v="Women's Yoga Pants"/>
    <x v="4"/>
    <x v="2"/>
    <s v="Gina Knight"/>
    <n v="2"/>
    <n v="409"/>
    <n v="0.17"/>
    <x v="0"/>
    <x v="482"/>
  </r>
  <r>
    <s v="SALE486"/>
    <d v="2024-02-11T00:00:00"/>
    <s v="CUST1343"/>
    <s v="PROD38"/>
    <s v="STORE19"/>
    <x v="12"/>
    <s v="Sports Water Hydration Pack"/>
    <x v="0"/>
    <x v="3"/>
    <s v="Ryan Moore"/>
    <n v="3"/>
    <n v="134.58000000000001"/>
    <n v="0.04"/>
    <x v="2"/>
    <x v="483"/>
  </r>
  <r>
    <s v="SALE487"/>
    <d v="2025-06-03T00:00:00"/>
    <s v="CUST1348"/>
    <s v="PROD39"/>
    <s v="STORE7"/>
    <x v="4"/>
    <s v="Portable Power Bank"/>
    <x v="1"/>
    <x v="2"/>
    <s v="Sherry Cabrera"/>
    <n v="4"/>
    <n v="284.44"/>
    <n v="0.02"/>
    <x v="0"/>
    <x v="484"/>
  </r>
  <r>
    <s v="SALE488"/>
    <d v="2025-03-10T00:00:00"/>
    <s v="CUST1405"/>
    <s v="PROD73"/>
    <s v="STORE13"/>
    <x v="13"/>
    <s v="Shin Guards – Adult"/>
    <x v="0"/>
    <x v="3"/>
    <s v="Eric Wolfe"/>
    <n v="4"/>
    <n v="922.69"/>
    <n v="0.16"/>
    <x v="0"/>
    <x v="485"/>
  </r>
  <r>
    <s v="SALE489"/>
    <d v="2024-12-18T00:00:00"/>
    <s v="CUST1275"/>
    <s v="PROD36"/>
    <s v="STORE6"/>
    <x v="16"/>
    <s v="Women's Summer Dress"/>
    <x v="4"/>
    <x v="3"/>
    <s v="Shannon Miller"/>
    <n v="2"/>
    <n v="992.55"/>
    <n v="0.28000000000000003"/>
    <x v="0"/>
    <x v="486"/>
  </r>
  <r>
    <s v="SALE490"/>
    <d v="2024-03-20T00:00:00"/>
    <s v="CUST1418"/>
    <s v="PROD89"/>
    <s v="STORE18"/>
    <x v="14"/>
    <s v="Face Foundation Kit"/>
    <x v="2"/>
    <x v="3"/>
    <s v="Luke Parks"/>
    <n v="1"/>
    <n v="170.43"/>
    <n v="0.03"/>
    <x v="0"/>
    <x v="487"/>
  </r>
  <r>
    <s v="SALE491"/>
    <d v="2024-06-19T00:00:00"/>
    <s v="CUST1223"/>
    <s v="PROD72"/>
    <s v="STORE2"/>
    <x v="17"/>
    <s v="Professional Jump Rope"/>
    <x v="0"/>
    <x v="2"/>
    <s v="Robert Harris"/>
    <n v="3.0000000000000004"/>
    <n v="480.51"/>
    <n v="0.03"/>
    <x v="0"/>
    <x v="488"/>
  </r>
  <r>
    <s v="SALE492"/>
    <d v="2024-12-06T00:00:00"/>
    <s v="CUST1156"/>
    <s v="PROD49"/>
    <s v="STORE7"/>
    <x v="4"/>
    <s v="Men's Roll-On Perfume"/>
    <x v="2"/>
    <x v="2"/>
    <s v="Maria Sanchez"/>
    <n v="2"/>
    <n v="955.66"/>
    <n v="0.28999999999999998"/>
    <x v="2"/>
    <x v="489"/>
  </r>
  <r>
    <s v="SALE493"/>
    <d v="2025-07-25T00:00:00"/>
    <s v="CUST1451"/>
    <s v="PROD72"/>
    <s v="STORE0"/>
    <x v="6"/>
    <s v="Professional Jump Rope"/>
    <x v="0"/>
    <x v="3"/>
    <s v="Ashley Roberts"/>
    <n v="2"/>
    <n v="488.02"/>
    <n v="0.27"/>
    <x v="1"/>
    <x v="490"/>
  </r>
  <r>
    <s v="SALE494"/>
    <d v="2024-07-28T00:00:00"/>
    <s v="CUST1240"/>
    <s v="PROD18"/>
    <s v="STORE0"/>
    <x v="6"/>
    <s v="Women's Denim Jeans"/>
    <x v="4"/>
    <x v="3"/>
    <s v="William Hull"/>
    <n v="1"/>
    <n v="917.17"/>
    <n v="0.13"/>
    <x v="2"/>
    <x v="491"/>
  </r>
  <r>
    <s v="SALE495"/>
    <d v="2024-10-03T00:00:00"/>
    <s v="CUST1324"/>
    <s v="PROD8"/>
    <s v="STORE5"/>
    <x v="3"/>
    <s v="Wireless Bluetooth Earbuds"/>
    <x v="1"/>
    <x v="0"/>
    <s v="Alex Mann II"/>
    <n v="2"/>
    <n v="406.46"/>
    <n v="0.3"/>
    <x v="1"/>
    <x v="492"/>
  </r>
  <r>
    <s v="SALE496"/>
    <d v="2023-11-08T00:00:00"/>
    <s v="CUST1232"/>
    <s v="PROD95"/>
    <s v="STORE0"/>
    <x v="6"/>
    <s v="Sports Stopwatch Basic"/>
    <x v="0"/>
    <x v="3"/>
    <s v="Christy Hill"/>
    <n v="2"/>
    <n v="264.39"/>
    <n v="0.11"/>
    <x v="2"/>
    <x v="493"/>
  </r>
  <r>
    <s v="SALE497"/>
    <d v="2025-04-07T00:00:00"/>
    <s v="CUST1191"/>
    <s v="PROD68"/>
    <s v="STORE16"/>
    <x v="9"/>
    <s v="Wooden Nightstand"/>
    <x v="3"/>
    <x v="1"/>
    <s v="Todd Poole"/>
    <n v="1"/>
    <n v="414.97"/>
    <n v="0.22"/>
    <x v="1"/>
    <x v="494"/>
  </r>
  <r>
    <s v="SALE498"/>
    <d v="2023-12-20T00:00:00"/>
    <s v="CUST1146"/>
    <s v="PROD25"/>
    <s v="STORE12"/>
    <x v="18"/>
    <s v="Women's Scarf Set"/>
    <x v="4"/>
    <x v="0"/>
    <s v="Edward Rivera"/>
    <n v="2"/>
    <n v="583.51"/>
    <n v="0.2"/>
    <x v="2"/>
    <x v="495"/>
  </r>
  <r>
    <s v="SALE499"/>
    <d v="2025-09-11T00:00:00"/>
    <s v="CUST1011"/>
    <s v="PROD31"/>
    <s v="STORE17"/>
    <x v="1"/>
    <s v="Basketball"/>
    <x v="0"/>
    <x v="0"/>
    <s v="Brian Lopez"/>
    <n v="1"/>
    <n v="659.27"/>
    <n v="0.15"/>
    <x v="1"/>
    <x v="496"/>
  </r>
  <r>
    <s v="SALE500"/>
    <d v="2024-12-01T00:00:00"/>
    <s v="CUST1445"/>
    <s v="PROD2"/>
    <s v="STORE4"/>
    <x v="5"/>
    <s v="Women's Casual Hoodie"/>
    <x v="4"/>
    <x v="2"/>
    <s v="Gene Lee"/>
    <n v="4"/>
    <n v="106.66"/>
    <n v="0.2"/>
    <x v="2"/>
    <x v="497"/>
  </r>
  <r>
    <s v="SALE501"/>
    <d v="2024-11-21T00:00:00"/>
    <s v="CUST1163"/>
    <s v="PROD10"/>
    <s v="STORE5"/>
    <x v="3"/>
    <s v="Ceramic Kitchen Bowl Set"/>
    <x v="3"/>
    <x v="0"/>
    <s v="Joseph Jones"/>
    <n v="4"/>
    <n v="168.55"/>
    <n v="0.15"/>
    <x v="1"/>
    <x v="498"/>
  </r>
  <r>
    <s v="SALE502"/>
    <d v="2025-08-30T00:00:00"/>
    <s v="CUST1488"/>
    <s v="PROD44"/>
    <s v="STORE2"/>
    <x v="17"/>
    <s v="Adjustable Jump Rope"/>
    <x v="0"/>
    <x v="2"/>
    <s v="Zachary Andrade"/>
    <n v="1.0000000000000002"/>
    <n v="230.53"/>
    <n v="0.06"/>
    <x v="2"/>
    <x v="499"/>
  </r>
  <r>
    <s v="SALE503"/>
    <d v="2025-08-20T00:00:00"/>
    <s v="CUST1007"/>
    <s v="PROD54"/>
    <s v="STORE1"/>
    <x v="8"/>
    <s v="Sports Stopwatch Pro"/>
    <x v="0"/>
    <x v="0"/>
    <s v="Daniel Boyd"/>
    <n v="2"/>
    <n v="355.41"/>
    <n v="0.13"/>
    <x v="2"/>
    <x v="500"/>
  </r>
  <r>
    <s v="SALE504"/>
    <d v="2025-10-13T00:00:00"/>
    <s v="CUST1167"/>
    <s v="PROD47"/>
    <s v="STORE2"/>
    <x v="17"/>
    <s v="Makeup Brush Set"/>
    <x v="2"/>
    <x v="2"/>
    <s v="Antonio Wade"/>
    <n v="2.9999999999999996"/>
    <n v="843.44"/>
    <n v="0.22"/>
    <x v="0"/>
    <x v="501"/>
  </r>
  <r>
    <s v="SALE505"/>
    <d v="2024-01-15T00:00:00"/>
    <s v="CUST1163"/>
    <s v="PROD95"/>
    <s v="STORE1"/>
    <x v="8"/>
    <s v="Sports Stopwatch Basic"/>
    <x v="0"/>
    <x v="0"/>
    <s v="Joseph Jones"/>
    <n v="1"/>
    <n v="301.60000000000002"/>
    <n v="0.27"/>
    <x v="0"/>
    <x v="502"/>
  </r>
  <r>
    <s v="SALE506"/>
    <d v="2025-04-25T00:00:00"/>
    <s v="CUST1042"/>
    <s v="PROD89"/>
    <s v="STORE2"/>
    <x v="17"/>
    <s v="Face Foundation Kit"/>
    <x v="2"/>
    <x v="2"/>
    <s v="William Martin"/>
    <n v="3"/>
    <n v="21.59"/>
    <n v="0.16"/>
    <x v="2"/>
    <x v="503"/>
  </r>
  <r>
    <s v="SALE507"/>
    <d v="2024-02-24T00:00:00"/>
    <s v="CUST1212"/>
    <s v="PROD13"/>
    <s v="STORE2"/>
    <x v="17"/>
    <s v="USB-C Fast Charger"/>
    <x v="1"/>
    <x v="2"/>
    <s v="Blake Harrison"/>
    <n v="3.9999999999999991"/>
    <n v="284.24"/>
    <n v="0.09"/>
    <x v="0"/>
    <x v="504"/>
  </r>
  <r>
    <s v="SALE508"/>
    <d v="2024-12-30T00:00:00"/>
    <s v="CUST1368"/>
    <s v="PROD5"/>
    <s v="STORE9"/>
    <x v="11"/>
    <s v="Men's Leather Belt"/>
    <x v="4"/>
    <x v="2"/>
    <s v="Miranda King"/>
    <n v="1"/>
    <n v="191.6"/>
    <n v="0.27"/>
    <x v="1"/>
    <x v="505"/>
  </r>
  <r>
    <s v="SALE509"/>
    <d v="2025-04-15T00:00:00"/>
    <s v="CUST1311"/>
    <s v="PROD78"/>
    <s v="STORE12"/>
    <x v="18"/>
    <s v="Essential Oil Diffuser"/>
    <x v="3"/>
    <x v="0"/>
    <s v="Kevin Larson"/>
    <n v="2"/>
    <n v="616.97"/>
    <n v="0.22"/>
    <x v="0"/>
    <x v="506"/>
  </r>
  <r>
    <s v="SALE510"/>
    <d v="2024-10-15T00:00:00"/>
    <s v="CUST1168"/>
    <s v="PROD28"/>
    <s v="STORE10"/>
    <x v="15"/>
    <s v="Sports Stopwatch Timer"/>
    <x v="0"/>
    <x v="3"/>
    <s v="Daniel Contreras"/>
    <n v="2.9999999999999996"/>
    <n v="125.68"/>
    <n v="0.26"/>
    <x v="2"/>
    <x v="507"/>
  </r>
  <r>
    <s v="SALE511"/>
    <d v="2025-01-19T00:00:00"/>
    <s v="CUST1352"/>
    <s v="PROD43"/>
    <s v="STORE4"/>
    <x v="5"/>
    <s v="USB External Hard Drive"/>
    <x v="1"/>
    <x v="2"/>
    <s v="Michael Greene"/>
    <n v="3"/>
    <n v="307.48"/>
    <n v="0.24"/>
    <x v="0"/>
    <x v="508"/>
  </r>
  <r>
    <s v="SALE512"/>
    <d v="2024-07-22T00:00:00"/>
    <s v="CUST1298"/>
    <s v="PROD2"/>
    <s v="STORE19"/>
    <x v="12"/>
    <s v="Women's Casual Hoodie"/>
    <x v="4"/>
    <x v="3"/>
    <s v="Tracy Stephens"/>
    <n v="0.99999999999999989"/>
    <n v="505.23"/>
    <n v="0.11"/>
    <x v="0"/>
    <x v="509"/>
  </r>
  <r>
    <s v="SALE513"/>
    <d v="2025-03-19T00:00:00"/>
    <s v="CUST1365"/>
    <s v="PROD45"/>
    <s v="STORE16"/>
    <x v="9"/>
    <s v="High-Grip Football"/>
    <x v="0"/>
    <x v="1"/>
    <s v="Brandon Mcbride"/>
    <n v="1"/>
    <n v="853.12"/>
    <n v="0.19"/>
    <x v="2"/>
    <x v="510"/>
  </r>
  <r>
    <s v="SALE514"/>
    <d v="2024-01-21T00:00:00"/>
    <s v="CUST1129"/>
    <s v="PROD0"/>
    <s v="STORE7"/>
    <x v="4"/>
    <s v="Brother Laser Printer"/>
    <x v="1"/>
    <x v="2"/>
    <s v="Jessica Mitchell"/>
    <n v="4"/>
    <n v="191.65"/>
    <n v="0.19"/>
    <x v="1"/>
    <x v="511"/>
  </r>
  <r>
    <s v="SALE515"/>
    <d v="2023-12-26T00:00:00"/>
    <s v="CUST1160"/>
    <s v="PROD47"/>
    <s v="STORE3"/>
    <x v="0"/>
    <s v="Makeup Brush Set"/>
    <x v="2"/>
    <x v="0"/>
    <s v="John Lawson"/>
    <n v="1"/>
    <n v="169.69"/>
    <n v="0.22"/>
    <x v="0"/>
    <x v="512"/>
  </r>
  <r>
    <s v="SALE516"/>
    <d v="2024-03-21T00:00:00"/>
    <s v="CUST1175"/>
    <s v="PROD62"/>
    <s v="STORE14"/>
    <x v="7"/>
    <s v="Laptop Cooling Pad"/>
    <x v="1"/>
    <x v="2"/>
    <s v="Michelle Rogers"/>
    <n v="1"/>
    <n v="145.43"/>
    <n v="0.08"/>
    <x v="0"/>
    <x v="513"/>
  </r>
  <r>
    <s v="SALE517"/>
    <d v="2024-12-07T00:00:00"/>
    <s v="CUST1084"/>
    <s v="PROD93"/>
    <s v="STORE12"/>
    <x v="18"/>
    <s v="USB-C Laptop Charger"/>
    <x v="1"/>
    <x v="0"/>
    <s v="Christy Hoffman"/>
    <n v="4"/>
    <n v="828.35"/>
    <n v="0.17"/>
    <x v="0"/>
    <x v="514"/>
  </r>
  <r>
    <s v="SALE518"/>
    <d v="2024-11-02T00:00:00"/>
    <s v="CUST1362"/>
    <s v="PROD95"/>
    <s v="STORE7"/>
    <x v="4"/>
    <s v="Sports Stopwatch Basic"/>
    <x v="0"/>
    <x v="2"/>
    <s v="Joshua Smith DVM"/>
    <n v="2.9999999999999996"/>
    <n v="268.76"/>
    <n v="0.01"/>
    <x v="1"/>
    <x v="515"/>
  </r>
  <r>
    <s v="SALE519"/>
    <d v="2024-07-22T00:00:00"/>
    <s v="CUST1233"/>
    <s v="PROD88"/>
    <s v="STORE0"/>
    <x v="6"/>
    <s v="Sports Wrist Sweatbands"/>
    <x v="0"/>
    <x v="3"/>
    <s v="Michelle Gonzalez"/>
    <n v="4.0000000000000009"/>
    <n v="370.09"/>
    <n v="0.22"/>
    <x v="2"/>
    <x v="516"/>
  </r>
  <r>
    <s v="SALE520"/>
    <d v="2023-10-30T00:00:00"/>
    <s v="CUST1253"/>
    <s v="PROD78"/>
    <s v="STORE6"/>
    <x v="16"/>
    <s v="Essential Oil Diffuser"/>
    <x v="3"/>
    <x v="3"/>
    <s v="Dr. Ashley Yates MD"/>
    <n v="3"/>
    <n v="679.22"/>
    <n v="0.11"/>
    <x v="1"/>
    <x v="517"/>
  </r>
  <r>
    <s v="SALE521"/>
    <d v="2024-05-21T00:00:00"/>
    <s v="CUST1373"/>
    <s v="PROD73"/>
    <s v="STORE0"/>
    <x v="6"/>
    <s v="Shin Guards – Adult"/>
    <x v="0"/>
    <x v="3"/>
    <s v="James Orozco"/>
    <n v="2.9999999999999996"/>
    <n v="780.69"/>
    <n v="0.1"/>
    <x v="2"/>
    <x v="518"/>
  </r>
  <r>
    <s v="SALE522"/>
    <d v="2025-04-19T00:00:00"/>
    <s v="CUST1261"/>
    <s v="PROD42"/>
    <s v="STORE2"/>
    <x v="17"/>
    <s v="Smart Home WiFi Camera"/>
    <x v="1"/>
    <x v="2"/>
    <s v="Carol Bishop"/>
    <n v="2"/>
    <n v="42.97"/>
    <n v="0.18"/>
    <x v="1"/>
    <x v="519"/>
  </r>
  <r>
    <s v="SALE523"/>
    <d v="2024-12-13T00:00:00"/>
    <s v="CUST1286"/>
    <s v="PROD82"/>
    <s v="STORE0"/>
    <x v="6"/>
    <s v="Fitness Resistance Bands"/>
    <x v="0"/>
    <x v="3"/>
    <s v="Tommy Roberts"/>
    <n v="4.0000000000000009"/>
    <n v="854.37"/>
    <n v="7.0000000000000007E-2"/>
    <x v="1"/>
    <x v="520"/>
  </r>
  <r>
    <s v="SALE524"/>
    <d v="2025-04-27T00:00:00"/>
    <s v="CUST1100"/>
    <s v="PROD24"/>
    <s v="STORE16"/>
    <x v="9"/>
    <s v="Foldable Camping Chair"/>
    <x v="0"/>
    <x v="1"/>
    <s v="Diane Watson"/>
    <n v="2"/>
    <n v="409.52"/>
    <n v="0.06"/>
    <x v="2"/>
    <x v="521"/>
  </r>
  <r>
    <s v="SALE525"/>
    <d v="2024-10-04T00:00:00"/>
    <s v="CUST1164"/>
    <s v="PROD74"/>
    <s v="STORE10"/>
    <x v="15"/>
    <s v="Bluetooth Car Audio System"/>
    <x v="1"/>
    <x v="3"/>
    <s v="Daniel Rivas"/>
    <n v="2"/>
    <n v="407.46"/>
    <n v="0.21"/>
    <x v="0"/>
    <x v="522"/>
  </r>
  <r>
    <s v="SALE526"/>
    <d v="2025-07-18T00:00:00"/>
    <s v="CUST1228"/>
    <s v="PROD4"/>
    <s v="STORE8"/>
    <x v="2"/>
    <s v="Women's Yoga Pants"/>
    <x v="4"/>
    <x v="1"/>
    <s v="Casey Flores"/>
    <n v="1"/>
    <n v="728.84"/>
    <n v="0.28000000000000003"/>
    <x v="1"/>
    <x v="523"/>
  </r>
  <r>
    <s v="SALE527"/>
    <d v="2024-03-11T00:00:00"/>
    <s v="CUST1453"/>
    <s v="PROD78"/>
    <s v="STORE6"/>
    <x v="16"/>
    <s v="Essential Oil Diffuser"/>
    <x v="3"/>
    <x v="3"/>
    <s v="April Phillips"/>
    <n v="3.9999999999999996"/>
    <n v="467.24"/>
    <n v="0.08"/>
    <x v="1"/>
    <x v="524"/>
  </r>
  <r>
    <s v="SALE528"/>
    <d v="2024-06-14T00:00:00"/>
    <s v="CUST1092"/>
    <s v="PROD10"/>
    <s v="STORE11"/>
    <x v="19"/>
    <s v="Ceramic Kitchen Bowl Set"/>
    <x v="3"/>
    <x v="2"/>
    <s v="Robert Jackson"/>
    <n v="0.99999999999999989"/>
    <n v="57.94"/>
    <n v="0.13"/>
    <x v="1"/>
    <x v="525"/>
  </r>
  <r>
    <s v="SALE529"/>
    <d v="2024-02-16T00:00:00"/>
    <s v="CUST1344"/>
    <s v="PROD49"/>
    <s v="STORE17"/>
    <x v="1"/>
    <s v="Men's Roll-On Perfume"/>
    <x v="2"/>
    <x v="0"/>
    <s v="Evelyn Brown"/>
    <n v="1"/>
    <n v="540.1"/>
    <n v="0.22"/>
    <x v="0"/>
    <x v="526"/>
  </r>
  <r>
    <s v="SALE530"/>
    <d v="2024-09-17T00:00:00"/>
    <s v="CUST1077"/>
    <s v="PROD8"/>
    <s v="STORE19"/>
    <x v="12"/>
    <s v="Wireless Bluetooth Earbuds"/>
    <x v="1"/>
    <x v="3"/>
    <s v="Katherine Young"/>
    <n v="4"/>
    <n v="816.28"/>
    <n v="0.15"/>
    <x v="2"/>
    <x v="527"/>
  </r>
  <r>
    <s v="SALE531"/>
    <d v="2025-08-26T00:00:00"/>
    <s v="CUST1178"/>
    <s v="PROD42"/>
    <s v="STORE8"/>
    <x v="2"/>
    <s v="Smart Home WiFi Camera"/>
    <x v="1"/>
    <x v="1"/>
    <s v="Michelle Myers"/>
    <n v="4"/>
    <n v="727.49"/>
    <n v="0.11"/>
    <x v="0"/>
    <x v="528"/>
  </r>
  <r>
    <s v="SALE532"/>
    <d v="2024-06-04T00:00:00"/>
    <s v="CUST1171"/>
    <s v="PROD86"/>
    <s v="STORE13"/>
    <x v="13"/>
    <s v="Kitchen Cutting Board"/>
    <x v="3"/>
    <x v="3"/>
    <s v="Amy Wilson"/>
    <n v="4"/>
    <n v="817.92"/>
    <n v="0.21"/>
    <x v="0"/>
    <x v="529"/>
  </r>
  <r>
    <s v="SALE533"/>
    <d v="2024-10-13T00:00:00"/>
    <s v="CUST1325"/>
    <s v="PROD38"/>
    <s v="STORE7"/>
    <x v="4"/>
    <s v="Sports Water Hydration Pack"/>
    <x v="0"/>
    <x v="2"/>
    <s v="Andrew Smith"/>
    <n v="2"/>
    <n v="358.45"/>
    <n v="7.0000000000000007E-2"/>
    <x v="2"/>
    <x v="530"/>
  </r>
  <r>
    <s v="SALE534"/>
    <d v="2025-02-09T00:00:00"/>
    <s v="CUST1201"/>
    <s v="PROD87"/>
    <s v="STORE9"/>
    <x v="11"/>
    <s v="LED Bedside Lamp"/>
    <x v="3"/>
    <x v="2"/>
    <s v="Mary Boyd"/>
    <n v="1"/>
    <n v="972.06"/>
    <n v="0.3"/>
    <x v="2"/>
    <x v="531"/>
  </r>
  <r>
    <s v="SALE535"/>
    <d v="2023-12-21T00:00:00"/>
    <s v="CUST1032"/>
    <s v="PROD16"/>
    <s v="STORE0"/>
    <x v="6"/>
    <s v="Not Found"/>
    <x v="5"/>
    <x v="3"/>
    <s v="Mike Jennings"/>
    <n v="1"/>
    <n v="791.36"/>
    <n v="0.06"/>
    <x v="1"/>
    <x v="532"/>
  </r>
  <r>
    <s v="SALE536"/>
    <d v="2025-07-17T00:00:00"/>
    <s v="CUST1314"/>
    <s v="PROD64"/>
    <s v="STORE5"/>
    <x v="3"/>
    <s v="Matte Lipstick Set"/>
    <x v="2"/>
    <x v="0"/>
    <s v="Elizabeth Johnson"/>
    <n v="4"/>
    <n v="839.65"/>
    <n v="0.26"/>
    <x v="2"/>
    <x v="533"/>
  </r>
  <r>
    <s v="SALE537"/>
    <d v="2025-05-16T00:00:00"/>
    <s v="CUST1255"/>
    <s v="PROD72"/>
    <s v="STORE2"/>
    <x v="17"/>
    <s v="Professional Jump Rope"/>
    <x v="0"/>
    <x v="2"/>
    <s v="Damon Perez"/>
    <n v="2"/>
    <n v="245.52"/>
    <n v="0.11"/>
    <x v="2"/>
    <x v="534"/>
  </r>
  <r>
    <s v="SALE538"/>
    <d v="2025-08-12T00:00:00"/>
    <s v="CUST1388"/>
    <s v="PROD82"/>
    <s v="STORE8"/>
    <x v="2"/>
    <s v="Fitness Resistance Bands"/>
    <x v="0"/>
    <x v="1"/>
    <s v="Timothy Valenzuela"/>
    <n v="3.0000000000000004"/>
    <n v="787.91"/>
    <n v="0.06"/>
    <x v="1"/>
    <x v="535"/>
  </r>
  <r>
    <s v="SALE539"/>
    <d v="2025-08-21T00:00:00"/>
    <s v="CUST1053"/>
    <s v="PROD75"/>
    <s v="STORE4"/>
    <x v="5"/>
    <s v="Women's Ankle Boots"/>
    <x v="4"/>
    <x v="2"/>
    <s v="Sharon Brown"/>
    <n v="2"/>
    <n v="709.17"/>
    <n v="0.22"/>
    <x v="0"/>
    <x v="536"/>
  </r>
  <r>
    <s v="SALE540"/>
    <d v="2023-11-21T00:00:00"/>
    <s v="CUST1235"/>
    <s v="PROD91"/>
    <s v="STORE7"/>
    <x v="4"/>
    <s v="Women's High Heels"/>
    <x v="4"/>
    <x v="2"/>
    <s v="Jon Ortiz"/>
    <n v="2"/>
    <n v="533.91999999999996"/>
    <n v="0.13"/>
    <x v="0"/>
    <x v="537"/>
  </r>
  <r>
    <s v="SALE541"/>
    <d v="2025-02-07T00:00:00"/>
    <s v="CUST1492"/>
    <s v="PROD42"/>
    <s v="STORE0"/>
    <x v="6"/>
    <s v="Smart Home WiFi Camera"/>
    <x v="1"/>
    <x v="3"/>
    <s v="Darrell Miller"/>
    <n v="1"/>
    <n v="878.84"/>
    <n v="0.28000000000000003"/>
    <x v="2"/>
    <x v="538"/>
  </r>
  <r>
    <s v="SALE542"/>
    <d v="2023-12-27T00:00:00"/>
    <s v="CUST1204"/>
    <s v="PROD44"/>
    <s v="STORE16"/>
    <x v="9"/>
    <s v="Adjustable Jump Rope"/>
    <x v="0"/>
    <x v="1"/>
    <s v="Tiffany Herrera"/>
    <n v="1"/>
    <n v="442.36"/>
    <n v="0.14000000000000001"/>
    <x v="0"/>
    <x v="539"/>
  </r>
  <r>
    <s v="SALE543"/>
    <d v="2025-02-23T00:00:00"/>
    <s v="CUST1333"/>
    <s v="PROD35"/>
    <s v="STORE6"/>
    <x v="16"/>
    <s v="Bedroom Table Lamp"/>
    <x v="3"/>
    <x v="3"/>
    <s v="Teresa Johnson"/>
    <n v="1"/>
    <n v="763.34"/>
    <n v="0.11"/>
    <x v="2"/>
    <x v="540"/>
  </r>
  <r>
    <s v="SALE544"/>
    <d v="2025-07-04T00:00:00"/>
    <s v="CUST1166"/>
    <s v="PROD59"/>
    <s v="STORE18"/>
    <x v="14"/>
    <s v="Men's Hair Styling Gel"/>
    <x v="2"/>
    <x v="3"/>
    <s v="Patricia Gardner"/>
    <n v="3"/>
    <n v="178.22"/>
    <n v="0.15"/>
    <x v="2"/>
    <x v="541"/>
  </r>
  <r>
    <s v="SALE545"/>
    <d v="2023-11-25T00:00:00"/>
    <s v="CUST1103"/>
    <s v="PROD26"/>
    <s v="STORE1"/>
    <x v="8"/>
    <s v="Wireless Bluetooth Speaker"/>
    <x v="1"/>
    <x v="0"/>
    <s v="Steven Stein"/>
    <n v="4"/>
    <n v="90.32"/>
    <n v="0.08"/>
    <x v="1"/>
    <x v="542"/>
  </r>
  <r>
    <s v="SALE546"/>
    <d v="2025-02-07T00:00:00"/>
    <s v="CUST1378"/>
    <s v="PROD10"/>
    <s v="STORE6"/>
    <x v="16"/>
    <s v="Ceramic Kitchen Bowl Set"/>
    <x v="3"/>
    <x v="3"/>
    <s v="Frank Stewart"/>
    <n v="3"/>
    <n v="370.93"/>
    <n v="0"/>
    <x v="0"/>
    <x v="543"/>
  </r>
  <r>
    <s v="SALE547"/>
    <d v="2023-12-21T00:00:00"/>
    <s v="CUST1046"/>
    <s v="PROD23"/>
    <s v="STORE15"/>
    <x v="10"/>
    <s v="Men's Formal Shirt"/>
    <x v="4"/>
    <x v="0"/>
    <s v="Michelle Garcia DDS"/>
    <n v="1"/>
    <n v="352.43"/>
    <n v="0.14000000000000001"/>
    <x v="1"/>
    <x v="544"/>
  </r>
  <r>
    <s v="SALE548"/>
    <d v="2024-01-04T00:00:00"/>
    <s v="CUST1123"/>
    <s v="PROD12"/>
    <s v="STORE15"/>
    <x v="10"/>
    <s v="Hair Strengthening Shampoo"/>
    <x v="2"/>
    <x v="0"/>
    <s v="Erin Hopkins"/>
    <n v="2"/>
    <n v="562.97"/>
    <n v="0.2"/>
    <x v="0"/>
    <x v="545"/>
  </r>
  <r>
    <s v="SALE549"/>
    <d v="2023-11-30T00:00:00"/>
    <s v="CUST1157"/>
    <s v="PROD55"/>
    <s v="STORE7"/>
    <x v="4"/>
    <s v="Ceramic Plant Pot"/>
    <x v="3"/>
    <x v="2"/>
    <s v="Paul Zamora"/>
    <n v="1"/>
    <n v="522.85"/>
    <n v="0.12"/>
    <x v="1"/>
    <x v="546"/>
  </r>
  <r>
    <s v="SALE550"/>
    <d v="2025-07-13T00:00:00"/>
    <s v="CUST1349"/>
    <s v="PROD21"/>
    <s v="STORE16"/>
    <x v="9"/>
    <s v="Multi-Purpose Storage Box"/>
    <x v="3"/>
    <x v="1"/>
    <s v="Heather Valenzuela"/>
    <n v="4.0000000000000009"/>
    <n v="714.89"/>
    <n v="0.15"/>
    <x v="0"/>
    <x v="547"/>
  </r>
  <r>
    <s v="SALE551"/>
    <d v="2023-10-23T00:00:00"/>
    <s v="CUST1187"/>
    <s v="PROD43"/>
    <s v="STORE2"/>
    <x v="17"/>
    <s v="USB External Hard Drive"/>
    <x v="1"/>
    <x v="2"/>
    <s v="Dr. Suzanne Bullock"/>
    <n v="3.0000000000000009"/>
    <n v="137.77000000000001"/>
    <n v="0.26"/>
    <x v="1"/>
    <x v="548"/>
  </r>
  <r>
    <s v="SALE552"/>
    <d v="2025-10-10T00:00:00"/>
    <s v="CUST1027"/>
    <s v="PROD92"/>
    <s v="STORE11"/>
    <x v="19"/>
    <s v="Microwave Oven"/>
    <x v="3"/>
    <x v="2"/>
    <s v="Leslie Johnson"/>
    <n v="3"/>
    <n v="862.18"/>
    <n v="0.22"/>
    <x v="1"/>
    <x v="549"/>
  </r>
  <r>
    <s v="SALE553"/>
    <d v="2025-06-14T00:00:00"/>
    <s v="CUST1057"/>
    <s v="PROD38"/>
    <s v="STORE14"/>
    <x v="7"/>
    <s v="Sports Water Hydration Pack"/>
    <x v="0"/>
    <x v="2"/>
    <s v="Jay Patel"/>
    <n v="2"/>
    <n v="833.64"/>
    <n v="0.24"/>
    <x v="1"/>
    <x v="550"/>
  </r>
  <r>
    <s v="SALE554"/>
    <d v="2025-04-05T00:00:00"/>
    <s v="CUST1270"/>
    <s v="PROD19"/>
    <s v="STORE15"/>
    <x v="10"/>
    <s v="Knee Support Brace"/>
    <x v="0"/>
    <x v="0"/>
    <s v="Brian Garcia"/>
    <n v="3"/>
    <n v="543.22"/>
    <n v="0.05"/>
    <x v="2"/>
    <x v="551"/>
  </r>
  <r>
    <s v="SALE555"/>
    <d v="2025-01-20T00:00:00"/>
    <s v="CUST1278"/>
    <s v="PROD88"/>
    <s v="STORE2"/>
    <x v="17"/>
    <s v="Sports Wrist Sweatbands"/>
    <x v="0"/>
    <x v="2"/>
    <s v="Stephen Fowler"/>
    <n v="3"/>
    <n v="691.02"/>
    <n v="0.12"/>
    <x v="2"/>
    <x v="552"/>
  </r>
  <r>
    <s v="SALE556"/>
    <d v="2023-11-23T00:00:00"/>
    <s v="CUST1087"/>
    <s v="PROD86"/>
    <s v="STORE17"/>
    <x v="1"/>
    <s v="Kitchen Cutting Board"/>
    <x v="3"/>
    <x v="0"/>
    <s v="Melissa Duffy MD"/>
    <n v="3.9999999999999991"/>
    <n v="338.73"/>
    <n v="0.18"/>
    <x v="0"/>
    <x v="553"/>
  </r>
  <r>
    <s v="SALE557"/>
    <d v="2024-04-07T00:00:00"/>
    <s v="CUST1062"/>
    <s v="PROD84"/>
    <s v="STORE16"/>
    <x v="9"/>
    <s v="Wooden Bookshelf"/>
    <x v="3"/>
    <x v="1"/>
    <s v="James Bean"/>
    <n v="3.0000000000000004"/>
    <n v="366.08"/>
    <n v="0.05"/>
    <x v="0"/>
    <x v="554"/>
  </r>
  <r>
    <s v="SALE558"/>
    <d v="2025-07-02T00:00:00"/>
    <s v="CUST1105"/>
    <s v="PROD13"/>
    <s v="STORE13"/>
    <x v="13"/>
    <s v="USB-C Fast Charger"/>
    <x v="1"/>
    <x v="3"/>
    <s v="Lance Baker"/>
    <n v="4"/>
    <n v="539.48"/>
    <n v="0.28000000000000003"/>
    <x v="2"/>
    <x v="555"/>
  </r>
  <r>
    <s v="SALE559"/>
    <d v="2023-11-26T00:00:00"/>
    <s v="CUST1389"/>
    <s v="PROD91"/>
    <s v="STORE16"/>
    <x v="9"/>
    <s v="Women's High Heels"/>
    <x v="4"/>
    <x v="1"/>
    <s v="Cynthia Lopez"/>
    <n v="1.0000000000000002"/>
    <n v="499.59"/>
    <n v="0.03"/>
    <x v="2"/>
    <x v="556"/>
  </r>
  <r>
    <s v="SALE560"/>
    <d v="2024-02-04T00:00:00"/>
    <s v="CUST1188"/>
    <s v="PROD30"/>
    <s v="STORE8"/>
    <x v="2"/>
    <s v="Stainless Steel Cutlery Set"/>
    <x v="3"/>
    <x v="1"/>
    <s v="Kimberly Brooks"/>
    <n v="3"/>
    <n v="330.04"/>
    <n v="0.2"/>
    <x v="0"/>
    <x v="557"/>
  </r>
  <r>
    <s v="SALE561"/>
    <d v="2024-06-16T00:00:00"/>
    <s v="CUST1182"/>
    <s v="PROD11"/>
    <s v="STORE17"/>
    <x v="1"/>
    <s v="HD Smart TV Stick"/>
    <x v="1"/>
    <x v="0"/>
    <s v="Melissa Hamilton"/>
    <n v="2.0000000000000004"/>
    <n v="813.01"/>
    <n v="0.06"/>
    <x v="1"/>
    <x v="558"/>
  </r>
  <r>
    <s v="SALE562"/>
    <d v="2025-02-27T00:00:00"/>
    <s v="CUST1026"/>
    <s v="PROD1"/>
    <s v="STORE2"/>
    <x v="17"/>
    <s v="Men's Graphic T-Shirt"/>
    <x v="4"/>
    <x v="2"/>
    <s v="Amber Carlson"/>
    <n v="4"/>
    <n v="204.8"/>
    <n v="0.03"/>
    <x v="1"/>
    <x v="559"/>
  </r>
  <r>
    <s v="SALE563"/>
    <d v="2023-10-24T00:00:00"/>
    <s v="CUST1011"/>
    <s v="PROD3"/>
    <s v="STORE3"/>
    <x v="0"/>
    <s v="Not Found"/>
    <x v="5"/>
    <x v="0"/>
    <s v="Brian Lopez"/>
    <n v="2.9999999999999996"/>
    <n v="728.32"/>
    <n v="0.01"/>
    <x v="0"/>
    <x v="560"/>
  </r>
  <r>
    <s v="SALE564"/>
    <d v="2024-08-03T00:00:00"/>
    <s v="CUST1452"/>
    <s v="PROD59"/>
    <s v="STORE7"/>
    <x v="4"/>
    <s v="Men's Hair Styling Gel"/>
    <x v="2"/>
    <x v="2"/>
    <s v="Jeffery Wolf"/>
    <n v="3"/>
    <n v="836.4"/>
    <n v="0"/>
    <x v="0"/>
    <x v="561"/>
  </r>
  <r>
    <s v="SALE565"/>
    <d v="2025-07-05T00:00:00"/>
    <s v="CUST1149"/>
    <s v="PROD90"/>
    <s v="STORE12"/>
    <x v="18"/>
    <s v="Gaming Mouse Pad XL"/>
    <x v="1"/>
    <x v="0"/>
    <s v="Denise Griffin"/>
    <n v="1"/>
    <n v="780.16"/>
    <n v="0.02"/>
    <x v="2"/>
    <x v="562"/>
  </r>
  <r>
    <s v="SALE566"/>
    <d v="2025-05-27T00:00:00"/>
    <s v="CUST1470"/>
    <s v="PROD46"/>
    <s v="STORE13"/>
    <x v="13"/>
    <s v="Men's Winter Jacket"/>
    <x v="4"/>
    <x v="3"/>
    <s v="Manuel Fisher"/>
    <n v="4"/>
    <n v="354.12"/>
    <n v="0.06"/>
    <x v="1"/>
    <x v="563"/>
  </r>
  <r>
    <s v="SALE567"/>
    <d v="2024-11-06T00:00:00"/>
    <s v="CUST1452"/>
    <s v="PROD63"/>
    <s v="STORE2"/>
    <x v="17"/>
    <s v="Organic Sunscreen Lotion"/>
    <x v="2"/>
    <x v="2"/>
    <s v="Jeffery Wolf"/>
    <n v="3.9999999999999996"/>
    <n v="282.48"/>
    <n v="0.11"/>
    <x v="1"/>
    <x v="564"/>
  </r>
  <r>
    <s v="SALE568"/>
    <d v="2024-06-03T00:00:00"/>
    <s v="CUST1328"/>
    <s v="PROD20"/>
    <s v="STORE6"/>
    <x v="16"/>
    <s v="Outdoor Sports Water Bottle"/>
    <x v="0"/>
    <x v="3"/>
    <s v="Mario Harvey Jr."/>
    <n v="2.0000000000000004"/>
    <n v="740.68"/>
    <n v="0.02"/>
    <x v="1"/>
    <x v="565"/>
  </r>
  <r>
    <s v="SALE569"/>
    <d v="2024-04-02T00:00:00"/>
    <s v="CUST1105"/>
    <s v="PROD56"/>
    <s v="STORE9"/>
    <x v="11"/>
    <s v="Premium Blanket Throw"/>
    <x v="3"/>
    <x v="2"/>
    <s v="Lance Baker"/>
    <n v="3"/>
    <n v="600.58000000000004"/>
    <n v="0.28999999999999998"/>
    <x v="2"/>
    <x v="566"/>
  </r>
  <r>
    <s v="SALE570"/>
    <d v="2024-02-26T00:00:00"/>
    <s v="CUST1461"/>
    <s v="PROD65"/>
    <s v="STORE3"/>
    <x v="0"/>
    <s v="Adjustable Dumbbells 20kg"/>
    <x v="0"/>
    <x v="0"/>
    <s v="Paul Cox"/>
    <n v="3"/>
    <n v="345.58"/>
    <n v="0.22"/>
    <x v="0"/>
    <x v="567"/>
  </r>
  <r>
    <s v="SALE571"/>
    <d v="2025-01-31T00:00:00"/>
    <s v="CUST1284"/>
    <s v="PROD18"/>
    <s v="STORE11"/>
    <x v="19"/>
    <s v="Women's Denim Jeans"/>
    <x v="4"/>
    <x v="2"/>
    <s v="Hunter Sutton"/>
    <n v="1"/>
    <n v="974.52"/>
    <n v="0.01"/>
    <x v="1"/>
    <x v="568"/>
  </r>
  <r>
    <s v="SALE572"/>
    <d v="2023-11-19T00:00:00"/>
    <s v="CUST1040"/>
    <s v="PROD17"/>
    <s v="STORE1"/>
    <x v="8"/>
    <s v="Soccer Training Cone Set"/>
    <x v="0"/>
    <x v="0"/>
    <s v="Eric Vega"/>
    <n v="3"/>
    <n v="282.33"/>
    <n v="7.0000000000000007E-2"/>
    <x v="0"/>
    <x v="569"/>
  </r>
  <r>
    <s v="SALE573"/>
    <d v="2025-03-10T00:00:00"/>
    <s v="CUST1382"/>
    <s v="PROD76"/>
    <s v="STORE19"/>
    <x v="12"/>
    <s v="Wireless Mouse"/>
    <x v="1"/>
    <x v="3"/>
    <s v="Martha Brown"/>
    <n v="4"/>
    <n v="158.46"/>
    <n v="0.09"/>
    <x v="1"/>
    <x v="570"/>
  </r>
  <r>
    <s v="SALE574"/>
    <d v="2023-12-23T00:00:00"/>
    <s v="CUST1343"/>
    <s v="PROD55"/>
    <s v="STORE7"/>
    <x v="4"/>
    <s v="Ceramic Plant Pot"/>
    <x v="3"/>
    <x v="2"/>
    <s v="Ryan Moore"/>
    <n v="2.0000000000000004"/>
    <n v="778.56"/>
    <n v="0.11"/>
    <x v="2"/>
    <x v="571"/>
  </r>
  <r>
    <s v="SALE575"/>
    <d v="2024-03-02T00:00:00"/>
    <s v="CUST1237"/>
    <s v="PROD50"/>
    <s v="STORE19"/>
    <x v="12"/>
    <s v="Boxing Hand Wraps"/>
    <x v="0"/>
    <x v="3"/>
    <s v="Wesley Short"/>
    <n v="4"/>
    <n v="280.16000000000003"/>
    <n v="0.18"/>
    <x v="2"/>
    <x v="572"/>
  </r>
  <r>
    <s v="SALE576"/>
    <d v="2024-10-27T00:00:00"/>
    <s v="CUST1287"/>
    <s v="PROD71"/>
    <s v="STORE13"/>
    <x v="13"/>
    <s v="Hair Repair Oil Treatment"/>
    <x v="2"/>
    <x v="3"/>
    <s v="Cynthia Roberts"/>
    <n v="2"/>
    <n v="649.54999999999995"/>
    <n v="0.28999999999999998"/>
    <x v="1"/>
    <x v="573"/>
  </r>
  <r>
    <s v="SALE577"/>
    <d v="2024-03-09T00:00:00"/>
    <s v="CUST1007"/>
    <s v="PROD88"/>
    <s v="STORE2"/>
    <x v="17"/>
    <s v="Sports Wrist Sweatbands"/>
    <x v="0"/>
    <x v="2"/>
    <s v="Daniel Boyd"/>
    <n v="2"/>
    <n v="994.32"/>
    <n v="0.27"/>
    <x v="1"/>
    <x v="574"/>
  </r>
  <r>
    <s v="SALE578"/>
    <d v="2024-12-23T00:00:00"/>
    <s v="CUST1223"/>
    <s v="PROD81"/>
    <s v="STORE12"/>
    <x v="18"/>
    <s v="Badminton Racket Set"/>
    <x v="0"/>
    <x v="0"/>
    <s v="Robert Harris"/>
    <n v="1"/>
    <n v="64.94"/>
    <n v="0.21"/>
    <x v="1"/>
    <x v="575"/>
  </r>
  <r>
    <s v="SALE579"/>
    <d v="2025-02-21T00:00:00"/>
    <s v="CUST1136"/>
    <s v="PROD39"/>
    <s v="STORE7"/>
    <x v="4"/>
    <s v="Portable Power Bank"/>
    <x v="1"/>
    <x v="2"/>
    <s v="Patrick Coleman"/>
    <n v="2"/>
    <n v="507.66"/>
    <n v="0"/>
    <x v="2"/>
    <x v="576"/>
  </r>
  <r>
    <s v="SALE580"/>
    <d v="2023-12-13T00:00:00"/>
    <s v="CUST1242"/>
    <s v="PROD81"/>
    <s v="STORE4"/>
    <x v="5"/>
    <s v="Badminton Racket Set"/>
    <x v="0"/>
    <x v="2"/>
    <s v="William Jackson"/>
    <n v="4"/>
    <n v="968.27"/>
    <n v="0.03"/>
    <x v="1"/>
    <x v="577"/>
  </r>
  <r>
    <s v="SALE581"/>
    <d v="2023-11-20T00:00:00"/>
    <s v="CUST1017"/>
    <s v="PROD88"/>
    <s v="STORE5"/>
    <x v="3"/>
    <s v="Sports Wrist Sweatbands"/>
    <x v="0"/>
    <x v="0"/>
    <s v="Adam Cruz"/>
    <n v="4"/>
    <n v="510.33"/>
    <n v="0.2"/>
    <x v="1"/>
    <x v="578"/>
  </r>
  <r>
    <s v="SALE582"/>
    <d v="2024-09-04T00:00:00"/>
    <s v="CUST1011"/>
    <s v="PROD44"/>
    <s v="STORE19"/>
    <x v="12"/>
    <s v="Adjustable Jump Rope"/>
    <x v="0"/>
    <x v="3"/>
    <s v="Brian Lopez"/>
    <n v="2"/>
    <n v="156.72999999999999"/>
    <n v="0.18"/>
    <x v="2"/>
    <x v="579"/>
  </r>
  <r>
    <s v="SALE583"/>
    <d v="2025-06-02T00:00:00"/>
    <s v="CUST1142"/>
    <s v="PROD99"/>
    <s v="STORE10"/>
    <x v="15"/>
    <s v="Stainless Steel Cookware Set"/>
    <x v="3"/>
    <x v="3"/>
    <s v="Maria Ramirez"/>
    <n v="3"/>
    <n v="53.83"/>
    <n v="0.24"/>
    <x v="0"/>
    <x v="580"/>
  </r>
  <r>
    <s v="SALE584"/>
    <d v="2024-02-28T00:00:00"/>
    <s v="CUST1377"/>
    <s v="PROD78"/>
    <s v="STORE4"/>
    <x v="5"/>
    <s v="Essential Oil Diffuser"/>
    <x v="3"/>
    <x v="2"/>
    <s v="Charles Conley"/>
    <n v="1"/>
    <n v="34.71"/>
    <n v="0.1"/>
    <x v="2"/>
    <x v="581"/>
  </r>
  <r>
    <s v="SALE585"/>
    <d v="2024-12-07T00:00:00"/>
    <s v="CUST1229"/>
    <s v="PROD77"/>
    <s v="STORE1"/>
    <x v="8"/>
    <s v="WiFi Mesh Router"/>
    <x v="1"/>
    <x v="0"/>
    <s v="Tanner Thompson"/>
    <n v="2"/>
    <n v="829.15"/>
    <n v="0.11"/>
    <x v="1"/>
    <x v="582"/>
  </r>
  <r>
    <s v="SALE586"/>
    <d v="2025-05-21T00:00:00"/>
    <s v="CUST1264"/>
    <s v="PROD98"/>
    <s v="STORE3"/>
    <x v="0"/>
    <s v="Portable Bluetooth Speaker"/>
    <x v="1"/>
    <x v="0"/>
    <s v="Matthew Payne"/>
    <n v="2"/>
    <n v="481.86"/>
    <n v="0.1"/>
    <x v="2"/>
    <x v="583"/>
  </r>
  <r>
    <s v="SALE587"/>
    <d v="2024-03-03T00:00:00"/>
    <s v="CUST1147"/>
    <s v="PROD52"/>
    <s v="STORE7"/>
    <x v="4"/>
    <s v="Rugby Ball"/>
    <x v="0"/>
    <x v="2"/>
    <s v="Rhonda Young"/>
    <n v="4"/>
    <n v="915.17"/>
    <n v="0.19"/>
    <x v="2"/>
    <x v="584"/>
  </r>
  <r>
    <s v="SALE588"/>
    <d v="2024-03-06T00:00:00"/>
    <s v="CUST1214"/>
    <s v="PROD71"/>
    <s v="STORE18"/>
    <x v="14"/>
    <s v="Hair Repair Oil Treatment"/>
    <x v="2"/>
    <x v="3"/>
    <s v="Eric Todd"/>
    <n v="1.0000000000000002"/>
    <n v="250.95"/>
    <n v="0.03"/>
    <x v="1"/>
    <x v="585"/>
  </r>
  <r>
    <s v="SALE589"/>
    <d v="2023-11-27T00:00:00"/>
    <s v="CUST1325"/>
    <s v="PROD96"/>
    <s v="STORE5"/>
    <x v="3"/>
    <s v="Women's Formal Blazer"/>
    <x v="4"/>
    <x v="0"/>
    <s v="Andrew Smith"/>
    <n v="3"/>
    <n v="882.84"/>
    <n v="0.1"/>
    <x v="0"/>
    <x v="586"/>
  </r>
  <r>
    <s v="SALE590"/>
    <d v="2025-02-14T00:00:00"/>
    <s v="CUST1138"/>
    <s v="PROD19"/>
    <s v="STORE18"/>
    <x v="14"/>
    <s v="Knee Support Brace"/>
    <x v="0"/>
    <x v="3"/>
    <s v="Sean Roth"/>
    <n v="4"/>
    <n v="573.37"/>
    <n v="0.04"/>
    <x v="2"/>
    <x v="587"/>
  </r>
  <r>
    <s v="SALE591"/>
    <d v="2024-01-27T00:00:00"/>
    <s v="CUST1058"/>
    <s v="PROD32"/>
    <s v="STORE12"/>
    <x v="18"/>
    <s v="Vitamin C Face Serum"/>
    <x v="2"/>
    <x v="0"/>
    <s v="Cheryl Copeland"/>
    <n v="3"/>
    <n v="622.72"/>
    <n v="0.04"/>
    <x v="0"/>
    <x v="588"/>
  </r>
  <r>
    <s v="SALE592"/>
    <d v="2025-10-13T00:00:00"/>
    <s v="CUST1388"/>
    <s v="PROD92"/>
    <s v="STORE17"/>
    <x v="1"/>
    <s v="Microwave Oven"/>
    <x v="3"/>
    <x v="0"/>
    <s v="Timothy Valenzuela"/>
    <n v="3.0000000000000004"/>
    <n v="259.74"/>
    <n v="0.24"/>
    <x v="0"/>
    <x v="589"/>
  </r>
  <r>
    <s v="SALE593"/>
    <d v="2025-04-22T00:00:00"/>
    <s v="CUST1054"/>
    <s v="PROD28"/>
    <s v="STORE13"/>
    <x v="13"/>
    <s v="Sports Stopwatch Timer"/>
    <x v="0"/>
    <x v="3"/>
    <s v="Katherine Dorsey"/>
    <n v="4"/>
    <n v="951.09"/>
    <n v="0.14000000000000001"/>
    <x v="2"/>
    <x v="590"/>
  </r>
  <r>
    <s v="SALE594"/>
    <d v="2025-04-18T00:00:00"/>
    <s v="CUST1199"/>
    <s v="PROD99"/>
    <s v="STORE2"/>
    <x v="17"/>
    <s v="Stainless Steel Cookware Set"/>
    <x v="3"/>
    <x v="2"/>
    <s v="Carmen Price"/>
    <n v="1.0000000000000002"/>
    <n v="71.709999999999994"/>
    <n v="0.23"/>
    <x v="2"/>
    <x v="591"/>
  </r>
  <r>
    <s v="SALE595"/>
    <d v="2025-08-22T00:00:00"/>
    <s v="CUST1173"/>
    <s v="PROD20"/>
    <s v="STORE7"/>
    <x v="4"/>
    <s v="Outdoor Sports Water Bottle"/>
    <x v="0"/>
    <x v="2"/>
    <s v="Teresa Stokes"/>
    <n v="3.9999999999999996"/>
    <n v="894.93"/>
    <n v="0.05"/>
    <x v="2"/>
    <x v="592"/>
  </r>
  <r>
    <s v="SALE596"/>
    <d v="2025-07-04T00:00:00"/>
    <s v="CUST1202"/>
    <s v="PROD78"/>
    <s v="STORE8"/>
    <x v="2"/>
    <s v="Essential Oil Diffuser"/>
    <x v="3"/>
    <x v="1"/>
    <s v="Christina Garcia"/>
    <n v="4"/>
    <n v="870.18"/>
    <n v="0.13"/>
    <x v="2"/>
    <x v="593"/>
  </r>
  <r>
    <s v="SALE597"/>
    <d v="2024-03-31T00:00:00"/>
    <s v="CUST1278"/>
    <s v="PROD64"/>
    <s v="STORE2"/>
    <x v="17"/>
    <s v="Matte Lipstick Set"/>
    <x v="2"/>
    <x v="2"/>
    <s v="Stephen Fowler"/>
    <n v="2"/>
    <n v="552.72"/>
    <n v="0.06"/>
    <x v="1"/>
    <x v="594"/>
  </r>
  <r>
    <s v="SALE598"/>
    <d v="2023-11-06T00:00:00"/>
    <s v="CUST1246"/>
    <s v="PROD39"/>
    <s v="STORE8"/>
    <x v="2"/>
    <s v="Portable Power Bank"/>
    <x v="1"/>
    <x v="1"/>
    <s v="Mary Russell"/>
    <n v="3"/>
    <n v="700.43"/>
    <n v="0.01"/>
    <x v="2"/>
    <x v="595"/>
  </r>
  <r>
    <s v="SALE599"/>
    <d v="2025-05-29T00:00:00"/>
    <s v="CUST1339"/>
    <s v="PROD9"/>
    <s v="STORE2"/>
    <x v="17"/>
    <s v="Adjustable Dumbbell Set"/>
    <x v="0"/>
    <x v="2"/>
    <s v="Mrs. Susan Buckley"/>
    <n v="2"/>
    <n v="823.03"/>
    <n v="0.18"/>
    <x v="1"/>
    <x v="596"/>
  </r>
  <r>
    <s v="SALE600"/>
    <d v="2024-04-19T00:00:00"/>
    <s v="CUST1255"/>
    <s v="PROD92"/>
    <s v="STORE6"/>
    <x v="16"/>
    <s v="Microwave Oven"/>
    <x v="3"/>
    <x v="3"/>
    <s v="Damon Perez"/>
    <n v="1"/>
    <n v="117.37"/>
    <n v="0.21"/>
    <x v="0"/>
    <x v="597"/>
  </r>
  <r>
    <s v="SALE601"/>
    <d v="2025-02-28T00:00:00"/>
    <s v="CUST1104"/>
    <s v="PROD56"/>
    <s v="STORE1"/>
    <x v="8"/>
    <s v="Premium Blanket Throw"/>
    <x v="3"/>
    <x v="0"/>
    <s v="Christopher Lester"/>
    <n v="4"/>
    <n v="165.37"/>
    <n v="0.28999999999999998"/>
    <x v="0"/>
    <x v="598"/>
  </r>
  <r>
    <s v="SALE602"/>
    <d v="2025-03-02T00:00:00"/>
    <s v="CUST1378"/>
    <s v="PROD6"/>
    <s v="STORE10"/>
    <x v="15"/>
    <s v="Herbal Face Moisturizer"/>
    <x v="2"/>
    <x v="3"/>
    <s v="Frank Stewart"/>
    <n v="3"/>
    <n v="483.06"/>
    <n v="0.05"/>
    <x v="0"/>
    <x v="599"/>
  </r>
  <r>
    <s v="SALE603"/>
    <d v="2024-03-28T00:00:00"/>
    <s v="CUST1293"/>
    <s v="PROD81"/>
    <s v="STORE7"/>
    <x v="4"/>
    <s v="Badminton Racket Set"/>
    <x v="0"/>
    <x v="2"/>
    <s v="Gloria Taylor"/>
    <n v="4"/>
    <n v="262.05"/>
    <n v="0.24"/>
    <x v="1"/>
    <x v="600"/>
  </r>
  <r>
    <s v="SALE604"/>
    <d v="2024-12-09T00:00:00"/>
    <s v="CUST1463"/>
    <s v="PROD14"/>
    <s v="STORE14"/>
    <x v="7"/>
    <s v="Decorative Wall Mirror"/>
    <x v="3"/>
    <x v="2"/>
    <s v="Samantha Lee"/>
    <n v="3"/>
    <n v="970.89"/>
    <n v="0.11"/>
    <x v="2"/>
    <x v="601"/>
  </r>
  <r>
    <s v="SALE605"/>
    <d v="2023-10-23T00:00:00"/>
    <s v="CUST1216"/>
    <s v="PROD72"/>
    <s v="STORE0"/>
    <x v="6"/>
    <s v="Professional Jump Rope"/>
    <x v="0"/>
    <x v="3"/>
    <s v="Kathryn Garcia"/>
    <n v="1"/>
    <n v="61.11"/>
    <n v="0.1"/>
    <x v="1"/>
    <x v="602"/>
  </r>
  <r>
    <s v="SALE606"/>
    <d v="2024-09-20T00:00:00"/>
    <s v="CUST1029"/>
    <s v="PROD27"/>
    <s v="STORE8"/>
    <x v="2"/>
    <s v="Decorative Floor Vase"/>
    <x v="3"/>
    <x v="1"/>
    <s v="David Arnold"/>
    <n v="3"/>
    <n v="827.88"/>
    <n v="0.19"/>
    <x v="1"/>
    <x v="603"/>
  </r>
  <r>
    <s v="SALE607"/>
    <d v="2024-10-18T00:00:00"/>
    <s v="CUST1430"/>
    <s v="PROD87"/>
    <s v="STORE13"/>
    <x v="13"/>
    <s v="LED Bedside Lamp"/>
    <x v="3"/>
    <x v="3"/>
    <s v="Kimberly Roberts"/>
    <n v="2.9999999999999996"/>
    <n v="926.85"/>
    <n v="0.18"/>
    <x v="2"/>
    <x v="604"/>
  </r>
  <r>
    <s v="SALE608"/>
    <d v="2025-01-05T00:00:00"/>
    <s v="CUST1317"/>
    <s v="PROD10"/>
    <s v="STORE14"/>
    <x v="7"/>
    <s v="Ceramic Kitchen Bowl Set"/>
    <x v="3"/>
    <x v="2"/>
    <s v="Tiffany Williams"/>
    <n v="1"/>
    <n v="874.59"/>
    <n v="0.28999999999999998"/>
    <x v="1"/>
    <x v="605"/>
  </r>
  <r>
    <s v="SALE609"/>
    <d v="2025-09-21T00:00:00"/>
    <s v="CUST1470"/>
    <s v="PROD15"/>
    <s v="STORE1"/>
    <x v="8"/>
    <s v="4K Home Projector"/>
    <x v="1"/>
    <x v="0"/>
    <s v="Manuel Fisher"/>
    <n v="4"/>
    <n v="479.11"/>
    <n v="0.24"/>
    <x v="1"/>
    <x v="606"/>
  </r>
  <r>
    <s v="SALE610"/>
    <d v="2024-07-17T00:00:00"/>
    <s v="CUST1213"/>
    <s v="PROD32"/>
    <s v="STORE17"/>
    <x v="1"/>
    <s v="Vitamin C Face Serum"/>
    <x v="2"/>
    <x v="0"/>
    <s v="Stuart Johnson"/>
    <n v="3"/>
    <n v="182.91"/>
    <n v="0.28999999999999998"/>
    <x v="0"/>
    <x v="607"/>
  </r>
  <r>
    <s v="SALE611"/>
    <d v="2024-12-26T00:00:00"/>
    <s v="CUST1272"/>
    <s v="PROD34"/>
    <s v="STORE5"/>
    <x v="3"/>
    <s v="Gaming Mechanical Keyboard"/>
    <x v="1"/>
    <x v="0"/>
    <s v="Adam Rowland"/>
    <n v="4.0000000000000009"/>
    <n v="745.51"/>
    <n v="0.05"/>
    <x v="0"/>
    <x v="608"/>
  </r>
  <r>
    <s v="SALE612"/>
    <d v="2024-11-02T00:00:00"/>
    <s v="CUST1481"/>
    <s v="PROD88"/>
    <s v="STORE15"/>
    <x v="10"/>
    <s v="Sports Wrist Sweatbands"/>
    <x v="0"/>
    <x v="0"/>
    <s v="Bryan Tran"/>
    <n v="3.0000000000000004"/>
    <n v="920.61"/>
    <n v="0.04"/>
    <x v="0"/>
    <x v="609"/>
  </r>
  <r>
    <s v="SALE613"/>
    <d v="2025-04-25T00:00:00"/>
    <s v="CUST1425"/>
    <s v="PROD75"/>
    <s v="STORE10"/>
    <x v="15"/>
    <s v="Women's Ankle Boots"/>
    <x v="4"/>
    <x v="3"/>
    <s v="Bryce Hawkins"/>
    <n v="4.0000000000000009"/>
    <n v="659.03"/>
    <n v="0.15"/>
    <x v="0"/>
    <x v="610"/>
  </r>
  <r>
    <s v="SALE614"/>
    <d v="2024-02-16T00:00:00"/>
    <s v="CUST1491"/>
    <s v="PROD9"/>
    <s v="STORE2"/>
    <x v="17"/>
    <s v="Adjustable Dumbbell Set"/>
    <x v="0"/>
    <x v="2"/>
    <s v="Not Found"/>
    <n v="0.99999999999999978"/>
    <n v="312.91000000000003"/>
    <n v="0.12"/>
    <x v="1"/>
    <x v="611"/>
  </r>
  <r>
    <s v="SALE615"/>
    <d v="2024-08-20T00:00:00"/>
    <s v="CUST1228"/>
    <s v="PROD12"/>
    <s v="STORE18"/>
    <x v="14"/>
    <s v="Hair Strengthening Shampoo"/>
    <x v="2"/>
    <x v="3"/>
    <s v="Casey Flores"/>
    <n v="4"/>
    <n v="705.64"/>
    <n v="0.11"/>
    <x v="1"/>
    <x v="612"/>
  </r>
  <r>
    <s v="SALE616"/>
    <d v="2024-07-24T00:00:00"/>
    <s v="CUST1144"/>
    <s v="PROD9"/>
    <s v="STORE10"/>
    <x v="15"/>
    <s v="Adjustable Dumbbell Set"/>
    <x v="0"/>
    <x v="3"/>
    <s v="Justin Cross"/>
    <n v="3.9999999999999991"/>
    <n v="386.41"/>
    <n v="0.13"/>
    <x v="2"/>
    <x v="613"/>
  </r>
  <r>
    <s v="SALE617"/>
    <d v="2024-08-30T00:00:00"/>
    <s v="CUST1029"/>
    <s v="PROD94"/>
    <s v="STORE11"/>
    <x v="19"/>
    <s v="Vitamin E Body Lotion"/>
    <x v="2"/>
    <x v="2"/>
    <s v="David Arnold"/>
    <n v="3"/>
    <n v="265.89"/>
    <n v="0.08"/>
    <x v="2"/>
    <x v="614"/>
  </r>
  <r>
    <s v="SALE618"/>
    <d v="2025-09-25T00:00:00"/>
    <s v="CUST1075"/>
    <s v="PROD30"/>
    <s v="STORE16"/>
    <x v="9"/>
    <s v="Stainless Steel Cutlery Set"/>
    <x v="3"/>
    <x v="1"/>
    <s v="Rhonda Morales"/>
    <n v="1.0000000000000002"/>
    <n v="703.16"/>
    <n v="0.28999999999999998"/>
    <x v="0"/>
    <x v="615"/>
  </r>
  <r>
    <s v="SALE619"/>
    <d v="2025-04-18T00:00:00"/>
    <s v="CUST1471"/>
    <s v="PROD97"/>
    <s v="STORE13"/>
    <x v="13"/>
    <s v="Cricket Bat"/>
    <x v="0"/>
    <x v="3"/>
    <s v="Debra Mccullough"/>
    <n v="2"/>
    <n v="394.5"/>
    <n v="0.28999999999999998"/>
    <x v="2"/>
    <x v="616"/>
  </r>
  <r>
    <s v="SALE620"/>
    <d v="2025-08-13T00:00:00"/>
    <s v="CUST1117"/>
    <s v="PROD97"/>
    <s v="STORE7"/>
    <x v="4"/>
    <s v="Cricket Bat"/>
    <x v="0"/>
    <x v="2"/>
    <s v="Colleen Mccarthy"/>
    <n v="3"/>
    <n v="411.25"/>
    <n v="0.05"/>
    <x v="0"/>
    <x v="617"/>
  </r>
  <r>
    <s v="SALE621"/>
    <d v="2025-09-23T00:00:00"/>
    <s v="CUST1353"/>
    <s v="PROD48"/>
    <s v="STORE2"/>
    <x v="17"/>
    <s v="Car Dashboard Phone Holder"/>
    <x v="1"/>
    <x v="2"/>
    <s v="   laura green"/>
    <n v="4"/>
    <n v="395.45"/>
    <n v="0.01"/>
    <x v="0"/>
    <x v="618"/>
  </r>
  <r>
    <s v="SALE622"/>
    <d v="2024-05-09T00:00:00"/>
    <s v="CUST1036"/>
    <s v="PROD90"/>
    <s v="STORE5"/>
    <x v="3"/>
    <s v="Gaming Mouse Pad XL"/>
    <x v="1"/>
    <x v="0"/>
    <s v="Thomas Phillips"/>
    <n v="2"/>
    <n v="678.98"/>
    <n v="0.23"/>
    <x v="0"/>
    <x v="619"/>
  </r>
  <r>
    <s v="SALE623"/>
    <d v="2024-11-12T00:00:00"/>
    <s v="CUST1072"/>
    <s v="PROD27"/>
    <s v="STORE14"/>
    <x v="7"/>
    <s v="Decorative Floor Vase"/>
    <x v="3"/>
    <x v="2"/>
    <s v="Tonya Burch"/>
    <n v="4"/>
    <n v="757.71"/>
    <n v="0.26"/>
    <x v="2"/>
    <x v="620"/>
  </r>
  <r>
    <s v="SALE624"/>
    <d v="2024-12-18T00:00:00"/>
    <s v="CUST1059"/>
    <s v="PROD94"/>
    <s v="STORE4"/>
    <x v="5"/>
    <s v="Vitamin E Body Lotion"/>
    <x v="2"/>
    <x v="2"/>
    <s v="Alyssa Vargas"/>
    <n v="1"/>
    <n v="647.86"/>
    <n v="0.05"/>
    <x v="2"/>
    <x v="621"/>
  </r>
  <r>
    <s v="SALE625"/>
    <d v="2024-08-13T00:00:00"/>
    <s v="CUST1135"/>
    <s v="PROD12"/>
    <s v="STORE6"/>
    <x v="16"/>
    <s v="Hair Strengthening Shampoo"/>
    <x v="2"/>
    <x v="3"/>
    <s v="Matthew Hanna"/>
    <n v="2"/>
    <n v="179.64"/>
    <n v="0.1"/>
    <x v="1"/>
    <x v="622"/>
  </r>
  <r>
    <s v="SALE626"/>
    <d v="2024-09-10T00:00:00"/>
    <s v="CUST1396"/>
    <s v="PROD62"/>
    <s v="STORE4"/>
    <x v="5"/>
    <s v="Laptop Cooling Pad"/>
    <x v="1"/>
    <x v="2"/>
    <s v="Alexander Byrd"/>
    <n v="2.9999999999999996"/>
    <n v="392.65"/>
    <n v="0.17"/>
    <x v="1"/>
    <x v="623"/>
  </r>
  <r>
    <s v="SALE627"/>
    <d v="2024-09-12T00:00:00"/>
    <s v="CUST1176"/>
    <s v="PROD91"/>
    <s v="STORE16"/>
    <x v="9"/>
    <s v="Women's High Heels"/>
    <x v="4"/>
    <x v="1"/>
    <s v="John Bradford"/>
    <n v="4"/>
    <n v="969.55"/>
    <n v="0.09"/>
    <x v="2"/>
    <x v="624"/>
  </r>
  <r>
    <s v="SALE628"/>
    <d v="2024-05-21T00:00:00"/>
    <s v="CUST1462"/>
    <s v="PROD74"/>
    <s v="STORE12"/>
    <x v="18"/>
    <s v="Bluetooth Car Audio System"/>
    <x v="1"/>
    <x v="0"/>
    <s v="Beth Martin"/>
    <n v="2.9999999999999996"/>
    <n v="322.94"/>
    <n v="0.01"/>
    <x v="0"/>
    <x v="625"/>
  </r>
  <r>
    <s v="SALE629"/>
    <d v="2025-05-15T00:00:00"/>
    <s v="CUST1362"/>
    <s v="PROD83"/>
    <s v="STORE0"/>
    <x v="6"/>
    <s v="Hydrating Face Cleanser"/>
    <x v="2"/>
    <x v="3"/>
    <s v="Joshua Smith DVM"/>
    <n v="1"/>
    <n v="92.83"/>
    <n v="0.26"/>
    <x v="1"/>
    <x v="626"/>
  </r>
  <r>
    <s v="SALE630"/>
    <d v="2025-05-27T00:00:00"/>
    <s v="CUST1420"/>
    <s v="PROD8"/>
    <s v="STORE3"/>
    <x v="0"/>
    <s v="Wireless Bluetooth Earbuds"/>
    <x v="1"/>
    <x v="0"/>
    <s v="Dr. Tamara White MD"/>
    <n v="4"/>
    <n v="432.29"/>
    <n v="0.16"/>
    <x v="2"/>
    <x v="627"/>
  </r>
  <r>
    <s v="SALE631"/>
    <d v="2024-01-20T00:00:00"/>
    <s v="CUST1080"/>
    <s v="PROD39"/>
    <s v="STORE13"/>
    <x v="13"/>
    <s v="Portable Power Bank"/>
    <x v="1"/>
    <x v="3"/>
    <s v="Jennifer Garcia"/>
    <n v="2"/>
    <n v="925.78"/>
    <n v="0.14000000000000001"/>
    <x v="2"/>
    <x v="628"/>
  </r>
  <r>
    <s v="SALE632"/>
    <d v="2024-11-09T00:00:00"/>
    <s v="CUST1477"/>
    <s v="PROD25"/>
    <s v="STORE11"/>
    <x v="19"/>
    <s v="Women's Scarf Set"/>
    <x v="4"/>
    <x v="2"/>
    <s v="Andrea Harris"/>
    <n v="1.9999999999999998"/>
    <n v="151.47"/>
    <n v="0.21"/>
    <x v="1"/>
    <x v="629"/>
  </r>
  <r>
    <s v="SALE633"/>
    <d v="2024-02-16T00:00:00"/>
    <s v="CUST1449"/>
    <s v="PROD83"/>
    <s v="STORE10"/>
    <x v="15"/>
    <s v="Hydrating Face Cleanser"/>
    <x v="2"/>
    <x v="3"/>
    <s v="William Cortez"/>
    <n v="1"/>
    <n v="343.05"/>
    <n v="0.28000000000000003"/>
    <x v="1"/>
    <x v="630"/>
  </r>
  <r>
    <s v="SALE634"/>
    <d v="2024-12-16T00:00:00"/>
    <s v="CUST1066"/>
    <s v="PROD17"/>
    <s v="STORE4"/>
    <x v="5"/>
    <s v="Soccer Training Cone Set"/>
    <x v="0"/>
    <x v="2"/>
    <s v="Cody Diaz"/>
    <n v="1"/>
    <n v="373.06"/>
    <n v="0.11"/>
    <x v="1"/>
    <x v="631"/>
  </r>
  <r>
    <s v="SALE635"/>
    <d v="2025-02-05T00:00:00"/>
    <s v="CUST1411"/>
    <s v="PROD18"/>
    <s v="STORE15"/>
    <x v="10"/>
    <s v="Women's Denim Jeans"/>
    <x v="4"/>
    <x v="0"/>
    <s v="Katrina Perez"/>
    <n v="1"/>
    <n v="124.98"/>
    <n v="7.0000000000000007E-2"/>
    <x v="2"/>
    <x v="632"/>
  </r>
  <r>
    <s v="SALE636"/>
    <d v="2025-04-16T00:00:00"/>
    <s v="CUST1272"/>
    <s v="PROD73"/>
    <s v="STORE19"/>
    <x v="12"/>
    <s v="Shin Guards – Adult"/>
    <x v="0"/>
    <x v="3"/>
    <s v="Adam Rowland"/>
    <n v="4"/>
    <n v="221.49"/>
    <n v="0.26"/>
    <x v="1"/>
    <x v="633"/>
  </r>
  <r>
    <s v="SALE637"/>
    <d v="2024-10-07T00:00:00"/>
    <s v="CUST1170"/>
    <s v="PROD23"/>
    <s v="STORE15"/>
    <x v="10"/>
    <s v="Men's Formal Shirt"/>
    <x v="4"/>
    <x v="0"/>
    <s v="Christopher Garcia DDS"/>
    <n v="1"/>
    <n v="563.32000000000005"/>
    <n v="0.01"/>
    <x v="1"/>
    <x v="634"/>
  </r>
  <r>
    <s v="SALE638"/>
    <d v="2024-02-16T00:00:00"/>
    <s v="CUST1390"/>
    <s v="PROD11"/>
    <s v="STORE0"/>
    <x v="6"/>
    <s v="HD Smart TV Stick"/>
    <x v="1"/>
    <x v="3"/>
    <s v="Daniel Bell"/>
    <n v="1"/>
    <n v="362.93"/>
    <n v="0.27"/>
    <x v="0"/>
    <x v="635"/>
  </r>
  <r>
    <s v="SALE639"/>
    <d v="2024-03-22T00:00:00"/>
    <s v="CUST1336"/>
    <s v="PROD11"/>
    <s v="STORE15"/>
    <x v="10"/>
    <s v="HD Smart TV Stick"/>
    <x v="1"/>
    <x v="0"/>
    <s v="John Jones"/>
    <n v="3.9999999999999991"/>
    <n v="369.22"/>
    <n v="0.18"/>
    <x v="2"/>
    <x v="636"/>
  </r>
  <r>
    <s v="SALE640"/>
    <d v="2024-10-25T00:00:00"/>
    <s v="CUST1410"/>
    <s v="PROD96"/>
    <s v="STORE14"/>
    <x v="7"/>
    <s v="Women's Formal Blazer"/>
    <x v="4"/>
    <x v="2"/>
    <s v="Jackie Thompson"/>
    <n v="3"/>
    <n v="950.83"/>
    <n v="0.06"/>
    <x v="1"/>
    <x v="637"/>
  </r>
  <r>
    <s v="SALE641"/>
    <d v="2024-03-14T00:00:00"/>
    <s v="CUST1143"/>
    <s v="PROD37"/>
    <s v="STORE13"/>
    <x v="13"/>
    <s v="Men's Casual Sneakers"/>
    <x v="4"/>
    <x v="3"/>
    <s v="Carlos Skinner"/>
    <n v="3"/>
    <n v="338.79"/>
    <n v="0.01"/>
    <x v="0"/>
    <x v="638"/>
  </r>
  <r>
    <s v="SALE642"/>
    <d v="2025-02-23T00:00:00"/>
    <s v="CUST1146"/>
    <s v="PROD90"/>
    <s v="STORE1"/>
    <x v="8"/>
    <s v="Gaming Mouse Pad XL"/>
    <x v="1"/>
    <x v="0"/>
    <s v="Edward Rivera"/>
    <n v="3"/>
    <n v="853.32"/>
    <n v="7.0000000000000007E-2"/>
    <x v="2"/>
    <x v="639"/>
  </r>
  <r>
    <s v="SALE643"/>
    <d v="2024-10-21T00:00:00"/>
    <s v="CUST1149"/>
    <s v="PROD76"/>
    <s v="STORE6"/>
    <x v="16"/>
    <s v="Wireless Mouse"/>
    <x v="1"/>
    <x v="3"/>
    <s v="Denise Griffin"/>
    <n v="3"/>
    <n v="89.78"/>
    <n v="0.2"/>
    <x v="2"/>
    <x v="640"/>
  </r>
  <r>
    <s v="SALE644"/>
    <d v="2024-02-12T00:00:00"/>
    <s v="CUST1191"/>
    <s v="PROD55"/>
    <s v="STORE1"/>
    <x v="8"/>
    <s v="Ceramic Plant Pot"/>
    <x v="3"/>
    <x v="0"/>
    <s v="Todd Poole"/>
    <n v="1"/>
    <n v="172.04"/>
    <n v="0.04"/>
    <x v="1"/>
    <x v="641"/>
  </r>
  <r>
    <s v="SALE645"/>
    <d v="2024-02-11T00:00:00"/>
    <s v="CUST1467"/>
    <s v="PROD54"/>
    <s v="STORE1"/>
    <x v="8"/>
    <s v="Sports Stopwatch Pro"/>
    <x v="0"/>
    <x v="0"/>
    <s v="Michael Foley"/>
    <n v="1.0000000000000002"/>
    <n v="389.2"/>
    <n v="0.05"/>
    <x v="0"/>
    <x v="642"/>
  </r>
  <r>
    <s v="SALE646"/>
    <d v="2025-05-01T00:00:00"/>
    <s v="CUST1461"/>
    <s v="PROD77"/>
    <s v="STORE13"/>
    <x v="13"/>
    <s v="WiFi Mesh Router"/>
    <x v="1"/>
    <x v="3"/>
    <s v="Paul Cox"/>
    <n v="3"/>
    <n v="865.96"/>
    <n v="0.12"/>
    <x v="1"/>
    <x v="643"/>
  </r>
  <r>
    <s v="SALE647"/>
    <d v="2024-10-27T00:00:00"/>
    <s v="CUST1169"/>
    <s v="PROD19"/>
    <s v="STORE1"/>
    <x v="8"/>
    <s v="Knee Support Brace"/>
    <x v="0"/>
    <x v="0"/>
    <s v="Steve Mclaughlin"/>
    <n v="2.9999999999999996"/>
    <n v="79.95"/>
    <n v="0.2"/>
    <x v="2"/>
    <x v="644"/>
  </r>
  <r>
    <s v="SALE648"/>
    <d v="2023-11-29T00:00:00"/>
    <s v="CUST1381"/>
    <s v="PROD26"/>
    <s v="STORE7"/>
    <x v="4"/>
    <s v="Wireless Bluetooth Speaker"/>
    <x v="1"/>
    <x v="2"/>
    <s v="Erika Padilla"/>
    <n v="1"/>
    <n v="566.5"/>
    <n v="0.25"/>
    <x v="2"/>
    <x v="645"/>
  </r>
  <r>
    <s v="SALE649"/>
    <d v="2025-05-24T00:00:00"/>
    <s v="CUST1402"/>
    <s v="PROD21"/>
    <s v="STORE0"/>
    <x v="6"/>
    <s v="Multi-Purpose Storage Box"/>
    <x v="3"/>
    <x v="3"/>
    <s v="Cassandra Perez"/>
    <n v="2"/>
    <n v="347.95"/>
    <n v="0.13"/>
    <x v="2"/>
    <x v="646"/>
  </r>
  <r>
    <s v="SALE650"/>
    <d v="2024-02-25T00:00:00"/>
    <s v="CUST1209"/>
    <s v="PROD58"/>
    <s v="STORE3"/>
    <x v="0"/>
    <s v="Womens Cotton Scarf"/>
    <x v="4"/>
    <x v="0"/>
    <s v="Joan Johnson"/>
    <n v="2"/>
    <n v="250.83"/>
    <n v="0.15"/>
    <x v="1"/>
    <x v="647"/>
  </r>
  <r>
    <s v="SALE651"/>
    <d v="2025-03-05T00:00:00"/>
    <s v="CUST1149"/>
    <s v="PROD71"/>
    <s v="STORE1"/>
    <x v="8"/>
    <s v="Hair Repair Oil Treatment"/>
    <x v="2"/>
    <x v="0"/>
    <s v="Denise Griffin"/>
    <n v="1"/>
    <n v="888.05"/>
    <n v="0.2"/>
    <x v="1"/>
    <x v="648"/>
  </r>
  <r>
    <s v="SALE652"/>
    <d v="2024-08-27T00:00:00"/>
    <s v="CUST1006"/>
    <s v="PROD39"/>
    <s v="STORE18"/>
    <x v="14"/>
    <s v="Portable Power Bank"/>
    <x v="1"/>
    <x v="3"/>
    <s v="Amber Jackson"/>
    <n v="2"/>
    <n v="673.02"/>
    <n v="0.11"/>
    <x v="1"/>
    <x v="649"/>
  </r>
  <r>
    <s v="SALE653"/>
    <d v="2024-02-10T00:00:00"/>
    <s v="CUST1440"/>
    <s v="PROD64"/>
    <s v="STORE3"/>
    <x v="0"/>
    <s v="Matte Lipstick Set"/>
    <x v="2"/>
    <x v="0"/>
    <s v="Tammy Trevino"/>
    <n v="2"/>
    <n v="492.62"/>
    <n v="0.26"/>
    <x v="2"/>
    <x v="650"/>
  </r>
  <r>
    <s v="SALE654"/>
    <d v="2024-02-22T00:00:00"/>
    <s v="CUST1376"/>
    <s v="PROD85"/>
    <s v="STORE3"/>
    <x v="0"/>
    <s v="Women's Beanie Hat"/>
    <x v="4"/>
    <x v="0"/>
    <s v="Michele Burke"/>
    <n v="4"/>
    <n v="986.93"/>
    <n v="0.01"/>
    <x v="0"/>
    <x v="651"/>
  </r>
  <r>
    <s v="SALE655"/>
    <d v="2024-04-06T00:00:00"/>
    <s v="CUST1479"/>
    <s v="PROD22"/>
    <s v="STORE12"/>
    <x v="18"/>
    <s v="Carbon Fiber Tennis Racket"/>
    <x v="0"/>
    <x v="0"/>
    <s v="Dylan Gutierrez"/>
    <n v="4"/>
    <n v="411.68"/>
    <n v="0.06"/>
    <x v="1"/>
    <x v="652"/>
  </r>
  <r>
    <s v="SALE656"/>
    <d v="2024-04-15T00:00:00"/>
    <s v="CUST1219"/>
    <s v="PROD36"/>
    <s v="STORE17"/>
    <x v="1"/>
    <s v="Women's Summer Dress"/>
    <x v="4"/>
    <x v="0"/>
    <s v="Jordan Wells"/>
    <n v="2.0000000000000004"/>
    <n v="637.55999999999995"/>
    <n v="0.05"/>
    <x v="2"/>
    <x v="653"/>
  </r>
  <r>
    <s v="SALE657"/>
    <d v="2024-12-07T00:00:00"/>
    <s v="CUST1014"/>
    <s v="PROD13"/>
    <s v="STORE3"/>
    <x v="0"/>
    <s v="USB-C Fast Charger"/>
    <x v="1"/>
    <x v="0"/>
    <s v="Ashley Cohen"/>
    <n v="3"/>
    <n v="706.87"/>
    <n v="0.27"/>
    <x v="0"/>
    <x v="654"/>
  </r>
  <r>
    <s v="SALE658"/>
    <d v="2024-12-03T00:00:00"/>
    <s v="CUST1055"/>
    <s v="PROD15"/>
    <s v="STORE6"/>
    <x v="16"/>
    <s v="4K Home Projector"/>
    <x v="1"/>
    <x v="3"/>
    <s v="Wayne Mcpherson"/>
    <n v="2"/>
    <n v="884.48"/>
    <n v="0"/>
    <x v="2"/>
    <x v="655"/>
  </r>
  <r>
    <s v="SALE659"/>
    <d v="2023-12-31T00:00:00"/>
    <s v="CUST1047"/>
    <s v="PROD92"/>
    <s v="STORE4"/>
    <x v="5"/>
    <s v="Microwave Oven"/>
    <x v="3"/>
    <x v="2"/>
    <s v="Gina Knight"/>
    <n v="3"/>
    <n v="718.23"/>
    <n v="0.19"/>
    <x v="1"/>
    <x v="656"/>
  </r>
  <r>
    <s v="SALE660"/>
    <d v="2025-09-14T00:00:00"/>
    <s v="CUST1180"/>
    <s v="PROD90"/>
    <s v="STORE18"/>
    <x v="14"/>
    <s v="Gaming Mouse Pad XL"/>
    <x v="1"/>
    <x v="3"/>
    <s v="Wesley Thompson"/>
    <n v="3.0000000000000004"/>
    <n v="107.44"/>
    <n v="0.27"/>
    <x v="1"/>
    <x v="657"/>
  </r>
  <r>
    <s v="SALE661"/>
    <d v="2025-01-16T00:00:00"/>
    <s v="CUST1056"/>
    <s v="PROD46"/>
    <s v="STORE3"/>
    <x v="0"/>
    <s v="Men's Winter Jacket"/>
    <x v="4"/>
    <x v="0"/>
    <s v="Christopher Sutton"/>
    <n v="4"/>
    <n v="608.97"/>
    <n v="0.14000000000000001"/>
    <x v="2"/>
    <x v="658"/>
  </r>
  <r>
    <s v="SALE662"/>
    <d v="2025-02-01T00:00:00"/>
    <s v="CUST1354"/>
    <s v="PROD61"/>
    <s v="STORE6"/>
    <x v="16"/>
    <s v="Tennis Ball 3-Pack"/>
    <x v="0"/>
    <x v="3"/>
    <s v="Ryan Torres"/>
    <n v="2.9999999999999996"/>
    <n v="260.45999999999998"/>
    <n v="0.09"/>
    <x v="0"/>
    <x v="659"/>
  </r>
  <r>
    <s v="SALE663"/>
    <d v="2024-12-20T00:00:00"/>
    <s v="CUST1123"/>
    <s v="PROD22"/>
    <s v="STORE6"/>
    <x v="16"/>
    <s v="Carbon Fiber Tennis Racket"/>
    <x v="0"/>
    <x v="3"/>
    <s v="Erin Hopkins"/>
    <n v="1"/>
    <n v="747.03"/>
    <n v="0.01"/>
    <x v="0"/>
    <x v="660"/>
  </r>
  <r>
    <s v="SALE664"/>
    <d v="2024-07-02T00:00:00"/>
    <s v="CUST1404"/>
    <s v="PROD16"/>
    <s v="STORE8"/>
    <x v="2"/>
    <s v="Not Found"/>
    <x v="5"/>
    <x v="1"/>
    <s v="David Ross"/>
    <n v="4"/>
    <n v="700.88"/>
    <n v="0.23"/>
    <x v="1"/>
    <x v="661"/>
  </r>
  <r>
    <s v="SALE665"/>
    <d v="2025-05-04T00:00:00"/>
    <s v="CUST1048"/>
    <s v="PROD95"/>
    <s v="STORE14"/>
    <x v="7"/>
    <s v="Sports Stopwatch Basic"/>
    <x v="0"/>
    <x v="2"/>
    <s v="April Mullins"/>
    <n v="4"/>
    <n v="20.09"/>
    <n v="0.16"/>
    <x v="1"/>
    <x v="662"/>
  </r>
  <r>
    <s v="SALE666"/>
    <d v="2024-12-28T00:00:00"/>
    <s v="CUST1062"/>
    <s v="PROD37"/>
    <s v="STORE11"/>
    <x v="19"/>
    <s v="Men's Casual Sneakers"/>
    <x v="4"/>
    <x v="2"/>
    <s v="James Bean"/>
    <n v="3"/>
    <n v="917.64"/>
    <n v="0.24"/>
    <x v="1"/>
    <x v="663"/>
  </r>
  <r>
    <s v="SALE667"/>
    <d v="2024-10-29T00:00:00"/>
    <s v="CUST1051"/>
    <s v="PROD21"/>
    <s v="STORE0"/>
    <x v="6"/>
    <s v="Multi-Purpose Storage Box"/>
    <x v="3"/>
    <x v="3"/>
    <s v="Sarah Rodgers"/>
    <n v="0.99999999999999989"/>
    <n v="242.08"/>
    <n v="0.18"/>
    <x v="1"/>
    <x v="664"/>
  </r>
  <r>
    <s v="SALE668"/>
    <d v="2024-10-16T00:00:00"/>
    <s v="CUST1057"/>
    <s v="PROD63"/>
    <s v="STORE7"/>
    <x v="4"/>
    <s v="Organic Sunscreen Lotion"/>
    <x v="2"/>
    <x v="2"/>
    <s v="Jay Patel"/>
    <n v="1.0000000000000002"/>
    <n v="536.67999999999995"/>
    <n v="0.27"/>
    <x v="0"/>
    <x v="665"/>
  </r>
  <r>
    <s v="SALE669"/>
    <d v="2025-04-01T00:00:00"/>
    <s v="CUST1094"/>
    <s v="PROD29"/>
    <s v="STORE4"/>
    <x v="5"/>
    <s v="Fabric Sofa Throw Blanket"/>
    <x v="3"/>
    <x v="2"/>
    <s v="David Patterson"/>
    <n v="2"/>
    <n v="145.18"/>
    <n v="0.26"/>
    <x v="1"/>
    <x v="666"/>
  </r>
  <r>
    <s v="SALE670"/>
    <d v="2024-03-18T00:00:00"/>
    <s v="CUST1221"/>
    <s v="PROD67"/>
    <s v="STORE4"/>
    <x v="5"/>
    <s v="Smart LED Light Strip"/>
    <x v="1"/>
    <x v="2"/>
    <s v="Lisa Young"/>
    <n v="2"/>
    <n v="132.77000000000001"/>
    <n v="0.13"/>
    <x v="2"/>
    <x v="667"/>
  </r>
  <r>
    <s v="SALE671"/>
    <d v="2025-02-13T00:00:00"/>
    <s v="CUST1013"/>
    <s v="PROD41"/>
    <s v="STORE9"/>
    <x v="11"/>
    <s v="Yoga Exercise Mat"/>
    <x v="0"/>
    <x v="2"/>
    <s v="Nathan Hernandez"/>
    <n v="4"/>
    <n v="682.11"/>
    <n v="0.14000000000000001"/>
    <x v="0"/>
    <x v="668"/>
  </r>
  <r>
    <s v="SALE672"/>
    <d v="2024-08-06T00:00:00"/>
    <s v="CUST1486"/>
    <s v="PROD40"/>
    <s v="STORE17"/>
    <x v="1"/>
    <s v="Noise-Canceling Headphones"/>
    <x v="1"/>
    <x v="0"/>
    <s v="Not Found"/>
    <n v="4"/>
    <n v="502.95"/>
    <n v="0.14000000000000001"/>
    <x v="2"/>
    <x v="669"/>
  </r>
  <r>
    <s v="SALE673"/>
    <d v="2024-09-03T00:00:00"/>
    <s v="CUST1234"/>
    <s v="PROD37"/>
    <s v="STORE16"/>
    <x v="9"/>
    <s v="Men's Casual Sneakers"/>
    <x v="4"/>
    <x v="1"/>
    <s v="Nathaniel Hill"/>
    <n v="2"/>
    <n v="472.08"/>
    <n v="7.0000000000000007E-2"/>
    <x v="0"/>
    <x v="670"/>
  </r>
  <r>
    <s v="SALE674"/>
    <d v="2025-01-08T00:00:00"/>
    <s v="CUST1473"/>
    <s v="PROD57"/>
    <s v="STORE17"/>
    <x v="1"/>
    <s v="Foam Roller"/>
    <x v="0"/>
    <x v="0"/>
    <s v="Laura Mathews"/>
    <n v="2"/>
    <n v="218.11"/>
    <n v="0.02"/>
    <x v="2"/>
    <x v="671"/>
  </r>
  <r>
    <s v="SALE675"/>
    <d v="2025-07-21T00:00:00"/>
    <s v="CUST1057"/>
    <s v="PROD1"/>
    <s v="STORE6"/>
    <x v="16"/>
    <s v="Men's Graphic T-Shirt"/>
    <x v="4"/>
    <x v="3"/>
    <s v="Jay Patel"/>
    <n v="4"/>
    <n v="845.58"/>
    <n v="0.06"/>
    <x v="1"/>
    <x v="672"/>
  </r>
  <r>
    <s v="SALE676"/>
    <d v="2023-11-25T00:00:00"/>
    <s v="CUST1128"/>
    <s v="PROD80"/>
    <s v="STORE2"/>
    <x v="17"/>
    <s v="Wall-Mounted Spice Rack"/>
    <x v="3"/>
    <x v="2"/>
    <s v="Susan Mcdonald"/>
    <n v="2"/>
    <n v="111.28"/>
    <n v="0.14000000000000001"/>
    <x v="0"/>
    <x v="673"/>
  </r>
  <r>
    <s v="SALE677"/>
    <d v="2025-07-04T00:00:00"/>
    <s v="CUST1177"/>
    <s v="PROD59"/>
    <s v="STORE14"/>
    <x v="7"/>
    <s v="Men's Hair Styling Gel"/>
    <x v="2"/>
    <x v="2"/>
    <s v="Curtis Lam"/>
    <n v="2"/>
    <n v="37.21"/>
    <n v="0.19"/>
    <x v="0"/>
    <x v="674"/>
  </r>
  <r>
    <s v="SALE678"/>
    <d v="2023-10-21T00:00:00"/>
    <s v="CUST1417"/>
    <s v="PROD62"/>
    <s v="STORE13"/>
    <x v="13"/>
    <s v="Laptop Cooling Pad"/>
    <x v="1"/>
    <x v="3"/>
    <s v="Karen King"/>
    <n v="1"/>
    <n v="331.73"/>
    <n v="0.04"/>
    <x v="0"/>
    <x v="675"/>
  </r>
  <r>
    <s v="SALE679"/>
    <d v="2023-12-13T00:00:00"/>
    <s v="CUST1364"/>
    <s v="PROD70"/>
    <s v="STORE12"/>
    <x v="18"/>
    <s v="Kitchen Storage Rack"/>
    <x v="3"/>
    <x v="0"/>
    <s v="Chloe Aguilar"/>
    <n v="3"/>
    <n v="306.70999999999998"/>
    <n v="0.09"/>
    <x v="1"/>
    <x v="676"/>
  </r>
  <r>
    <s v="SALE680"/>
    <d v="2024-06-13T00:00:00"/>
    <s v="CUST1270"/>
    <s v="PROD25"/>
    <s v="STORE6"/>
    <x v="16"/>
    <s v="Women's Scarf Set"/>
    <x v="4"/>
    <x v="3"/>
    <s v="Brian Garcia"/>
    <n v="4"/>
    <n v="484.92"/>
    <n v="0.28000000000000003"/>
    <x v="1"/>
    <x v="677"/>
  </r>
  <r>
    <s v="SALE681"/>
    <d v="2024-01-01T00:00:00"/>
    <s v="CUST1043"/>
    <s v="PROD50"/>
    <s v="STORE5"/>
    <x v="3"/>
    <s v="Boxing Hand Wraps"/>
    <x v="0"/>
    <x v="0"/>
    <s v="Joseph Snow"/>
    <n v="2"/>
    <n v="42.04"/>
    <n v="7.0000000000000007E-2"/>
    <x v="0"/>
    <x v="678"/>
  </r>
  <r>
    <s v="SALE682"/>
    <d v="2023-12-18T00:00:00"/>
    <s v="CUST1281"/>
    <s v="PROD55"/>
    <s v="STORE6"/>
    <x v="16"/>
    <s v="Ceramic Plant Pot"/>
    <x v="3"/>
    <x v="3"/>
    <s v="Brittany Watson"/>
    <n v="3"/>
    <n v="599.48"/>
    <n v="0.22"/>
    <x v="1"/>
    <x v="679"/>
  </r>
  <r>
    <s v="SALE683"/>
    <d v="2023-11-02T00:00:00"/>
    <s v="CUST1357"/>
    <s v="PROD17"/>
    <s v="STORE1"/>
    <x v="8"/>
    <s v="Soccer Training Cone Set"/>
    <x v="0"/>
    <x v="0"/>
    <s v="Manuel Castillo"/>
    <n v="3"/>
    <n v="401.42"/>
    <n v="0.01"/>
    <x v="2"/>
    <x v="680"/>
  </r>
  <r>
    <s v="SALE684"/>
    <d v="2025-09-07T00:00:00"/>
    <s v="CUST1192"/>
    <s v="PROD46"/>
    <s v="STORE8"/>
    <x v="2"/>
    <s v="Men's Winter Jacket"/>
    <x v="4"/>
    <x v="1"/>
    <s v="Jacob Wood"/>
    <n v="4"/>
    <n v="442.54"/>
    <n v="0.06"/>
    <x v="0"/>
    <x v="681"/>
  </r>
  <r>
    <s v="SALE685"/>
    <d v="2023-12-10T00:00:00"/>
    <s v="CUST1456"/>
    <s v="PROD88"/>
    <s v="STORE13"/>
    <x v="13"/>
    <s v="Sports Wrist Sweatbands"/>
    <x v="0"/>
    <x v="3"/>
    <s v="Julie Powell"/>
    <n v="4"/>
    <n v="451.41"/>
    <n v="0.06"/>
    <x v="1"/>
    <x v="682"/>
  </r>
  <r>
    <s v="SALE686"/>
    <d v="2025-10-12T00:00:00"/>
    <s v="CUST1265"/>
    <s v="PROD91"/>
    <s v="STORE9"/>
    <x v="11"/>
    <s v="Women's High Heels"/>
    <x v="4"/>
    <x v="2"/>
    <s v="Tracy Kelly"/>
    <n v="4"/>
    <n v="547.21"/>
    <n v="0.25"/>
    <x v="0"/>
    <x v="683"/>
  </r>
  <r>
    <s v="SALE687"/>
    <d v="2025-04-03T00:00:00"/>
    <s v="CUST1203"/>
    <s v="PROD87"/>
    <s v="STORE4"/>
    <x v="5"/>
    <s v="LED Bedside Lamp"/>
    <x v="3"/>
    <x v="2"/>
    <s v="Sarah Brady"/>
    <n v="1"/>
    <n v="979.28"/>
    <n v="0.2"/>
    <x v="1"/>
    <x v="684"/>
  </r>
  <r>
    <s v="SALE688"/>
    <d v="2024-01-09T00:00:00"/>
    <s v="CUST1464"/>
    <s v="PROD56"/>
    <s v="STORE7"/>
    <x v="4"/>
    <s v="Premium Blanket Throw"/>
    <x v="3"/>
    <x v="2"/>
    <s v="Not Found"/>
    <n v="4.0000000000000009"/>
    <n v="263.58999999999997"/>
    <n v="0.04"/>
    <x v="0"/>
    <x v="685"/>
  </r>
  <r>
    <s v="SALE689"/>
    <d v="2025-08-07T00:00:00"/>
    <s v="CUST1002"/>
    <s v="PROD54"/>
    <s v="STORE5"/>
    <x v="3"/>
    <s v="Sports Stopwatch Pro"/>
    <x v="0"/>
    <x v="0"/>
    <s v="dr. Benjamin Price"/>
    <n v="1"/>
    <n v="692.75"/>
    <n v="0.11"/>
    <x v="2"/>
    <x v="686"/>
  </r>
  <r>
    <s v="SALE690"/>
    <d v="2024-01-10T00:00:00"/>
    <s v="CUST1163"/>
    <s v="PROD63"/>
    <s v="STORE3"/>
    <x v="0"/>
    <s v="Organic Sunscreen Lotion"/>
    <x v="2"/>
    <x v="0"/>
    <s v="Joseph Jones"/>
    <n v="3"/>
    <n v="142.83000000000001"/>
    <n v="0.01"/>
    <x v="0"/>
    <x v="687"/>
  </r>
  <r>
    <s v="SALE691"/>
    <d v="2025-07-19T00:00:00"/>
    <s v="CUST1124"/>
    <s v="PROD22"/>
    <s v="STORE2"/>
    <x v="17"/>
    <s v="Carbon Fiber Tennis Racket"/>
    <x v="0"/>
    <x v="2"/>
    <s v="Donald Lee"/>
    <n v="2"/>
    <n v="419.25"/>
    <n v="0.17"/>
    <x v="1"/>
    <x v="688"/>
  </r>
  <r>
    <s v="SALE692"/>
    <d v="2024-12-24T00:00:00"/>
    <s v="CUST1240"/>
    <s v="PROD26"/>
    <s v="STORE19"/>
    <x v="12"/>
    <s v="Wireless Bluetooth Speaker"/>
    <x v="1"/>
    <x v="3"/>
    <s v="William Hull"/>
    <n v="2"/>
    <n v="800.84"/>
    <n v="0.27"/>
    <x v="2"/>
    <x v="689"/>
  </r>
  <r>
    <s v="SALE693"/>
    <d v="2024-08-16T00:00:00"/>
    <s v="CUST1001"/>
    <s v="PROD48"/>
    <s v="STORE2"/>
    <x v="17"/>
    <s v="Car Dashboard Phone Holder"/>
    <x v="1"/>
    <x v="2"/>
    <s v="Eugene Nelson"/>
    <n v="0.99999999999999978"/>
    <n v="301.24"/>
    <n v="0.11"/>
    <x v="1"/>
    <x v="690"/>
  </r>
  <r>
    <s v="SALE694"/>
    <d v="2024-07-24T00:00:00"/>
    <s v="CUST1288"/>
    <s v="PROD85"/>
    <s v="STORE5"/>
    <x v="3"/>
    <s v="Women's Beanie Hat"/>
    <x v="4"/>
    <x v="0"/>
    <s v="Misty Ferguson"/>
    <n v="2"/>
    <n v="701.49"/>
    <n v="0.09"/>
    <x v="1"/>
    <x v="691"/>
  </r>
  <r>
    <s v="SALE695"/>
    <d v="2024-11-19T00:00:00"/>
    <s v="CUST1351"/>
    <s v="PROD26"/>
    <s v="STORE10"/>
    <x v="15"/>
    <s v="Wireless Bluetooth Speaker"/>
    <x v="1"/>
    <x v="3"/>
    <s v="Jeffrey Mccarthy"/>
    <n v="4"/>
    <n v="413.48"/>
    <n v="0.02"/>
    <x v="1"/>
    <x v="692"/>
  </r>
  <r>
    <s v="SALE696"/>
    <d v="2024-03-14T00:00:00"/>
    <s v="CUST1197"/>
    <s v="PROD8"/>
    <s v="STORE1"/>
    <x v="8"/>
    <s v="Wireless Bluetooth Earbuds"/>
    <x v="1"/>
    <x v="0"/>
    <s v="Andrea Jacobs"/>
    <n v="4"/>
    <n v="167.83"/>
    <n v="0.15"/>
    <x v="0"/>
    <x v="693"/>
  </r>
  <r>
    <s v="SALE697"/>
    <d v="2025-06-24T00:00:00"/>
    <s v="CUST1139"/>
    <s v="PROD15"/>
    <s v="STORE18"/>
    <x v="14"/>
    <s v="4K Home Projector"/>
    <x v="1"/>
    <x v="3"/>
    <s v="Brian Holder"/>
    <n v="2"/>
    <n v="669.12"/>
    <n v="0.22"/>
    <x v="0"/>
    <x v="694"/>
  </r>
  <r>
    <s v="SALE698"/>
    <d v="2024-08-26T00:00:00"/>
    <s v="CUST1039"/>
    <s v="PROD37"/>
    <s v="STORE7"/>
    <x v="4"/>
    <s v="Men's Casual Sneakers"/>
    <x v="4"/>
    <x v="2"/>
    <s v="Tonya Reynolds"/>
    <n v="3"/>
    <n v="346.77"/>
    <n v="0.18"/>
    <x v="1"/>
    <x v="695"/>
  </r>
  <r>
    <s v="SALE699"/>
    <d v="2025-10-09T00:00:00"/>
    <s v="CUST1059"/>
    <s v="PROD23"/>
    <s v="STORE19"/>
    <x v="12"/>
    <s v="Men's Formal Shirt"/>
    <x v="4"/>
    <x v="3"/>
    <s v="Alyssa Vargas"/>
    <n v="2.9999999999999996"/>
    <n v="648.33000000000004"/>
    <n v="0.2"/>
    <x v="2"/>
    <x v="696"/>
  </r>
  <r>
    <s v="SALE700"/>
    <d v="2024-04-19T00:00:00"/>
    <s v="CUST1285"/>
    <s v="PROD6"/>
    <s v="STORE2"/>
    <x v="17"/>
    <s v="Herbal Face Moisturizer"/>
    <x v="2"/>
    <x v="2"/>
    <s v="Donna Guerra"/>
    <n v="4"/>
    <n v="254.94"/>
    <n v="0.06"/>
    <x v="1"/>
    <x v="697"/>
  </r>
  <r>
    <s v="SALE701"/>
    <d v="2024-05-08T00:00:00"/>
    <s v="CUST1338"/>
    <s v="PROD81"/>
    <s v="STORE4"/>
    <x v="5"/>
    <s v="Badminton Racket Set"/>
    <x v="0"/>
    <x v="2"/>
    <s v="Jasmine Snyder"/>
    <n v="1"/>
    <n v="445.5"/>
    <n v="0.28000000000000003"/>
    <x v="0"/>
    <x v="698"/>
  </r>
  <r>
    <s v="SALE702"/>
    <d v="2024-06-16T00:00:00"/>
    <s v="CUST1221"/>
    <s v="PROD90"/>
    <s v="STORE4"/>
    <x v="5"/>
    <s v="Gaming Mouse Pad XL"/>
    <x v="1"/>
    <x v="2"/>
    <s v="Lisa Young"/>
    <n v="1"/>
    <n v="900.94"/>
    <n v="0.1"/>
    <x v="0"/>
    <x v="699"/>
  </r>
  <r>
    <s v="SALE703"/>
    <d v="2024-05-17T00:00:00"/>
    <s v="CUST1196"/>
    <s v="PROD15"/>
    <s v="STORE16"/>
    <x v="9"/>
    <s v="4K Home Projector"/>
    <x v="1"/>
    <x v="1"/>
    <s v="Megan Greer"/>
    <n v="2.9999999999999996"/>
    <n v="262.69"/>
    <n v="0.04"/>
    <x v="1"/>
    <x v="700"/>
  </r>
  <r>
    <s v="SALE704"/>
    <d v="2024-04-04T00:00:00"/>
    <s v="CUST1482"/>
    <s v="PROD68"/>
    <s v="STORE2"/>
    <x v="17"/>
    <s v="Wooden Nightstand"/>
    <x v="3"/>
    <x v="2"/>
    <s v="Sheri Joyce"/>
    <n v="2.9999999999999996"/>
    <n v="212.72"/>
    <n v="0.22"/>
    <x v="1"/>
    <x v="701"/>
  </r>
  <r>
    <s v="SALE705"/>
    <d v="2025-05-26T00:00:00"/>
    <s v="CUST1151"/>
    <s v="PROD24"/>
    <s v="STORE18"/>
    <x v="14"/>
    <s v="Foldable Camping Chair"/>
    <x v="0"/>
    <x v="3"/>
    <s v="Michael Davies"/>
    <n v="4"/>
    <n v="757.9"/>
    <n v="0.22"/>
    <x v="1"/>
    <x v="702"/>
  </r>
  <r>
    <s v="SALE706"/>
    <d v="2024-02-24T00:00:00"/>
    <s v="CUST1017"/>
    <s v="PROD80"/>
    <s v="STORE17"/>
    <x v="1"/>
    <s v="Wall-Mounted Spice Rack"/>
    <x v="3"/>
    <x v="0"/>
    <s v="Adam Cruz"/>
    <n v="1"/>
    <n v="846.04"/>
    <n v="0.08"/>
    <x v="1"/>
    <x v="703"/>
  </r>
  <r>
    <s v="SALE707"/>
    <d v="2023-12-07T00:00:00"/>
    <s v="CUST1159"/>
    <s v="PROD38"/>
    <s v="STORE7"/>
    <x v="4"/>
    <s v="Sports Water Hydration Pack"/>
    <x v="0"/>
    <x v="2"/>
    <s v="Brian Choi"/>
    <n v="3"/>
    <n v="179.7"/>
    <n v="0.17"/>
    <x v="2"/>
    <x v="704"/>
  </r>
  <r>
    <s v="SALE708"/>
    <d v="2024-10-07T00:00:00"/>
    <s v="CUST1446"/>
    <s v="PROD31"/>
    <s v="STORE4"/>
    <x v="5"/>
    <s v="Basketball"/>
    <x v="0"/>
    <x v="2"/>
    <s v="Shannon Turner"/>
    <n v="4"/>
    <n v="681.08"/>
    <n v="0"/>
    <x v="1"/>
    <x v="705"/>
  </r>
  <r>
    <s v="SALE709"/>
    <d v="2023-11-22T00:00:00"/>
    <s v="CUST1403"/>
    <s v="PROD4"/>
    <s v="STORE7"/>
    <x v="4"/>
    <s v="Women's Yoga Pants"/>
    <x v="4"/>
    <x v="2"/>
    <s v="Justin Ingram"/>
    <n v="4"/>
    <n v="723.44"/>
    <n v="0.14000000000000001"/>
    <x v="1"/>
    <x v="706"/>
  </r>
  <r>
    <s v="SALE710"/>
    <d v="2025-10-09T00:00:00"/>
    <s v="CUST1126"/>
    <s v="PROD31"/>
    <s v="STORE14"/>
    <x v="7"/>
    <s v="Basketball"/>
    <x v="0"/>
    <x v="2"/>
    <s v="James Wolfe"/>
    <n v="4"/>
    <n v="471.89"/>
    <n v="0.12"/>
    <x v="2"/>
    <x v="707"/>
  </r>
  <r>
    <s v="SALE711"/>
    <d v="2024-09-24T00:00:00"/>
    <s v="CUST1366"/>
    <s v="PROD71"/>
    <s v="STORE17"/>
    <x v="1"/>
    <s v="Hair Repair Oil Treatment"/>
    <x v="2"/>
    <x v="0"/>
    <s v="Mallory Allen"/>
    <n v="1"/>
    <n v="613.17999999999995"/>
    <n v="0.14000000000000001"/>
    <x v="2"/>
    <x v="708"/>
  </r>
  <r>
    <s v="SALE712"/>
    <d v="2023-10-30T00:00:00"/>
    <s v="CUST1051"/>
    <s v="PROD43"/>
    <s v="STORE4"/>
    <x v="5"/>
    <s v="USB External Hard Drive"/>
    <x v="1"/>
    <x v="2"/>
    <s v="Sarah Rodgers"/>
    <n v="1.0000000000000002"/>
    <n v="651.30999999999995"/>
    <n v="0.24"/>
    <x v="1"/>
    <x v="709"/>
  </r>
  <r>
    <s v="SALE713"/>
    <d v="2024-02-11T00:00:00"/>
    <s v="CUST1024"/>
    <s v="PROD3"/>
    <s v="STORE6"/>
    <x v="16"/>
    <s v="Not Found"/>
    <x v="5"/>
    <x v="3"/>
    <s v="Heather Collins"/>
    <n v="2"/>
    <n v="635.14"/>
    <n v="0.1"/>
    <x v="2"/>
    <x v="710"/>
  </r>
  <r>
    <s v="SALE714"/>
    <d v="2025-04-05T00:00:00"/>
    <s v="CUST1380"/>
    <s v="PROD98"/>
    <s v="STORE14"/>
    <x v="7"/>
    <s v="Portable Bluetooth Speaker"/>
    <x v="1"/>
    <x v="2"/>
    <s v="Shelley Ponce"/>
    <n v="4"/>
    <n v="912.61"/>
    <n v="0.14000000000000001"/>
    <x v="0"/>
    <x v="711"/>
  </r>
  <r>
    <s v="SALE715"/>
    <d v="2025-05-18T00:00:00"/>
    <s v="CUST1274"/>
    <s v="PROD47"/>
    <s v="STORE7"/>
    <x v="4"/>
    <s v="Makeup Brush Set"/>
    <x v="2"/>
    <x v="2"/>
    <s v="Sarah Lane"/>
    <n v="3"/>
    <n v="79.77"/>
    <n v="0.09"/>
    <x v="0"/>
    <x v="712"/>
  </r>
  <r>
    <s v="SALE716"/>
    <d v="2025-04-08T00:00:00"/>
    <s v="CUST1277"/>
    <s v="PROD94"/>
    <s v="STORE15"/>
    <x v="10"/>
    <s v="Vitamin E Body Lotion"/>
    <x v="2"/>
    <x v="0"/>
    <s v="Jeffrey Gomez"/>
    <n v="4"/>
    <n v="603.52"/>
    <n v="0.25"/>
    <x v="0"/>
    <x v="713"/>
  </r>
  <r>
    <s v="SALE717"/>
    <d v="2024-11-29T00:00:00"/>
    <s v="CUST1077"/>
    <s v="PROD77"/>
    <s v="STORE12"/>
    <x v="18"/>
    <s v="WiFi Mesh Router"/>
    <x v="1"/>
    <x v="0"/>
    <s v="Katherine Young"/>
    <n v="4"/>
    <n v="453.12"/>
    <n v="0.23"/>
    <x v="2"/>
    <x v="714"/>
  </r>
  <r>
    <s v="SALE718"/>
    <d v="2024-12-30T00:00:00"/>
    <s v="CUST1497"/>
    <s v="PROD33"/>
    <s v="STORE9"/>
    <x v="11"/>
    <s v="Modern Wall Clock"/>
    <x v="3"/>
    <x v="2"/>
    <s v="Sarah Marsh"/>
    <n v="2"/>
    <n v="974.35"/>
    <n v="0.15"/>
    <x v="0"/>
    <x v="715"/>
  </r>
  <r>
    <s v="SALE719"/>
    <d v="2025-06-16T00:00:00"/>
    <s v="CUST1476"/>
    <s v="PROD95"/>
    <s v="STORE17"/>
    <x v="1"/>
    <s v="Sports Stopwatch Basic"/>
    <x v="0"/>
    <x v="0"/>
    <s v="Elizabeth Foster"/>
    <n v="4"/>
    <n v="52.35"/>
    <n v="0.23"/>
    <x v="2"/>
    <x v="716"/>
  </r>
  <r>
    <s v="SALE720"/>
    <d v="2025-06-16T00:00:00"/>
    <s v="CUST1370"/>
    <s v="PROD65"/>
    <s v="STORE17"/>
    <x v="1"/>
    <s v="Adjustable Dumbbells 20kg"/>
    <x v="0"/>
    <x v="0"/>
    <s v="James Holloway Jr."/>
    <n v="3"/>
    <n v="681.58"/>
    <n v="0.23"/>
    <x v="0"/>
    <x v="717"/>
  </r>
  <r>
    <s v="SALE721"/>
    <d v="2024-04-02T00:00:00"/>
    <s v="CUST1177"/>
    <s v="PROD83"/>
    <s v="STORE15"/>
    <x v="10"/>
    <s v="Hydrating Face Cleanser"/>
    <x v="2"/>
    <x v="0"/>
    <s v="Curtis Lam"/>
    <n v="3"/>
    <n v="71.23"/>
    <n v="0.03"/>
    <x v="0"/>
    <x v="718"/>
  </r>
  <r>
    <s v="SALE722"/>
    <d v="2024-03-28T00:00:00"/>
    <s v="CUST1241"/>
    <s v="PROD15"/>
    <s v="STORE14"/>
    <x v="7"/>
    <s v="4K Home Projector"/>
    <x v="1"/>
    <x v="2"/>
    <s v="Mr. William Horton"/>
    <n v="1"/>
    <n v="31.36"/>
    <n v="0.21"/>
    <x v="2"/>
    <x v="719"/>
  </r>
  <r>
    <s v="SALE723"/>
    <d v="2025-01-17T00:00:00"/>
    <s v="CUST1341"/>
    <s v="PROD41"/>
    <s v="STORE13"/>
    <x v="13"/>
    <s v="Yoga Exercise Mat"/>
    <x v="0"/>
    <x v="3"/>
    <s v="Angela Williams"/>
    <n v="2"/>
    <n v="555.54999999999995"/>
    <n v="0.14000000000000001"/>
    <x v="0"/>
    <x v="720"/>
  </r>
  <r>
    <s v="SALE724"/>
    <d v="2025-04-13T00:00:00"/>
    <s v="CUST1251"/>
    <s v="PROD66"/>
    <s v="STORE16"/>
    <x v="9"/>
    <s v="Women's Hair Dryer Brush"/>
    <x v="2"/>
    <x v="1"/>
    <s v="Tyler Garner"/>
    <n v="4"/>
    <n v="805.99"/>
    <n v="0.06"/>
    <x v="0"/>
    <x v="721"/>
  </r>
  <r>
    <s v="SALE725"/>
    <d v="2024-07-01T00:00:00"/>
    <s v="CUST1388"/>
    <s v="PROD71"/>
    <s v="STORE1"/>
    <x v="8"/>
    <s v="Hair Repair Oil Treatment"/>
    <x v="2"/>
    <x v="0"/>
    <s v="Timothy Valenzuela"/>
    <n v="1"/>
    <n v="506.55"/>
    <n v="0.28000000000000003"/>
    <x v="0"/>
    <x v="722"/>
  </r>
  <r>
    <s v="SALE726"/>
    <d v="2024-12-14T00:00:00"/>
    <s v="CUST1130"/>
    <s v="PROD41"/>
    <s v="STORE11"/>
    <x v="19"/>
    <s v="Yoga Exercise Mat"/>
    <x v="0"/>
    <x v="2"/>
    <s v="Jamie Reyes"/>
    <n v="3.0000000000000004"/>
    <n v="28.69"/>
    <n v="0.02"/>
    <x v="0"/>
    <x v="723"/>
  </r>
  <r>
    <s v="SALE727"/>
    <d v="2023-11-23T00:00:00"/>
    <s v="CUST1387"/>
    <s v="PROD76"/>
    <s v="STORE4"/>
    <x v="5"/>
    <s v="Wireless Mouse"/>
    <x v="1"/>
    <x v="2"/>
    <s v="Timothy Gardner"/>
    <n v="1"/>
    <n v="106.07"/>
    <n v="0.23"/>
    <x v="2"/>
    <x v="724"/>
  </r>
  <r>
    <s v="SALE728"/>
    <d v="2023-10-26T00:00:00"/>
    <s v="CUST1260"/>
    <s v="PROD91"/>
    <s v="STORE0"/>
    <x v="6"/>
    <s v="Women's High Heels"/>
    <x v="4"/>
    <x v="3"/>
    <s v="Russell Lamb"/>
    <n v="4.0000000000000009"/>
    <n v="289.77"/>
    <n v="0.06"/>
    <x v="1"/>
    <x v="725"/>
  </r>
  <r>
    <s v="SALE729"/>
    <d v="2023-12-03T00:00:00"/>
    <s v="CUST1156"/>
    <s v="PROD83"/>
    <s v="STORE18"/>
    <x v="14"/>
    <s v="Hydrating Face Cleanser"/>
    <x v="2"/>
    <x v="3"/>
    <s v="Maria Sanchez"/>
    <n v="2"/>
    <n v="354.26"/>
    <n v="0.01"/>
    <x v="2"/>
    <x v="726"/>
  </r>
  <r>
    <s v="SALE730"/>
    <d v="2024-09-19T00:00:00"/>
    <s v="CUST1385"/>
    <s v="PROD68"/>
    <s v="STORE14"/>
    <x v="7"/>
    <s v="Wooden Nightstand"/>
    <x v="3"/>
    <x v="2"/>
    <s v="Tammy Brennan"/>
    <n v="1"/>
    <n v="522.72"/>
    <n v="0.25"/>
    <x v="1"/>
    <x v="727"/>
  </r>
  <r>
    <s v="SALE731"/>
    <d v="2024-10-04T00:00:00"/>
    <s v="CUST1057"/>
    <s v="PROD5"/>
    <s v="STORE9"/>
    <x v="11"/>
    <s v="Men's Leather Belt"/>
    <x v="4"/>
    <x v="2"/>
    <s v="Jay Patel"/>
    <n v="3"/>
    <n v="966.02"/>
    <n v="0.03"/>
    <x v="2"/>
    <x v="728"/>
  </r>
  <r>
    <s v="SALE732"/>
    <d v="2023-10-18T00:00:00"/>
    <s v="CUST1224"/>
    <s v="PROD50"/>
    <s v="STORE17"/>
    <x v="1"/>
    <s v="Boxing Hand Wraps"/>
    <x v="0"/>
    <x v="0"/>
    <s v="Anthony Morgan"/>
    <n v="1"/>
    <n v="498.61"/>
    <n v="0.04"/>
    <x v="1"/>
    <x v="729"/>
  </r>
  <r>
    <s v="SALE733"/>
    <d v="2025-05-06T00:00:00"/>
    <s v="CUST1330"/>
    <s v="PROD42"/>
    <s v="STORE6"/>
    <x v="16"/>
    <s v="Smart Home WiFi Camera"/>
    <x v="1"/>
    <x v="3"/>
    <s v="Pamela Mcguire"/>
    <n v="4"/>
    <n v="758.27"/>
    <n v="0.05"/>
    <x v="1"/>
    <x v="730"/>
  </r>
  <r>
    <s v="SALE734"/>
    <d v="2024-03-20T00:00:00"/>
    <s v="CUST1198"/>
    <s v="PROD3"/>
    <s v="STORE2"/>
    <x v="17"/>
    <s v="Not Found"/>
    <x v="5"/>
    <x v="2"/>
    <s v="Wanda Snyder"/>
    <n v="2"/>
    <n v="371.03"/>
    <n v="0.23"/>
    <x v="1"/>
    <x v="731"/>
  </r>
  <r>
    <s v="SALE735"/>
    <d v="2024-06-10T00:00:00"/>
    <s v="CUST1355"/>
    <s v="PROD91"/>
    <s v="STORE17"/>
    <x v="1"/>
    <s v="Women's High Heels"/>
    <x v="4"/>
    <x v="0"/>
    <s v="Carlos Flores"/>
    <n v="1.0000000000000002"/>
    <n v="230.32"/>
    <n v="0.05"/>
    <x v="2"/>
    <x v="732"/>
  </r>
  <r>
    <s v="SALE736"/>
    <d v="2024-08-22T00:00:00"/>
    <s v="CUST1342"/>
    <s v="PROD61"/>
    <s v="STORE6"/>
    <x v="16"/>
    <s v="Tennis Ball 3-Pack"/>
    <x v="0"/>
    <x v="3"/>
    <s v="Michelle Cunningham"/>
    <n v="2"/>
    <n v="985.43"/>
    <n v="0.28000000000000003"/>
    <x v="2"/>
    <x v="733"/>
  </r>
  <r>
    <s v="SALE737"/>
    <d v="2025-04-09T00:00:00"/>
    <s v="CUST1422"/>
    <s v="PROD9"/>
    <s v="STORE4"/>
    <x v="5"/>
    <s v="Adjustable Dumbbell Set"/>
    <x v="0"/>
    <x v="2"/>
    <s v="Brittany Edwards DDS"/>
    <n v="2"/>
    <n v="492.5"/>
    <n v="0.3"/>
    <x v="1"/>
    <x v="734"/>
  </r>
  <r>
    <s v="SALE738"/>
    <d v="2024-12-31T00:00:00"/>
    <s v="CUST1364"/>
    <s v="PROD46"/>
    <s v="STORE11"/>
    <x v="19"/>
    <s v="Men's Winter Jacket"/>
    <x v="4"/>
    <x v="2"/>
    <s v="Chloe Aguilar"/>
    <n v="2"/>
    <n v="213.69"/>
    <n v="0.28000000000000003"/>
    <x v="1"/>
    <x v="735"/>
  </r>
  <r>
    <s v="SALE739"/>
    <d v="2025-02-28T00:00:00"/>
    <s v="CUST1065"/>
    <s v="PROD20"/>
    <s v="STORE8"/>
    <x v="2"/>
    <s v="Outdoor Sports Water Bottle"/>
    <x v="0"/>
    <x v="1"/>
    <s v="Michael Thomas"/>
    <n v="4"/>
    <n v="618.83000000000004"/>
    <n v="0.08"/>
    <x v="1"/>
    <x v="736"/>
  </r>
  <r>
    <s v="SALE740"/>
    <d v="2024-01-22T00:00:00"/>
    <s v="CUST1093"/>
    <s v="PROD59"/>
    <s v="STORE11"/>
    <x v="19"/>
    <s v="Men's Hair Styling Gel"/>
    <x v="2"/>
    <x v="2"/>
    <s v="Christy Vasquez"/>
    <n v="2.0000000000000004"/>
    <n v="81.16"/>
    <n v="0.16"/>
    <x v="1"/>
    <x v="737"/>
  </r>
  <r>
    <s v="SALE741"/>
    <d v="2024-03-21T00:00:00"/>
    <s v="CUST1002"/>
    <s v="PROD86"/>
    <s v="STORE9"/>
    <x v="11"/>
    <s v="Kitchen Cutting Board"/>
    <x v="3"/>
    <x v="2"/>
    <s v="dr. Benjamin Price"/>
    <n v="1"/>
    <n v="431.69"/>
    <n v="0.09"/>
    <x v="0"/>
    <x v="738"/>
  </r>
  <r>
    <s v="SALE742"/>
    <d v="2024-12-22T00:00:00"/>
    <s v="CUST1405"/>
    <s v="PROD18"/>
    <s v="STORE5"/>
    <x v="3"/>
    <s v="Women's Denim Jeans"/>
    <x v="4"/>
    <x v="0"/>
    <s v="Eric Wolfe"/>
    <n v="3"/>
    <n v="438.65"/>
    <n v="0.28999999999999998"/>
    <x v="1"/>
    <x v="739"/>
  </r>
  <r>
    <s v="SALE743"/>
    <d v="2024-04-02T00:00:00"/>
    <s v="CUST1172"/>
    <s v="PROD79"/>
    <s v="STORE3"/>
    <x v="0"/>
    <s v="Decorative Lamp Shade"/>
    <x v="3"/>
    <x v="0"/>
    <s v="Thomas Rhodes"/>
    <n v="2.9999999999999996"/>
    <n v="339.41"/>
    <n v="0.26"/>
    <x v="0"/>
    <x v="740"/>
  </r>
  <r>
    <s v="SALE744"/>
    <d v="2025-01-30T00:00:00"/>
    <s v="CUST1470"/>
    <s v="PROD79"/>
    <s v="STORE9"/>
    <x v="11"/>
    <s v="Decorative Lamp Shade"/>
    <x v="3"/>
    <x v="2"/>
    <s v="Manuel Fisher"/>
    <n v="3.9999999999999991"/>
    <n v="848.47"/>
    <n v="0.21"/>
    <x v="2"/>
    <x v="741"/>
  </r>
  <r>
    <s v="SALE745"/>
    <d v="2025-03-31T00:00:00"/>
    <s v="CUST1192"/>
    <s v="PROD67"/>
    <s v="STORE8"/>
    <x v="2"/>
    <s v="Smart LED Light Strip"/>
    <x v="1"/>
    <x v="1"/>
    <s v="Jacob Wood"/>
    <n v="1"/>
    <n v="664.87"/>
    <n v="0.08"/>
    <x v="1"/>
    <x v="742"/>
  </r>
  <r>
    <s v="SALE746"/>
    <d v="2025-01-30T00:00:00"/>
    <s v="CUST1099"/>
    <s v="PROD24"/>
    <s v="STORE7"/>
    <x v="4"/>
    <s v="Foldable Camping Chair"/>
    <x v="0"/>
    <x v="2"/>
    <s v="Sheila Wilson"/>
    <n v="1"/>
    <n v="412.11"/>
    <n v="0.23"/>
    <x v="1"/>
    <x v="743"/>
  </r>
  <r>
    <s v="SALE747"/>
    <d v="2025-09-16T00:00:00"/>
    <s v="CUST1122"/>
    <s v="PROD94"/>
    <s v="STORE1"/>
    <x v="8"/>
    <s v="Vitamin E Body Lotion"/>
    <x v="2"/>
    <x v="0"/>
    <s v="Michael Chang"/>
    <n v="1"/>
    <n v="126.09"/>
    <n v="0.05"/>
    <x v="2"/>
    <x v="744"/>
  </r>
  <r>
    <s v="SALE748"/>
    <d v="2025-09-17T00:00:00"/>
    <s v="CUST1198"/>
    <s v="PROD67"/>
    <s v="STORE10"/>
    <x v="15"/>
    <s v="Smart LED Light Strip"/>
    <x v="1"/>
    <x v="3"/>
    <s v="Wanda Snyder"/>
    <n v="4"/>
    <n v="602.39"/>
    <n v="0.19"/>
    <x v="2"/>
    <x v="745"/>
  </r>
  <r>
    <s v="SALE749"/>
    <d v="2025-10-11T00:00:00"/>
    <s v="CUST1325"/>
    <s v="PROD82"/>
    <s v="STORE3"/>
    <x v="0"/>
    <s v="Fitness Resistance Bands"/>
    <x v="0"/>
    <x v="0"/>
    <s v="Andrew Smith"/>
    <n v="3"/>
    <n v="447.69"/>
    <n v="0.02"/>
    <x v="2"/>
    <x v="746"/>
  </r>
  <r>
    <s v="SALE750"/>
    <d v="2025-05-01T00:00:00"/>
    <s v="CUST1248"/>
    <s v="PROD34"/>
    <s v="STORE3"/>
    <x v="0"/>
    <s v="Gaming Mechanical Keyboard"/>
    <x v="1"/>
    <x v="0"/>
    <s v="Nicholas Webb"/>
    <n v="3"/>
    <n v="35.159999999999997"/>
    <n v="0.04"/>
    <x v="2"/>
    <x v="747"/>
  </r>
  <r>
    <s v="SALE751"/>
    <d v="2025-03-24T00:00:00"/>
    <s v="CUST1330"/>
    <s v="PROD72"/>
    <s v="STORE11"/>
    <x v="19"/>
    <s v="Professional Jump Rope"/>
    <x v="0"/>
    <x v="2"/>
    <s v="Pamela Mcguire"/>
    <n v="2"/>
    <n v="838.59"/>
    <n v="0.18"/>
    <x v="2"/>
    <x v="748"/>
  </r>
  <r>
    <s v="SALE752"/>
    <d v="2024-11-02T00:00:00"/>
    <s v="CUST1089"/>
    <s v="PROD59"/>
    <s v="STORE6"/>
    <x v="16"/>
    <s v="Men's Hair Styling Gel"/>
    <x v="2"/>
    <x v="3"/>
    <s v="Jamie Yoder"/>
    <n v="4"/>
    <n v="867.94"/>
    <n v="0.26"/>
    <x v="1"/>
    <x v="749"/>
  </r>
  <r>
    <s v="SALE753"/>
    <d v="2024-10-26T00:00:00"/>
    <s v="CUST1196"/>
    <s v="PROD39"/>
    <s v="STORE17"/>
    <x v="1"/>
    <s v="Portable Power Bank"/>
    <x v="1"/>
    <x v="0"/>
    <s v="Megan Greer"/>
    <n v="1.0000000000000002"/>
    <n v="623.88"/>
    <n v="0.25"/>
    <x v="0"/>
    <x v="750"/>
  </r>
  <r>
    <s v="SALE754"/>
    <d v="2024-09-11T00:00:00"/>
    <s v="CUST1177"/>
    <s v="PROD42"/>
    <s v="STORE14"/>
    <x v="7"/>
    <s v="Smart Home WiFi Camera"/>
    <x v="1"/>
    <x v="2"/>
    <s v="Curtis Lam"/>
    <n v="2"/>
    <n v="567.95000000000005"/>
    <n v="0.12"/>
    <x v="1"/>
    <x v="751"/>
  </r>
  <r>
    <s v="SALE755"/>
    <d v="2024-07-10T00:00:00"/>
    <s v="CUST1323"/>
    <s v="PROD31"/>
    <s v="STORE18"/>
    <x v="14"/>
    <s v="Basketball"/>
    <x v="0"/>
    <x v="3"/>
    <s v="Kristy Dunlap"/>
    <n v="1.9999999999999996"/>
    <n v="671.69"/>
    <n v="0.19"/>
    <x v="0"/>
    <x v="752"/>
  </r>
  <r>
    <s v="SALE756"/>
    <d v="2025-05-09T00:00:00"/>
    <s v="CUST1206"/>
    <s v="PROD6"/>
    <s v="STORE7"/>
    <x v="4"/>
    <s v="Herbal Face Moisturizer"/>
    <x v="2"/>
    <x v="2"/>
    <s v="Ronald Jones"/>
    <n v="2"/>
    <n v="257.95999999999998"/>
    <n v="0.21"/>
    <x v="1"/>
    <x v="753"/>
  </r>
  <r>
    <s v="SALE757"/>
    <d v="2024-07-02T00:00:00"/>
    <s v="CUST1204"/>
    <s v="PROD98"/>
    <s v="STORE19"/>
    <x v="12"/>
    <s v="Portable Bluetooth Speaker"/>
    <x v="1"/>
    <x v="3"/>
    <s v="Tiffany Herrera"/>
    <n v="4"/>
    <n v="281.48"/>
    <n v="0.27"/>
    <x v="1"/>
    <x v="754"/>
  </r>
  <r>
    <s v="SALE758"/>
    <d v="2024-06-27T00:00:00"/>
    <s v="CUST1316"/>
    <s v="PROD20"/>
    <s v="STORE11"/>
    <x v="19"/>
    <s v="Outdoor Sports Water Bottle"/>
    <x v="0"/>
    <x v="2"/>
    <s v="Robert House"/>
    <n v="1.0000000000000002"/>
    <n v="202.13"/>
    <n v="0.13"/>
    <x v="2"/>
    <x v="755"/>
  </r>
  <r>
    <s v="SALE759"/>
    <d v="2023-11-13T00:00:00"/>
    <s v="CUST1271"/>
    <s v="PROD74"/>
    <s v="STORE5"/>
    <x v="3"/>
    <s v="Bluetooth Car Audio System"/>
    <x v="1"/>
    <x v="0"/>
    <s v="Daisy Johnson DDS"/>
    <n v="0.99999999999999989"/>
    <n v="370.66"/>
    <n v="0.01"/>
    <x v="1"/>
    <x v="756"/>
  </r>
  <r>
    <s v="SALE760"/>
    <d v="2024-02-19T00:00:00"/>
    <s v="CUST1005"/>
    <s v="PROD61"/>
    <s v="STORE12"/>
    <x v="18"/>
    <s v="Tennis Ball 3-Pack"/>
    <x v="0"/>
    <x v="0"/>
    <s v="Christine Vaughn"/>
    <n v="4"/>
    <n v="731.53"/>
    <n v="0.12"/>
    <x v="0"/>
    <x v="757"/>
  </r>
  <r>
    <s v="SALE761"/>
    <d v="2024-03-20T00:00:00"/>
    <s v="CUST1165"/>
    <s v="PROD78"/>
    <s v="STORE1"/>
    <x v="8"/>
    <s v="Essential Oil Diffuser"/>
    <x v="3"/>
    <x v="0"/>
    <s v="Jason Wheeler"/>
    <n v="3.0000000000000004"/>
    <n v="468.25"/>
    <n v="7.0000000000000007E-2"/>
    <x v="1"/>
    <x v="758"/>
  </r>
  <r>
    <s v="SALE762"/>
    <d v="2024-03-09T00:00:00"/>
    <s v="CUST1001"/>
    <s v="PROD67"/>
    <s v="STORE0"/>
    <x v="6"/>
    <s v="Smart LED Light Strip"/>
    <x v="1"/>
    <x v="3"/>
    <s v="Eugene Nelson"/>
    <n v="1"/>
    <n v="928.72"/>
    <n v="0.1"/>
    <x v="2"/>
    <x v="759"/>
  </r>
  <r>
    <s v="SALE763"/>
    <d v="2024-07-26T00:00:00"/>
    <s v="CUST1101"/>
    <s v="PROD4"/>
    <s v="STORE18"/>
    <x v="14"/>
    <s v="Women's Yoga Pants"/>
    <x v="4"/>
    <x v="3"/>
    <s v="Colleen Maynard"/>
    <n v="3"/>
    <n v="217.22"/>
    <n v="0.06"/>
    <x v="1"/>
    <x v="760"/>
  </r>
  <r>
    <s v="SALE764"/>
    <d v="2025-03-29T00:00:00"/>
    <s v="CUST1405"/>
    <s v="PROD24"/>
    <s v="STORE3"/>
    <x v="0"/>
    <s v="Foldable Camping Chair"/>
    <x v="0"/>
    <x v="0"/>
    <s v="Eric Wolfe"/>
    <n v="1.0000000000000002"/>
    <n v="387.99"/>
    <n v="0.3"/>
    <x v="0"/>
    <x v="761"/>
  </r>
  <r>
    <s v="SALE765"/>
    <d v="2025-03-02T00:00:00"/>
    <s v="CUST1476"/>
    <s v="PROD18"/>
    <s v="STORE6"/>
    <x v="16"/>
    <s v="Women's Denim Jeans"/>
    <x v="4"/>
    <x v="3"/>
    <s v="Elizabeth Foster"/>
    <n v="4"/>
    <n v="186.24"/>
    <n v="0.23"/>
    <x v="0"/>
    <x v="762"/>
  </r>
  <r>
    <s v="SALE766"/>
    <d v="2024-06-11T00:00:00"/>
    <s v="CUST1296"/>
    <s v="PROD40"/>
    <s v="STORE8"/>
    <x v="2"/>
    <s v="Noise-Canceling Headphones"/>
    <x v="1"/>
    <x v="1"/>
    <s v="Jared Moran"/>
    <n v="4"/>
    <n v="609.05999999999995"/>
    <n v="0.22"/>
    <x v="2"/>
    <x v="763"/>
  </r>
  <r>
    <s v="SALE767"/>
    <d v="2024-05-22T00:00:00"/>
    <s v="CUST1437"/>
    <s v="PROD33"/>
    <s v="STORE11"/>
    <x v="19"/>
    <s v="Modern Wall Clock"/>
    <x v="3"/>
    <x v="2"/>
    <s v="Melinda Rivera"/>
    <n v="1"/>
    <n v="827.91"/>
    <n v="0.21"/>
    <x v="1"/>
    <x v="764"/>
  </r>
  <r>
    <s v="SALE768"/>
    <d v="2024-07-13T00:00:00"/>
    <s v="CUST1176"/>
    <s v="PROD83"/>
    <s v="STORE0"/>
    <x v="6"/>
    <s v="Hydrating Face Cleanser"/>
    <x v="2"/>
    <x v="3"/>
    <s v="John Bradford"/>
    <n v="1"/>
    <n v="303.79000000000002"/>
    <n v="0.24"/>
    <x v="1"/>
    <x v="765"/>
  </r>
  <r>
    <s v="SALE769"/>
    <d v="2025-09-02T00:00:00"/>
    <s v="CUST1104"/>
    <s v="PROD37"/>
    <s v="STORE6"/>
    <x v="16"/>
    <s v="Men's Casual Sneakers"/>
    <x v="4"/>
    <x v="3"/>
    <s v="Christopher Lester"/>
    <n v="2"/>
    <n v="365.91"/>
    <n v="0.14000000000000001"/>
    <x v="2"/>
    <x v="766"/>
  </r>
  <r>
    <s v="SALE770"/>
    <d v="2025-04-15T00:00:00"/>
    <s v="CUST1069"/>
    <s v="PROD25"/>
    <s v="STORE17"/>
    <x v="1"/>
    <s v="Women's Scarf Set"/>
    <x v="4"/>
    <x v="0"/>
    <s v="Roy Cole"/>
    <n v="3"/>
    <n v="852.72"/>
    <n v="0.16"/>
    <x v="0"/>
    <x v="767"/>
  </r>
  <r>
    <s v="SALE771"/>
    <d v="2025-04-05T00:00:00"/>
    <s v="CUST1247"/>
    <s v="PROD10"/>
    <s v="STORE4"/>
    <x v="5"/>
    <s v="Ceramic Kitchen Bowl Set"/>
    <x v="3"/>
    <x v="2"/>
    <s v="Douglas Rhodes"/>
    <n v="1"/>
    <n v="768.25"/>
    <n v="0.18"/>
    <x v="0"/>
    <x v="768"/>
  </r>
  <r>
    <s v="SALE772"/>
    <d v="2023-11-24T00:00:00"/>
    <s v="CUST1350"/>
    <s v="PROD92"/>
    <s v="STORE19"/>
    <x v="12"/>
    <s v="Microwave Oven"/>
    <x v="3"/>
    <x v="3"/>
    <s v="Charles Miller"/>
    <n v="2"/>
    <n v="318.62"/>
    <n v="0.02"/>
    <x v="2"/>
    <x v="769"/>
  </r>
  <r>
    <s v="SALE773"/>
    <d v="2025-01-26T00:00:00"/>
    <s v="CUST1049"/>
    <s v="PROD76"/>
    <s v="STORE2"/>
    <x v="17"/>
    <s v="Wireless Mouse"/>
    <x v="1"/>
    <x v="2"/>
    <s v="Timothy Weaver"/>
    <n v="4"/>
    <n v="402.11"/>
    <n v="0.14000000000000001"/>
    <x v="1"/>
    <x v="770"/>
  </r>
  <r>
    <s v="SALE774"/>
    <d v="2025-05-27T00:00:00"/>
    <s v="CUST1408"/>
    <s v="PROD84"/>
    <s v="STORE17"/>
    <x v="1"/>
    <s v="Wooden Bookshelf"/>
    <x v="3"/>
    <x v="0"/>
    <s v="Isabel Foster"/>
    <n v="3"/>
    <n v="846.31"/>
    <n v="0.18"/>
    <x v="2"/>
    <x v="771"/>
  </r>
  <r>
    <s v="SALE775"/>
    <d v="2025-06-13T00:00:00"/>
    <s v="CUST1168"/>
    <s v="PROD94"/>
    <s v="STORE14"/>
    <x v="7"/>
    <s v="Vitamin E Body Lotion"/>
    <x v="2"/>
    <x v="2"/>
    <s v="Daniel Contreras"/>
    <n v="1"/>
    <n v="269.94"/>
    <n v="7.0000000000000007E-2"/>
    <x v="2"/>
    <x v="772"/>
  </r>
  <r>
    <s v="SALE776"/>
    <d v="2024-06-29T00:00:00"/>
    <s v="CUST1241"/>
    <s v="PROD20"/>
    <s v="STORE4"/>
    <x v="5"/>
    <s v="Outdoor Sports Water Bottle"/>
    <x v="0"/>
    <x v="2"/>
    <s v="Mr. William Horton"/>
    <n v="3"/>
    <n v="909.25"/>
    <n v="0.28999999999999998"/>
    <x v="2"/>
    <x v="773"/>
  </r>
  <r>
    <s v="SALE777"/>
    <d v="2024-02-09T00:00:00"/>
    <s v="CUST1363"/>
    <s v="PROD91"/>
    <s v="STORE12"/>
    <x v="18"/>
    <s v="Women's High Heels"/>
    <x v="4"/>
    <x v="0"/>
    <s v="Elizabeth Smith"/>
    <n v="2"/>
    <n v="229.81"/>
    <n v="0.21"/>
    <x v="2"/>
    <x v="774"/>
  </r>
  <r>
    <s v="SALE778"/>
    <d v="2024-06-08T00:00:00"/>
    <s v="CUST1037"/>
    <s v="PROD78"/>
    <s v="STORE15"/>
    <x v="10"/>
    <s v="Essential Oil Diffuser"/>
    <x v="3"/>
    <x v="0"/>
    <s v="Christopher Carter"/>
    <n v="3.0000000000000004"/>
    <n v="442.36"/>
    <n v="0.06"/>
    <x v="1"/>
    <x v="775"/>
  </r>
  <r>
    <s v="SALE779"/>
    <d v="2024-04-04T00:00:00"/>
    <s v="CUST1239"/>
    <s v="PROD86"/>
    <s v="STORE3"/>
    <x v="0"/>
    <s v="Kitchen Cutting Board"/>
    <x v="3"/>
    <x v="0"/>
    <s v="Maria Hill"/>
    <n v="3"/>
    <n v="413.74"/>
    <n v="0.01"/>
    <x v="0"/>
    <x v="776"/>
  </r>
  <r>
    <s v="SALE780"/>
    <d v="2024-07-04T00:00:00"/>
    <s v="CUST1496"/>
    <s v="PROD89"/>
    <s v="STORE14"/>
    <x v="7"/>
    <s v="Face Foundation Kit"/>
    <x v="2"/>
    <x v="2"/>
    <s v="Christopher Ford"/>
    <n v="3.9999999999999991"/>
    <n v="79.75"/>
    <n v="0.18"/>
    <x v="1"/>
    <x v="777"/>
  </r>
  <r>
    <s v="SALE781"/>
    <d v="2024-05-21T00:00:00"/>
    <s v="CUST1495"/>
    <s v="PROD40"/>
    <s v="STORE12"/>
    <x v="18"/>
    <s v="Noise-Canceling Headphones"/>
    <x v="1"/>
    <x v="0"/>
    <s v="James Berger"/>
    <n v="4"/>
    <n v="95.06"/>
    <n v="0.03"/>
    <x v="0"/>
    <x v="778"/>
  </r>
  <r>
    <s v="SALE782"/>
    <d v="2025-04-12T00:00:00"/>
    <s v="CUST1416"/>
    <s v="PROD98"/>
    <s v="STORE7"/>
    <x v="4"/>
    <s v="Portable Bluetooth Speaker"/>
    <x v="1"/>
    <x v="2"/>
    <s v="Jennifer Myers"/>
    <n v="4.0000000000000009"/>
    <n v="107.08"/>
    <n v="0.27"/>
    <x v="2"/>
    <x v="779"/>
  </r>
  <r>
    <s v="SALE783"/>
    <d v="2025-05-17T00:00:00"/>
    <s v="CUST1474"/>
    <s v="PROD99"/>
    <s v="STORE18"/>
    <x v="14"/>
    <s v="Stainless Steel Cookware Set"/>
    <x v="3"/>
    <x v="3"/>
    <s v="Joshua Howard"/>
    <n v="1"/>
    <n v="873.18"/>
    <n v="0.03"/>
    <x v="2"/>
    <x v="780"/>
  </r>
  <r>
    <s v="SALE784"/>
    <d v="2025-04-17T00:00:00"/>
    <s v="CUST1377"/>
    <s v="PROD70"/>
    <s v="STORE18"/>
    <x v="14"/>
    <s v="Kitchen Storage Rack"/>
    <x v="3"/>
    <x v="3"/>
    <s v="Charles Conley"/>
    <n v="1"/>
    <n v="914.75"/>
    <n v="0.1"/>
    <x v="2"/>
    <x v="781"/>
  </r>
  <r>
    <s v="SALE785"/>
    <d v="2023-12-19T00:00:00"/>
    <s v="CUST1049"/>
    <s v="PROD73"/>
    <s v="STORE13"/>
    <x v="13"/>
    <s v="Shin Guards – Adult"/>
    <x v="0"/>
    <x v="3"/>
    <s v="Timothy Weaver"/>
    <n v="4"/>
    <n v="457.33"/>
    <n v="0.1"/>
    <x v="0"/>
    <x v="782"/>
  </r>
  <r>
    <s v="SALE786"/>
    <d v="2024-11-06T00:00:00"/>
    <s v="CUST1292"/>
    <s v="PROD99"/>
    <s v="STORE3"/>
    <x v="0"/>
    <s v="Stainless Steel Cookware Set"/>
    <x v="3"/>
    <x v="0"/>
    <s v="Ricardo Jones"/>
    <n v="3"/>
    <n v="761.88"/>
    <n v="0.23"/>
    <x v="1"/>
    <x v="783"/>
  </r>
  <r>
    <s v="SALE787"/>
    <d v="2025-05-16T00:00:00"/>
    <s v="CUST1177"/>
    <s v="PROD37"/>
    <s v="STORE19"/>
    <x v="12"/>
    <s v="Men's Casual Sneakers"/>
    <x v="4"/>
    <x v="3"/>
    <s v="Curtis Lam"/>
    <n v="4"/>
    <n v="122.87"/>
    <n v="0.13"/>
    <x v="0"/>
    <x v="784"/>
  </r>
  <r>
    <s v="SALE788"/>
    <d v="2025-05-01T00:00:00"/>
    <s v="CUST1475"/>
    <s v="PROD73"/>
    <s v="STORE4"/>
    <x v="5"/>
    <s v="Shin Guards – Adult"/>
    <x v="0"/>
    <x v="2"/>
    <s v="Barbara Berry"/>
    <n v="4"/>
    <n v="753"/>
    <n v="0.28000000000000003"/>
    <x v="2"/>
    <x v="785"/>
  </r>
  <r>
    <s v="SALE789"/>
    <d v="2024-02-03T00:00:00"/>
    <s v="CUST1370"/>
    <s v="PROD5"/>
    <s v="STORE5"/>
    <x v="3"/>
    <s v="Men's Leather Belt"/>
    <x v="4"/>
    <x v="0"/>
    <s v="James Holloway Jr."/>
    <n v="2"/>
    <n v="788.05"/>
    <n v="0.21"/>
    <x v="0"/>
    <x v="786"/>
  </r>
  <r>
    <s v="SALE790"/>
    <d v="2025-08-06T00:00:00"/>
    <s v="CUST1462"/>
    <s v="PROD82"/>
    <s v="STORE10"/>
    <x v="15"/>
    <s v="Fitness Resistance Bands"/>
    <x v="0"/>
    <x v="3"/>
    <s v="Beth Martin"/>
    <n v="2.0000000000000004"/>
    <n v="807.1"/>
    <n v="0.28999999999999998"/>
    <x v="0"/>
    <x v="787"/>
  </r>
  <r>
    <s v="SALE791"/>
    <d v="2024-01-29T00:00:00"/>
    <s v="CUST1134"/>
    <s v="PROD8"/>
    <s v="STORE1"/>
    <x v="8"/>
    <s v="Wireless Bluetooth Earbuds"/>
    <x v="1"/>
    <x v="0"/>
    <s v="Morgan Bowen"/>
    <n v="2"/>
    <n v="443.09"/>
    <n v="0.02"/>
    <x v="1"/>
    <x v="788"/>
  </r>
  <r>
    <s v="SALE792"/>
    <d v="2025-08-01T00:00:00"/>
    <s v="CUST1468"/>
    <s v="PROD19"/>
    <s v="STORE15"/>
    <x v="10"/>
    <s v="Knee Support Brace"/>
    <x v="0"/>
    <x v="0"/>
    <s v="Gregory Curtis"/>
    <n v="1.0000000000000002"/>
    <n v="512.16"/>
    <n v="0.02"/>
    <x v="2"/>
    <x v="789"/>
  </r>
  <r>
    <s v="SALE793"/>
    <d v="2024-10-12T00:00:00"/>
    <s v="CUST1208"/>
    <s v="PROD41"/>
    <s v="STORE18"/>
    <x v="14"/>
    <s v="Yoga Exercise Mat"/>
    <x v="0"/>
    <x v="3"/>
    <s v="John Perez"/>
    <n v="2"/>
    <n v="602.54999999999995"/>
    <n v="0.23"/>
    <x v="2"/>
    <x v="790"/>
  </r>
  <r>
    <s v="SALE794"/>
    <d v="2025-03-29T00:00:00"/>
    <s v="CUST1164"/>
    <s v="PROD42"/>
    <s v="STORE0"/>
    <x v="6"/>
    <s v="Smart Home WiFi Camera"/>
    <x v="1"/>
    <x v="3"/>
    <s v="Daniel Rivas"/>
    <n v="3"/>
    <n v="846.19"/>
    <n v="0.09"/>
    <x v="2"/>
    <x v="791"/>
  </r>
  <r>
    <s v="SALE795"/>
    <d v="2025-04-25T00:00:00"/>
    <s v="CUST1326"/>
    <s v="PROD69"/>
    <s v="STORE8"/>
    <x v="2"/>
    <s v="Men's Sports Shorts"/>
    <x v="4"/>
    <x v="1"/>
    <s v="Robert King"/>
    <n v="1"/>
    <n v="506.73"/>
    <n v="0.28999999999999998"/>
    <x v="0"/>
    <x v="792"/>
  </r>
  <r>
    <s v="SALE796"/>
    <d v="2024-01-08T00:00:00"/>
    <s v="CUST1052"/>
    <s v="PROD51"/>
    <s v="STORE16"/>
    <x v="9"/>
    <s v="HDMI Cable – 2m"/>
    <x v="1"/>
    <x v="1"/>
    <s v="Debra Liu"/>
    <n v="1"/>
    <n v="408.66"/>
    <n v="0.13"/>
    <x v="2"/>
    <x v="793"/>
  </r>
  <r>
    <s v="SALE797"/>
    <d v="2024-06-04T00:00:00"/>
    <s v="CUST1110"/>
    <s v="PROD8"/>
    <s v="STORE17"/>
    <x v="1"/>
    <s v="Wireless Bluetooth Earbuds"/>
    <x v="1"/>
    <x v="0"/>
    <s v="Ashley Griffin"/>
    <n v="2.9999999999999996"/>
    <n v="170.48"/>
    <n v="0.06"/>
    <x v="2"/>
    <x v="794"/>
  </r>
  <r>
    <s v="SALE798"/>
    <d v="2025-03-01T00:00:00"/>
    <s v="CUST1097"/>
    <s v="PROD18"/>
    <s v="STORE9"/>
    <x v="11"/>
    <s v="Women's Denim Jeans"/>
    <x v="4"/>
    <x v="2"/>
    <s v="David Cobb"/>
    <n v="1.0000000000000002"/>
    <n v="423.48"/>
    <n v="0.18"/>
    <x v="1"/>
    <x v="795"/>
  </r>
  <r>
    <s v="SALE799"/>
    <d v="2023-10-14T00:00:00"/>
    <s v="CUST1235"/>
    <s v="PROD92"/>
    <s v="STORE11"/>
    <x v="19"/>
    <s v="Microwave Oven"/>
    <x v="3"/>
    <x v="2"/>
    <s v="Jon Ortiz"/>
    <n v="4"/>
    <n v="23.57"/>
    <n v="0.1"/>
    <x v="0"/>
    <x v="796"/>
  </r>
  <r>
    <s v="SALE800"/>
    <d v="2025-06-29T00:00:00"/>
    <s v="CUST1381"/>
    <s v="PROD42"/>
    <s v="STORE18"/>
    <x v="14"/>
    <s v="Smart Home WiFi Camera"/>
    <x v="1"/>
    <x v="3"/>
    <s v="Erika Padilla"/>
    <n v="2"/>
    <n v="953.26"/>
    <n v="0.1"/>
    <x v="2"/>
    <x v="797"/>
  </r>
  <r>
    <s v="SALE801"/>
    <d v="2023-12-17T00:00:00"/>
    <s v="CUST1347"/>
    <s v="PROD73"/>
    <s v="STORE7"/>
    <x v="4"/>
    <s v="Shin Guards – Adult"/>
    <x v="0"/>
    <x v="2"/>
    <s v="Justin Mason DDS"/>
    <n v="3.0000000000000004"/>
    <n v="405.13"/>
    <n v="0.14000000000000001"/>
    <x v="2"/>
    <x v="798"/>
  </r>
  <r>
    <s v="SALE802"/>
    <d v="2023-11-18T00:00:00"/>
    <s v="CUST1339"/>
    <s v="PROD2"/>
    <s v="STORE4"/>
    <x v="5"/>
    <s v="Women's Casual Hoodie"/>
    <x v="4"/>
    <x v="2"/>
    <s v="Mrs. Susan Buckley"/>
    <n v="2"/>
    <n v="333.83"/>
    <n v="0.26"/>
    <x v="1"/>
    <x v="799"/>
  </r>
  <r>
    <s v="SALE803"/>
    <d v="2025-03-25T00:00:00"/>
    <s v="CUST1333"/>
    <s v="PROD91"/>
    <s v="STORE3"/>
    <x v="0"/>
    <s v="Women's High Heels"/>
    <x v="4"/>
    <x v="0"/>
    <s v="Teresa Johnson"/>
    <n v="2"/>
    <n v="727.18"/>
    <n v="0.22"/>
    <x v="1"/>
    <x v="800"/>
  </r>
  <r>
    <s v="SALE804"/>
    <d v="2025-05-01T00:00:00"/>
    <s v="CUST1306"/>
    <s v="PROD5"/>
    <s v="STORE10"/>
    <x v="15"/>
    <s v="Men's Leather Belt"/>
    <x v="4"/>
    <x v="3"/>
    <s v="Angela Robinson"/>
    <n v="2"/>
    <n v="516.02"/>
    <n v="0.19"/>
    <x v="2"/>
    <x v="801"/>
  </r>
  <r>
    <s v="SALE805"/>
    <d v="2024-03-10T00:00:00"/>
    <s v="CUST1294"/>
    <s v="PROD42"/>
    <s v="STORE11"/>
    <x v="19"/>
    <s v="Smart Home WiFi Camera"/>
    <x v="1"/>
    <x v="2"/>
    <s v="Lisa Chandler"/>
    <n v="2"/>
    <n v="705.61"/>
    <n v="0.28000000000000003"/>
    <x v="0"/>
    <x v="802"/>
  </r>
  <r>
    <s v="SALE806"/>
    <d v="2024-05-02T00:00:00"/>
    <s v="CUST1275"/>
    <s v="PROD84"/>
    <s v="STORE8"/>
    <x v="2"/>
    <s v="Wooden Bookshelf"/>
    <x v="3"/>
    <x v="1"/>
    <s v="Shannon Miller"/>
    <n v="2.9999999999999996"/>
    <n v="654.47"/>
    <n v="0.18"/>
    <x v="2"/>
    <x v="803"/>
  </r>
  <r>
    <s v="SALE807"/>
    <d v="2025-03-18T00:00:00"/>
    <s v="CUST1171"/>
    <s v="PROD88"/>
    <s v="STORE15"/>
    <x v="10"/>
    <s v="Sports Wrist Sweatbands"/>
    <x v="0"/>
    <x v="0"/>
    <s v="Amy Wilson"/>
    <n v="2.0000000000000004"/>
    <n v="315.27"/>
    <n v="0.23"/>
    <x v="0"/>
    <x v="804"/>
  </r>
  <r>
    <s v="SALE808"/>
    <d v="2024-11-27T00:00:00"/>
    <s v="CUST1222"/>
    <s v="PROD28"/>
    <s v="STORE2"/>
    <x v="17"/>
    <s v="Sports Stopwatch Timer"/>
    <x v="0"/>
    <x v="2"/>
    <s v="Alejandro Doyle"/>
    <n v="1"/>
    <n v="974.47"/>
    <n v="0.05"/>
    <x v="0"/>
    <x v="805"/>
  </r>
  <r>
    <s v="SALE809"/>
    <d v="2024-02-18T00:00:00"/>
    <s v="CUST1067"/>
    <s v="PROD2"/>
    <s v="STORE4"/>
    <x v="5"/>
    <s v="Women's Casual Hoodie"/>
    <x v="4"/>
    <x v="2"/>
    <s v="Amber Mcclain"/>
    <n v="2.0000000000000004"/>
    <n v="803.3"/>
    <n v="0.17"/>
    <x v="0"/>
    <x v="806"/>
  </r>
  <r>
    <s v="SALE810"/>
    <d v="2024-06-04T00:00:00"/>
    <s v="CUST1013"/>
    <s v="PROD2"/>
    <s v="STORE10"/>
    <x v="15"/>
    <s v="Women's Casual Hoodie"/>
    <x v="4"/>
    <x v="3"/>
    <s v="Nathan Hernandez"/>
    <n v="4"/>
    <n v="863.87"/>
    <n v="0.21"/>
    <x v="2"/>
    <x v="807"/>
  </r>
  <r>
    <s v="SALE811"/>
    <d v="2024-08-09T00:00:00"/>
    <s v="CUST1469"/>
    <s v="PROD80"/>
    <s v="STORE18"/>
    <x v="14"/>
    <s v="Wall-Mounted Spice Rack"/>
    <x v="3"/>
    <x v="3"/>
    <s v="James Foster"/>
    <n v="1"/>
    <n v="450.11"/>
    <n v="0.17"/>
    <x v="0"/>
    <x v="808"/>
  </r>
  <r>
    <s v="SALE812"/>
    <d v="2024-07-13T00:00:00"/>
    <s v="CUST1230"/>
    <s v="PROD68"/>
    <s v="STORE13"/>
    <x v="13"/>
    <s v="Wooden Nightstand"/>
    <x v="3"/>
    <x v="3"/>
    <s v="Timothy Sanders"/>
    <n v="1"/>
    <n v="289.82"/>
    <n v="0.18"/>
    <x v="2"/>
    <x v="809"/>
  </r>
  <r>
    <s v="SALE813"/>
    <d v="2025-08-21T00:00:00"/>
    <s v="CUST1334"/>
    <s v="PROD54"/>
    <s v="STORE10"/>
    <x v="15"/>
    <s v="Sports Stopwatch Pro"/>
    <x v="0"/>
    <x v="3"/>
    <s v="Mr. Christopher Sims"/>
    <n v="4"/>
    <n v="250.64"/>
    <n v="0.1"/>
    <x v="1"/>
    <x v="810"/>
  </r>
  <r>
    <s v="SALE814"/>
    <d v="2025-08-07T00:00:00"/>
    <s v="CUST1287"/>
    <s v="PROD69"/>
    <s v="STORE19"/>
    <x v="12"/>
    <s v="Men's Sports Shorts"/>
    <x v="4"/>
    <x v="3"/>
    <s v="Cynthia Roberts"/>
    <n v="4"/>
    <n v="373.49"/>
    <n v="0.16"/>
    <x v="2"/>
    <x v="811"/>
  </r>
  <r>
    <s v="SALE815"/>
    <d v="2024-04-16T00:00:00"/>
    <s v="CUST1066"/>
    <s v="PROD3"/>
    <s v="STORE9"/>
    <x v="11"/>
    <s v="Not Found"/>
    <x v="5"/>
    <x v="2"/>
    <s v="Cody Diaz"/>
    <n v="3.9999999999999991"/>
    <n v="348.91"/>
    <n v="0.18"/>
    <x v="1"/>
    <x v="812"/>
  </r>
  <r>
    <s v="SALE816"/>
    <d v="2024-04-08T00:00:00"/>
    <s v="CUST1110"/>
    <s v="PROD94"/>
    <s v="STORE17"/>
    <x v="1"/>
    <s v="Vitamin E Body Lotion"/>
    <x v="2"/>
    <x v="0"/>
    <s v="Ashley Griffin"/>
    <n v="4"/>
    <n v="212.96"/>
    <n v="0.17"/>
    <x v="0"/>
    <x v="813"/>
  </r>
  <r>
    <s v="SALE817"/>
    <d v="2024-04-24T00:00:00"/>
    <s v="CUST1190"/>
    <s v="PROD27"/>
    <s v="STORE19"/>
    <x v="12"/>
    <s v="Decorative Floor Vase"/>
    <x v="3"/>
    <x v="3"/>
    <s v="Christopher Stewart"/>
    <n v="3"/>
    <n v="871.34"/>
    <n v="0.11"/>
    <x v="2"/>
    <x v="814"/>
  </r>
  <r>
    <s v="SALE818"/>
    <d v="2025-07-06T00:00:00"/>
    <s v="CUST1100"/>
    <s v="PROD94"/>
    <s v="STORE0"/>
    <x v="6"/>
    <s v="Vitamin E Body Lotion"/>
    <x v="2"/>
    <x v="3"/>
    <s v="Diane Watson"/>
    <n v="2"/>
    <n v="698.94"/>
    <n v="0.06"/>
    <x v="0"/>
    <x v="815"/>
  </r>
  <r>
    <s v="SALE819"/>
    <d v="2025-02-09T00:00:00"/>
    <s v="CUST1316"/>
    <s v="PROD74"/>
    <s v="STORE0"/>
    <x v="6"/>
    <s v="Bluetooth Car Audio System"/>
    <x v="1"/>
    <x v="3"/>
    <s v="Robert House"/>
    <n v="1"/>
    <n v="719.94"/>
    <n v="0.23"/>
    <x v="2"/>
    <x v="816"/>
  </r>
  <r>
    <s v="SALE820"/>
    <d v="2024-11-11T00:00:00"/>
    <s v="CUST1006"/>
    <s v="PROD28"/>
    <s v="STORE4"/>
    <x v="5"/>
    <s v="Sports Stopwatch Timer"/>
    <x v="0"/>
    <x v="2"/>
    <s v="Amber Jackson"/>
    <n v="2.0000000000000004"/>
    <n v="278.16000000000003"/>
    <n v="0.22"/>
    <x v="1"/>
    <x v="817"/>
  </r>
  <r>
    <s v="SALE821"/>
    <d v="2024-01-16T00:00:00"/>
    <s v="CUST1053"/>
    <s v="PROD49"/>
    <s v="STORE5"/>
    <x v="3"/>
    <s v="Men's Roll-On Perfume"/>
    <x v="2"/>
    <x v="0"/>
    <s v="Sharon Brown"/>
    <n v="1"/>
    <n v="678.9"/>
    <n v="0.17"/>
    <x v="0"/>
    <x v="818"/>
  </r>
  <r>
    <s v="SALE822"/>
    <d v="2024-08-16T00:00:00"/>
    <s v="CUST1015"/>
    <s v="PROD25"/>
    <s v="STORE15"/>
    <x v="10"/>
    <s v="Women's Scarf Set"/>
    <x v="4"/>
    <x v="0"/>
    <s v="Laura Alvarez"/>
    <n v="4"/>
    <n v="94.13"/>
    <n v="0.15"/>
    <x v="0"/>
    <x v="819"/>
  </r>
  <r>
    <s v="SALE823"/>
    <d v="2025-10-03T00:00:00"/>
    <s v="CUST1441"/>
    <s v="PROD44"/>
    <s v="STORE1"/>
    <x v="8"/>
    <s v="Adjustable Jump Rope"/>
    <x v="0"/>
    <x v="0"/>
    <s v="Dalton Walters"/>
    <n v="4"/>
    <n v="415.02"/>
    <n v="0.01"/>
    <x v="1"/>
    <x v="820"/>
  </r>
  <r>
    <s v="SALE824"/>
    <d v="2025-07-03T00:00:00"/>
    <s v="CUST1051"/>
    <s v="PROD11"/>
    <s v="STORE4"/>
    <x v="5"/>
    <s v="HD Smart TV Stick"/>
    <x v="1"/>
    <x v="2"/>
    <s v="Sarah Rodgers"/>
    <n v="4"/>
    <n v="780.07"/>
    <n v="0.03"/>
    <x v="0"/>
    <x v="821"/>
  </r>
  <r>
    <s v="SALE825"/>
    <d v="2025-08-08T00:00:00"/>
    <s v="CUST1428"/>
    <s v="PROD37"/>
    <s v="STORE15"/>
    <x v="10"/>
    <s v="Men's Casual Sneakers"/>
    <x v="4"/>
    <x v="0"/>
    <s v="Samuel Mullins"/>
    <n v="4"/>
    <n v="184.57"/>
    <n v="0.28000000000000003"/>
    <x v="0"/>
    <x v="822"/>
  </r>
  <r>
    <s v="SALE826"/>
    <d v="2024-08-28T00:00:00"/>
    <s v="CUST1287"/>
    <s v="PROD65"/>
    <s v="STORE4"/>
    <x v="5"/>
    <s v="Adjustable Dumbbells 20kg"/>
    <x v="0"/>
    <x v="2"/>
    <s v="Cynthia Roberts"/>
    <n v="4"/>
    <n v="277.58"/>
    <n v="0.22"/>
    <x v="1"/>
    <x v="823"/>
  </r>
  <r>
    <s v="SALE827"/>
    <d v="2025-03-18T00:00:00"/>
    <s v="CUST1104"/>
    <s v="PROD31"/>
    <s v="STORE3"/>
    <x v="0"/>
    <s v="Basketball"/>
    <x v="0"/>
    <x v="0"/>
    <s v="Christopher Lester"/>
    <n v="1"/>
    <n v="36.799999999999997"/>
    <n v="0.18"/>
    <x v="0"/>
    <x v="824"/>
  </r>
  <r>
    <s v="SALE828"/>
    <d v="2025-06-01T00:00:00"/>
    <s v="CUST1356"/>
    <s v="PROD88"/>
    <s v="STORE6"/>
    <x v="16"/>
    <s v="Sports Wrist Sweatbands"/>
    <x v="0"/>
    <x v="3"/>
    <s v="Steve Hunt"/>
    <n v="1"/>
    <n v="539.37"/>
    <n v="0.14000000000000001"/>
    <x v="0"/>
    <x v="825"/>
  </r>
  <r>
    <s v="SALE829"/>
    <d v="2025-04-13T00:00:00"/>
    <s v="CUST1089"/>
    <s v="PROD20"/>
    <s v="STORE18"/>
    <x v="14"/>
    <s v="Outdoor Sports Water Bottle"/>
    <x v="0"/>
    <x v="3"/>
    <s v="Jamie Yoder"/>
    <n v="1.0000000000000002"/>
    <n v="27.83"/>
    <n v="0.3"/>
    <x v="1"/>
    <x v="826"/>
  </r>
  <r>
    <s v="SALE830"/>
    <d v="2024-06-13T00:00:00"/>
    <s v="CUST1283"/>
    <s v="PROD70"/>
    <s v="STORE4"/>
    <x v="5"/>
    <s v="Kitchen Storage Rack"/>
    <x v="3"/>
    <x v="2"/>
    <s v="Bryan Garcia"/>
    <n v="3.0000000000000004"/>
    <n v="698.72"/>
    <n v="0.28000000000000003"/>
    <x v="2"/>
    <x v="827"/>
  </r>
  <r>
    <s v="SALE831"/>
    <d v="2025-02-10T00:00:00"/>
    <s v="CUST1012"/>
    <s v="PROD76"/>
    <s v="STORE13"/>
    <x v="13"/>
    <s v="Wireless Mouse"/>
    <x v="1"/>
    <x v="3"/>
    <s v="Kenneth Lambert"/>
    <n v="4"/>
    <n v="528.23"/>
    <n v="0.15"/>
    <x v="2"/>
    <x v="828"/>
  </r>
  <r>
    <s v="SALE832"/>
    <d v="2024-09-13T00:00:00"/>
    <s v="CUST1492"/>
    <s v="PROD46"/>
    <s v="STORE16"/>
    <x v="9"/>
    <s v="Men's Winter Jacket"/>
    <x v="4"/>
    <x v="1"/>
    <s v="Darrell Miller"/>
    <n v="2"/>
    <n v="780.9"/>
    <n v="0.24"/>
    <x v="1"/>
    <x v="829"/>
  </r>
  <r>
    <s v="SALE833"/>
    <d v="2023-11-06T00:00:00"/>
    <s v="CUST1180"/>
    <s v="PROD21"/>
    <s v="STORE14"/>
    <x v="7"/>
    <s v="Multi-Purpose Storage Box"/>
    <x v="3"/>
    <x v="2"/>
    <s v="Wesley Thompson"/>
    <n v="1"/>
    <n v="977.97"/>
    <n v="0.06"/>
    <x v="2"/>
    <x v="830"/>
  </r>
  <r>
    <s v="SALE834"/>
    <d v="2024-01-19T00:00:00"/>
    <s v="CUST1369"/>
    <s v="PROD83"/>
    <s v="STORE12"/>
    <x v="18"/>
    <s v="Hydrating Face Cleanser"/>
    <x v="2"/>
    <x v="0"/>
    <s v="Gregory Allen"/>
    <n v="4"/>
    <n v="354.65"/>
    <n v="0.19"/>
    <x v="0"/>
    <x v="831"/>
  </r>
  <r>
    <s v="SALE835"/>
    <d v="2024-03-25T00:00:00"/>
    <s v="CUST1283"/>
    <s v="PROD68"/>
    <s v="STORE19"/>
    <x v="12"/>
    <s v="Wooden Nightstand"/>
    <x v="3"/>
    <x v="3"/>
    <s v="Bryan Garcia"/>
    <n v="1"/>
    <n v="671.62"/>
    <n v="0.09"/>
    <x v="2"/>
    <x v="832"/>
  </r>
  <r>
    <s v="SALE836"/>
    <d v="2025-09-14T00:00:00"/>
    <s v="CUST1317"/>
    <s v="PROD82"/>
    <s v="STORE3"/>
    <x v="0"/>
    <s v="Fitness Resistance Bands"/>
    <x v="0"/>
    <x v="0"/>
    <s v="Tiffany Williams"/>
    <n v="1"/>
    <n v="867.32"/>
    <n v="0.28999999999999998"/>
    <x v="1"/>
    <x v="833"/>
  </r>
  <r>
    <s v="SALE837"/>
    <d v="2024-02-14T00:00:00"/>
    <s v="CUST1081"/>
    <s v="PROD10"/>
    <s v="STORE12"/>
    <x v="18"/>
    <s v="Ceramic Kitchen Bowl Set"/>
    <x v="3"/>
    <x v="0"/>
    <s v="Krystal Ford"/>
    <n v="3.0000000000000004"/>
    <n v="240.27"/>
    <n v="0.15"/>
    <x v="1"/>
    <x v="834"/>
  </r>
  <r>
    <s v="SALE838"/>
    <d v="2025-03-12T00:00:00"/>
    <s v="CUST1075"/>
    <s v="PROD28"/>
    <s v="STORE16"/>
    <x v="9"/>
    <s v="Sports Stopwatch Timer"/>
    <x v="0"/>
    <x v="1"/>
    <s v="Rhonda Morales"/>
    <n v="2"/>
    <n v="619.12"/>
    <n v="0.28000000000000003"/>
    <x v="2"/>
    <x v="835"/>
  </r>
  <r>
    <s v="SALE839"/>
    <d v="2025-04-08T00:00:00"/>
    <s v="CUST1213"/>
    <s v="PROD87"/>
    <s v="STORE0"/>
    <x v="6"/>
    <s v="LED Bedside Lamp"/>
    <x v="3"/>
    <x v="3"/>
    <s v="Stuart Johnson"/>
    <n v="2.9999999999999996"/>
    <n v="693.42"/>
    <n v="0.08"/>
    <x v="1"/>
    <x v="836"/>
  </r>
  <r>
    <s v="SALE840"/>
    <d v="2025-02-07T00:00:00"/>
    <s v="CUST1108"/>
    <s v="PROD48"/>
    <s v="STORE10"/>
    <x v="15"/>
    <s v="Car Dashboard Phone Holder"/>
    <x v="1"/>
    <x v="3"/>
    <s v="Travis Holland"/>
    <n v="4"/>
    <n v="751.63"/>
    <n v="0.28000000000000003"/>
    <x v="2"/>
    <x v="837"/>
  </r>
  <r>
    <s v="SALE841"/>
    <d v="2024-03-29T00:00:00"/>
    <s v="CUST1110"/>
    <s v="PROD31"/>
    <s v="STORE15"/>
    <x v="10"/>
    <s v="Basketball"/>
    <x v="0"/>
    <x v="0"/>
    <s v="Ashley Griffin"/>
    <n v="2.9999999999999996"/>
    <n v="108.14"/>
    <n v="0.19"/>
    <x v="2"/>
    <x v="838"/>
  </r>
  <r>
    <s v="SALE842"/>
    <d v="2024-06-03T00:00:00"/>
    <s v="CUST1256"/>
    <s v="PROD27"/>
    <s v="STORE4"/>
    <x v="5"/>
    <s v="Decorative Floor Vase"/>
    <x v="3"/>
    <x v="2"/>
    <s v="Kristen Fischer"/>
    <n v="1"/>
    <n v="964.11"/>
    <n v="0.17"/>
    <x v="2"/>
    <x v="839"/>
  </r>
  <r>
    <s v="SALE843"/>
    <d v="2024-08-21T00:00:00"/>
    <s v="CUST1131"/>
    <s v="PROD19"/>
    <s v="STORE0"/>
    <x v="6"/>
    <s v="Knee Support Brace"/>
    <x v="0"/>
    <x v="3"/>
    <s v="Joseph Richards"/>
    <n v="1"/>
    <n v="346.2"/>
    <n v="0.28999999999999998"/>
    <x v="0"/>
    <x v="840"/>
  </r>
  <r>
    <s v="SALE844"/>
    <d v="2024-08-23T00:00:00"/>
    <s v="CUST1457"/>
    <s v="PROD43"/>
    <s v="STORE15"/>
    <x v="10"/>
    <s v="USB External Hard Drive"/>
    <x v="1"/>
    <x v="0"/>
    <s v="Christina Robertson"/>
    <n v="3.0000000000000004"/>
    <n v="791.75"/>
    <n v="0.28999999999999998"/>
    <x v="0"/>
    <x v="841"/>
  </r>
  <r>
    <s v="SALE845"/>
    <d v="2023-12-05T00:00:00"/>
    <s v="CUST1319"/>
    <s v="PROD39"/>
    <s v="STORE13"/>
    <x v="13"/>
    <s v="Portable Power Bank"/>
    <x v="1"/>
    <x v="3"/>
    <s v="Casey Simpson"/>
    <n v="1"/>
    <n v="529.84"/>
    <n v="0.13"/>
    <x v="1"/>
    <x v="842"/>
  </r>
  <r>
    <s v="SALE846"/>
    <d v="2025-10-06T00:00:00"/>
    <s v="CUST1471"/>
    <s v="PROD54"/>
    <s v="STORE3"/>
    <x v="0"/>
    <s v="Sports Stopwatch Pro"/>
    <x v="0"/>
    <x v="0"/>
    <s v="Debra Mccullough"/>
    <n v="3"/>
    <n v="582.57000000000005"/>
    <n v="0.11"/>
    <x v="1"/>
    <x v="843"/>
  </r>
  <r>
    <s v="SALE847"/>
    <d v="2023-11-12T00:00:00"/>
    <s v="CUST1211"/>
    <s v="PROD95"/>
    <s v="STORE17"/>
    <x v="1"/>
    <s v="Sports Stopwatch Basic"/>
    <x v="0"/>
    <x v="0"/>
    <s v="Rodney Huffman"/>
    <n v="0.99999999999999989"/>
    <n v="219.81"/>
    <n v="0.22"/>
    <x v="2"/>
    <x v="844"/>
  </r>
  <r>
    <s v="SALE848"/>
    <d v="2024-05-25T00:00:00"/>
    <s v="CUST1497"/>
    <s v="PROD70"/>
    <s v="STORE18"/>
    <x v="14"/>
    <s v="Kitchen Storage Rack"/>
    <x v="3"/>
    <x v="3"/>
    <s v="Sarah Marsh"/>
    <n v="4"/>
    <n v="883.31"/>
    <n v="0.27"/>
    <x v="0"/>
    <x v="845"/>
  </r>
  <r>
    <s v="SALE849"/>
    <d v="2024-12-01T00:00:00"/>
    <s v="CUST1234"/>
    <s v="PROD17"/>
    <s v="STORE14"/>
    <x v="7"/>
    <s v="Soccer Training Cone Set"/>
    <x v="0"/>
    <x v="2"/>
    <s v="Nathaniel Hill"/>
    <n v="4"/>
    <n v="329.06"/>
    <n v="0.04"/>
    <x v="2"/>
    <x v="846"/>
  </r>
  <r>
    <s v="SALE850"/>
    <d v="2025-01-21T00:00:00"/>
    <s v="CUST1105"/>
    <s v="PROD68"/>
    <s v="STORE11"/>
    <x v="19"/>
    <s v="Wooden Nightstand"/>
    <x v="3"/>
    <x v="2"/>
    <s v="Lance Baker"/>
    <n v="1"/>
    <n v="935.78"/>
    <n v="0.03"/>
    <x v="1"/>
    <x v="847"/>
  </r>
  <r>
    <s v="SALE851"/>
    <d v="2024-07-11T00:00:00"/>
    <s v="CUST1320"/>
    <s v="PROD60"/>
    <s v="STORE10"/>
    <x v="15"/>
    <s v="Luxury Perfume Spray"/>
    <x v="2"/>
    <x v="3"/>
    <s v="Jessica Gonzalez"/>
    <n v="4"/>
    <n v="597.79999999999995"/>
    <n v="0.2"/>
    <x v="0"/>
    <x v="848"/>
  </r>
  <r>
    <s v="SALE852"/>
    <d v="2025-02-12T00:00:00"/>
    <s v="CUST1259"/>
    <s v="PROD13"/>
    <s v="STORE18"/>
    <x v="14"/>
    <s v="USB-C Fast Charger"/>
    <x v="1"/>
    <x v="3"/>
    <s v="Beth Allen"/>
    <n v="4"/>
    <n v="266.98"/>
    <n v="0.16"/>
    <x v="0"/>
    <x v="849"/>
  </r>
  <r>
    <s v="SALE853"/>
    <d v="2025-08-04T00:00:00"/>
    <s v="CUST1407"/>
    <s v="PROD70"/>
    <s v="STORE15"/>
    <x v="10"/>
    <s v="Kitchen Storage Rack"/>
    <x v="3"/>
    <x v="0"/>
    <s v="Joseph Mendoza"/>
    <n v="3.0000000000000004"/>
    <n v="360.18"/>
    <n v="0.03"/>
    <x v="0"/>
    <x v="850"/>
  </r>
  <r>
    <s v="SALE854"/>
    <d v="2025-07-22T00:00:00"/>
    <s v="CUST1363"/>
    <s v="PROD56"/>
    <s v="STORE0"/>
    <x v="6"/>
    <s v="Premium Blanket Throw"/>
    <x v="3"/>
    <x v="3"/>
    <s v="Elizabeth Smith"/>
    <n v="3.0000000000000004"/>
    <n v="247.41"/>
    <n v="0.05"/>
    <x v="2"/>
    <x v="851"/>
  </r>
  <r>
    <s v="SALE855"/>
    <d v="2023-11-05T00:00:00"/>
    <s v="CUST1078"/>
    <s v="PROD45"/>
    <s v="STORE15"/>
    <x v="10"/>
    <s v="High-Grip Football"/>
    <x v="0"/>
    <x v="0"/>
    <s v="Cody Blake"/>
    <n v="3"/>
    <n v="674.66"/>
    <n v="0.23"/>
    <x v="0"/>
    <x v="852"/>
  </r>
  <r>
    <s v="SALE856"/>
    <d v="2025-08-05T00:00:00"/>
    <s v="CUST1415"/>
    <s v="PROD42"/>
    <s v="STORE4"/>
    <x v="5"/>
    <s v="Smart Home WiFi Camera"/>
    <x v="1"/>
    <x v="2"/>
    <s v="Tyler Cook"/>
    <n v="1"/>
    <n v="913.98"/>
    <n v="0.27"/>
    <x v="1"/>
    <x v="853"/>
  </r>
  <r>
    <s v="SALE857"/>
    <d v="2025-04-22T00:00:00"/>
    <s v="CUST1314"/>
    <s v="PROD93"/>
    <s v="STORE10"/>
    <x v="15"/>
    <s v="USB-C Laptop Charger"/>
    <x v="1"/>
    <x v="3"/>
    <s v="Elizabeth Johnson"/>
    <n v="4"/>
    <n v="370.5"/>
    <n v="0.13"/>
    <x v="1"/>
    <x v="854"/>
  </r>
  <r>
    <s v="SALE858"/>
    <d v="2024-11-23T00:00:00"/>
    <s v="CUST1358"/>
    <s v="PROD72"/>
    <s v="STORE13"/>
    <x v="13"/>
    <s v="Professional Jump Rope"/>
    <x v="0"/>
    <x v="3"/>
    <s v="Ashley Anderson"/>
    <n v="1"/>
    <n v="735.1"/>
    <n v="0.1"/>
    <x v="1"/>
    <x v="855"/>
  </r>
  <r>
    <s v="SALE859"/>
    <d v="2024-11-18T00:00:00"/>
    <s v="CUST1135"/>
    <s v="PROD79"/>
    <s v="STORE2"/>
    <x v="17"/>
    <s v="Decorative Lamp Shade"/>
    <x v="3"/>
    <x v="2"/>
    <s v="Matthew Hanna"/>
    <n v="3"/>
    <n v="448.55"/>
    <n v="0.05"/>
    <x v="0"/>
    <x v="856"/>
  </r>
  <r>
    <s v="SALE860"/>
    <d v="2025-02-03T00:00:00"/>
    <s v="CUST1059"/>
    <s v="PROD84"/>
    <s v="STORE13"/>
    <x v="13"/>
    <s v="Wooden Bookshelf"/>
    <x v="3"/>
    <x v="3"/>
    <s v="Alyssa Vargas"/>
    <n v="3"/>
    <n v="904.96"/>
    <n v="7.0000000000000007E-2"/>
    <x v="2"/>
    <x v="857"/>
  </r>
  <r>
    <s v="SALE861"/>
    <d v="2024-11-12T00:00:00"/>
    <s v="CUST1380"/>
    <s v="PROD68"/>
    <s v="STORE13"/>
    <x v="13"/>
    <s v="Wooden Nightstand"/>
    <x v="3"/>
    <x v="3"/>
    <s v="Shelley Ponce"/>
    <n v="4"/>
    <n v="408.72"/>
    <n v="0.16"/>
    <x v="2"/>
    <x v="858"/>
  </r>
  <r>
    <s v="SALE862"/>
    <d v="2024-04-30T00:00:00"/>
    <s v="CUST1282"/>
    <s v="PROD71"/>
    <s v="STORE3"/>
    <x v="0"/>
    <s v="Hair Repair Oil Treatment"/>
    <x v="2"/>
    <x v="0"/>
    <s v="Kristi Lopez"/>
    <n v="4"/>
    <n v="770.65"/>
    <n v="0.27"/>
    <x v="0"/>
    <x v="859"/>
  </r>
  <r>
    <s v="SALE863"/>
    <d v="2025-04-20T00:00:00"/>
    <s v="CUST1203"/>
    <s v="PROD30"/>
    <s v="STORE6"/>
    <x v="16"/>
    <s v="Stainless Steel Cutlery Set"/>
    <x v="3"/>
    <x v="3"/>
    <s v="Sarah Brady"/>
    <n v="1"/>
    <n v="649.22"/>
    <n v="0.03"/>
    <x v="2"/>
    <x v="860"/>
  </r>
  <r>
    <s v="SALE864"/>
    <d v="2024-05-16T00:00:00"/>
    <s v="CUST1348"/>
    <s v="PROD33"/>
    <s v="STORE10"/>
    <x v="15"/>
    <s v="Modern Wall Clock"/>
    <x v="3"/>
    <x v="3"/>
    <s v="Sherry Cabrera"/>
    <n v="2"/>
    <n v="379.78"/>
    <n v="0.2"/>
    <x v="0"/>
    <x v="861"/>
  </r>
  <r>
    <s v="SALE865"/>
    <d v="2025-04-23T00:00:00"/>
    <s v="CUST1248"/>
    <s v="PROD43"/>
    <s v="STORE8"/>
    <x v="2"/>
    <s v="USB External Hard Drive"/>
    <x v="1"/>
    <x v="1"/>
    <s v="Nicholas Webb"/>
    <n v="3"/>
    <n v="924.15"/>
    <n v="0.1"/>
    <x v="1"/>
    <x v="862"/>
  </r>
  <r>
    <s v="SALE866"/>
    <d v="2024-10-06T00:00:00"/>
    <s v="CUST1469"/>
    <s v="PROD45"/>
    <s v="STORE17"/>
    <x v="1"/>
    <s v="High-Grip Football"/>
    <x v="0"/>
    <x v="0"/>
    <s v="James Foster"/>
    <n v="3.0000000000000009"/>
    <n v="144.66999999999999"/>
    <n v="0.28999999999999998"/>
    <x v="2"/>
    <x v="863"/>
  </r>
  <r>
    <s v="SALE867"/>
    <d v="2025-02-12T00:00:00"/>
    <s v="CUST1121"/>
    <s v="PROD33"/>
    <s v="STORE15"/>
    <x v="10"/>
    <s v="Modern Wall Clock"/>
    <x v="3"/>
    <x v="0"/>
    <s v="Joel Robinson"/>
    <n v="2"/>
    <n v="667.17"/>
    <n v="0.1"/>
    <x v="1"/>
    <x v="864"/>
  </r>
  <r>
    <s v="SALE868"/>
    <d v="2024-03-31T00:00:00"/>
    <s v="CUST1402"/>
    <s v="PROD66"/>
    <s v="STORE3"/>
    <x v="0"/>
    <s v="Women's Hair Dryer Brush"/>
    <x v="2"/>
    <x v="0"/>
    <s v="Cassandra Perez"/>
    <n v="1"/>
    <n v="984.6"/>
    <n v="0.22"/>
    <x v="0"/>
    <x v="865"/>
  </r>
  <r>
    <s v="SALE869"/>
    <d v="2023-11-30T00:00:00"/>
    <s v="CUST1279"/>
    <s v="PROD13"/>
    <s v="STORE8"/>
    <x v="2"/>
    <s v="USB-C Fast Charger"/>
    <x v="1"/>
    <x v="1"/>
    <s v="Aaron Luna"/>
    <n v="1"/>
    <n v="139.29"/>
    <n v="0"/>
    <x v="0"/>
    <x v="866"/>
  </r>
  <r>
    <s v="SALE870"/>
    <d v="2025-02-14T00:00:00"/>
    <s v="CUST1033"/>
    <s v="PROD16"/>
    <s v="STORE8"/>
    <x v="2"/>
    <s v="Not Found"/>
    <x v="5"/>
    <x v="1"/>
    <s v="Robert Jones DDS"/>
    <n v="3"/>
    <n v="459.57"/>
    <n v="0.1"/>
    <x v="2"/>
    <x v="867"/>
  </r>
  <r>
    <s v="SALE871"/>
    <d v="2024-01-11T00:00:00"/>
    <s v="CUST1066"/>
    <s v="PROD40"/>
    <s v="STORE15"/>
    <x v="10"/>
    <s v="Noise-Canceling Headphones"/>
    <x v="1"/>
    <x v="0"/>
    <s v="Cody Diaz"/>
    <n v="1"/>
    <n v="517.82000000000005"/>
    <n v="0.28999999999999998"/>
    <x v="0"/>
    <x v="868"/>
  </r>
  <r>
    <s v="SALE872"/>
    <d v="2024-12-27T00:00:00"/>
    <s v="CUST1379"/>
    <s v="PROD76"/>
    <s v="STORE6"/>
    <x v="16"/>
    <s v="Wireless Mouse"/>
    <x v="1"/>
    <x v="3"/>
    <s v="Tanya Lopez"/>
    <n v="4"/>
    <n v="282.45"/>
    <n v="0.28999999999999998"/>
    <x v="2"/>
    <x v="869"/>
  </r>
  <r>
    <s v="SALE873"/>
    <d v="2023-11-20T00:00:00"/>
    <s v="CUST1455"/>
    <s v="PROD87"/>
    <s v="STORE7"/>
    <x v="4"/>
    <s v="LED Bedside Lamp"/>
    <x v="3"/>
    <x v="2"/>
    <s v="Tyler Weber"/>
    <n v="2"/>
    <n v="386.46"/>
    <n v="0.23"/>
    <x v="2"/>
    <x v="870"/>
  </r>
  <r>
    <s v="SALE874"/>
    <d v="2025-01-04T00:00:00"/>
    <s v="CUST1195"/>
    <s v="PROD19"/>
    <s v="STORE3"/>
    <x v="0"/>
    <s v="Knee Support Brace"/>
    <x v="0"/>
    <x v="0"/>
    <s v="Anthony Garcia"/>
    <n v="1"/>
    <n v="270.45"/>
    <n v="0.15"/>
    <x v="2"/>
    <x v="871"/>
  </r>
  <r>
    <s v="SALE875"/>
    <d v="2024-07-20T00:00:00"/>
    <s v="CUST1041"/>
    <s v="PROD76"/>
    <s v="STORE10"/>
    <x v="15"/>
    <s v="Wireless Mouse"/>
    <x v="1"/>
    <x v="3"/>
    <s v="James Gibbs"/>
    <n v="3.9999999999999996"/>
    <n v="762.94"/>
    <n v="0.09"/>
    <x v="2"/>
    <x v="872"/>
  </r>
  <r>
    <s v="SALE876"/>
    <d v="2023-11-12T00:00:00"/>
    <s v="CUST1494"/>
    <s v="PROD41"/>
    <s v="STORE13"/>
    <x v="13"/>
    <s v="Yoga Exercise Mat"/>
    <x v="0"/>
    <x v="3"/>
    <s v="Justin Lopez"/>
    <n v="1"/>
    <n v="409.03"/>
    <n v="0.25"/>
    <x v="2"/>
    <x v="873"/>
  </r>
  <r>
    <s v="SALE877"/>
    <d v="2024-04-29T00:00:00"/>
    <s v="CUST1219"/>
    <s v="PROD96"/>
    <s v="STORE18"/>
    <x v="14"/>
    <s v="Women's Formal Blazer"/>
    <x v="4"/>
    <x v="3"/>
    <s v="Jordan Wells"/>
    <n v="2"/>
    <n v="891.13"/>
    <n v="0.13"/>
    <x v="0"/>
    <x v="874"/>
  </r>
  <r>
    <s v="SALE878"/>
    <d v="2024-10-28T00:00:00"/>
    <s v="CUST1032"/>
    <s v="PROD92"/>
    <s v="STORE16"/>
    <x v="9"/>
    <s v="Microwave Oven"/>
    <x v="3"/>
    <x v="1"/>
    <s v="Mike Jennings"/>
    <n v="1"/>
    <n v="553.38"/>
    <n v="0.21"/>
    <x v="1"/>
    <x v="875"/>
  </r>
  <r>
    <s v="SALE879"/>
    <d v="2023-12-21T00:00:00"/>
    <s v="CUST1160"/>
    <s v="PROD85"/>
    <s v="STORE13"/>
    <x v="13"/>
    <s v="Women's Beanie Hat"/>
    <x v="4"/>
    <x v="3"/>
    <s v="John Lawson"/>
    <n v="2.0000000000000004"/>
    <n v="652.29999999999995"/>
    <n v="0.16"/>
    <x v="2"/>
    <x v="876"/>
  </r>
  <r>
    <s v="SALE880"/>
    <d v="2024-10-10T00:00:00"/>
    <s v="CUST1122"/>
    <s v="PROD42"/>
    <s v="STORE9"/>
    <x v="11"/>
    <s v="Smart Home WiFi Camera"/>
    <x v="1"/>
    <x v="2"/>
    <s v="Michael Chang"/>
    <n v="4"/>
    <n v="194.36"/>
    <n v="0.18"/>
    <x v="2"/>
    <x v="877"/>
  </r>
  <r>
    <s v="SALE881"/>
    <d v="2025-01-03T00:00:00"/>
    <s v="CUST1153"/>
    <s v="PROD92"/>
    <s v="STORE1"/>
    <x v="8"/>
    <s v="Microwave Oven"/>
    <x v="3"/>
    <x v="0"/>
    <s v="Joseph Faulkner"/>
    <n v="3"/>
    <n v="476.37"/>
    <n v="0.21"/>
    <x v="2"/>
    <x v="878"/>
  </r>
  <r>
    <s v="SALE882"/>
    <d v="2024-03-09T00:00:00"/>
    <s v="CUST1365"/>
    <s v="PROD40"/>
    <s v="STORE5"/>
    <x v="3"/>
    <s v="Noise-Canceling Headphones"/>
    <x v="1"/>
    <x v="0"/>
    <s v="Brandon Mcbride"/>
    <n v="3.0000000000000004"/>
    <n v="174.57"/>
    <n v="0"/>
    <x v="1"/>
    <x v="879"/>
  </r>
  <r>
    <s v="SALE883"/>
    <d v="2024-08-22T00:00:00"/>
    <s v="CUST1119"/>
    <s v="PROD85"/>
    <s v="STORE0"/>
    <x v="6"/>
    <s v="Women's Beanie Hat"/>
    <x v="4"/>
    <x v="3"/>
    <s v="Michael Jones"/>
    <n v="3.0000000000000004"/>
    <n v="762"/>
    <n v="0.02"/>
    <x v="1"/>
    <x v="880"/>
  </r>
  <r>
    <s v="SALE884"/>
    <d v="2024-04-13T00:00:00"/>
    <s v="CUST1425"/>
    <s v="PROD72"/>
    <s v="STORE19"/>
    <x v="12"/>
    <s v="Professional Jump Rope"/>
    <x v="0"/>
    <x v="3"/>
    <s v="Bryce Hawkins"/>
    <n v="1"/>
    <n v="44.08"/>
    <n v="0.05"/>
    <x v="0"/>
    <x v="881"/>
  </r>
  <r>
    <s v="SALE885"/>
    <d v="2024-06-23T00:00:00"/>
    <s v="CUST1495"/>
    <s v="PROD59"/>
    <s v="STORE13"/>
    <x v="13"/>
    <s v="Men's Hair Styling Gel"/>
    <x v="2"/>
    <x v="3"/>
    <s v="James Berger"/>
    <n v="1"/>
    <n v="992.37"/>
    <n v="0.24"/>
    <x v="2"/>
    <x v="882"/>
  </r>
  <r>
    <s v="SALE886"/>
    <d v="2025-08-07T00:00:00"/>
    <s v="CUST1201"/>
    <s v="PROD31"/>
    <s v="STORE10"/>
    <x v="15"/>
    <s v="Basketball"/>
    <x v="0"/>
    <x v="3"/>
    <s v="Mary Boyd"/>
    <n v="2.9999999999999996"/>
    <n v="465.4"/>
    <n v="0.28999999999999998"/>
    <x v="2"/>
    <x v="883"/>
  </r>
  <r>
    <s v="SALE887"/>
    <d v="2025-03-08T00:00:00"/>
    <s v="CUST1337"/>
    <s v="PROD16"/>
    <s v="STORE10"/>
    <x v="15"/>
    <s v="Not Found"/>
    <x v="5"/>
    <x v="3"/>
    <s v="Carol Lewis"/>
    <n v="2"/>
    <n v="693.61"/>
    <n v="0.15"/>
    <x v="1"/>
    <x v="884"/>
  </r>
  <r>
    <s v="SALE888"/>
    <d v="2025-05-24T00:00:00"/>
    <s v="CUST1465"/>
    <s v="PROD67"/>
    <s v="STORE8"/>
    <x v="2"/>
    <s v="Smart LED Light Strip"/>
    <x v="1"/>
    <x v="1"/>
    <s v="Ronald Ross"/>
    <n v="2"/>
    <n v="995.11"/>
    <n v="0.13"/>
    <x v="1"/>
    <x v="885"/>
  </r>
  <r>
    <s v="SALE889"/>
    <d v="2025-04-02T00:00:00"/>
    <s v="CUST1381"/>
    <s v="PROD23"/>
    <s v="STORE4"/>
    <x v="5"/>
    <s v="Men's Formal Shirt"/>
    <x v="4"/>
    <x v="2"/>
    <s v="Erika Padilla"/>
    <n v="3"/>
    <n v="70.97"/>
    <n v="0.06"/>
    <x v="2"/>
    <x v="886"/>
  </r>
  <r>
    <s v="SALE890"/>
    <d v="2024-02-03T00:00:00"/>
    <s v="CUST1113"/>
    <s v="PROD83"/>
    <s v="STORE9"/>
    <x v="11"/>
    <s v="Hydrating Face Cleanser"/>
    <x v="2"/>
    <x v="2"/>
    <s v="Edward Hall"/>
    <n v="3"/>
    <n v="470.42"/>
    <n v="0.16"/>
    <x v="0"/>
    <x v="887"/>
  </r>
  <r>
    <s v="SALE891"/>
    <d v="2025-10-02T00:00:00"/>
    <s v="CUST1314"/>
    <s v="PROD86"/>
    <s v="STORE16"/>
    <x v="9"/>
    <s v="Kitchen Cutting Board"/>
    <x v="3"/>
    <x v="1"/>
    <s v="Elizabeth Johnson"/>
    <n v="2"/>
    <n v="215.59"/>
    <n v="0.18"/>
    <x v="0"/>
    <x v="888"/>
  </r>
  <r>
    <s v="SALE892"/>
    <d v="2025-08-26T00:00:00"/>
    <s v="CUST1239"/>
    <s v="PROD92"/>
    <s v="STORE0"/>
    <x v="6"/>
    <s v="Microwave Oven"/>
    <x v="3"/>
    <x v="3"/>
    <s v="Maria Hill"/>
    <n v="1"/>
    <n v="533.79999999999995"/>
    <n v="0.27"/>
    <x v="2"/>
    <x v="889"/>
  </r>
  <r>
    <s v="SALE893"/>
    <d v="2024-11-18T00:00:00"/>
    <s v="CUST1093"/>
    <s v="PROD32"/>
    <s v="STORE3"/>
    <x v="0"/>
    <s v="Vitamin C Face Serum"/>
    <x v="2"/>
    <x v="0"/>
    <s v="Christy Vasquez"/>
    <n v="2"/>
    <n v="732.67"/>
    <n v="0.24"/>
    <x v="1"/>
    <x v="890"/>
  </r>
  <r>
    <s v="SALE894"/>
    <d v="2023-11-17T00:00:00"/>
    <s v="CUST1489"/>
    <s v="PROD60"/>
    <s v="STORE13"/>
    <x v="13"/>
    <s v="Luxury Perfume Spray"/>
    <x v="2"/>
    <x v="3"/>
    <s v="Melinda Thomas"/>
    <n v="3.9999999999999996"/>
    <n v="106.48"/>
    <n v="0.1"/>
    <x v="2"/>
    <x v="891"/>
  </r>
  <r>
    <s v="SALE895"/>
    <d v="2025-02-08T00:00:00"/>
    <s v="CUST1105"/>
    <s v="PROD57"/>
    <s v="STORE3"/>
    <x v="0"/>
    <s v="Foam Roller"/>
    <x v="0"/>
    <x v="0"/>
    <s v="Lance Baker"/>
    <n v="1"/>
    <n v="38.950000000000003"/>
    <n v="0.28000000000000003"/>
    <x v="0"/>
    <x v="892"/>
  </r>
  <r>
    <s v="SALE896"/>
    <d v="2024-01-03T00:00:00"/>
    <s v="CUST1431"/>
    <s v="PROD96"/>
    <s v="STORE16"/>
    <x v="9"/>
    <s v="Women's Formal Blazer"/>
    <x v="4"/>
    <x v="1"/>
    <s v="John Smith"/>
    <n v="1"/>
    <n v="835.17"/>
    <n v="0.02"/>
    <x v="2"/>
    <x v="893"/>
  </r>
  <r>
    <s v="SALE897"/>
    <d v="2024-04-07T00:00:00"/>
    <s v="CUST1134"/>
    <s v="PROD83"/>
    <s v="STORE3"/>
    <x v="0"/>
    <s v="Hydrating Face Cleanser"/>
    <x v="2"/>
    <x v="0"/>
    <s v="Morgan Bowen"/>
    <n v="1"/>
    <n v="113.07"/>
    <n v="0.24"/>
    <x v="0"/>
    <x v="894"/>
  </r>
  <r>
    <s v="SALE898"/>
    <d v="2025-09-30T00:00:00"/>
    <s v="CUST1466"/>
    <s v="PROD94"/>
    <s v="STORE12"/>
    <x v="18"/>
    <s v="Vitamin E Body Lotion"/>
    <x v="2"/>
    <x v="0"/>
    <s v="Cynthia Parrish"/>
    <n v="2"/>
    <n v="451.33"/>
    <n v="0.23"/>
    <x v="2"/>
    <x v="895"/>
  </r>
  <r>
    <s v="SALE899"/>
    <d v="2024-06-13T00:00:00"/>
    <s v="CUST1372"/>
    <s v="PROD86"/>
    <s v="STORE6"/>
    <x v="16"/>
    <s v="Kitchen Cutting Board"/>
    <x v="3"/>
    <x v="3"/>
    <s v="Jacqueline Anthony"/>
    <n v="3.0000000000000004"/>
    <n v="619.80999999999995"/>
    <n v="0.16"/>
    <x v="2"/>
    <x v="896"/>
  </r>
  <r>
    <s v="SALE900"/>
    <d v="2025-02-25T00:00:00"/>
    <s v="CUST1108"/>
    <s v="PROD62"/>
    <s v="STORE7"/>
    <x v="4"/>
    <s v="Laptop Cooling Pad"/>
    <x v="1"/>
    <x v="2"/>
    <s v="Travis Holland"/>
    <n v="4.0000000000000009"/>
    <n v="46.97"/>
    <n v="0.26"/>
    <x v="1"/>
    <x v="897"/>
  </r>
  <r>
    <s v="SALE901"/>
    <d v="2025-05-07T00:00:00"/>
    <s v="CUST1184"/>
    <s v="PROD46"/>
    <s v="STORE2"/>
    <x v="17"/>
    <s v="Men's Winter Jacket"/>
    <x v="4"/>
    <x v="2"/>
    <s v="Leonard Cochran"/>
    <n v="2"/>
    <n v="71.48"/>
    <n v="0.14000000000000001"/>
    <x v="2"/>
    <x v="898"/>
  </r>
  <r>
    <s v="SALE902"/>
    <d v="2025-06-04T00:00:00"/>
    <s v="CUST1000"/>
    <s v="PROD56"/>
    <s v="STORE19"/>
    <x v="12"/>
    <s v="Premium Blanket Throw"/>
    <x v="3"/>
    <x v="3"/>
    <s v="  sheena bonilla  "/>
    <n v="2"/>
    <n v="404.08"/>
    <n v="7.0000000000000007E-2"/>
    <x v="0"/>
    <x v="899"/>
  </r>
  <r>
    <s v="SALE903"/>
    <d v="2024-12-27T00:00:00"/>
    <s v="CUST1264"/>
    <s v="PROD17"/>
    <s v="STORE16"/>
    <x v="9"/>
    <s v="Soccer Training Cone Set"/>
    <x v="0"/>
    <x v="1"/>
    <s v="Matthew Payne"/>
    <n v="1"/>
    <n v="519.91"/>
    <n v="0.05"/>
    <x v="2"/>
    <x v="900"/>
  </r>
  <r>
    <s v="SALE904"/>
    <d v="2025-01-15T00:00:00"/>
    <s v="CUST1145"/>
    <s v="PROD48"/>
    <s v="STORE13"/>
    <x v="13"/>
    <s v="Car Dashboard Phone Holder"/>
    <x v="1"/>
    <x v="3"/>
    <s v="Cameron Simpson"/>
    <n v="3"/>
    <n v="566.16"/>
    <n v="0.05"/>
    <x v="1"/>
    <x v="901"/>
  </r>
  <r>
    <s v="SALE905"/>
    <d v="2025-05-22T00:00:00"/>
    <s v="CUST1392"/>
    <s v="PROD52"/>
    <s v="STORE10"/>
    <x v="15"/>
    <s v="Rugby Ball"/>
    <x v="0"/>
    <x v="3"/>
    <s v="Jacqueline Payne"/>
    <n v="2"/>
    <n v="295.12"/>
    <n v="0.09"/>
    <x v="2"/>
    <x v="902"/>
  </r>
  <r>
    <s v="SALE906"/>
    <d v="2025-07-10T00:00:00"/>
    <s v="CUST1109"/>
    <s v="PROD34"/>
    <s v="STORE11"/>
    <x v="19"/>
    <s v="Gaming Mechanical Keyboard"/>
    <x v="1"/>
    <x v="2"/>
    <s v="Amy Walker"/>
    <n v="2"/>
    <n v="414.18"/>
    <n v="0.25"/>
    <x v="1"/>
    <x v="903"/>
  </r>
  <r>
    <s v="SALE907"/>
    <d v="2025-09-18T00:00:00"/>
    <s v="CUST1268"/>
    <s v="PROD58"/>
    <s v="STORE8"/>
    <x v="2"/>
    <s v="Womens Cotton Scarf"/>
    <x v="4"/>
    <x v="1"/>
    <s v="Kevin Orr"/>
    <n v="2"/>
    <n v="433.75"/>
    <n v="0"/>
    <x v="0"/>
    <x v="904"/>
  </r>
  <r>
    <s v="SALE908"/>
    <d v="2023-12-28T00:00:00"/>
    <s v="CUST1281"/>
    <s v="PROD85"/>
    <s v="STORE19"/>
    <x v="12"/>
    <s v="Women's Beanie Hat"/>
    <x v="4"/>
    <x v="3"/>
    <s v="Brittany Watson"/>
    <n v="3.0000000000000004"/>
    <n v="104.33"/>
    <n v="0.13"/>
    <x v="2"/>
    <x v="905"/>
  </r>
  <r>
    <s v="SALE909"/>
    <d v="2024-07-04T00:00:00"/>
    <s v="CUST1464"/>
    <s v="PROD4"/>
    <s v="STORE12"/>
    <x v="18"/>
    <s v="Women's Yoga Pants"/>
    <x v="4"/>
    <x v="0"/>
    <s v="Not Found"/>
    <n v="1"/>
    <n v="221.7"/>
    <n v="0.04"/>
    <x v="0"/>
    <x v="906"/>
  </r>
  <r>
    <s v="SALE910"/>
    <d v="2025-05-19T00:00:00"/>
    <s v="CUST1211"/>
    <s v="PROD67"/>
    <s v="STORE5"/>
    <x v="3"/>
    <s v="Smart LED Light Strip"/>
    <x v="1"/>
    <x v="0"/>
    <s v="Rodney Huffman"/>
    <n v="2"/>
    <n v="491.26"/>
    <n v="0.14000000000000001"/>
    <x v="2"/>
    <x v="907"/>
  </r>
  <r>
    <s v="SALE911"/>
    <d v="2024-12-04T00:00:00"/>
    <s v="CUST1181"/>
    <s v="PROD37"/>
    <s v="STORE8"/>
    <x v="2"/>
    <s v="Men's Casual Sneakers"/>
    <x v="4"/>
    <x v="1"/>
    <s v="Erin Ward"/>
    <n v="4"/>
    <n v="923.14"/>
    <n v="0.15"/>
    <x v="0"/>
    <x v="908"/>
  </r>
  <r>
    <s v="SALE912"/>
    <d v="2024-11-29T00:00:00"/>
    <s v="CUST1193"/>
    <s v="PROD64"/>
    <s v="STORE7"/>
    <x v="4"/>
    <s v="Matte Lipstick Set"/>
    <x v="2"/>
    <x v="2"/>
    <s v="David Roberts"/>
    <n v="2"/>
    <n v="747.65"/>
    <n v="0.08"/>
    <x v="0"/>
    <x v="909"/>
  </r>
  <r>
    <s v="SALE913"/>
    <d v="2025-04-26T00:00:00"/>
    <s v="CUST1109"/>
    <s v="PROD42"/>
    <s v="STORE7"/>
    <x v="4"/>
    <s v="Smart Home WiFi Camera"/>
    <x v="1"/>
    <x v="2"/>
    <s v="Amy Walker"/>
    <n v="3"/>
    <n v="94.55"/>
    <n v="0.13"/>
    <x v="2"/>
    <x v="910"/>
  </r>
  <r>
    <s v="SALE914"/>
    <d v="2024-01-17T00:00:00"/>
    <s v="CUST1039"/>
    <s v="PROD15"/>
    <s v="STORE19"/>
    <x v="12"/>
    <s v="4K Home Projector"/>
    <x v="1"/>
    <x v="3"/>
    <s v="Tonya Reynolds"/>
    <n v="3"/>
    <n v="620.12"/>
    <n v="0.06"/>
    <x v="0"/>
    <x v="911"/>
  </r>
  <r>
    <s v="SALE915"/>
    <d v="2025-07-31T00:00:00"/>
    <s v="CUST1486"/>
    <s v="PROD69"/>
    <s v="STORE6"/>
    <x v="16"/>
    <s v="Men's Sports Shorts"/>
    <x v="4"/>
    <x v="3"/>
    <s v="Not Found"/>
    <n v="2"/>
    <n v="354.09"/>
    <n v="0.12"/>
    <x v="2"/>
    <x v="912"/>
  </r>
  <r>
    <s v="SALE916"/>
    <d v="2024-11-25T00:00:00"/>
    <s v="CUST1130"/>
    <s v="PROD53"/>
    <s v="STORE5"/>
    <x v="3"/>
    <s v="Men's Track Pants"/>
    <x v="4"/>
    <x v="0"/>
    <s v="Jamie Reyes"/>
    <n v="3"/>
    <n v="214.94"/>
    <n v="0.22"/>
    <x v="2"/>
    <x v="913"/>
  </r>
  <r>
    <s v="SALE917"/>
    <d v="2024-05-16T00:00:00"/>
    <s v="CUST1199"/>
    <s v="PROD9"/>
    <s v="STORE12"/>
    <x v="18"/>
    <s v="Adjustable Dumbbell Set"/>
    <x v="0"/>
    <x v="0"/>
    <s v="Carmen Price"/>
    <n v="2"/>
    <n v="309.77999999999997"/>
    <n v="0.16"/>
    <x v="0"/>
    <x v="914"/>
  </r>
  <r>
    <s v="SALE918"/>
    <d v="2025-05-30T00:00:00"/>
    <s v="CUST1069"/>
    <s v="PROD13"/>
    <s v="STORE3"/>
    <x v="0"/>
    <s v="USB-C Fast Charger"/>
    <x v="1"/>
    <x v="0"/>
    <s v="Roy Cole"/>
    <n v="2"/>
    <n v="183.85"/>
    <n v="0.14000000000000001"/>
    <x v="1"/>
    <x v="915"/>
  </r>
  <r>
    <s v="SALE919"/>
    <d v="2023-11-08T00:00:00"/>
    <s v="CUST1409"/>
    <s v="PROD70"/>
    <s v="STORE0"/>
    <x v="6"/>
    <s v="Kitchen Storage Rack"/>
    <x v="3"/>
    <x v="3"/>
    <s v="Sarah Smith"/>
    <n v="1"/>
    <n v="550.05999999999995"/>
    <n v="0.01"/>
    <x v="0"/>
    <x v="916"/>
  </r>
  <r>
    <s v="SALE920"/>
    <d v="2023-11-23T00:00:00"/>
    <s v="CUST1029"/>
    <s v="PROD79"/>
    <s v="STORE4"/>
    <x v="5"/>
    <s v="Decorative Lamp Shade"/>
    <x v="3"/>
    <x v="2"/>
    <s v="David Arnold"/>
    <n v="2"/>
    <n v="32.19"/>
    <n v="0.13"/>
    <x v="2"/>
    <x v="917"/>
  </r>
  <r>
    <s v="SALE921"/>
    <d v="2024-06-17T00:00:00"/>
    <s v="CUST1138"/>
    <s v="PROD33"/>
    <s v="STORE19"/>
    <x v="12"/>
    <s v="Modern Wall Clock"/>
    <x v="3"/>
    <x v="3"/>
    <s v="Sean Roth"/>
    <n v="2"/>
    <n v="892.06"/>
    <n v="0.08"/>
    <x v="0"/>
    <x v="918"/>
  </r>
  <r>
    <s v="SALE922"/>
    <d v="2024-12-02T00:00:00"/>
    <s v="CUST1472"/>
    <s v="PROD58"/>
    <s v="STORE6"/>
    <x v="16"/>
    <s v="Womens Cotton Scarf"/>
    <x v="4"/>
    <x v="3"/>
    <s v="Philip Mendoza"/>
    <n v="1"/>
    <n v="127.47"/>
    <n v="0.16"/>
    <x v="2"/>
    <x v="919"/>
  </r>
  <r>
    <s v="SALE923"/>
    <d v="2025-05-01T00:00:00"/>
    <s v="CUST1388"/>
    <s v="PROD77"/>
    <s v="STORE14"/>
    <x v="7"/>
    <s v="WiFi Mesh Router"/>
    <x v="1"/>
    <x v="2"/>
    <s v="Timothy Valenzuela"/>
    <n v="3"/>
    <n v="212.87"/>
    <n v="0.18"/>
    <x v="0"/>
    <x v="920"/>
  </r>
  <r>
    <s v="SALE924"/>
    <d v="2024-06-28T00:00:00"/>
    <s v="CUST1181"/>
    <s v="PROD81"/>
    <s v="STORE7"/>
    <x v="4"/>
    <s v="Badminton Racket Set"/>
    <x v="0"/>
    <x v="2"/>
    <s v="Erin Ward"/>
    <n v="1"/>
    <n v="26.37"/>
    <n v="0.3"/>
    <x v="2"/>
    <x v="921"/>
  </r>
  <r>
    <s v="SALE925"/>
    <d v="2025-04-23T00:00:00"/>
    <s v="CUST1466"/>
    <s v="PROD34"/>
    <s v="STORE18"/>
    <x v="14"/>
    <s v="Gaming Mechanical Keyboard"/>
    <x v="1"/>
    <x v="3"/>
    <s v="Cynthia Parrish"/>
    <n v="4"/>
    <n v="953.98"/>
    <n v="0.16"/>
    <x v="0"/>
    <x v="922"/>
  </r>
  <r>
    <s v="SALE926"/>
    <d v="2024-03-18T00:00:00"/>
    <s v="CUST1215"/>
    <s v="PROD67"/>
    <s v="STORE19"/>
    <x v="12"/>
    <s v="Smart LED Light Strip"/>
    <x v="1"/>
    <x v="3"/>
    <s v="Steve Medina"/>
    <n v="2.9999999999999996"/>
    <n v="968.88"/>
    <n v="0.15"/>
    <x v="0"/>
    <x v="923"/>
  </r>
  <r>
    <s v="SALE927"/>
    <d v="2025-09-10T00:00:00"/>
    <s v="CUST1187"/>
    <s v="PROD76"/>
    <s v="STORE18"/>
    <x v="14"/>
    <s v="Wireless Mouse"/>
    <x v="1"/>
    <x v="3"/>
    <s v="Dr. Suzanne Bullock"/>
    <n v="1"/>
    <n v="533.04999999999995"/>
    <n v="0.11"/>
    <x v="1"/>
    <x v="924"/>
  </r>
  <r>
    <s v="SALE928"/>
    <d v="2024-12-11T00:00:00"/>
    <s v="CUST1381"/>
    <s v="PROD81"/>
    <s v="STORE1"/>
    <x v="8"/>
    <s v="Badminton Racket Set"/>
    <x v="0"/>
    <x v="0"/>
    <s v="Erika Padilla"/>
    <n v="2.9999999999999996"/>
    <n v="138.86000000000001"/>
    <n v="0.11"/>
    <x v="1"/>
    <x v="925"/>
  </r>
  <r>
    <s v="SALE929"/>
    <d v="2025-02-18T00:00:00"/>
    <s v="CUST1159"/>
    <s v="PROD22"/>
    <s v="STORE0"/>
    <x v="6"/>
    <s v="Carbon Fiber Tennis Racket"/>
    <x v="0"/>
    <x v="3"/>
    <s v="Brian Choi"/>
    <n v="1"/>
    <n v="588.92999999999995"/>
    <n v="0.03"/>
    <x v="2"/>
    <x v="926"/>
  </r>
  <r>
    <s v="SALE930"/>
    <d v="2024-09-22T00:00:00"/>
    <s v="CUST1403"/>
    <s v="PROD52"/>
    <s v="STORE5"/>
    <x v="3"/>
    <s v="Rugby Ball"/>
    <x v="0"/>
    <x v="0"/>
    <s v="Justin Ingram"/>
    <n v="2"/>
    <n v="576.83000000000004"/>
    <n v="0.19"/>
    <x v="1"/>
    <x v="927"/>
  </r>
  <r>
    <s v="SALE931"/>
    <d v="2024-02-16T00:00:00"/>
    <s v="CUST1323"/>
    <s v="PROD65"/>
    <s v="STORE12"/>
    <x v="18"/>
    <s v="Adjustable Dumbbells 20kg"/>
    <x v="0"/>
    <x v="0"/>
    <s v="Kristy Dunlap"/>
    <n v="1"/>
    <n v="681.3"/>
    <n v="0.05"/>
    <x v="0"/>
    <x v="928"/>
  </r>
  <r>
    <s v="SALE932"/>
    <d v="2024-05-29T00:00:00"/>
    <s v="CUST1457"/>
    <s v="PROD25"/>
    <s v="STORE15"/>
    <x v="10"/>
    <s v="Women's Scarf Set"/>
    <x v="4"/>
    <x v="0"/>
    <s v="Christina Robertson"/>
    <n v="3"/>
    <n v="504.97"/>
    <n v="0.3"/>
    <x v="0"/>
    <x v="929"/>
  </r>
  <r>
    <s v="SALE933"/>
    <d v="2024-04-14T00:00:00"/>
    <s v="CUST1060"/>
    <s v="PROD38"/>
    <s v="STORE11"/>
    <x v="19"/>
    <s v="Sports Water Hydration Pack"/>
    <x v="0"/>
    <x v="2"/>
    <s v="Dr. David Smith"/>
    <n v="3"/>
    <n v="649.78"/>
    <n v="0.1"/>
    <x v="1"/>
    <x v="930"/>
  </r>
  <r>
    <s v="SALE934"/>
    <d v="2024-01-26T00:00:00"/>
    <s v="CUST1245"/>
    <s v="PROD39"/>
    <s v="STORE9"/>
    <x v="11"/>
    <s v="Portable Power Bank"/>
    <x v="1"/>
    <x v="2"/>
    <s v="Laura Soto"/>
    <n v="2"/>
    <n v="986.73"/>
    <n v="0.05"/>
    <x v="1"/>
    <x v="931"/>
  </r>
  <r>
    <s v="SALE935"/>
    <d v="2023-11-05T00:00:00"/>
    <s v="CUST1119"/>
    <s v="PROD13"/>
    <s v="STORE15"/>
    <x v="10"/>
    <s v="USB-C Fast Charger"/>
    <x v="1"/>
    <x v="0"/>
    <s v="Michael Jones"/>
    <n v="2.0000000000000004"/>
    <n v="65.44"/>
    <n v="0.05"/>
    <x v="1"/>
    <x v="932"/>
  </r>
  <r>
    <s v="SALE936"/>
    <d v="2025-06-16T00:00:00"/>
    <s v="CUST1383"/>
    <s v="PROD63"/>
    <s v="STORE13"/>
    <x v="13"/>
    <s v="Organic Sunscreen Lotion"/>
    <x v="2"/>
    <x v="3"/>
    <s v="Kristine Higgins"/>
    <n v="3.0000000000000004"/>
    <n v="953.74"/>
    <n v="0.04"/>
    <x v="0"/>
    <x v="933"/>
  </r>
  <r>
    <s v="SALE937"/>
    <d v="2024-09-08T00:00:00"/>
    <s v="CUST1067"/>
    <s v="PROD76"/>
    <s v="STORE10"/>
    <x v="15"/>
    <s v="Wireless Mouse"/>
    <x v="1"/>
    <x v="3"/>
    <s v="Amber Mcclain"/>
    <n v="3"/>
    <n v="904.48"/>
    <n v="0.21"/>
    <x v="1"/>
    <x v="934"/>
  </r>
  <r>
    <s v="SALE938"/>
    <d v="2024-10-30T00:00:00"/>
    <s v="CUST1492"/>
    <s v="PROD62"/>
    <s v="STORE15"/>
    <x v="10"/>
    <s v="Laptop Cooling Pad"/>
    <x v="1"/>
    <x v="0"/>
    <s v="Darrell Miller"/>
    <n v="2.9999999999999996"/>
    <n v="920.82"/>
    <n v="0.1"/>
    <x v="1"/>
    <x v="935"/>
  </r>
  <r>
    <s v="SALE939"/>
    <d v="2025-05-26T00:00:00"/>
    <s v="CUST1305"/>
    <s v="PROD28"/>
    <s v="STORE1"/>
    <x v="8"/>
    <s v="Sports Stopwatch Timer"/>
    <x v="0"/>
    <x v="0"/>
    <s v="Roberta Green"/>
    <n v="1"/>
    <n v="182.28"/>
    <n v="0.15"/>
    <x v="2"/>
    <x v="936"/>
  </r>
  <r>
    <s v="SALE940"/>
    <d v="2025-08-11T00:00:00"/>
    <s v="CUST1445"/>
    <s v="PROD31"/>
    <s v="STORE16"/>
    <x v="9"/>
    <s v="Basketball"/>
    <x v="0"/>
    <x v="1"/>
    <s v="Gene Lee"/>
    <n v="3.0000000000000004"/>
    <n v="938.68"/>
    <n v="0.14000000000000001"/>
    <x v="0"/>
    <x v="937"/>
  </r>
  <r>
    <s v="SALE941"/>
    <d v="2025-02-02T00:00:00"/>
    <s v="CUST1081"/>
    <s v="PROD91"/>
    <s v="STORE5"/>
    <x v="3"/>
    <s v="Women's High Heels"/>
    <x v="4"/>
    <x v="0"/>
    <s v="Krystal Ford"/>
    <n v="3"/>
    <n v="219.96"/>
    <n v="0.18"/>
    <x v="1"/>
    <x v="938"/>
  </r>
  <r>
    <s v="SALE942"/>
    <d v="2025-07-03T00:00:00"/>
    <s v="CUST1473"/>
    <s v="PROD71"/>
    <s v="STORE18"/>
    <x v="14"/>
    <s v="Hair Repair Oil Treatment"/>
    <x v="2"/>
    <x v="3"/>
    <s v="Laura Mathews"/>
    <n v="3"/>
    <n v="385.74"/>
    <n v="0.27"/>
    <x v="0"/>
    <x v="939"/>
  </r>
  <r>
    <s v="SALE943"/>
    <d v="2024-03-29T00:00:00"/>
    <s v="CUST1453"/>
    <s v="PROD81"/>
    <s v="STORE18"/>
    <x v="14"/>
    <s v="Badminton Racket Set"/>
    <x v="0"/>
    <x v="3"/>
    <s v="April Phillips"/>
    <n v="2"/>
    <n v="830.94"/>
    <n v="0.28000000000000003"/>
    <x v="1"/>
    <x v="940"/>
  </r>
  <r>
    <s v="SALE944"/>
    <d v="2024-07-30T00:00:00"/>
    <s v="CUST1383"/>
    <s v="PROD3"/>
    <s v="STORE9"/>
    <x v="11"/>
    <s v="Not Found"/>
    <x v="5"/>
    <x v="2"/>
    <s v="Kristine Higgins"/>
    <n v="3"/>
    <n v="462.75"/>
    <n v="0.22"/>
    <x v="1"/>
    <x v="941"/>
  </r>
  <r>
    <s v="SALE945"/>
    <d v="2024-10-02T00:00:00"/>
    <s v="CUST1067"/>
    <s v="PROD14"/>
    <s v="STORE15"/>
    <x v="10"/>
    <s v="Decorative Wall Mirror"/>
    <x v="3"/>
    <x v="0"/>
    <s v="Amber Mcclain"/>
    <n v="4.0000000000000009"/>
    <n v="973.9"/>
    <n v="0.02"/>
    <x v="2"/>
    <x v="942"/>
  </r>
  <r>
    <s v="SALE946"/>
    <d v="2024-11-04T00:00:00"/>
    <s v="CUST1140"/>
    <s v="PROD35"/>
    <s v="STORE1"/>
    <x v="8"/>
    <s v="Bedroom Table Lamp"/>
    <x v="3"/>
    <x v="0"/>
    <s v="Patty Francis"/>
    <n v="2"/>
    <n v="157.18"/>
    <n v="0.15"/>
    <x v="0"/>
    <x v="943"/>
  </r>
  <r>
    <s v="SALE947"/>
    <d v="2024-05-03T00:00:00"/>
    <s v="CUST1013"/>
    <s v="PROD73"/>
    <s v="STORE13"/>
    <x v="13"/>
    <s v="Shin Guards – Adult"/>
    <x v="0"/>
    <x v="3"/>
    <s v="Nathan Hernandez"/>
    <n v="3"/>
    <n v="239.57"/>
    <n v="0.16"/>
    <x v="0"/>
    <x v="944"/>
  </r>
  <r>
    <s v="SALE948"/>
    <d v="2024-02-21T00:00:00"/>
    <s v="CUST1327"/>
    <s v="PROD9"/>
    <s v="STORE16"/>
    <x v="9"/>
    <s v="Adjustable Dumbbell Set"/>
    <x v="0"/>
    <x v="1"/>
    <s v="Reginald Willis"/>
    <n v="3.9999999999999996"/>
    <n v="583.21"/>
    <n v="0.2"/>
    <x v="0"/>
    <x v="945"/>
  </r>
  <r>
    <s v="SALE949"/>
    <d v="2024-04-17T00:00:00"/>
    <s v="CUST1413"/>
    <s v="PROD81"/>
    <s v="STORE8"/>
    <x v="2"/>
    <s v="Badminton Racket Set"/>
    <x v="0"/>
    <x v="1"/>
    <s v="Megan Ryan"/>
    <n v="3"/>
    <n v="758.75"/>
    <n v="0.27"/>
    <x v="1"/>
    <x v="946"/>
  </r>
  <r>
    <s v="SALE950"/>
    <d v="2025-02-01T00:00:00"/>
    <s v="CUST1309"/>
    <s v="PROD61"/>
    <s v="STORE5"/>
    <x v="3"/>
    <s v="Tennis Ball 3-Pack"/>
    <x v="0"/>
    <x v="0"/>
    <s v="Stacy Collins"/>
    <n v="3.9999999999999991"/>
    <n v="372.42"/>
    <n v="0.19"/>
    <x v="0"/>
    <x v="947"/>
  </r>
  <r>
    <s v="SALE951"/>
    <d v="2025-02-11T00:00:00"/>
    <s v="CUST1154"/>
    <s v="PROD63"/>
    <s v="STORE19"/>
    <x v="12"/>
    <s v="Organic Sunscreen Lotion"/>
    <x v="2"/>
    <x v="3"/>
    <s v="Julie Hale"/>
    <n v="4"/>
    <n v="286.27999999999997"/>
    <n v="0.28000000000000003"/>
    <x v="1"/>
    <x v="948"/>
  </r>
  <r>
    <s v="SALE952"/>
    <d v="2025-01-06T00:00:00"/>
    <s v="CUST1279"/>
    <s v="PROD73"/>
    <s v="STORE11"/>
    <x v="19"/>
    <s v="Shin Guards – Adult"/>
    <x v="0"/>
    <x v="2"/>
    <s v="Aaron Luna"/>
    <n v="2.9999999999999996"/>
    <n v="488.37"/>
    <n v="0.27"/>
    <x v="2"/>
    <x v="949"/>
  </r>
  <r>
    <s v="SALE953"/>
    <d v="2024-03-26T00:00:00"/>
    <s v="CUST1469"/>
    <s v="PROD87"/>
    <s v="STORE8"/>
    <x v="2"/>
    <s v="LED Bedside Lamp"/>
    <x v="3"/>
    <x v="1"/>
    <s v="James Foster"/>
    <n v="2.9999999999999996"/>
    <n v="662.82"/>
    <n v="0.01"/>
    <x v="2"/>
    <x v="950"/>
  </r>
  <r>
    <s v="SALE954"/>
    <d v="2024-04-30T00:00:00"/>
    <s v="CUST1497"/>
    <s v="PROD6"/>
    <s v="STORE16"/>
    <x v="9"/>
    <s v="Herbal Face Moisturizer"/>
    <x v="2"/>
    <x v="1"/>
    <s v="Sarah Marsh"/>
    <n v="1.9999999999999998"/>
    <n v="824.34"/>
    <n v="0.1"/>
    <x v="2"/>
    <x v="951"/>
  </r>
  <r>
    <s v="SALE955"/>
    <d v="2024-02-27T00:00:00"/>
    <s v="CUST1113"/>
    <s v="PROD59"/>
    <s v="STORE8"/>
    <x v="2"/>
    <s v="Men's Hair Styling Gel"/>
    <x v="2"/>
    <x v="1"/>
    <s v="Edward Hall"/>
    <n v="0.99999999999999989"/>
    <n v="437.12"/>
    <n v="0.21"/>
    <x v="0"/>
    <x v="952"/>
  </r>
  <r>
    <s v="SALE956"/>
    <d v="2024-07-13T00:00:00"/>
    <s v="CUST1357"/>
    <s v="PROD88"/>
    <s v="STORE6"/>
    <x v="16"/>
    <s v="Sports Wrist Sweatbands"/>
    <x v="0"/>
    <x v="3"/>
    <s v="Manuel Castillo"/>
    <n v="3"/>
    <n v="23.37"/>
    <n v="0.15"/>
    <x v="1"/>
    <x v="953"/>
  </r>
  <r>
    <s v="SALE957"/>
    <d v="2025-04-14T00:00:00"/>
    <s v="CUST1187"/>
    <s v="PROD36"/>
    <s v="STORE8"/>
    <x v="2"/>
    <s v="Women's Summer Dress"/>
    <x v="4"/>
    <x v="1"/>
    <s v="Dr. Suzanne Bullock"/>
    <n v="1"/>
    <n v="579.69000000000005"/>
    <n v="0.02"/>
    <x v="0"/>
    <x v="954"/>
  </r>
  <r>
    <s v="SALE958"/>
    <d v="2024-12-13T00:00:00"/>
    <s v="CUST1430"/>
    <s v="PROD78"/>
    <s v="STORE14"/>
    <x v="7"/>
    <s v="Essential Oil Diffuser"/>
    <x v="3"/>
    <x v="2"/>
    <s v="Kimberly Roberts"/>
    <n v="3"/>
    <n v="240.51"/>
    <n v="7.0000000000000007E-2"/>
    <x v="0"/>
    <x v="955"/>
  </r>
  <r>
    <s v="SALE959"/>
    <d v="2025-08-24T00:00:00"/>
    <s v="CUST1382"/>
    <s v="PROD25"/>
    <s v="STORE14"/>
    <x v="7"/>
    <s v="Women's Scarf Set"/>
    <x v="4"/>
    <x v="2"/>
    <s v="Martha Brown"/>
    <n v="2"/>
    <n v="855.4"/>
    <n v="0.08"/>
    <x v="2"/>
    <x v="956"/>
  </r>
  <r>
    <s v="SALE960"/>
    <d v="2023-10-28T00:00:00"/>
    <s v="CUST1007"/>
    <s v="PROD90"/>
    <s v="STORE7"/>
    <x v="4"/>
    <s v="Gaming Mouse Pad XL"/>
    <x v="1"/>
    <x v="2"/>
    <s v="Daniel Boyd"/>
    <n v="1"/>
    <n v="537.26"/>
    <n v="0.09"/>
    <x v="0"/>
    <x v="957"/>
  </r>
  <r>
    <s v="SALE961"/>
    <d v="2024-12-11T00:00:00"/>
    <s v="CUST1384"/>
    <s v="PROD51"/>
    <s v="STORE10"/>
    <x v="15"/>
    <s v="HDMI Cable – 2m"/>
    <x v="1"/>
    <x v="3"/>
    <s v="Andrew Mason"/>
    <n v="3"/>
    <n v="918.26"/>
    <n v="0.17"/>
    <x v="2"/>
    <x v="958"/>
  </r>
  <r>
    <s v="SALE962"/>
    <d v="2024-06-29T00:00:00"/>
    <s v="CUST1095"/>
    <s v="PROD6"/>
    <s v="STORE9"/>
    <x v="11"/>
    <s v="Herbal Face Moisturizer"/>
    <x v="2"/>
    <x v="2"/>
    <s v="Amy Fowler"/>
    <n v="3.9999999999999991"/>
    <n v="579.70000000000005"/>
    <n v="0.18"/>
    <x v="1"/>
    <x v="959"/>
  </r>
  <r>
    <s v="SALE963"/>
    <d v="2025-02-22T00:00:00"/>
    <s v="CUST1145"/>
    <s v="PROD43"/>
    <s v="STORE6"/>
    <x v="16"/>
    <s v="USB External Hard Drive"/>
    <x v="1"/>
    <x v="3"/>
    <s v="Cameron Simpson"/>
    <n v="1"/>
    <n v="824.32"/>
    <n v="0.18"/>
    <x v="0"/>
    <x v="960"/>
  </r>
  <r>
    <s v="SALE964"/>
    <d v="2025-01-25T00:00:00"/>
    <s v="CUST1109"/>
    <s v="PROD46"/>
    <s v="STORE15"/>
    <x v="10"/>
    <s v="Men's Winter Jacket"/>
    <x v="4"/>
    <x v="0"/>
    <s v="Amy Walker"/>
    <n v="4"/>
    <n v="614.99"/>
    <n v="0.16"/>
    <x v="1"/>
    <x v="961"/>
  </r>
  <r>
    <s v="SALE965"/>
    <d v="2025-03-14T00:00:00"/>
    <s v="CUST1128"/>
    <s v="PROD62"/>
    <s v="STORE0"/>
    <x v="6"/>
    <s v="Laptop Cooling Pad"/>
    <x v="1"/>
    <x v="3"/>
    <s v="Susan Mcdonald"/>
    <n v="4"/>
    <n v="189.21"/>
    <n v="0.06"/>
    <x v="2"/>
    <x v="962"/>
  </r>
  <r>
    <s v="SALE966"/>
    <d v="2024-12-03T00:00:00"/>
    <s v="CUST1154"/>
    <s v="PROD62"/>
    <s v="STORE14"/>
    <x v="7"/>
    <s v="Laptop Cooling Pad"/>
    <x v="1"/>
    <x v="2"/>
    <s v="Julie Hale"/>
    <n v="2"/>
    <n v="233.33"/>
    <n v="0.05"/>
    <x v="0"/>
    <x v="963"/>
  </r>
  <r>
    <s v="SALE967"/>
    <d v="2025-05-06T00:00:00"/>
    <s v="CUST1248"/>
    <s v="PROD39"/>
    <s v="STORE18"/>
    <x v="14"/>
    <s v="Portable Power Bank"/>
    <x v="1"/>
    <x v="3"/>
    <s v="Nicholas Webb"/>
    <n v="3"/>
    <n v="529.89"/>
    <n v="0.21"/>
    <x v="0"/>
    <x v="964"/>
  </r>
  <r>
    <s v="SALE968"/>
    <d v="2024-08-14T00:00:00"/>
    <s v="CUST1489"/>
    <s v="PROD92"/>
    <s v="STORE1"/>
    <x v="8"/>
    <s v="Microwave Oven"/>
    <x v="3"/>
    <x v="0"/>
    <s v="Melinda Thomas"/>
    <n v="2"/>
    <n v="954.1"/>
    <n v="0.17"/>
    <x v="1"/>
    <x v="965"/>
  </r>
  <r>
    <s v="SALE969"/>
    <d v="2023-12-14T00:00:00"/>
    <s v="CUST1323"/>
    <s v="PROD65"/>
    <s v="STORE7"/>
    <x v="4"/>
    <s v="Adjustable Dumbbells 20kg"/>
    <x v="0"/>
    <x v="2"/>
    <s v="Kristy Dunlap"/>
    <n v="1"/>
    <n v="370.04"/>
    <n v="0.04"/>
    <x v="2"/>
    <x v="966"/>
  </r>
  <r>
    <s v="SALE970"/>
    <d v="2024-01-06T00:00:00"/>
    <s v="CUST1061"/>
    <s v="PROD96"/>
    <s v="STORE19"/>
    <x v="12"/>
    <s v="Women's Formal Blazer"/>
    <x v="4"/>
    <x v="3"/>
    <s v="Kristin Stein"/>
    <n v="4"/>
    <n v="492.71"/>
    <n v="0.08"/>
    <x v="0"/>
    <x v="967"/>
  </r>
  <r>
    <s v="SALE971"/>
    <d v="2024-08-26T00:00:00"/>
    <s v="CUST1280"/>
    <s v="PROD91"/>
    <s v="STORE13"/>
    <x v="13"/>
    <s v="Women's High Heels"/>
    <x v="4"/>
    <x v="3"/>
    <s v="Antonio Leon"/>
    <n v="4"/>
    <n v="853.26"/>
    <n v="0.24"/>
    <x v="2"/>
    <x v="968"/>
  </r>
  <r>
    <s v="SALE972"/>
    <d v="2025-03-24T00:00:00"/>
    <s v="CUST1406"/>
    <s v="PROD3"/>
    <s v="STORE16"/>
    <x v="9"/>
    <s v="Not Found"/>
    <x v="5"/>
    <x v="1"/>
    <s v="David Lozano"/>
    <n v="1.0000000000000002"/>
    <n v="402.47"/>
    <n v="0.19"/>
    <x v="1"/>
    <x v="969"/>
  </r>
  <r>
    <s v="SALE973"/>
    <d v="2024-01-20T00:00:00"/>
    <s v="CUST1402"/>
    <s v="PROD54"/>
    <s v="STORE18"/>
    <x v="14"/>
    <s v="Sports Stopwatch Pro"/>
    <x v="0"/>
    <x v="3"/>
    <s v="Cassandra Perez"/>
    <n v="2"/>
    <n v="528.29999999999995"/>
    <n v="0.24"/>
    <x v="0"/>
    <x v="970"/>
  </r>
  <r>
    <s v="SALE974"/>
    <d v="2025-01-10T00:00:00"/>
    <s v="CUST1444"/>
    <s v="PROD10"/>
    <s v="STORE6"/>
    <x v="16"/>
    <s v="Ceramic Kitchen Bowl Set"/>
    <x v="3"/>
    <x v="3"/>
    <s v="Cheryl Carr"/>
    <n v="3.9999999999999996"/>
    <n v="599.85"/>
    <n v="0.25"/>
    <x v="0"/>
    <x v="971"/>
  </r>
  <r>
    <s v="SALE975"/>
    <d v="2023-12-21T00:00:00"/>
    <s v="CUST1303"/>
    <s v="PROD16"/>
    <s v="STORE9"/>
    <x v="11"/>
    <s v="Not Found"/>
    <x v="5"/>
    <x v="2"/>
    <s v="John Sloan"/>
    <n v="1.9999999999999998"/>
    <n v="61.42"/>
    <n v="0.08"/>
    <x v="1"/>
    <x v="972"/>
  </r>
  <r>
    <s v="SALE976"/>
    <d v="2025-02-05T00:00:00"/>
    <s v="CUST1249"/>
    <s v="PROD19"/>
    <s v="STORE10"/>
    <x v="15"/>
    <s v="Knee Support Brace"/>
    <x v="0"/>
    <x v="3"/>
    <s v="Lauren George"/>
    <n v="2"/>
    <n v="466.42"/>
    <n v="0.12"/>
    <x v="1"/>
    <x v="973"/>
  </r>
  <r>
    <s v="SALE977"/>
    <d v="2025-07-19T00:00:00"/>
    <s v="CUST1099"/>
    <s v="PROD31"/>
    <s v="STORE5"/>
    <x v="3"/>
    <s v="Basketball"/>
    <x v="0"/>
    <x v="0"/>
    <s v="Sheila Wilson"/>
    <n v="3.9999999999999996"/>
    <n v="540.69000000000005"/>
    <n v="0.09"/>
    <x v="2"/>
    <x v="974"/>
  </r>
  <r>
    <s v="SALE978"/>
    <d v="2025-03-21T00:00:00"/>
    <s v="CUST1298"/>
    <s v="PROD19"/>
    <s v="STORE13"/>
    <x v="13"/>
    <s v="Knee Support Brace"/>
    <x v="0"/>
    <x v="3"/>
    <s v="Tracy Stephens"/>
    <n v="3"/>
    <n v="677.46"/>
    <n v="0.05"/>
    <x v="0"/>
    <x v="975"/>
  </r>
  <r>
    <s v="SALE979"/>
    <d v="2025-04-24T00:00:00"/>
    <s v="CUST1328"/>
    <s v="PROD21"/>
    <s v="STORE1"/>
    <x v="8"/>
    <s v="Multi-Purpose Storage Box"/>
    <x v="3"/>
    <x v="0"/>
    <s v="Mario Harvey Jr."/>
    <n v="3"/>
    <n v="614.63"/>
    <n v="0.06"/>
    <x v="1"/>
    <x v="976"/>
  </r>
  <r>
    <s v="SALE980"/>
    <d v="2023-12-12T00:00:00"/>
    <s v="CUST1232"/>
    <s v="PROD66"/>
    <s v="STORE8"/>
    <x v="2"/>
    <s v="Women's Hair Dryer Brush"/>
    <x v="2"/>
    <x v="1"/>
    <s v="Christy Hill"/>
    <n v="4"/>
    <n v="649.52"/>
    <n v="0.11"/>
    <x v="0"/>
    <x v="977"/>
  </r>
  <r>
    <s v="SALE981"/>
    <d v="2024-07-08T00:00:00"/>
    <s v="CUST1445"/>
    <s v="PROD85"/>
    <s v="STORE8"/>
    <x v="2"/>
    <s v="Women's Beanie Hat"/>
    <x v="4"/>
    <x v="1"/>
    <s v="Gene Lee"/>
    <n v="2"/>
    <n v="943.93"/>
    <n v="0.22"/>
    <x v="1"/>
    <x v="978"/>
  </r>
  <r>
    <s v="SALE982"/>
    <d v="2023-10-29T00:00:00"/>
    <s v="CUST1165"/>
    <s v="PROD31"/>
    <s v="STORE8"/>
    <x v="2"/>
    <s v="Basketball"/>
    <x v="0"/>
    <x v="1"/>
    <s v="Jason Wheeler"/>
    <n v="4"/>
    <n v="538.73"/>
    <n v="0.03"/>
    <x v="0"/>
    <x v="979"/>
  </r>
  <r>
    <s v="SALE983"/>
    <d v="2024-05-20T00:00:00"/>
    <s v="CUST1088"/>
    <s v="PROD66"/>
    <s v="STORE8"/>
    <x v="2"/>
    <s v="Women's Hair Dryer Brush"/>
    <x v="2"/>
    <x v="1"/>
    <s v="Timothy Wright"/>
    <n v="2.0000000000000004"/>
    <n v="853.93"/>
    <n v="0.01"/>
    <x v="1"/>
    <x v="980"/>
  </r>
  <r>
    <s v="SALE984"/>
    <d v="2025-09-14T00:00:00"/>
    <s v="CUST1491"/>
    <s v="PROD29"/>
    <s v="STORE4"/>
    <x v="5"/>
    <s v="Fabric Sofa Throw Blanket"/>
    <x v="3"/>
    <x v="2"/>
    <s v="Not Found"/>
    <n v="4"/>
    <n v="465.42"/>
    <n v="0.26"/>
    <x v="2"/>
    <x v="981"/>
  </r>
  <r>
    <s v="SALE985"/>
    <d v="2025-04-11T00:00:00"/>
    <s v="CUST1055"/>
    <s v="PROD1"/>
    <s v="STORE11"/>
    <x v="19"/>
    <s v="Men's Graphic T-Shirt"/>
    <x v="4"/>
    <x v="2"/>
    <s v="Wayne Mcpherson"/>
    <n v="4"/>
    <n v="880.26"/>
    <n v="0.11"/>
    <x v="2"/>
    <x v="982"/>
  </r>
  <r>
    <s v="SALE986"/>
    <d v="2024-05-17T00:00:00"/>
    <s v="CUST1483"/>
    <s v="PROD51"/>
    <s v="STORE11"/>
    <x v="19"/>
    <s v="HDMI Cable – 2m"/>
    <x v="1"/>
    <x v="2"/>
    <s v="Sarah Smith"/>
    <n v="3"/>
    <n v="461.02"/>
    <n v="0.28999999999999998"/>
    <x v="1"/>
    <x v="983"/>
  </r>
  <r>
    <s v="SALE987"/>
    <d v="2024-10-13T00:00:00"/>
    <s v="CUST1026"/>
    <s v="PROD25"/>
    <s v="STORE13"/>
    <x v="13"/>
    <s v="Women's Scarf Set"/>
    <x v="4"/>
    <x v="3"/>
    <s v="Amber Carlson"/>
    <n v="1"/>
    <n v="531.99"/>
    <n v="0.17"/>
    <x v="1"/>
    <x v="984"/>
  </r>
  <r>
    <s v="SALE988"/>
    <d v="2024-07-13T00:00:00"/>
    <s v="CUST1004"/>
    <s v="PROD47"/>
    <s v="STORE17"/>
    <x v="1"/>
    <s v="Makeup Brush Set"/>
    <x v="2"/>
    <x v="0"/>
    <s v="Caroline Collins"/>
    <n v="2.0000000000000004"/>
    <n v="274.08999999999997"/>
    <n v="0.13"/>
    <x v="1"/>
    <x v="985"/>
  </r>
  <r>
    <s v="SALE989"/>
    <d v="2025-02-06T00:00:00"/>
    <s v="CUST1443"/>
    <s v="PROD88"/>
    <s v="STORE10"/>
    <x v="15"/>
    <s v="Sports Wrist Sweatbands"/>
    <x v="0"/>
    <x v="3"/>
    <s v="Adam Castro"/>
    <n v="1"/>
    <n v="66.14"/>
    <n v="0.14000000000000001"/>
    <x v="2"/>
    <x v="986"/>
  </r>
  <r>
    <s v="SALE990"/>
    <d v="2025-08-06T00:00:00"/>
    <s v="CUST1077"/>
    <s v="PROD20"/>
    <s v="STORE9"/>
    <x v="11"/>
    <s v="Outdoor Sports Water Bottle"/>
    <x v="0"/>
    <x v="2"/>
    <s v="Katherine Young"/>
    <n v="3"/>
    <n v="955.82"/>
    <n v="0.16"/>
    <x v="2"/>
    <x v="987"/>
  </r>
  <r>
    <s v="SALE991"/>
    <d v="2024-05-20T00:00:00"/>
    <s v="CUST1319"/>
    <s v="PROD22"/>
    <s v="STORE12"/>
    <x v="18"/>
    <s v="Carbon Fiber Tennis Racket"/>
    <x v="0"/>
    <x v="0"/>
    <s v="Casey Simpson"/>
    <n v="1"/>
    <n v="904.92"/>
    <n v="0.13"/>
    <x v="0"/>
    <x v="988"/>
  </r>
  <r>
    <s v="SALE992"/>
    <d v="2024-10-10T00:00:00"/>
    <s v="CUST1000"/>
    <s v="PROD40"/>
    <s v="STORE7"/>
    <x v="4"/>
    <s v="Noise-Canceling Headphones"/>
    <x v="1"/>
    <x v="2"/>
    <s v="  sheena bonilla  "/>
    <n v="3"/>
    <n v="490.02"/>
    <n v="0.26"/>
    <x v="0"/>
    <x v="989"/>
  </r>
  <r>
    <s v="SALE993"/>
    <d v="2024-02-18T00:00:00"/>
    <s v="CUST1363"/>
    <s v="PROD19"/>
    <s v="STORE6"/>
    <x v="16"/>
    <s v="Knee Support Brace"/>
    <x v="0"/>
    <x v="3"/>
    <s v="Elizabeth Smith"/>
    <n v="2"/>
    <n v="957.54"/>
    <n v="0.1"/>
    <x v="2"/>
    <x v="990"/>
  </r>
  <r>
    <s v="SALE994"/>
    <d v="2025-09-26T00:00:00"/>
    <s v="CUST1329"/>
    <s v="PROD99"/>
    <s v="STORE13"/>
    <x v="13"/>
    <s v="Stainless Steel Cookware Set"/>
    <x v="3"/>
    <x v="3"/>
    <s v="Victor Mcintosh"/>
    <n v="2"/>
    <n v="314.39999999999998"/>
    <n v="7.0000000000000007E-2"/>
    <x v="1"/>
    <x v="991"/>
  </r>
  <r>
    <s v="SALE995"/>
    <d v="2024-03-22T00:00:00"/>
    <s v="CUST1394"/>
    <s v="PROD24"/>
    <s v="STORE6"/>
    <x v="16"/>
    <s v="Foldable Camping Chair"/>
    <x v="0"/>
    <x v="3"/>
    <s v="Alejandro Evans"/>
    <n v="3"/>
    <n v="480.11"/>
    <n v="0.11"/>
    <x v="1"/>
    <x v="992"/>
  </r>
  <r>
    <s v="SALE996"/>
    <d v="2024-10-14T00:00:00"/>
    <s v="CUST1388"/>
    <s v="PROD48"/>
    <s v="STORE6"/>
    <x v="16"/>
    <s v="Car Dashboard Phone Holder"/>
    <x v="1"/>
    <x v="3"/>
    <s v="Timothy Valenzuela"/>
    <n v="4"/>
    <n v="826.55"/>
    <n v="0.28000000000000003"/>
    <x v="0"/>
    <x v="993"/>
  </r>
  <r>
    <s v="SALE997"/>
    <d v="2025-05-28T00:00:00"/>
    <s v="CUST1190"/>
    <s v="PROD27"/>
    <s v="STORE3"/>
    <x v="0"/>
    <s v="Decorative Floor Vase"/>
    <x v="3"/>
    <x v="0"/>
    <s v="Christopher Stewart"/>
    <n v="3"/>
    <n v="530.16999999999996"/>
    <n v="0.18"/>
    <x v="1"/>
    <x v="994"/>
  </r>
  <r>
    <s v="SALE998"/>
    <d v="2024-08-18T00:00:00"/>
    <s v="CUST1407"/>
    <s v="PROD34"/>
    <s v="STORE17"/>
    <x v="1"/>
    <s v="Gaming Mechanical Keyboard"/>
    <x v="1"/>
    <x v="0"/>
    <s v="Joseph Mendoza"/>
    <n v="2.9999999999999996"/>
    <n v="336.17"/>
    <n v="0.04"/>
    <x v="2"/>
    <x v="995"/>
  </r>
  <r>
    <s v="SALE999"/>
    <d v="2024-01-13T00:00:00"/>
    <s v="CUST1421"/>
    <s v="PROD81"/>
    <s v="STORE8"/>
    <x v="2"/>
    <s v="Badminton Racket Set"/>
    <x v="0"/>
    <x v="1"/>
    <s v="Holly Robinson"/>
    <n v="4"/>
    <n v="22.51"/>
    <n v="0.27"/>
    <x v="1"/>
    <x v="996"/>
  </r>
  <r>
    <s v="SALE1000"/>
    <d v="2024-06-13T00:00:00"/>
    <s v="CUST1190"/>
    <s v="PROD59"/>
    <s v="STORE2"/>
    <x v="17"/>
    <s v="Men's Hair Styling Gel"/>
    <x v="2"/>
    <x v="2"/>
    <s v="Christopher Stewart"/>
    <n v="2.0000000000000004"/>
    <n v="909.51"/>
    <n v="0.27"/>
    <x v="0"/>
    <x v="997"/>
  </r>
  <r>
    <s v="SALE1001"/>
    <d v="2025-04-29T00:00:00"/>
    <s v="CUST1052"/>
    <s v="PROD69"/>
    <s v="STORE14"/>
    <x v="7"/>
    <s v="Men's Sports Shorts"/>
    <x v="4"/>
    <x v="2"/>
    <s v="Debra Liu"/>
    <n v="3.9999999999999996"/>
    <n v="593.84"/>
    <n v="0.24"/>
    <x v="1"/>
    <x v="998"/>
  </r>
  <r>
    <s v="SALE1002"/>
    <d v="2024-10-01T00:00:00"/>
    <s v="CUST1109"/>
    <s v="PROD73"/>
    <s v="STORE10"/>
    <x v="15"/>
    <s v="Shin Guards – Adult"/>
    <x v="0"/>
    <x v="3"/>
    <s v="Amy Walker"/>
    <n v="3"/>
    <n v="909.11"/>
    <n v="0.23"/>
    <x v="2"/>
    <x v="999"/>
  </r>
  <r>
    <s v="SALE1003"/>
    <d v="2024-09-07T00:00:00"/>
    <s v="CUST1399"/>
    <s v="PROD24"/>
    <s v="STORE1"/>
    <x v="8"/>
    <s v="Foldable Camping Chair"/>
    <x v="0"/>
    <x v="0"/>
    <s v="John Donaldson"/>
    <n v="4"/>
    <n v="996.85"/>
    <n v="0.24"/>
    <x v="1"/>
    <x v="1000"/>
  </r>
  <r>
    <s v="SALE1004"/>
    <d v="2025-06-26T00:00:00"/>
    <s v="CUST1300"/>
    <s v="PROD0"/>
    <s v="STORE17"/>
    <x v="1"/>
    <s v="Brother Laser Printer"/>
    <x v="1"/>
    <x v="0"/>
    <s v="Matthew Avery"/>
    <n v="1.0000000000000002"/>
    <n v="522.69000000000005"/>
    <n v="0.06"/>
    <x v="2"/>
    <x v="1001"/>
  </r>
  <r>
    <s v="SALE1005"/>
    <d v="2024-04-23T00:00:00"/>
    <s v="CUST1194"/>
    <s v="PROD54"/>
    <s v="STORE3"/>
    <x v="0"/>
    <s v="Sports Stopwatch Pro"/>
    <x v="0"/>
    <x v="0"/>
    <s v="Ashley Ferguson"/>
    <n v="3.0000000000000004"/>
    <n v="261.05"/>
    <n v="0.12"/>
    <x v="1"/>
    <x v="1002"/>
  </r>
  <r>
    <s v="SALE1006"/>
    <d v="2025-09-18T00:00:00"/>
    <s v="CUST1087"/>
    <s v="PROD23"/>
    <s v="STORE17"/>
    <x v="1"/>
    <s v="Men's Formal Shirt"/>
    <x v="4"/>
    <x v="0"/>
    <s v="Melissa Duffy MD"/>
    <n v="3"/>
    <n v="644.73"/>
    <n v="0.01"/>
    <x v="2"/>
    <x v="1003"/>
  </r>
  <r>
    <s v="SALE1007"/>
    <d v="2023-10-18T00:00:00"/>
    <s v="CUST1198"/>
    <s v="PROD75"/>
    <s v="STORE2"/>
    <x v="17"/>
    <s v="Women's Ankle Boots"/>
    <x v="4"/>
    <x v="2"/>
    <s v="Wanda Snyder"/>
    <n v="2"/>
    <n v="541.52"/>
    <n v="0.26"/>
    <x v="1"/>
    <x v="1004"/>
  </r>
  <r>
    <s v="SALE1008"/>
    <d v="2023-11-29T00:00:00"/>
    <s v="CUST1426"/>
    <s v="PROD63"/>
    <s v="STORE10"/>
    <x v="15"/>
    <s v="Organic Sunscreen Lotion"/>
    <x v="2"/>
    <x v="3"/>
    <s v="Jeanette Nichols"/>
    <n v="1"/>
    <n v="395.18"/>
    <n v="0.09"/>
    <x v="1"/>
    <x v="1005"/>
  </r>
  <r>
    <s v="SALE1009"/>
    <d v="2025-03-24T00:00:00"/>
    <s v="CUST1100"/>
    <s v="PROD8"/>
    <s v="STORE8"/>
    <x v="2"/>
    <s v="Wireless Bluetooth Earbuds"/>
    <x v="1"/>
    <x v="1"/>
    <s v="Diane Watson"/>
    <n v="4.0000000000000009"/>
    <n v="56.37"/>
    <n v="0.17"/>
    <x v="0"/>
    <x v="1006"/>
  </r>
  <r>
    <s v="SALE1010"/>
    <d v="2025-09-08T00:00:00"/>
    <s v="CUST1209"/>
    <s v="PROD79"/>
    <s v="STORE9"/>
    <x v="11"/>
    <s v="Decorative Lamp Shade"/>
    <x v="3"/>
    <x v="2"/>
    <s v="Joan Johnson"/>
    <n v="4"/>
    <n v="202.59"/>
    <n v="0.06"/>
    <x v="2"/>
    <x v="1007"/>
  </r>
  <r>
    <s v="SALE1011"/>
    <d v="2024-11-05T00:00:00"/>
    <s v="CUST1004"/>
    <s v="PROD81"/>
    <s v="STORE5"/>
    <x v="3"/>
    <s v="Badminton Racket Set"/>
    <x v="0"/>
    <x v="0"/>
    <s v="Caroline Collins"/>
    <n v="2"/>
    <n v="358.36"/>
    <n v="0.05"/>
    <x v="1"/>
    <x v="1008"/>
  </r>
  <r>
    <s v="SALE1012"/>
    <d v="2024-08-31T00:00:00"/>
    <s v="CUST1072"/>
    <s v="PROD37"/>
    <s v="STORE18"/>
    <x v="14"/>
    <s v="Men's Casual Sneakers"/>
    <x v="4"/>
    <x v="3"/>
    <s v="Tonya Burch"/>
    <n v="4"/>
    <n v="85.62"/>
    <n v="0.28000000000000003"/>
    <x v="2"/>
    <x v="1009"/>
  </r>
  <r>
    <s v="SALE1013"/>
    <d v="2024-06-16T00:00:00"/>
    <s v="CUST1185"/>
    <s v="PROD7"/>
    <s v="STORE17"/>
    <x v="1"/>
    <s v="LED Table Lamp"/>
    <x v="3"/>
    <x v="0"/>
    <s v="Brent Rivas"/>
    <n v="4"/>
    <n v="929.26"/>
    <n v="0.23"/>
    <x v="1"/>
    <x v="1010"/>
  </r>
  <r>
    <s v="SALE1014"/>
    <d v="2025-01-24T00:00:00"/>
    <s v="CUST1309"/>
    <s v="PROD60"/>
    <s v="STORE13"/>
    <x v="13"/>
    <s v="Luxury Perfume Spray"/>
    <x v="2"/>
    <x v="3"/>
    <s v="Stacy Collins"/>
    <n v="2"/>
    <n v="92.64"/>
    <n v="0.14000000000000001"/>
    <x v="2"/>
    <x v="1011"/>
  </r>
  <r>
    <s v="SALE1015"/>
    <d v="2025-03-09T00:00:00"/>
    <s v="CUST1248"/>
    <s v="PROD62"/>
    <s v="STORE4"/>
    <x v="5"/>
    <s v="Laptop Cooling Pad"/>
    <x v="1"/>
    <x v="2"/>
    <s v="Nicholas Webb"/>
    <n v="4"/>
    <n v="139.05000000000001"/>
    <n v="0.28999999999999998"/>
    <x v="2"/>
    <x v="1012"/>
  </r>
  <r>
    <s v="SALE1016"/>
    <d v="2024-06-18T00:00:00"/>
    <s v="CUST1140"/>
    <s v="PROD53"/>
    <s v="STORE4"/>
    <x v="5"/>
    <s v="Men's Track Pants"/>
    <x v="4"/>
    <x v="2"/>
    <s v="Patty Francis"/>
    <n v="3"/>
    <n v="155.87"/>
    <n v="0.03"/>
    <x v="2"/>
    <x v="1013"/>
  </r>
  <r>
    <s v="SALE1017"/>
    <d v="2025-06-29T00:00:00"/>
    <s v="CUST1442"/>
    <s v="PROD34"/>
    <s v="STORE16"/>
    <x v="9"/>
    <s v="Gaming Mechanical Keyboard"/>
    <x v="1"/>
    <x v="1"/>
    <s v="Kelli Smith"/>
    <n v="4.0000000000000009"/>
    <n v="115.42"/>
    <n v="0.03"/>
    <x v="2"/>
    <x v="1014"/>
  </r>
  <r>
    <s v="SALE1018"/>
    <d v="2025-06-15T00:00:00"/>
    <s v="CUST1122"/>
    <s v="PROD52"/>
    <s v="STORE6"/>
    <x v="16"/>
    <s v="Rugby Ball"/>
    <x v="0"/>
    <x v="3"/>
    <s v="Michael Chang"/>
    <n v="3"/>
    <n v="593.62"/>
    <n v="0.08"/>
    <x v="0"/>
    <x v="1015"/>
  </r>
  <r>
    <s v="SALE1019"/>
    <d v="2025-03-17T00:00:00"/>
    <s v="CUST1353"/>
    <s v="PROD45"/>
    <s v="STORE4"/>
    <x v="5"/>
    <s v="High-Grip Football"/>
    <x v="0"/>
    <x v="2"/>
    <s v="   laura green"/>
    <n v="2"/>
    <n v="825.04"/>
    <n v="0.2"/>
    <x v="0"/>
    <x v="1016"/>
  </r>
  <r>
    <s v="SALE1020"/>
    <d v="2024-01-31T00:00:00"/>
    <s v="CUST1464"/>
    <s v="PROD25"/>
    <s v="STORE13"/>
    <x v="13"/>
    <s v="Women's Scarf Set"/>
    <x v="4"/>
    <x v="3"/>
    <s v="Not Found"/>
    <n v="1"/>
    <n v="963.76"/>
    <n v="0.14000000000000001"/>
    <x v="1"/>
    <x v="1017"/>
  </r>
  <r>
    <s v="SALE1021"/>
    <d v="2024-05-03T00:00:00"/>
    <s v="CUST1292"/>
    <s v="PROD55"/>
    <s v="STORE6"/>
    <x v="16"/>
    <s v="Ceramic Plant Pot"/>
    <x v="3"/>
    <x v="3"/>
    <s v="Ricardo Jones"/>
    <n v="0.99999999999999989"/>
    <n v="238.24"/>
    <n v="0.12"/>
    <x v="1"/>
    <x v="1018"/>
  </r>
  <r>
    <s v="SALE1022"/>
    <d v="2024-12-18T00:00:00"/>
    <s v="CUST1457"/>
    <s v="PROD82"/>
    <s v="STORE16"/>
    <x v="9"/>
    <s v="Fitness Resistance Bands"/>
    <x v="0"/>
    <x v="1"/>
    <s v="Christina Robertson"/>
    <n v="1"/>
    <n v="756.63"/>
    <n v="0.04"/>
    <x v="1"/>
    <x v="1019"/>
  </r>
  <r>
    <s v="SALE1023"/>
    <d v="2025-07-07T00:00:00"/>
    <s v="CUST1019"/>
    <s v="PROD93"/>
    <s v="STORE7"/>
    <x v="4"/>
    <s v="USB-C Laptop Charger"/>
    <x v="1"/>
    <x v="2"/>
    <s v="Michael Torres"/>
    <n v="3"/>
    <n v="159.76"/>
    <n v="0.22"/>
    <x v="0"/>
    <x v="1020"/>
  </r>
  <r>
    <s v="SALE1024"/>
    <d v="2024-03-03T00:00:00"/>
    <s v="CUST1368"/>
    <s v="PROD95"/>
    <s v="STORE8"/>
    <x v="2"/>
    <s v="Sports Stopwatch Basic"/>
    <x v="0"/>
    <x v="1"/>
    <s v="Miranda King"/>
    <n v="1"/>
    <n v="329.94"/>
    <n v="0.14000000000000001"/>
    <x v="2"/>
    <x v="1021"/>
  </r>
  <r>
    <s v="SALE1025"/>
    <d v="2025-03-04T00:00:00"/>
    <s v="CUST1060"/>
    <s v="PROD17"/>
    <s v="STORE8"/>
    <x v="2"/>
    <s v="Soccer Training Cone Set"/>
    <x v="0"/>
    <x v="1"/>
    <s v="Dr. David Smith"/>
    <n v="1"/>
    <n v="234.06"/>
    <n v="0.11"/>
    <x v="1"/>
    <x v="1022"/>
  </r>
  <r>
    <s v="SALE1026"/>
    <d v="2023-12-18T00:00:00"/>
    <s v="CUST1317"/>
    <s v="PROD81"/>
    <s v="STORE0"/>
    <x v="6"/>
    <s v="Badminton Racket Set"/>
    <x v="0"/>
    <x v="3"/>
    <s v="Tiffany Williams"/>
    <n v="2.0000000000000004"/>
    <n v="773.75"/>
    <n v="0.16"/>
    <x v="1"/>
    <x v="1023"/>
  </r>
  <r>
    <s v="SALE1027"/>
    <d v="2024-05-10T00:00:00"/>
    <s v="CUST1436"/>
    <s v="PROD52"/>
    <s v="STORE18"/>
    <x v="14"/>
    <s v="Rugby Ball"/>
    <x v="0"/>
    <x v="3"/>
    <s v="Sharon Simpson"/>
    <n v="1"/>
    <n v="73.88"/>
    <n v="0.04"/>
    <x v="0"/>
    <x v="1024"/>
  </r>
  <r>
    <s v="SALE1028"/>
    <d v="2024-02-15T00:00:00"/>
    <s v="CUST1005"/>
    <s v="PROD86"/>
    <s v="STORE18"/>
    <x v="14"/>
    <s v="Kitchen Cutting Board"/>
    <x v="3"/>
    <x v="3"/>
    <s v="Christine Vaughn"/>
    <n v="1"/>
    <n v="859.3"/>
    <n v="0.16"/>
    <x v="1"/>
    <x v="1025"/>
  </r>
  <r>
    <s v="SALE1029"/>
    <d v="2024-09-29T00:00:00"/>
    <s v="CUST1129"/>
    <s v="PROD81"/>
    <s v="STORE6"/>
    <x v="16"/>
    <s v="Badminton Racket Set"/>
    <x v="0"/>
    <x v="3"/>
    <s v="Jessica Mitchell"/>
    <n v="3.9999999999999996"/>
    <n v="762.43"/>
    <n v="0.05"/>
    <x v="0"/>
    <x v="1026"/>
  </r>
  <r>
    <s v="SALE1030"/>
    <d v="2024-05-12T00:00:00"/>
    <s v="CUST1124"/>
    <s v="PROD73"/>
    <s v="STORE0"/>
    <x v="6"/>
    <s v="Shin Guards – Adult"/>
    <x v="0"/>
    <x v="3"/>
    <s v="Donald Lee"/>
    <n v="1"/>
    <n v="328.51"/>
    <n v="0.2"/>
    <x v="2"/>
    <x v="1027"/>
  </r>
  <r>
    <s v="SALE1031"/>
    <d v="2025-03-03T00:00:00"/>
    <s v="CUST1274"/>
    <s v="PROD44"/>
    <s v="STORE4"/>
    <x v="5"/>
    <s v="Adjustable Jump Rope"/>
    <x v="0"/>
    <x v="2"/>
    <s v="Sarah Lane"/>
    <n v="1.0000000000000002"/>
    <n v="34.51"/>
    <n v="0.04"/>
    <x v="2"/>
    <x v="1028"/>
  </r>
  <r>
    <s v="SALE1032"/>
    <d v="2023-11-20T00:00:00"/>
    <s v="CUST1105"/>
    <s v="PROD19"/>
    <s v="STORE11"/>
    <x v="19"/>
    <s v="Knee Support Brace"/>
    <x v="0"/>
    <x v="2"/>
    <s v="Lance Baker"/>
    <n v="3"/>
    <n v="663.73"/>
    <n v="0.06"/>
    <x v="2"/>
    <x v="1029"/>
  </r>
  <r>
    <s v="SALE1033"/>
    <d v="2024-07-06T00:00:00"/>
    <s v="CUST1246"/>
    <s v="PROD33"/>
    <s v="STORE9"/>
    <x v="11"/>
    <s v="Modern Wall Clock"/>
    <x v="3"/>
    <x v="2"/>
    <s v="Mary Russell"/>
    <n v="0.99999999999999989"/>
    <n v="409.41"/>
    <n v="0.13"/>
    <x v="1"/>
    <x v="1030"/>
  </r>
  <r>
    <s v="SALE1034"/>
    <d v="2025-03-11T00:00:00"/>
    <s v="CUST1092"/>
    <s v="PROD78"/>
    <s v="STORE3"/>
    <x v="0"/>
    <s v="Essential Oil Diffuser"/>
    <x v="3"/>
    <x v="0"/>
    <s v="Robert Jackson"/>
    <n v="3.0000000000000004"/>
    <n v="461.03"/>
    <n v="0.11"/>
    <x v="1"/>
    <x v="1031"/>
  </r>
  <r>
    <s v="SALE1035"/>
    <d v="2024-04-12T00:00:00"/>
    <s v="CUST1368"/>
    <s v="PROD19"/>
    <s v="STORE14"/>
    <x v="7"/>
    <s v="Knee Support Brace"/>
    <x v="0"/>
    <x v="2"/>
    <s v="Miranda King"/>
    <n v="2"/>
    <n v="760.14"/>
    <n v="0.02"/>
    <x v="2"/>
    <x v="1032"/>
  </r>
  <r>
    <s v="SALE1036"/>
    <d v="2025-04-26T00:00:00"/>
    <s v="CUST1278"/>
    <s v="PROD23"/>
    <s v="STORE1"/>
    <x v="8"/>
    <s v="Men's Formal Shirt"/>
    <x v="4"/>
    <x v="0"/>
    <s v="Stephen Fowler"/>
    <n v="3"/>
    <n v="688.76"/>
    <n v="0.12"/>
    <x v="1"/>
    <x v="1033"/>
  </r>
  <r>
    <s v="SALE1037"/>
    <d v="2025-05-02T00:00:00"/>
    <s v="CUST1159"/>
    <s v="PROD43"/>
    <s v="STORE9"/>
    <x v="11"/>
    <s v="USB External Hard Drive"/>
    <x v="1"/>
    <x v="2"/>
    <s v="Brian Choi"/>
    <n v="2"/>
    <n v="257.77999999999997"/>
    <n v="0.05"/>
    <x v="0"/>
    <x v="1034"/>
  </r>
  <r>
    <s v="SALE1038"/>
    <d v="2024-04-18T00:00:00"/>
    <s v="CUST1052"/>
    <s v="PROD53"/>
    <s v="STORE7"/>
    <x v="4"/>
    <s v="Men's Track Pants"/>
    <x v="4"/>
    <x v="2"/>
    <s v="Debra Liu"/>
    <n v="2"/>
    <n v="314.29000000000002"/>
    <n v="0.19"/>
    <x v="2"/>
    <x v="1035"/>
  </r>
  <r>
    <s v="SALE1039"/>
    <d v="2024-08-16T00:00:00"/>
    <s v="CUST1155"/>
    <s v="PROD72"/>
    <s v="STORE14"/>
    <x v="7"/>
    <s v="Professional Jump Rope"/>
    <x v="0"/>
    <x v="2"/>
    <s v="Curtis Haynes"/>
    <n v="3"/>
    <n v="336.09"/>
    <n v="0.01"/>
    <x v="1"/>
    <x v="1036"/>
  </r>
  <r>
    <s v="SALE1040"/>
    <d v="2025-07-23T00:00:00"/>
    <s v="CUST1002"/>
    <s v="PROD75"/>
    <s v="STORE17"/>
    <x v="1"/>
    <s v="Women's Ankle Boots"/>
    <x v="4"/>
    <x v="0"/>
    <s v="dr. Benjamin Price"/>
    <n v="3.0000000000000009"/>
    <n v="202.07"/>
    <n v="0.23"/>
    <x v="1"/>
    <x v="1037"/>
  </r>
  <r>
    <s v="SALE1041"/>
    <d v="2025-05-04T00:00:00"/>
    <s v="CUST1310"/>
    <s v="PROD17"/>
    <s v="STORE8"/>
    <x v="2"/>
    <s v="Soccer Training Cone Set"/>
    <x v="0"/>
    <x v="1"/>
    <s v="Kara Dodson"/>
    <n v="2"/>
    <n v="485.25"/>
    <n v="0.28000000000000003"/>
    <x v="0"/>
    <x v="1038"/>
  </r>
  <r>
    <s v="SALE1042"/>
    <d v="2025-09-06T00:00:00"/>
    <s v="CUST1171"/>
    <s v="PROD75"/>
    <s v="STORE10"/>
    <x v="15"/>
    <s v="Women's Ankle Boots"/>
    <x v="4"/>
    <x v="3"/>
    <s v="Amy Wilson"/>
    <n v="4"/>
    <n v="552.38"/>
    <n v="0.1"/>
    <x v="1"/>
    <x v="1039"/>
  </r>
  <r>
    <s v="SALE1043"/>
    <d v="2023-11-21T00:00:00"/>
    <s v="CUST1107"/>
    <s v="PROD58"/>
    <s v="STORE17"/>
    <x v="1"/>
    <s v="Womens Cotton Scarf"/>
    <x v="4"/>
    <x v="0"/>
    <s v="Erica Carney"/>
    <n v="4"/>
    <n v="377.26"/>
    <n v="0.22"/>
    <x v="2"/>
    <x v="1040"/>
  </r>
  <r>
    <s v="SALE1044"/>
    <d v="2023-11-27T00:00:00"/>
    <s v="CUST1053"/>
    <s v="PROD47"/>
    <s v="STORE19"/>
    <x v="12"/>
    <s v="Makeup Brush Set"/>
    <x v="2"/>
    <x v="3"/>
    <s v="Sharon Brown"/>
    <n v="4"/>
    <n v="189.07"/>
    <n v="0.1"/>
    <x v="2"/>
    <x v="1041"/>
  </r>
  <r>
    <s v="SALE1045"/>
    <d v="2025-06-10T00:00:00"/>
    <s v="CUST1499"/>
    <s v="PROD30"/>
    <s v="STORE4"/>
    <x v="5"/>
    <s v="Stainless Steel Cutlery Set"/>
    <x v="3"/>
    <x v="2"/>
    <s v="Not Found"/>
    <n v="3"/>
    <n v="272.27"/>
    <n v="0.01"/>
    <x v="0"/>
    <x v="1042"/>
  </r>
  <r>
    <s v="SALE1046"/>
    <d v="2025-05-29T00:00:00"/>
    <s v="CUST1264"/>
    <s v="PROD92"/>
    <s v="STORE11"/>
    <x v="19"/>
    <s v="Microwave Oven"/>
    <x v="3"/>
    <x v="2"/>
    <s v="Matthew Payne"/>
    <n v="1"/>
    <n v="209.39"/>
    <n v="0.28000000000000003"/>
    <x v="1"/>
    <x v="1043"/>
  </r>
  <r>
    <s v="SALE1047"/>
    <d v="2023-12-28T00:00:00"/>
    <s v="CUST1053"/>
    <s v="PROD80"/>
    <s v="STORE9"/>
    <x v="11"/>
    <s v="Wall-Mounted Spice Rack"/>
    <x v="3"/>
    <x v="2"/>
    <s v="Sharon Brown"/>
    <n v="1"/>
    <n v="813.87"/>
    <n v="0.23"/>
    <x v="0"/>
    <x v="1044"/>
  </r>
  <r>
    <s v="SALE1048"/>
    <d v="2025-05-06T00:00:00"/>
    <s v="CUST1257"/>
    <s v="PROD28"/>
    <s v="STORE0"/>
    <x v="6"/>
    <s v="Sports Stopwatch Timer"/>
    <x v="0"/>
    <x v="3"/>
    <s v="Christopher David"/>
    <n v="1.0000000000000002"/>
    <n v="143.69999999999999"/>
    <n v="0.19"/>
    <x v="1"/>
    <x v="1045"/>
  </r>
  <r>
    <s v="SALE1049"/>
    <d v="2024-04-03T00:00:00"/>
    <s v="CUST1470"/>
    <s v="PROD46"/>
    <s v="STORE1"/>
    <x v="8"/>
    <s v="Men's Winter Jacket"/>
    <x v="4"/>
    <x v="0"/>
    <s v="Manuel Fisher"/>
    <n v="4"/>
    <n v="837.34"/>
    <n v="0.05"/>
    <x v="1"/>
    <x v="1046"/>
  </r>
  <r>
    <s v="SALE1050"/>
    <d v="2025-08-09T00:00:00"/>
    <s v="CUST1120"/>
    <s v="PROD15"/>
    <s v="STORE19"/>
    <x v="12"/>
    <s v="4K Home Projector"/>
    <x v="1"/>
    <x v="3"/>
    <s v="Jacob Hopkins"/>
    <n v="1.0000000000000002"/>
    <n v="151.66"/>
    <n v="0.16"/>
    <x v="2"/>
    <x v="1047"/>
  </r>
  <r>
    <s v="SALE1051"/>
    <d v="2025-03-04T00:00:00"/>
    <s v="CUST1499"/>
    <s v="PROD44"/>
    <s v="STORE8"/>
    <x v="2"/>
    <s v="Adjustable Jump Rope"/>
    <x v="0"/>
    <x v="1"/>
    <s v="Not Found"/>
    <n v="3.0000000000000004"/>
    <n v="961.4"/>
    <n v="0.02"/>
    <x v="1"/>
    <x v="1048"/>
  </r>
  <r>
    <s v="SALE1052"/>
    <d v="2024-07-30T00:00:00"/>
    <s v="CUST1370"/>
    <s v="PROD74"/>
    <s v="STORE18"/>
    <x v="14"/>
    <s v="Bluetooth Car Audio System"/>
    <x v="1"/>
    <x v="3"/>
    <s v="James Holloway Jr."/>
    <n v="3.9999999999999996"/>
    <n v="475.98"/>
    <n v="0.19"/>
    <x v="1"/>
    <x v="1049"/>
  </r>
  <r>
    <s v="SALE1053"/>
    <d v="2024-09-16T00:00:00"/>
    <s v="CUST1380"/>
    <s v="PROD38"/>
    <s v="STORE15"/>
    <x v="10"/>
    <s v="Sports Water Hydration Pack"/>
    <x v="0"/>
    <x v="0"/>
    <s v="Shelley Ponce"/>
    <n v="4.0000000000000009"/>
    <n v="132.88999999999999"/>
    <n v="0.12"/>
    <x v="0"/>
    <x v="1050"/>
  </r>
  <r>
    <s v="SALE1054"/>
    <d v="2025-07-12T00:00:00"/>
    <s v="CUST1437"/>
    <s v="PROD35"/>
    <s v="STORE12"/>
    <x v="18"/>
    <s v="Bedroom Table Lamp"/>
    <x v="3"/>
    <x v="0"/>
    <s v="Melinda Rivera"/>
    <n v="3"/>
    <n v="471.31"/>
    <n v="0"/>
    <x v="1"/>
    <x v="1051"/>
  </r>
  <r>
    <s v="SALE1055"/>
    <d v="2024-05-29T00:00:00"/>
    <s v="CUST1464"/>
    <s v="PROD76"/>
    <s v="STORE14"/>
    <x v="7"/>
    <s v="Wireless Mouse"/>
    <x v="1"/>
    <x v="2"/>
    <s v="Not Found"/>
    <n v="1.9999999999999996"/>
    <n v="720.32"/>
    <n v="0.26"/>
    <x v="0"/>
    <x v="1052"/>
  </r>
  <r>
    <s v="SALE1056"/>
    <d v="2024-05-19T00:00:00"/>
    <s v="CUST1075"/>
    <s v="PROD66"/>
    <s v="STORE18"/>
    <x v="14"/>
    <s v="Women's Hair Dryer Brush"/>
    <x v="2"/>
    <x v="3"/>
    <s v="Rhonda Morales"/>
    <n v="3.9999999999999996"/>
    <n v="99.92"/>
    <n v="0.11"/>
    <x v="2"/>
    <x v="1053"/>
  </r>
  <r>
    <s v="SALE1057"/>
    <d v="2025-08-04T00:00:00"/>
    <s v="CUST1067"/>
    <s v="PROD10"/>
    <s v="STORE3"/>
    <x v="0"/>
    <s v="Ceramic Kitchen Bowl Set"/>
    <x v="3"/>
    <x v="0"/>
    <s v="Amber Mcclain"/>
    <n v="3"/>
    <n v="900.63"/>
    <n v="0.11"/>
    <x v="2"/>
    <x v="1054"/>
  </r>
  <r>
    <s v="SALE1058"/>
    <d v="2024-12-03T00:00:00"/>
    <s v="CUST1442"/>
    <s v="PROD46"/>
    <s v="STORE8"/>
    <x v="2"/>
    <s v="Men's Winter Jacket"/>
    <x v="4"/>
    <x v="1"/>
    <s v="Kelli Smith"/>
    <n v="1"/>
    <n v="681.72"/>
    <n v="0.11"/>
    <x v="1"/>
    <x v="1055"/>
  </r>
  <r>
    <s v="SALE1059"/>
    <d v="2023-10-23T00:00:00"/>
    <s v="CUST1009"/>
    <s v="PROD78"/>
    <s v="STORE13"/>
    <x v="13"/>
    <s v="Essential Oil Diffuser"/>
    <x v="3"/>
    <x v="3"/>
    <s v="Ms. Maria Leach"/>
    <n v="2"/>
    <n v="838.22"/>
    <n v="0.3"/>
    <x v="0"/>
    <x v="1056"/>
  </r>
  <r>
    <s v="SALE1060"/>
    <d v="2025-05-20T00:00:00"/>
    <s v="CUST1194"/>
    <s v="PROD87"/>
    <s v="STORE12"/>
    <x v="18"/>
    <s v="LED Bedside Lamp"/>
    <x v="3"/>
    <x v="0"/>
    <s v="Ashley Ferguson"/>
    <n v="2"/>
    <n v="816.22"/>
    <n v="0.27"/>
    <x v="0"/>
    <x v="1057"/>
  </r>
  <r>
    <s v="SALE1061"/>
    <d v="2024-09-19T00:00:00"/>
    <s v="CUST1380"/>
    <s v="PROD61"/>
    <s v="STORE7"/>
    <x v="4"/>
    <s v="Tennis Ball 3-Pack"/>
    <x v="0"/>
    <x v="2"/>
    <s v="Shelley Ponce"/>
    <n v="2"/>
    <n v="654.12"/>
    <n v="0.27"/>
    <x v="1"/>
    <x v="1058"/>
  </r>
  <r>
    <s v="SALE1062"/>
    <d v="2024-04-03T00:00:00"/>
    <s v="CUST1105"/>
    <s v="PROD73"/>
    <s v="STORE13"/>
    <x v="13"/>
    <s v="Shin Guards – Adult"/>
    <x v="0"/>
    <x v="3"/>
    <s v="Lance Baker"/>
    <n v="4"/>
    <n v="528.22"/>
    <n v="0.2"/>
    <x v="1"/>
    <x v="1059"/>
  </r>
  <r>
    <s v="SALE1063"/>
    <d v="2025-02-16T00:00:00"/>
    <s v="CUST1221"/>
    <s v="PROD34"/>
    <s v="STORE7"/>
    <x v="4"/>
    <s v="Gaming Mechanical Keyboard"/>
    <x v="1"/>
    <x v="2"/>
    <s v="Lisa Young"/>
    <n v="4"/>
    <n v="36.72"/>
    <n v="7.0000000000000007E-2"/>
    <x v="2"/>
    <x v="1060"/>
  </r>
  <r>
    <s v="SALE1064"/>
    <d v="2024-09-10T00:00:00"/>
    <s v="CUST1370"/>
    <s v="PROD78"/>
    <s v="STORE19"/>
    <x v="12"/>
    <s v="Essential Oil Diffuser"/>
    <x v="3"/>
    <x v="3"/>
    <s v="James Holloway Jr."/>
    <n v="2"/>
    <n v="705.97"/>
    <n v="0.1"/>
    <x v="1"/>
    <x v="1061"/>
  </r>
  <r>
    <s v="SALE1065"/>
    <d v="2025-03-20T00:00:00"/>
    <s v="CUST1023"/>
    <s v="PROD40"/>
    <s v="STORE1"/>
    <x v="8"/>
    <s v="Noise-Canceling Headphones"/>
    <x v="1"/>
    <x v="0"/>
    <s v="Jonathan Steele"/>
    <n v="2"/>
    <n v="994.29"/>
    <n v="0.01"/>
    <x v="1"/>
    <x v="1062"/>
  </r>
  <r>
    <s v="SALE1066"/>
    <d v="2024-11-12T00:00:00"/>
    <s v="CUST1421"/>
    <s v="PROD92"/>
    <s v="STORE18"/>
    <x v="14"/>
    <s v="Microwave Oven"/>
    <x v="3"/>
    <x v="3"/>
    <s v="Holly Robinson"/>
    <n v="1"/>
    <n v="909.04"/>
    <n v="0.11"/>
    <x v="0"/>
    <x v="1063"/>
  </r>
  <r>
    <s v="SALE1067"/>
    <d v="2024-02-12T00:00:00"/>
    <s v="CUST1349"/>
    <s v="PROD34"/>
    <s v="STORE11"/>
    <x v="19"/>
    <s v="Gaming Mechanical Keyboard"/>
    <x v="1"/>
    <x v="2"/>
    <s v="Heather Valenzuela"/>
    <n v="1"/>
    <n v="164.73"/>
    <n v="0.12"/>
    <x v="1"/>
    <x v="1064"/>
  </r>
  <r>
    <s v="SALE1068"/>
    <d v="2025-02-02T00:00:00"/>
    <s v="CUST1062"/>
    <s v="PROD37"/>
    <s v="STORE7"/>
    <x v="4"/>
    <s v="Men's Casual Sneakers"/>
    <x v="4"/>
    <x v="2"/>
    <s v="James Bean"/>
    <n v="2"/>
    <n v="606.35"/>
    <n v="0.16"/>
    <x v="2"/>
    <x v="1065"/>
  </r>
  <r>
    <s v="SALE1069"/>
    <d v="2024-07-08T00:00:00"/>
    <s v="CUST1163"/>
    <s v="PROD98"/>
    <s v="STORE4"/>
    <x v="5"/>
    <s v="Portable Bluetooth Speaker"/>
    <x v="1"/>
    <x v="2"/>
    <s v="Joseph Jones"/>
    <n v="2.9999999999999996"/>
    <n v="904.19"/>
    <n v="0.09"/>
    <x v="0"/>
    <x v="1066"/>
  </r>
  <r>
    <s v="SALE1070"/>
    <d v="2024-10-11T00:00:00"/>
    <s v="CUST1151"/>
    <s v="PROD50"/>
    <s v="STORE2"/>
    <x v="17"/>
    <s v="Boxing Hand Wraps"/>
    <x v="0"/>
    <x v="2"/>
    <s v="Michael Davies"/>
    <n v="3.9999999999999991"/>
    <n v="694.61"/>
    <n v="0.18"/>
    <x v="2"/>
    <x v="1067"/>
  </r>
  <r>
    <s v="SALE1071"/>
    <d v="2023-10-16T00:00:00"/>
    <s v="CUST1225"/>
    <s v="PROD89"/>
    <s v="STORE2"/>
    <x v="17"/>
    <s v="Face Foundation Kit"/>
    <x v="2"/>
    <x v="2"/>
    <s v="Elizabeth Stanley"/>
    <n v="4"/>
    <n v="753.83"/>
    <n v="0.24"/>
    <x v="0"/>
    <x v="1068"/>
  </r>
  <r>
    <s v="SALE1072"/>
    <d v="2024-12-27T00:00:00"/>
    <s v="CUST1197"/>
    <s v="PROD21"/>
    <s v="STORE8"/>
    <x v="2"/>
    <s v="Multi-Purpose Storage Box"/>
    <x v="3"/>
    <x v="1"/>
    <s v="Andrea Jacobs"/>
    <n v="1"/>
    <n v="66.22"/>
    <n v="0.02"/>
    <x v="0"/>
    <x v="1069"/>
  </r>
  <r>
    <s v="SALE1073"/>
    <d v="2023-11-11T00:00:00"/>
    <s v="CUST1337"/>
    <s v="PROD64"/>
    <s v="STORE14"/>
    <x v="7"/>
    <s v="Matte Lipstick Set"/>
    <x v="2"/>
    <x v="2"/>
    <s v="Carol Lewis"/>
    <n v="2.0000000000000004"/>
    <n v="891.8"/>
    <n v="0.28999999999999998"/>
    <x v="2"/>
    <x v="1070"/>
  </r>
  <r>
    <s v="SALE1074"/>
    <d v="2024-05-16T00:00:00"/>
    <s v="CUST1363"/>
    <s v="PROD75"/>
    <s v="STORE9"/>
    <x v="11"/>
    <s v="Women's Ankle Boots"/>
    <x v="4"/>
    <x v="2"/>
    <s v="Elizabeth Smith"/>
    <n v="4"/>
    <n v="255.48"/>
    <n v="0.03"/>
    <x v="2"/>
    <x v="1071"/>
  </r>
  <r>
    <s v="SALE1075"/>
    <d v="2024-10-28T00:00:00"/>
    <s v="CUST1301"/>
    <s v="PROD84"/>
    <s v="STORE17"/>
    <x v="1"/>
    <s v="Wooden Bookshelf"/>
    <x v="3"/>
    <x v="0"/>
    <s v="Ryan Kane"/>
    <n v="4"/>
    <n v="604.87"/>
    <n v="0.28000000000000003"/>
    <x v="1"/>
    <x v="1072"/>
  </r>
  <r>
    <s v="SALE1076"/>
    <d v="2024-03-19T00:00:00"/>
    <s v="CUST1045"/>
    <s v="PROD33"/>
    <s v="STORE17"/>
    <x v="1"/>
    <s v="Modern Wall Clock"/>
    <x v="3"/>
    <x v="0"/>
    <s v="Jordan Jackson DDS"/>
    <n v="2.9999999999999996"/>
    <n v="623.82000000000005"/>
    <n v="0.13"/>
    <x v="2"/>
    <x v="1073"/>
  </r>
  <r>
    <s v="SALE1077"/>
    <d v="2025-08-13T00:00:00"/>
    <s v="CUST1138"/>
    <s v="PROD71"/>
    <s v="STORE16"/>
    <x v="9"/>
    <s v="Hair Repair Oil Treatment"/>
    <x v="2"/>
    <x v="1"/>
    <s v="Sean Roth"/>
    <n v="2.9999999999999996"/>
    <n v="575.24"/>
    <n v="0.12"/>
    <x v="2"/>
    <x v="1074"/>
  </r>
  <r>
    <s v="SALE1078"/>
    <d v="2025-08-09T00:00:00"/>
    <s v="CUST1414"/>
    <s v="PROD4"/>
    <s v="STORE11"/>
    <x v="19"/>
    <s v="Women's Yoga Pants"/>
    <x v="4"/>
    <x v="2"/>
    <s v="Melissa Valentine"/>
    <n v="1"/>
    <n v="769.4"/>
    <n v="0.16"/>
    <x v="0"/>
    <x v="1075"/>
  </r>
  <r>
    <s v="SALE1079"/>
    <d v="2024-05-08T00:00:00"/>
    <s v="CUST1329"/>
    <s v="PROD4"/>
    <s v="STORE17"/>
    <x v="1"/>
    <s v="Women's Yoga Pants"/>
    <x v="4"/>
    <x v="0"/>
    <s v="Victor Mcintosh"/>
    <n v="1"/>
    <n v="227.28"/>
    <n v="0.13"/>
    <x v="2"/>
    <x v="1076"/>
  </r>
  <r>
    <s v="SALE1080"/>
    <d v="2024-03-10T00:00:00"/>
    <s v="CUST1051"/>
    <s v="PROD2"/>
    <s v="STORE17"/>
    <x v="1"/>
    <s v="Women's Casual Hoodie"/>
    <x v="4"/>
    <x v="0"/>
    <s v="Sarah Rodgers"/>
    <n v="4"/>
    <n v="127.58"/>
    <n v="0.15"/>
    <x v="0"/>
    <x v="1077"/>
  </r>
  <r>
    <s v="SALE1081"/>
    <d v="2025-02-14T00:00:00"/>
    <s v="CUST1418"/>
    <s v="PROD44"/>
    <s v="STORE3"/>
    <x v="0"/>
    <s v="Adjustable Jump Rope"/>
    <x v="0"/>
    <x v="0"/>
    <s v="Luke Parks"/>
    <n v="1"/>
    <n v="793.21"/>
    <n v="0.09"/>
    <x v="0"/>
    <x v="1078"/>
  </r>
  <r>
    <s v="SALE1082"/>
    <d v="2025-08-02T00:00:00"/>
    <s v="CUST1301"/>
    <s v="PROD83"/>
    <s v="STORE12"/>
    <x v="18"/>
    <s v="Hydrating Face Cleanser"/>
    <x v="2"/>
    <x v="0"/>
    <s v="Ryan Kane"/>
    <n v="3"/>
    <n v="435.61"/>
    <n v="0.03"/>
    <x v="1"/>
    <x v="1079"/>
  </r>
  <r>
    <s v="SALE1083"/>
    <d v="2024-08-27T00:00:00"/>
    <s v="CUST1385"/>
    <s v="PROD29"/>
    <s v="STORE16"/>
    <x v="9"/>
    <s v="Fabric Sofa Throw Blanket"/>
    <x v="3"/>
    <x v="1"/>
    <s v="Tammy Brennan"/>
    <n v="1"/>
    <n v="850.06"/>
    <n v="0.28999999999999998"/>
    <x v="1"/>
    <x v="1080"/>
  </r>
  <r>
    <s v="SALE1084"/>
    <d v="2024-02-08T00:00:00"/>
    <s v="CUST1347"/>
    <s v="PROD16"/>
    <s v="STORE16"/>
    <x v="9"/>
    <s v="Not Found"/>
    <x v="5"/>
    <x v="1"/>
    <s v="Justin Mason DDS"/>
    <n v="2.0000000000000004"/>
    <n v="753.92"/>
    <n v="0.17"/>
    <x v="1"/>
    <x v="1081"/>
  </r>
  <r>
    <s v="SALE1085"/>
    <d v="2024-01-20T00:00:00"/>
    <s v="CUST1488"/>
    <s v="PROD4"/>
    <s v="STORE13"/>
    <x v="13"/>
    <s v="Women's Yoga Pants"/>
    <x v="4"/>
    <x v="3"/>
    <s v="Zachary Andrade"/>
    <n v="3"/>
    <n v="408.99"/>
    <n v="0.27"/>
    <x v="1"/>
    <x v="1082"/>
  </r>
  <r>
    <s v="SALE1086"/>
    <d v="2024-10-02T00:00:00"/>
    <s v="CUST1285"/>
    <s v="PROD57"/>
    <s v="STORE5"/>
    <x v="3"/>
    <s v="Foam Roller"/>
    <x v="0"/>
    <x v="0"/>
    <s v="Donna Guerra"/>
    <n v="3.0000000000000004"/>
    <n v="404.5"/>
    <n v="0.22"/>
    <x v="1"/>
    <x v="1083"/>
  </r>
  <r>
    <s v="SALE1087"/>
    <d v="2023-11-09T00:00:00"/>
    <s v="CUST1380"/>
    <s v="PROD39"/>
    <s v="STORE3"/>
    <x v="0"/>
    <s v="Portable Power Bank"/>
    <x v="1"/>
    <x v="0"/>
    <s v="Shelley Ponce"/>
    <n v="3"/>
    <n v="717.81"/>
    <n v="0.17"/>
    <x v="2"/>
    <x v="1084"/>
  </r>
  <r>
    <s v="SALE1088"/>
    <d v="2023-12-24T00:00:00"/>
    <s v="CUST1251"/>
    <s v="PROD84"/>
    <s v="STORE1"/>
    <x v="8"/>
    <s v="Wooden Bookshelf"/>
    <x v="3"/>
    <x v="0"/>
    <s v="Tyler Garner"/>
    <n v="3"/>
    <n v="204.77"/>
    <n v="0.14000000000000001"/>
    <x v="0"/>
    <x v="1085"/>
  </r>
  <r>
    <s v="SALE1089"/>
    <d v="2025-01-29T00:00:00"/>
    <s v="CUST1039"/>
    <s v="PROD48"/>
    <s v="STORE18"/>
    <x v="14"/>
    <s v="Car Dashboard Phone Holder"/>
    <x v="1"/>
    <x v="3"/>
    <s v="Tonya Reynolds"/>
    <n v="4"/>
    <n v="106.23"/>
    <n v="0.28000000000000003"/>
    <x v="2"/>
    <x v="1086"/>
  </r>
  <r>
    <s v="SALE1090"/>
    <d v="2025-06-16T00:00:00"/>
    <s v="CUST1325"/>
    <s v="PROD66"/>
    <s v="STORE5"/>
    <x v="3"/>
    <s v="Women's Hair Dryer Brush"/>
    <x v="2"/>
    <x v="0"/>
    <s v="Andrew Smith"/>
    <n v="2"/>
    <n v="769.48"/>
    <n v="0.11"/>
    <x v="1"/>
    <x v="1087"/>
  </r>
  <r>
    <s v="SALE1091"/>
    <d v="2025-07-29T00:00:00"/>
    <s v="CUST1255"/>
    <s v="PROD57"/>
    <s v="STORE13"/>
    <x v="13"/>
    <s v="Foam Roller"/>
    <x v="0"/>
    <x v="3"/>
    <s v="Damon Perez"/>
    <n v="2"/>
    <n v="714.21"/>
    <n v="0.14000000000000001"/>
    <x v="0"/>
    <x v="1088"/>
  </r>
  <r>
    <s v="SALE1092"/>
    <d v="2024-10-13T00:00:00"/>
    <s v="CUST1271"/>
    <s v="PROD11"/>
    <s v="STORE15"/>
    <x v="10"/>
    <s v="HD Smart TV Stick"/>
    <x v="1"/>
    <x v="0"/>
    <s v="Daisy Johnson DDS"/>
    <n v="4"/>
    <n v="632.24"/>
    <n v="0.25"/>
    <x v="1"/>
    <x v="1089"/>
  </r>
  <r>
    <s v="SALE1093"/>
    <d v="2024-10-10T00:00:00"/>
    <s v="CUST1161"/>
    <s v="PROD78"/>
    <s v="STORE3"/>
    <x v="0"/>
    <s v="Essential Oil Diffuser"/>
    <x v="3"/>
    <x v="0"/>
    <s v="Cynthia Morris"/>
    <n v="2"/>
    <n v="845.27"/>
    <n v="0.18"/>
    <x v="1"/>
    <x v="1090"/>
  </r>
  <r>
    <s v="SALE1094"/>
    <d v="2025-06-08T00:00:00"/>
    <s v="CUST1497"/>
    <s v="PROD87"/>
    <s v="STORE13"/>
    <x v="13"/>
    <s v="LED Bedside Lamp"/>
    <x v="3"/>
    <x v="3"/>
    <s v="Sarah Marsh"/>
    <n v="0.99999999999999989"/>
    <n v="575.94000000000005"/>
    <n v="0.17"/>
    <x v="0"/>
    <x v="1091"/>
  </r>
  <r>
    <s v="SALE1095"/>
    <d v="2024-11-24T00:00:00"/>
    <s v="CUST1251"/>
    <s v="PROD84"/>
    <s v="STORE15"/>
    <x v="10"/>
    <s v="Wooden Bookshelf"/>
    <x v="3"/>
    <x v="0"/>
    <s v="Tyler Garner"/>
    <n v="1"/>
    <n v="907.97"/>
    <n v="0.26"/>
    <x v="2"/>
    <x v="1092"/>
  </r>
  <r>
    <s v="SALE1096"/>
    <d v="2025-02-07T00:00:00"/>
    <s v="CUST1266"/>
    <s v="PROD20"/>
    <s v="STORE12"/>
    <x v="18"/>
    <s v="Outdoor Sports Water Bottle"/>
    <x v="0"/>
    <x v="0"/>
    <s v="Cynthia Payne"/>
    <n v="1"/>
    <n v="99.35"/>
    <n v="0.08"/>
    <x v="2"/>
    <x v="1093"/>
  </r>
  <r>
    <s v="SALE1097"/>
    <d v="2024-10-31T00:00:00"/>
    <s v="CUST1071"/>
    <s v="PROD0"/>
    <s v="STORE3"/>
    <x v="0"/>
    <s v="Brother Laser Printer"/>
    <x v="1"/>
    <x v="0"/>
    <s v="Andrea Perez"/>
    <n v="2"/>
    <n v="374.42"/>
    <n v="0.21"/>
    <x v="2"/>
    <x v="1094"/>
  </r>
  <r>
    <s v="SALE1098"/>
    <d v="2025-07-31T00:00:00"/>
    <s v="CUST1481"/>
    <s v="PROD15"/>
    <s v="STORE15"/>
    <x v="10"/>
    <s v="4K Home Projector"/>
    <x v="1"/>
    <x v="0"/>
    <s v="Bryan Tran"/>
    <n v="2.9999999999999996"/>
    <n v="248.43"/>
    <n v="0.24"/>
    <x v="2"/>
    <x v="1095"/>
  </r>
  <r>
    <s v="SALE1099"/>
    <d v="2024-12-05T00:00:00"/>
    <s v="CUST1468"/>
    <s v="PROD85"/>
    <s v="STORE1"/>
    <x v="8"/>
    <s v="Women's Beanie Hat"/>
    <x v="4"/>
    <x v="0"/>
    <s v="Gregory Curtis"/>
    <n v="1"/>
    <n v="784.46"/>
    <n v="0.14000000000000001"/>
    <x v="2"/>
    <x v="1096"/>
  </r>
  <r>
    <s v="SALE1100"/>
    <d v="2024-03-28T00:00:00"/>
    <s v="CUST1259"/>
    <s v="PROD52"/>
    <s v="STORE10"/>
    <x v="15"/>
    <s v="Rugby Ball"/>
    <x v="0"/>
    <x v="3"/>
    <s v="Beth Allen"/>
    <n v="3.0000000000000004"/>
    <n v="70.88"/>
    <n v="0.27"/>
    <x v="2"/>
    <x v="1097"/>
  </r>
  <r>
    <s v="SALE1101"/>
    <d v="2024-12-15T00:00:00"/>
    <s v="CUST1110"/>
    <s v="PROD8"/>
    <s v="STORE1"/>
    <x v="8"/>
    <s v="Wireless Bluetooth Earbuds"/>
    <x v="1"/>
    <x v="0"/>
    <s v="Ashley Griffin"/>
    <n v="3.0000000000000004"/>
    <n v="324.29000000000002"/>
    <n v="0.16"/>
    <x v="2"/>
    <x v="1098"/>
  </r>
  <r>
    <s v="SALE1102"/>
    <d v="2025-07-04T00:00:00"/>
    <s v="CUST1141"/>
    <s v="PROD15"/>
    <s v="STORE3"/>
    <x v="0"/>
    <s v="4K Home Projector"/>
    <x v="1"/>
    <x v="0"/>
    <s v="Cristian Wright"/>
    <n v="4"/>
    <n v="243.92"/>
    <n v="0.02"/>
    <x v="1"/>
    <x v="1099"/>
  </r>
  <r>
    <s v="SALE1103"/>
    <d v="2023-11-27T00:00:00"/>
    <s v="CUST1375"/>
    <s v="PROD28"/>
    <s v="STORE13"/>
    <x v="13"/>
    <s v="Sports Stopwatch Timer"/>
    <x v="0"/>
    <x v="3"/>
    <s v="Joshua Bell"/>
    <n v="1"/>
    <n v="664.35"/>
    <n v="0"/>
    <x v="0"/>
    <x v="1100"/>
  </r>
  <r>
    <s v="SALE1104"/>
    <d v="2024-06-25T00:00:00"/>
    <s v="CUST1384"/>
    <s v="PROD21"/>
    <s v="STORE10"/>
    <x v="15"/>
    <s v="Multi-Purpose Storage Box"/>
    <x v="3"/>
    <x v="3"/>
    <s v="Andrew Mason"/>
    <n v="1.9999999999999998"/>
    <n v="218.07"/>
    <n v="0.19"/>
    <x v="1"/>
    <x v="1101"/>
  </r>
  <r>
    <s v="SALE1105"/>
    <d v="2023-10-29T00:00:00"/>
    <s v="CUST1383"/>
    <s v="PROD15"/>
    <s v="STORE3"/>
    <x v="0"/>
    <s v="4K Home Projector"/>
    <x v="1"/>
    <x v="0"/>
    <s v="Kristine Higgins"/>
    <n v="3.9999999999999991"/>
    <n v="921.83"/>
    <n v="0.27"/>
    <x v="0"/>
    <x v="1102"/>
  </r>
  <r>
    <s v="SALE1106"/>
    <d v="2025-01-04T00:00:00"/>
    <s v="CUST1168"/>
    <s v="PROD50"/>
    <s v="STORE1"/>
    <x v="8"/>
    <s v="Boxing Hand Wraps"/>
    <x v="0"/>
    <x v="0"/>
    <s v="Daniel Contreras"/>
    <n v="3"/>
    <n v="326.2"/>
    <n v="0.22"/>
    <x v="2"/>
    <x v="1103"/>
  </r>
  <r>
    <s v="SALE1107"/>
    <d v="2025-02-13T00:00:00"/>
    <s v="CUST1458"/>
    <s v="PROD17"/>
    <s v="STORE19"/>
    <x v="12"/>
    <s v="Soccer Training Cone Set"/>
    <x v="0"/>
    <x v="3"/>
    <s v="Kelly Garrett"/>
    <n v="1"/>
    <n v="244.25"/>
    <n v="0.09"/>
    <x v="1"/>
    <x v="1104"/>
  </r>
  <r>
    <s v="SALE1108"/>
    <d v="2024-06-05T00:00:00"/>
    <s v="CUST1369"/>
    <s v="PROD61"/>
    <s v="STORE10"/>
    <x v="15"/>
    <s v="Tennis Ball 3-Pack"/>
    <x v="0"/>
    <x v="3"/>
    <s v="Gregory Allen"/>
    <n v="3"/>
    <n v="808.87"/>
    <n v="0.12"/>
    <x v="2"/>
    <x v="1105"/>
  </r>
  <r>
    <s v="SALE1109"/>
    <d v="2024-04-05T00:00:00"/>
    <s v="CUST1338"/>
    <s v="PROD31"/>
    <s v="STORE2"/>
    <x v="17"/>
    <s v="Basketball"/>
    <x v="0"/>
    <x v="2"/>
    <s v="Jasmine Snyder"/>
    <n v="3"/>
    <n v="826.15"/>
    <n v="0"/>
    <x v="1"/>
    <x v="1106"/>
  </r>
  <r>
    <s v="SALE1110"/>
    <d v="2024-12-26T00:00:00"/>
    <s v="CUST1187"/>
    <s v="PROD24"/>
    <s v="STORE19"/>
    <x v="12"/>
    <s v="Foldable Camping Chair"/>
    <x v="0"/>
    <x v="3"/>
    <s v="Dr. Suzanne Bullock"/>
    <n v="2.9999999999999996"/>
    <n v="631.20000000000005"/>
    <n v="0.24"/>
    <x v="0"/>
    <x v="1107"/>
  </r>
  <r>
    <s v="SALE1111"/>
    <d v="2024-01-25T00:00:00"/>
    <s v="CUST1274"/>
    <s v="PROD58"/>
    <s v="STORE10"/>
    <x v="15"/>
    <s v="Womens Cotton Scarf"/>
    <x v="4"/>
    <x v="3"/>
    <s v="Sarah Lane"/>
    <n v="1"/>
    <n v="937.01"/>
    <n v="7.0000000000000007E-2"/>
    <x v="0"/>
    <x v="1108"/>
  </r>
  <r>
    <s v="SALE1112"/>
    <d v="2024-01-25T00:00:00"/>
    <s v="CUST1151"/>
    <s v="PROD73"/>
    <s v="STORE5"/>
    <x v="3"/>
    <s v="Shin Guards – Adult"/>
    <x v="0"/>
    <x v="0"/>
    <s v="Michael Davies"/>
    <n v="2"/>
    <n v="644"/>
    <n v="0.04"/>
    <x v="1"/>
    <x v="1109"/>
  </r>
  <r>
    <s v="SALE1113"/>
    <d v="2025-08-19T00:00:00"/>
    <s v="CUST1094"/>
    <s v="PROD91"/>
    <s v="STORE5"/>
    <x v="3"/>
    <s v="Women's High Heels"/>
    <x v="4"/>
    <x v="0"/>
    <s v="David Patterson"/>
    <n v="3"/>
    <n v="629.58000000000004"/>
    <n v="0.05"/>
    <x v="0"/>
    <x v="1110"/>
  </r>
  <r>
    <s v="SALE1114"/>
    <d v="2025-05-14T00:00:00"/>
    <s v="CUST1466"/>
    <s v="PROD87"/>
    <s v="STORE2"/>
    <x v="17"/>
    <s v="LED Bedside Lamp"/>
    <x v="3"/>
    <x v="2"/>
    <s v="Cynthia Parrish"/>
    <n v="2"/>
    <n v="121.52"/>
    <n v="0.18"/>
    <x v="2"/>
    <x v="1111"/>
  </r>
  <r>
    <s v="SALE1115"/>
    <d v="2024-05-08T00:00:00"/>
    <s v="CUST1401"/>
    <s v="PROD65"/>
    <s v="STORE19"/>
    <x v="12"/>
    <s v="Adjustable Dumbbells 20kg"/>
    <x v="0"/>
    <x v="3"/>
    <s v="Terry Moses"/>
    <n v="2"/>
    <n v="549.83000000000004"/>
    <n v="7.0000000000000007E-2"/>
    <x v="1"/>
    <x v="1112"/>
  </r>
  <r>
    <s v="SALE1116"/>
    <d v="2023-10-20T00:00:00"/>
    <s v="CUST1140"/>
    <s v="PROD13"/>
    <s v="STORE8"/>
    <x v="2"/>
    <s v="USB-C Fast Charger"/>
    <x v="1"/>
    <x v="1"/>
    <s v="Patty Francis"/>
    <n v="3"/>
    <n v="278.38"/>
    <n v="0.03"/>
    <x v="0"/>
    <x v="1113"/>
  </r>
  <r>
    <s v="SALE1117"/>
    <d v="2024-08-06T00:00:00"/>
    <s v="CUST1437"/>
    <s v="PROD96"/>
    <s v="STORE3"/>
    <x v="0"/>
    <s v="Women's Formal Blazer"/>
    <x v="4"/>
    <x v="0"/>
    <s v="Melinda Rivera"/>
    <n v="4"/>
    <n v="723.66"/>
    <n v="0.03"/>
    <x v="1"/>
    <x v="1114"/>
  </r>
  <r>
    <s v="SALE1118"/>
    <d v="2025-01-30T00:00:00"/>
    <s v="CUST1205"/>
    <s v="PROD72"/>
    <s v="STORE9"/>
    <x v="11"/>
    <s v="Professional Jump Rope"/>
    <x v="0"/>
    <x v="2"/>
    <s v="Michelle Carpenter"/>
    <n v="1"/>
    <n v="724.74"/>
    <n v="0.15"/>
    <x v="1"/>
    <x v="1115"/>
  </r>
  <r>
    <s v="SALE1119"/>
    <d v="2023-12-11T00:00:00"/>
    <s v="CUST1455"/>
    <s v="PROD21"/>
    <s v="STORE4"/>
    <x v="5"/>
    <s v="Multi-Purpose Storage Box"/>
    <x v="3"/>
    <x v="2"/>
    <s v="Tyler Weber"/>
    <n v="2"/>
    <n v="961.84"/>
    <n v="0.25"/>
    <x v="1"/>
    <x v="1116"/>
  </r>
  <r>
    <s v="SALE1120"/>
    <d v="2024-06-03T00:00:00"/>
    <s v="CUST1020"/>
    <s v="PROD37"/>
    <s v="STORE16"/>
    <x v="9"/>
    <s v="Men's Casual Sneakers"/>
    <x v="4"/>
    <x v="1"/>
    <s v="Bridget Allen"/>
    <n v="4"/>
    <n v="21.12"/>
    <n v="0.18"/>
    <x v="2"/>
    <x v="1117"/>
  </r>
  <r>
    <s v="SALE1121"/>
    <d v="2024-10-14T00:00:00"/>
    <s v="CUST1319"/>
    <s v="PROD0"/>
    <s v="STORE4"/>
    <x v="5"/>
    <s v="Brother Laser Printer"/>
    <x v="1"/>
    <x v="2"/>
    <s v="Casey Simpson"/>
    <n v="3"/>
    <n v="819.93"/>
    <n v="0.08"/>
    <x v="1"/>
    <x v="1118"/>
  </r>
  <r>
    <s v="SALE1122"/>
    <d v="2025-03-09T00:00:00"/>
    <s v="CUST1294"/>
    <s v="PROD42"/>
    <s v="STORE0"/>
    <x v="6"/>
    <s v="Smart Home WiFi Camera"/>
    <x v="1"/>
    <x v="3"/>
    <s v="Lisa Chandler"/>
    <n v="1.9999999999999996"/>
    <n v="700.95"/>
    <n v="0.18"/>
    <x v="0"/>
    <x v="1119"/>
  </r>
  <r>
    <s v="SALE1123"/>
    <d v="2025-09-10T00:00:00"/>
    <s v="CUST1141"/>
    <s v="PROD17"/>
    <s v="STORE14"/>
    <x v="7"/>
    <s v="Soccer Training Cone Set"/>
    <x v="0"/>
    <x v="2"/>
    <s v="Cristian Wright"/>
    <n v="2"/>
    <n v="456.38"/>
    <n v="0.12"/>
    <x v="0"/>
    <x v="1120"/>
  </r>
  <r>
    <s v="SALE1124"/>
    <d v="2024-06-04T00:00:00"/>
    <s v="CUST1361"/>
    <s v="PROD76"/>
    <s v="STORE14"/>
    <x v="7"/>
    <s v="Wireless Mouse"/>
    <x v="1"/>
    <x v="2"/>
    <s v="Natalie Johnson"/>
    <n v="3.0000000000000004"/>
    <n v="291.05"/>
    <n v="0.3"/>
    <x v="0"/>
    <x v="1121"/>
  </r>
  <r>
    <s v="SALE1125"/>
    <d v="2024-01-16T00:00:00"/>
    <s v="CUST1233"/>
    <s v="PROD95"/>
    <s v="STORE15"/>
    <x v="10"/>
    <s v="Sports Stopwatch Basic"/>
    <x v="0"/>
    <x v="0"/>
    <s v="Michelle Gonzalez"/>
    <n v="2"/>
    <n v="463.52"/>
    <n v="0.27"/>
    <x v="1"/>
    <x v="1122"/>
  </r>
  <r>
    <s v="SALE1126"/>
    <d v="2024-12-27T00:00:00"/>
    <s v="CUST1379"/>
    <s v="PROD0"/>
    <s v="STORE17"/>
    <x v="1"/>
    <s v="Brother Laser Printer"/>
    <x v="1"/>
    <x v="0"/>
    <s v="Tanya Lopez"/>
    <n v="3"/>
    <n v="241.64"/>
    <n v="0.28999999999999998"/>
    <x v="1"/>
    <x v="1123"/>
  </r>
  <r>
    <s v="SALE1127"/>
    <d v="2025-06-09T00:00:00"/>
    <s v="CUST1483"/>
    <s v="PROD30"/>
    <s v="STORE10"/>
    <x v="15"/>
    <s v="Stainless Steel Cutlery Set"/>
    <x v="3"/>
    <x v="3"/>
    <s v="Sarah Smith"/>
    <n v="2"/>
    <n v="47.86"/>
    <n v="0.03"/>
    <x v="1"/>
    <x v="1124"/>
  </r>
  <r>
    <s v="SALE1128"/>
    <d v="2024-08-05T00:00:00"/>
    <s v="CUST1344"/>
    <s v="PROD92"/>
    <s v="STORE3"/>
    <x v="0"/>
    <s v="Microwave Oven"/>
    <x v="3"/>
    <x v="0"/>
    <s v="Evelyn Brown"/>
    <n v="1"/>
    <n v="805.07"/>
    <n v="0.06"/>
    <x v="2"/>
    <x v="1125"/>
  </r>
  <r>
    <s v="SALE1129"/>
    <d v="2025-04-06T00:00:00"/>
    <s v="CUST1373"/>
    <s v="PROD34"/>
    <s v="STORE1"/>
    <x v="8"/>
    <s v="Gaming Mechanical Keyboard"/>
    <x v="1"/>
    <x v="0"/>
    <s v="James Orozco"/>
    <n v="3"/>
    <n v="848.48"/>
    <n v="0"/>
    <x v="2"/>
    <x v="1126"/>
  </r>
  <r>
    <s v="SALE1130"/>
    <d v="2024-08-08T00:00:00"/>
    <s v="CUST1244"/>
    <s v="PROD53"/>
    <s v="STORE8"/>
    <x v="2"/>
    <s v="Men's Track Pants"/>
    <x v="4"/>
    <x v="1"/>
    <s v="Nancy Page"/>
    <n v="2"/>
    <n v="568.95000000000005"/>
    <n v="0.22"/>
    <x v="0"/>
    <x v="1127"/>
  </r>
  <r>
    <s v="SALE1131"/>
    <d v="2025-04-17T00:00:00"/>
    <s v="CUST1162"/>
    <s v="PROD53"/>
    <s v="STORE11"/>
    <x v="19"/>
    <s v="Men's Track Pants"/>
    <x v="4"/>
    <x v="2"/>
    <s v="Mariah Brown"/>
    <n v="3.0000000000000004"/>
    <n v="269.83999999999997"/>
    <n v="0.05"/>
    <x v="1"/>
    <x v="1128"/>
  </r>
  <r>
    <s v="SALE1132"/>
    <d v="2025-03-30T00:00:00"/>
    <s v="CUST1309"/>
    <s v="PROD62"/>
    <s v="STORE13"/>
    <x v="13"/>
    <s v="Laptop Cooling Pad"/>
    <x v="1"/>
    <x v="3"/>
    <s v="Stacy Collins"/>
    <n v="4"/>
    <n v="267.36"/>
    <n v="0.27"/>
    <x v="1"/>
    <x v="1129"/>
  </r>
  <r>
    <s v="SALE1133"/>
    <d v="2024-12-21T00:00:00"/>
    <s v="CUST1114"/>
    <s v="PROD37"/>
    <s v="STORE1"/>
    <x v="8"/>
    <s v="Men's Casual Sneakers"/>
    <x v="4"/>
    <x v="0"/>
    <s v="Ryan Hernandez"/>
    <n v="1.0000000000000002"/>
    <n v="438.41"/>
    <n v="0.09"/>
    <x v="0"/>
    <x v="1130"/>
  </r>
  <r>
    <s v="SALE1134"/>
    <d v="2024-05-31T00:00:00"/>
    <s v="CUST1164"/>
    <s v="PROD51"/>
    <s v="STORE18"/>
    <x v="14"/>
    <s v="HDMI Cable – 2m"/>
    <x v="1"/>
    <x v="3"/>
    <s v="Daniel Rivas"/>
    <n v="2.0000000000000004"/>
    <n v="86.72"/>
    <n v="0.28000000000000003"/>
    <x v="2"/>
    <x v="1131"/>
  </r>
  <r>
    <s v="SALE1135"/>
    <d v="2025-03-06T00:00:00"/>
    <s v="CUST1425"/>
    <s v="PROD89"/>
    <s v="STORE6"/>
    <x v="16"/>
    <s v="Face Foundation Kit"/>
    <x v="2"/>
    <x v="3"/>
    <s v="Bryce Hawkins"/>
    <n v="4"/>
    <n v="630.21"/>
    <n v="0.14000000000000001"/>
    <x v="2"/>
    <x v="1132"/>
  </r>
  <r>
    <s v="SALE1136"/>
    <d v="2024-10-10T00:00:00"/>
    <s v="CUST1359"/>
    <s v="PROD59"/>
    <s v="STORE6"/>
    <x v="16"/>
    <s v="Men's Hair Styling Gel"/>
    <x v="2"/>
    <x v="3"/>
    <s v="Melanie Lam"/>
    <n v="3"/>
    <n v="180.84"/>
    <n v="0.03"/>
    <x v="1"/>
    <x v="1133"/>
  </r>
  <r>
    <s v="SALE1137"/>
    <d v="2024-05-29T00:00:00"/>
    <s v="CUST1004"/>
    <s v="PROD64"/>
    <s v="STORE16"/>
    <x v="9"/>
    <s v="Matte Lipstick Set"/>
    <x v="2"/>
    <x v="1"/>
    <s v="Caroline Collins"/>
    <n v="1"/>
    <n v="453.41"/>
    <n v="0.04"/>
    <x v="2"/>
    <x v="1134"/>
  </r>
  <r>
    <s v="SALE1138"/>
    <d v="2025-10-10T00:00:00"/>
    <s v="CUST1024"/>
    <s v="PROD51"/>
    <s v="STORE6"/>
    <x v="16"/>
    <s v="HDMI Cable – 2m"/>
    <x v="1"/>
    <x v="3"/>
    <s v="Heather Collins"/>
    <n v="1"/>
    <n v="629.09"/>
    <n v="0.02"/>
    <x v="0"/>
    <x v="1135"/>
  </r>
  <r>
    <s v="SALE1139"/>
    <d v="2024-08-14T00:00:00"/>
    <s v="CUST1022"/>
    <s v="PROD77"/>
    <s v="STORE2"/>
    <x v="17"/>
    <s v="WiFi Mesh Router"/>
    <x v="1"/>
    <x v="2"/>
    <s v="   paul fox"/>
    <n v="2"/>
    <n v="257.45"/>
    <n v="0"/>
    <x v="2"/>
    <x v="1136"/>
  </r>
  <r>
    <s v="SALE1140"/>
    <d v="2025-07-23T00:00:00"/>
    <s v="CUST1179"/>
    <s v="PROD34"/>
    <s v="STORE15"/>
    <x v="10"/>
    <s v="Gaming Mechanical Keyboard"/>
    <x v="1"/>
    <x v="0"/>
    <s v="Nicholas Bradshaw"/>
    <n v="2"/>
    <n v="696.61"/>
    <n v="0.17"/>
    <x v="1"/>
    <x v="1137"/>
  </r>
  <r>
    <s v="SALE1141"/>
    <d v="2024-05-04T00:00:00"/>
    <s v="CUST1373"/>
    <s v="PROD46"/>
    <s v="STORE7"/>
    <x v="4"/>
    <s v="Men's Winter Jacket"/>
    <x v="4"/>
    <x v="2"/>
    <s v="James Orozco"/>
    <n v="2"/>
    <n v="143.79"/>
    <n v="0.1"/>
    <x v="1"/>
    <x v="1138"/>
  </r>
  <r>
    <s v="SALE1142"/>
    <d v="2024-11-12T00:00:00"/>
    <s v="CUST1296"/>
    <s v="PROD83"/>
    <s v="STORE1"/>
    <x v="8"/>
    <s v="Hydrating Face Cleanser"/>
    <x v="2"/>
    <x v="0"/>
    <s v="Jared Moran"/>
    <n v="2.9999999999999996"/>
    <n v="460.93"/>
    <n v="0.19"/>
    <x v="2"/>
    <x v="1139"/>
  </r>
  <r>
    <s v="SALE1143"/>
    <d v="2024-01-10T00:00:00"/>
    <s v="CUST1499"/>
    <s v="PROD28"/>
    <s v="STORE9"/>
    <x v="11"/>
    <s v="Sports Stopwatch Timer"/>
    <x v="0"/>
    <x v="2"/>
    <s v="Not Found"/>
    <n v="2"/>
    <n v="67.55"/>
    <n v="0.03"/>
    <x v="0"/>
    <x v="1140"/>
  </r>
  <r>
    <s v="SALE1144"/>
    <d v="2024-05-21T00:00:00"/>
    <s v="CUST1210"/>
    <s v="PROD49"/>
    <s v="STORE1"/>
    <x v="8"/>
    <s v="Men's Roll-On Perfume"/>
    <x v="2"/>
    <x v="0"/>
    <s v="Antonio Jones"/>
    <n v="3"/>
    <n v="803.31"/>
    <n v="0.1"/>
    <x v="1"/>
    <x v="1141"/>
  </r>
  <r>
    <s v="SALE1145"/>
    <d v="2025-06-13T00:00:00"/>
    <s v="CUST1432"/>
    <s v="PROD16"/>
    <s v="STORE13"/>
    <x v="13"/>
    <s v="Not Found"/>
    <x v="5"/>
    <x v="3"/>
    <s v="Summer Weiss"/>
    <n v="4"/>
    <n v="254.71"/>
    <n v="0.2"/>
    <x v="2"/>
    <x v="1142"/>
  </r>
  <r>
    <s v="SALE1146"/>
    <d v="2024-08-04T00:00:00"/>
    <s v="CUST1051"/>
    <s v="PROD50"/>
    <s v="STORE4"/>
    <x v="5"/>
    <s v="Boxing Hand Wraps"/>
    <x v="0"/>
    <x v="2"/>
    <s v="Sarah Rodgers"/>
    <n v="4.0000000000000009"/>
    <n v="594.89"/>
    <n v="0.3"/>
    <x v="1"/>
    <x v="1143"/>
  </r>
  <r>
    <s v="SALE1147"/>
    <d v="2025-07-16T00:00:00"/>
    <s v="CUST1219"/>
    <s v="PROD91"/>
    <s v="STORE0"/>
    <x v="6"/>
    <s v="Women's High Heels"/>
    <x v="4"/>
    <x v="3"/>
    <s v="Jordan Wells"/>
    <n v="2.0000000000000004"/>
    <n v="844.31"/>
    <n v="7.0000000000000007E-2"/>
    <x v="1"/>
    <x v="1144"/>
  </r>
  <r>
    <s v="SALE1148"/>
    <d v="2024-10-04T00:00:00"/>
    <s v="CUST1134"/>
    <s v="PROD15"/>
    <s v="STORE6"/>
    <x v="16"/>
    <s v="4K Home Projector"/>
    <x v="1"/>
    <x v="3"/>
    <s v="Morgan Bowen"/>
    <n v="4"/>
    <n v="101.33"/>
    <n v="0"/>
    <x v="0"/>
    <x v="1145"/>
  </r>
  <r>
    <s v="SALE1149"/>
    <d v="2025-06-16T00:00:00"/>
    <s v="CUST1131"/>
    <s v="PROD26"/>
    <s v="STORE8"/>
    <x v="2"/>
    <s v="Wireless Bluetooth Speaker"/>
    <x v="1"/>
    <x v="1"/>
    <s v="Joseph Richards"/>
    <n v="3.0000000000000004"/>
    <n v="922.56"/>
    <n v="0.18"/>
    <x v="1"/>
    <x v="1146"/>
  </r>
  <r>
    <s v="SALE1150"/>
    <d v="2024-03-01T00:00:00"/>
    <s v="CUST1432"/>
    <s v="PROD38"/>
    <s v="STORE14"/>
    <x v="7"/>
    <s v="Sports Water Hydration Pack"/>
    <x v="0"/>
    <x v="2"/>
    <s v="Summer Weiss"/>
    <n v="4"/>
    <n v="867.19"/>
    <n v="7.0000000000000007E-2"/>
    <x v="2"/>
    <x v="1147"/>
  </r>
  <r>
    <s v="SALE1151"/>
    <d v="2024-06-11T00:00:00"/>
    <s v="CUST1006"/>
    <s v="PROD83"/>
    <s v="STORE17"/>
    <x v="1"/>
    <s v="Hydrating Face Cleanser"/>
    <x v="2"/>
    <x v="0"/>
    <s v="Amber Jackson"/>
    <n v="3.0000000000000004"/>
    <n v="816.87"/>
    <n v="0.14000000000000001"/>
    <x v="1"/>
    <x v="1148"/>
  </r>
  <r>
    <s v="SALE1152"/>
    <d v="2025-09-24T00:00:00"/>
    <s v="CUST1480"/>
    <s v="PROD65"/>
    <s v="STORE3"/>
    <x v="0"/>
    <s v="Adjustable Dumbbells 20kg"/>
    <x v="0"/>
    <x v="0"/>
    <s v="Jordan Medina"/>
    <n v="3"/>
    <n v="258.06"/>
    <n v="0"/>
    <x v="1"/>
    <x v="1149"/>
  </r>
  <r>
    <s v="SALE1153"/>
    <d v="2025-02-06T00:00:00"/>
    <s v="CUST1312"/>
    <s v="PROD38"/>
    <s v="STORE14"/>
    <x v="7"/>
    <s v="Sports Water Hydration Pack"/>
    <x v="0"/>
    <x v="2"/>
    <s v="Jason Mullins"/>
    <n v="2"/>
    <n v="574.58000000000004"/>
    <n v="0.06"/>
    <x v="0"/>
    <x v="1150"/>
  </r>
  <r>
    <s v="SALE1154"/>
    <d v="2024-10-22T00:00:00"/>
    <s v="CUST1022"/>
    <s v="PROD83"/>
    <s v="STORE6"/>
    <x v="16"/>
    <s v="Hydrating Face Cleanser"/>
    <x v="2"/>
    <x v="3"/>
    <s v="   paul fox"/>
    <n v="2"/>
    <n v="472.18"/>
    <n v="0.27"/>
    <x v="1"/>
    <x v="1151"/>
  </r>
  <r>
    <s v="SALE1155"/>
    <d v="2024-09-21T00:00:00"/>
    <s v="CUST1340"/>
    <s v="PROD41"/>
    <s v="STORE5"/>
    <x v="3"/>
    <s v="Yoga Exercise Mat"/>
    <x v="0"/>
    <x v="0"/>
    <s v="Eric Davis"/>
    <n v="2"/>
    <n v="20.47"/>
    <n v="0.12"/>
    <x v="2"/>
    <x v="1152"/>
  </r>
  <r>
    <s v="SALE1156"/>
    <d v="2025-09-23T00:00:00"/>
    <s v="CUST1023"/>
    <s v="PROD22"/>
    <s v="STORE7"/>
    <x v="4"/>
    <s v="Carbon Fiber Tennis Racket"/>
    <x v="0"/>
    <x v="2"/>
    <s v="Jonathan Steele"/>
    <n v="2.9999999999999996"/>
    <n v="235.41"/>
    <n v="0.15"/>
    <x v="1"/>
    <x v="1153"/>
  </r>
  <r>
    <s v="SALE1157"/>
    <d v="2025-06-03T00:00:00"/>
    <s v="CUST1230"/>
    <s v="PROD78"/>
    <s v="STORE7"/>
    <x v="4"/>
    <s v="Essential Oil Diffuser"/>
    <x v="3"/>
    <x v="2"/>
    <s v="Timothy Sanders"/>
    <n v="3"/>
    <n v="744.9"/>
    <n v="0.27"/>
    <x v="1"/>
    <x v="1154"/>
  </r>
  <r>
    <s v="SALE1158"/>
    <d v="2024-09-24T00:00:00"/>
    <s v="CUST1047"/>
    <s v="PROD18"/>
    <s v="STORE3"/>
    <x v="0"/>
    <s v="Women's Denim Jeans"/>
    <x v="4"/>
    <x v="0"/>
    <s v="Gina Knight"/>
    <n v="2"/>
    <n v="382.2"/>
    <n v="0.15"/>
    <x v="0"/>
    <x v="1155"/>
  </r>
  <r>
    <s v="SALE1159"/>
    <d v="2025-08-12T00:00:00"/>
    <s v="CUST1346"/>
    <s v="PROD90"/>
    <s v="STORE16"/>
    <x v="9"/>
    <s v="Gaming Mouse Pad XL"/>
    <x v="1"/>
    <x v="1"/>
    <s v="John Jordan"/>
    <n v="1"/>
    <n v="269.25"/>
    <n v="0.14000000000000001"/>
    <x v="1"/>
    <x v="1156"/>
  </r>
  <r>
    <s v="SALE1160"/>
    <d v="2024-03-16T00:00:00"/>
    <s v="CUST1365"/>
    <s v="PROD30"/>
    <s v="STORE11"/>
    <x v="19"/>
    <s v="Stainless Steel Cutlery Set"/>
    <x v="3"/>
    <x v="2"/>
    <s v="Brandon Mcbride"/>
    <n v="2"/>
    <n v="723.75"/>
    <n v="0.03"/>
    <x v="1"/>
    <x v="1157"/>
  </r>
  <r>
    <s v="SALE1161"/>
    <d v="2025-06-24T00:00:00"/>
    <s v="CUST1281"/>
    <s v="PROD19"/>
    <s v="STORE19"/>
    <x v="12"/>
    <s v="Knee Support Brace"/>
    <x v="0"/>
    <x v="3"/>
    <s v="Brittany Watson"/>
    <n v="3.9999999999999996"/>
    <n v="58.92"/>
    <n v="0.18"/>
    <x v="0"/>
    <x v="1158"/>
  </r>
  <r>
    <s v="SALE1162"/>
    <d v="2024-05-26T00:00:00"/>
    <s v="CUST1188"/>
    <s v="PROD71"/>
    <s v="STORE10"/>
    <x v="15"/>
    <s v="Hair Repair Oil Treatment"/>
    <x v="2"/>
    <x v="3"/>
    <s v="Kimberly Brooks"/>
    <n v="2"/>
    <n v="913.08"/>
    <n v="0.26"/>
    <x v="0"/>
    <x v="1159"/>
  </r>
  <r>
    <s v="SALE1163"/>
    <d v="2025-02-03T00:00:00"/>
    <s v="CUST1242"/>
    <s v="PROD81"/>
    <s v="STORE1"/>
    <x v="8"/>
    <s v="Badminton Racket Set"/>
    <x v="0"/>
    <x v="0"/>
    <s v="William Jackson"/>
    <n v="1"/>
    <n v="791.83"/>
    <n v="0.28000000000000003"/>
    <x v="1"/>
    <x v="1160"/>
  </r>
  <r>
    <s v="SALE1164"/>
    <d v="2024-08-02T00:00:00"/>
    <s v="CUST1471"/>
    <s v="PROD3"/>
    <s v="STORE15"/>
    <x v="10"/>
    <s v="Not Found"/>
    <x v="5"/>
    <x v="0"/>
    <s v="Debra Mccullough"/>
    <n v="1"/>
    <n v="74.290000000000006"/>
    <n v="0.3"/>
    <x v="2"/>
    <x v="1161"/>
  </r>
  <r>
    <s v="SALE1165"/>
    <d v="2023-11-21T00:00:00"/>
    <s v="CUST1243"/>
    <s v="PROD35"/>
    <s v="STORE0"/>
    <x v="6"/>
    <s v="Bedroom Table Lamp"/>
    <x v="3"/>
    <x v="3"/>
    <s v="Brian Hammond"/>
    <n v="2"/>
    <n v="961.68"/>
    <n v="0.27"/>
    <x v="1"/>
    <x v="1162"/>
  </r>
  <r>
    <s v="SALE1166"/>
    <d v="2025-03-06T00:00:00"/>
    <s v="CUST1494"/>
    <s v="PROD19"/>
    <s v="STORE14"/>
    <x v="7"/>
    <s v="Knee Support Brace"/>
    <x v="0"/>
    <x v="2"/>
    <s v="Justin Lopez"/>
    <n v="1"/>
    <n v="90.72"/>
    <n v="0.1"/>
    <x v="1"/>
    <x v="1163"/>
  </r>
  <r>
    <s v="SALE1167"/>
    <d v="2025-02-01T00:00:00"/>
    <s v="CUST1060"/>
    <s v="PROD58"/>
    <s v="STORE7"/>
    <x v="4"/>
    <s v="Womens Cotton Scarf"/>
    <x v="4"/>
    <x v="2"/>
    <s v="Dr. David Smith"/>
    <n v="1"/>
    <n v="458.69"/>
    <n v="0.16"/>
    <x v="1"/>
    <x v="1164"/>
  </r>
  <r>
    <s v="SALE1168"/>
    <d v="2024-02-24T00:00:00"/>
    <s v="CUST1231"/>
    <s v="PROD34"/>
    <s v="STORE7"/>
    <x v="4"/>
    <s v="Gaming Mechanical Keyboard"/>
    <x v="1"/>
    <x v="2"/>
    <s v="Timothy Juarez"/>
    <n v="1"/>
    <n v="168.29"/>
    <n v="0.05"/>
    <x v="1"/>
    <x v="1165"/>
  </r>
  <r>
    <s v="SALE1169"/>
    <d v="2024-09-14T00:00:00"/>
    <s v="CUST1211"/>
    <s v="PROD17"/>
    <s v="STORE17"/>
    <x v="1"/>
    <s v="Soccer Training Cone Set"/>
    <x v="0"/>
    <x v="0"/>
    <s v="Rodney Huffman"/>
    <n v="1"/>
    <n v="391.77"/>
    <n v="0.1"/>
    <x v="1"/>
    <x v="1166"/>
  </r>
  <r>
    <s v="SALE1170"/>
    <d v="2025-08-31T00:00:00"/>
    <s v="CUST1343"/>
    <s v="PROD12"/>
    <s v="STORE14"/>
    <x v="7"/>
    <s v="Hair Strengthening Shampoo"/>
    <x v="2"/>
    <x v="2"/>
    <s v="Ryan Moore"/>
    <n v="1.0000000000000002"/>
    <n v="424.83"/>
    <n v="0.05"/>
    <x v="2"/>
    <x v="1167"/>
  </r>
  <r>
    <s v="SALE1171"/>
    <d v="2024-01-17T00:00:00"/>
    <s v="CUST1053"/>
    <s v="PROD11"/>
    <s v="STORE3"/>
    <x v="0"/>
    <s v="HD Smart TV Stick"/>
    <x v="1"/>
    <x v="0"/>
    <s v="Sharon Brown"/>
    <n v="1"/>
    <n v="499.46"/>
    <n v="0.1"/>
    <x v="0"/>
    <x v="1168"/>
  </r>
  <r>
    <s v="SALE1172"/>
    <d v="2024-02-14T00:00:00"/>
    <s v="CUST1019"/>
    <s v="PROD99"/>
    <s v="STORE1"/>
    <x v="8"/>
    <s v="Stainless Steel Cookware Set"/>
    <x v="3"/>
    <x v="0"/>
    <s v="Michael Torres"/>
    <n v="2"/>
    <n v="698.34"/>
    <n v="0.15"/>
    <x v="1"/>
    <x v="1169"/>
  </r>
  <r>
    <s v="SALE1173"/>
    <d v="2023-10-14T00:00:00"/>
    <s v="CUST1283"/>
    <s v="PROD56"/>
    <s v="STORE16"/>
    <x v="9"/>
    <s v="Premium Blanket Throw"/>
    <x v="3"/>
    <x v="1"/>
    <s v="Bryan Garcia"/>
    <n v="2"/>
    <n v="805.08"/>
    <n v="0.27"/>
    <x v="1"/>
    <x v="1170"/>
  </r>
  <r>
    <s v="SALE1174"/>
    <d v="2025-03-26T00:00:00"/>
    <s v="CUST1466"/>
    <s v="PROD76"/>
    <s v="STORE2"/>
    <x v="17"/>
    <s v="Wireless Mouse"/>
    <x v="1"/>
    <x v="2"/>
    <s v="Cynthia Parrish"/>
    <n v="4"/>
    <n v="934.79"/>
    <n v="0.08"/>
    <x v="1"/>
    <x v="1171"/>
  </r>
  <r>
    <s v="SALE1175"/>
    <d v="2025-10-02T00:00:00"/>
    <s v="CUST1019"/>
    <s v="PROD60"/>
    <s v="STORE1"/>
    <x v="8"/>
    <s v="Luxury Perfume Spray"/>
    <x v="2"/>
    <x v="0"/>
    <s v="Michael Torres"/>
    <n v="2"/>
    <n v="424.54"/>
    <n v="0.24"/>
    <x v="1"/>
    <x v="1172"/>
  </r>
  <r>
    <s v="SALE1176"/>
    <d v="2024-06-19T00:00:00"/>
    <s v="CUST1327"/>
    <s v="PROD84"/>
    <s v="STORE17"/>
    <x v="1"/>
    <s v="Wooden Bookshelf"/>
    <x v="3"/>
    <x v="0"/>
    <s v="Reginald Willis"/>
    <n v="1"/>
    <n v="235.44"/>
    <n v="0.19"/>
    <x v="2"/>
    <x v="1173"/>
  </r>
  <r>
    <s v="SALE1177"/>
    <d v="2024-10-03T00:00:00"/>
    <s v="CUST1271"/>
    <s v="PROD49"/>
    <s v="STORE13"/>
    <x v="13"/>
    <s v="Men's Roll-On Perfume"/>
    <x v="2"/>
    <x v="3"/>
    <s v="Daisy Johnson DDS"/>
    <n v="2"/>
    <n v="620.71"/>
    <n v="0.27"/>
    <x v="0"/>
    <x v="1174"/>
  </r>
  <r>
    <s v="SALE1178"/>
    <d v="2024-04-15T00:00:00"/>
    <s v="CUST1115"/>
    <s v="PROD16"/>
    <s v="STORE11"/>
    <x v="19"/>
    <s v="Not Found"/>
    <x v="5"/>
    <x v="2"/>
    <s v="Tyler Conrad"/>
    <n v="2"/>
    <n v="851.77"/>
    <n v="0.13"/>
    <x v="1"/>
    <x v="1175"/>
  </r>
  <r>
    <s v="SALE1179"/>
    <d v="2024-10-04T00:00:00"/>
    <s v="CUST1168"/>
    <s v="PROD45"/>
    <s v="STORE1"/>
    <x v="8"/>
    <s v="High-Grip Football"/>
    <x v="0"/>
    <x v="0"/>
    <s v="Daniel Contreras"/>
    <n v="3"/>
    <n v="876.01"/>
    <n v="0.2"/>
    <x v="0"/>
    <x v="1176"/>
  </r>
  <r>
    <s v="SALE1180"/>
    <d v="2024-03-02T00:00:00"/>
    <s v="CUST1276"/>
    <s v="PROD27"/>
    <s v="STORE9"/>
    <x v="11"/>
    <s v="Decorative Floor Vase"/>
    <x v="3"/>
    <x v="2"/>
    <s v="Arthur Warren"/>
    <n v="2"/>
    <n v="717.21"/>
    <n v="0.15"/>
    <x v="2"/>
    <x v="1177"/>
  </r>
  <r>
    <s v="SALE1181"/>
    <d v="2024-02-21T00:00:00"/>
    <s v="CUST1056"/>
    <s v="PROD41"/>
    <s v="STORE8"/>
    <x v="2"/>
    <s v="Yoga Exercise Mat"/>
    <x v="0"/>
    <x v="1"/>
    <s v="Christopher Sutton"/>
    <n v="2.0000000000000004"/>
    <n v="871.43"/>
    <n v="0.05"/>
    <x v="0"/>
    <x v="1178"/>
  </r>
  <r>
    <s v="SALE1182"/>
    <d v="2024-01-30T00:00:00"/>
    <s v="CUST1453"/>
    <s v="PROD36"/>
    <s v="STORE7"/>
    <x v="4"/>
    <s v="Women's Summer Dress"/>
    <x v="4"/>
    <x v="2"/>
    <s v="April Phillips"/>
    <n v="0.99999999999999989"/>
    <n v="514.65"/>
    <n v="0.18"/>
    <x v="0"/>
    <x v="1179"/>
  </r>
  <r>
    <s v="SALE1183"/>
    <d v="2024-12-24T00:00:00"/>
    <s v="CUST1459"/>
    <s v="PROD62"/>
    <s v="STORE16"/>
    <x v="9"/>
    <s v="Laptop Cooling Pad"/>
    <x v="1"/>
    <x v="1"/>
    <s v="John Perez"/>
    <n v="3.0000000000000004"/>
    <n v="198.76"/>
    <n v="0.28000000000000003"/>
    <x v="2"/>
    <x v="1180"/>
  </r>
  <r>
    <s v="SALE1184"/>
    <d v="2025-06-03T00:00:00"/>
    <s v="CUST1225"/>
    <s v="PROD63"/>
    <s v="STORE3"/>
    <x v="0"/>
    <s v="Organic Sunscreen Lotion"/>
    <x v="2"/>
    <x v="0"/>
    <s v="Elizabeth Stanley"/>
    <n v="2"/>
    <n v="975.72"/>
    <n v="0.16"/>
    <x v="2"/>
    <x v="1181"/>
  </r>
  <r>
    <s v="SALE1185"/>
    <d v="2024-08-01T00:00:00"/>
    <s v="CUST1420"/>
    <s v="PROD15"/>
    <s v="STORE1"/>
    <x v="8"/>
    <s v="4K Home Projector"/>
    <x v="1"/>
    <x v="0"/>
    <s v="Dr. Tamara White MD"/>
    <n v="1"/>
    <n v="86.03"/>
    <n v="0.01"/>
    <x v="0"/>
    <x v="1182"/>
  </r>
  <r>
    <s v="SALE1186"/>
    <d v="2025-08-28T00:00:00"/>
    <s v="CUST1087"/>
    <s v="PROD54"/>
    <s v="STORE12"/>
    <x v="18"/>
    <s v="Sports Stopwatch Pro"/>
    <x v="0"/>
    <x v="0"/>
    <s v="Melissa Duffy MD"/>
    <n v="4"/>
    <n v="705.12"/>
    <n v="0.15"/>
    <x v="1"/>
    <x v="1183"/>
  </r>
  <r>
    <s v="SALE1187"/>
    <d v="2024-11-06T00:00:00"/>
    <s v="CUST1371"/>
    <s v="PROD18"/>
    <s v="STORE12"/>
    <x v="18"/>
    <s v="Women's Denim Jeans"/>
    <x v="4"/>
    <x v="0"/>
    <s v="Michael Garner"/>
    <n v="2.9999999999999996"/>
    <n v="99.77"/>
    <n v="0.01"/>
    <x v="1"/>
    <x v="1184"/>
  </r>
  <r>
    <s v="SALE1188"/>
    <d v="2024-08-26T00:00:00"/>
    <s v="CUST1209"/>
    <s v="PROD34"/>
    <s v="STORE9"/>
    <x v="11"/>
    <s v="Gaming Mechanical Keyboard"/>
    <x v="1"/>
    <x v="2"/>
    <s v="Joan Johnson"/>
    <n v="2"/>
    <n v="166.26"/>
    <n v="0.14000000000000001"/>
    <x v="1"/>
    <x v="1185"/>
  </r>
  <r>
    <s v="SALE1189"/>
    <d v="2025-03-13T00:00:00"/>
    <s v="CUST1459"/>
    <s v="PROD26"/>
    <s v="STORE5"/>
    <x v="3"/>
    <s v="Wireless Bluetooth Speaker"/>
    <x v="1"/>
    <x v="0"/>
    <s v="John Perez"/>
    <n v="1"/>
    <n v="429.25"/>
    <n v="0.28999999999999998"/>
    <x v="0"/>
    <x v="1186"/>
  </r>
  <r>
    <s v="SALE1190"/>
    <d v="2024-06-25T00:00:00"/>
    <s v="CUST1443"/>
    <s v="PROD0"/>
    <s v="STORE9"/>
    <x v="11"/>
    <s v="Brother Laser Printer"/>
    <x v="1"/>
    <x v="2"/>
    <s v="Adam Castro"/>
    <n v="2"/>
    <n v="540.48"/>
    <n v="0.28999999999999998"/>
    <x v="0"/>
    <x v="1187"/>
  </r>
  <r>
    <s v="SALE1191"/>
    <d v="2025-10-06T00:00:00"/>
    <s v="CUST1269"/>
    <s v="PROD59"/>
    <s v="STORE14"/>
    <x v="7"/>
    <s v="Men's Hair Styling Gel"/>
    <x v="2"/>
    <x v="2"/>
    <s v="Tyrone Olson"/>
    <n v="2"/>
    <n v="579.52"/>
    <n v="0.01"/>
    <x v="1"/>
    <x v="1188"/>
  </r>
  <r>
    <s v="SALE1192"/>
    <d v="2024-11-26T00:00:00"/>
    <s v="CUST1026"/>
    <s v="PROD69"/>
    <s v="STORE17"/>
    <x v="1"/>
    <s v="Men's Sports Shorts"/>
    <x v="4"/>
    <x v="0"/>
    <s v="Amber Carlson"/>
    <n v="4"/>
    <n v="477.52"/>
    <n v="7.0000000000000007E-2"/>
    <x v="1"/>
    <x v="1189"/>
  </r>
  <r>
    <s v="SALE1193"/>
    <d v="2025-02-17T00:00:00"/>
    <s v="CUST1259"/>
    <s v="PROD91"/>
    <s v="STORE6"/>
    <x v="16"/>
    <s v="Women's High Heels"/>
    <x v="4"/>
    <x v="3"/>
    <s v="Beth Allen"/>
    <n v="3.0000000000000004"/>
    <n v="242.58"/>
    <n v="0.25"/>
    <x v="0"/>
    <x v="1190"/>
  </r>
  <r>
    <s v="SALE1194"/>
    <d v="2023-11-20T00:00:00"/>
    <s v="CUST1367"/>
    <s v="PROD26"/>
    <s v="STORE17"/>
    <x v="1"/>
    <s v="Wireless Bluetooth Speaker"/>
    <x v="1"/>
    <x v="0"/>
    <s v="Melinda Johnson"/>
    <n v="2"/>
    <n v="519.29999999999995"/>
    <n v="0.09"/>
    <x v="1"/>
    <x v="1191"/>
  </r>
  <r>
    <s v="SALE1195"/>
    <d v="2025-01-27T00:00:00"/>
    <s v="CUST1491"/>
    <s v="PROD94"/>
    <s v="STORE11"/>
    <x v="19"/>
    <s v="Vitamin E Body Lotion"/>
    <x v="2"/>
    <x v="2"/>
    <s v="Not Found"/>
    <n v="3.0000000000000004"/>
    <n v="845.67"/>
    <n v="0.12"/>
    <x v="2"/>
    <x v="1192"/>
  </r>
  <r>
    <s v="SALE1196"/>
    <d v="2024-04-13T00:00:00"/>
    <s v="CUST1305"/>
    <s v="PROD55"/>
    <s v="STORE16"/>
    <x v="9"/>
    <s v="Ceramic Plant Pot"/>
    <x v="3"/>
    <x v="1"/>
    <s v="Roberta Green"/>
    <n v="4"/>
    <n v="750.26"/>
    <n v="0.01"/>
    <x v="1"/>
    <x v="1193"/>
  </r>
  <r>
    <s v="SALE1197"/>
    <d v="2024-03-31T00:00:00"/>
    <s v="CUST1332"/>
    <s v="PROD92"/>
    <s v="STORE12"/>
    <x v="18"/>
    <s v="Microwave Oven"/>
    <x v="3"/>
    <x v="0"/>
    <s v="Dr. Lindsay Hanna"/>
    <n v="4"/>
    <n v="294.38"/>
    <n v="0.2"/>
    <x v="0"/>
    <x v="1194"/>
  </r>
  <r>
    <s v="SALE1198"/>
    <d v="2025-09-19T00:00:00"/>
    <s v="CUST1097"/>
    <s v="PROD96"/>
    <s v="STORE2"/>
    <x v="17"/>
    <s v="Women's Formal Blazer"/>
    <x v="4"/>
    <x v="2"/>
    <s v="David Cobb"/>
    <n v="3"/>
    <n v="583.52"/>
    <n v="7.0000000000000007E-2"/>
    <x v="1"/>
    <x v="1195"/>
  </r>
  <r>
    <s v="SALE1199"/>
    <d v="2024-06-10T00:00:00"/>
    <s v="CUST1470"/>
    <s v="PROD89"/>
    <s v="STORE16"/>
    <x v="9"/>
    <s v="Face Foundation Kit"/>
    <x v="2"/>
    <x v="1"/>
    <s v="Manuel Fisher"/>
    <n v="2"/>
    <n v="635.22"/>
    <n v="0.3"/>
    <x v="2"/>
    <x v="1196"/>
  </r>
  <r>
    <s v="SALE1200"/>
    <d v="2024-01-22T00:00:00"/>
    <s v="CUST1428"/>
    <s v="PROD66"/>
    <s v="STORE2"/>
    <x v="17"/>
    <s v="Women's Hair Dryer Brush"/>
    <x v="2"/>
    <x v="2"/>
    <s v="Samuel Mullins"/>
    <n v="1"/>
    <n v="743.55"/>
    <n v="0.11"/>
    <x v="2"/>
    <x v="1197"/>
  </r>
  <r>
    <s v="SALE1201"/>
    <d v="2024-03-26T00:00:00"/>
    <s v="CUST1101"/>
    <s v="PROD44"/>
    <s v="STORE3"/>
    <x v="0"/>
    <s v="Adjustable Jump Rope"/>
    <x v="0"/>
    <x v="0"/>
    <s v="Colleen Maynard"/>
    <n v="3.9999999999999996"/>
    <n v="530.45000000000005"/>
    <n v="0.13"/>
    <x v="0"/>
    <x v="1198"/>
  </r>
  <r>
    <s v="SALE1202"/>
    <d v="2024-03-20T00:00:00"/>
    <s v="CUST1264"/>
    <s v="PROD66"/>
    <s v="STORE9"/>
    <x v="11"/>
    <s v="Women's Hair Dryer Brush"/>
    <x v="2"/>
    <x v="2"/>
    <s v="Matthew Payne"/>
    <n v="2.0000000000000004"/>
    <n v="972.4"/>
    <n v="0.06"/>
    <x v="2"/>
    <x v="1199"/>
  </r>
  <r>
    <s v="SALE1203"/>
    <d v="2025-05-20T00:00:00"/>
    <s v="CUST1378"/>
    <s v="PROD15"/>
    <s v="STORE18"/>
    <x v="14"/>
    <s v="4K Home Projector"/>
    <x v="1"/>
    <x v="3"/>
    <s v="Frank Stewart"/>
    <n v="2.9999999999999996"/>
    <n v="197.93"/>
    <n v="0"/>
    <x v="2"/>
    <x v="1200"/>
  </r>
  <r>
    <s v="SALE1204"/>
    <d v="2024-10-10T00:00:00"/>
    <s v="CUST1342"/>
    <s v="PROD87"/>
    <s v="STORE11"/>
    <x v="19"/>
    <s v="LED Bedside Lamp"/>
    <x v="3"/>
    <x v="2"/>
    <s v="Michelle Cunningham"/>
    <n v="4"/>
    <n v="565.51"/>
    <n v="0.16"/>
    <x v="1"/>
    <x v="1201"/>
  </r>
  <r>
    <s v="SALE1205"/>
    <d v="2024-10-01T00:00:00"/>
    <s v="CUST1400"/>
    <s v="PROD39"/>
    <s v="STORE4"/>
    <x v="5"/>
    <s v="Portable Power Bank"/>
    <x v="1"/>
    <x v="2"/>
    <s v="Mark Rogers"/>
    <n v="4"/>
    <n v="983.38"/>
    <n v="0.25"/>
    <x v="2"/>
    <x v="1202"/>
  </r>
  <r>
    <s v="SALE1206"/>
    <d v="2023-11-22T00:00:00"/>
    <s v="CUST1234"/>
    <s v="PROD99"/>
    <s v="STORE9"/>
    <x v="11"/>
    <s v="Stainless Steel Cookware Set"/>
    <x v="3"/>
    <x v="2"/>
    <s v="Nathaniel Hill"/>
    <n v="1"/>
    <n v="955.06"/>
    <n v="0.14000000000000001"/>
    <x v="0"/>
    <x v="1203"/>
  </r>
  <r>
    <s v="SALE1207"/>
    <d v="2025-02-05T00:00:00"/>
    <s v="CUST1352"/>
    <s v="PROD59"/>
    <s v="STORE15"/>
    <x v="10"/>
    <s v="Men's Hair Styling Gel"/>
    <x v="2"/>
    <x v="0"/>
    <s v="Michael Greene"/>
    <n v="3"/>
    <n v="597.46"/>
    <n v="0.02"/>
    <x v="1"/>
    <x v="1204"/>
  </r>
  <r>
    <s v="SALE1208"/>
    <d v="2024-06-03T00:00:00"/>
    <s v="CUST1317"/>
    <s v="PROD8"/>
    <s v="STORE16"/>
    <x v="9"/>
    <s v="Wireless Bluetooth Earbuds"/>
    <x v="1"/>
    <x v="1"/>
    <s v="Tiffany Williams"/>
    <n v="3"/>
    <n v="581.09"/>
    <n v="0.1"/>
    <x v="2"/>
    <x v="1205"/>
  </r>
  <r>
    <s v="SALE1209"/>
    <d v="2025-07-24T00:00:00"/>
    <s v="CUST1054"/>
    <s v="PROD30"/>
    <s v="STORE4"/>
    <x v="5"/>
    <s v="Stainless Steel Cutlery Set"/>
    <x v="3"/>
    <x v="2"/>
    <s v="Katherine Dorsey"/>
    <n v="4"/>
    <n v="153.94999999999999"/>
    <n v="0.11"/>
    <x v="1"/>
    <x v="1206"/>
  </r>
  <r>
    <s v="SALE1210"/>
    <d v="2024-08-26T00:00:00"/>
    <s v="CUST1081"/>
    <s v="PROD36"/>
    <s v="STORE8"/>
    <x v="2"/>
    <s v="Women's Summer Dress"/>
    <x v="4"/>
    <x v="1"/>
    <s v="Krystal Ford"/>
    <n v="4"/>
    <n v="271.04000000000002"/>
    <n v="0.12"/>
    <x v="2"/>
    <x v="1207"/>
  </r>
  <r>
    <s v="SALE1211"/>
    <d v="2024-09-23T00:00:00"/>
    <s v="CUST1015"/>
    <s v="PROD35"/>
    <s v="STORE6"/>
    <x v="16"/>
    <s v="Bedroom Table Lamp"/>
    <x v="3"/>
    <x v="3"/>
    <s v="Laura Alvarez"/>
    <n v="4"/>
    <n v="328.27"/>
    <n v="0.09"/>
    <x v="1"/>
    <x v="1208"/>
  </r>
  <r>
    <s v="SALE1212"/>
    <d v="2024-06-29T00:00:00"/>
    <s v="CUST1494"/>
    <s v="PROD17"/>
    <s v="STORE14"/>
    <x v="7"/>
    <s v="Soccer Training Cone Set"/>
    <x v="0"/>
    <x v="2"/>
    <s v="Justin Lopez"/>
    <n v="3.9999999999999996"/>
    <n v="884.71"/>
    <n v="0.09"/>
    <x v="1"/>
    <x v="1209"/>
  </r>
  <r>
    <s v="SALE1213"/>
    <d v="2025-06-01T00:00:00"/>
    <s v="CUST1249"/>
    <s v="PROD72"/>
    <s v="STORE4"/>
    <x v="5"/>
    <s v="Professional Jump Rope"/>
    <x v="0"/>
    <x v="2"/>
    <s v="Lauren George"/>
    <n v="1"/>
    <n v="41.39"/>
    <n v="0.01"/>
    <x v="0"/>
    <x v="1210"/>
  </r>
  <r>
    <s v="SALE1214"/>
    <d v="2025-05-06T00:00:00"/>
    <s v="CUST1165"/>
    <s v="PROD57"/>
    <s v="STORE9"/>
    <x v="11"/>
    <s v="Foam Roller"/>
    <x v="0"/>
    <x v="2"/>
    <s v="Jason Wheeler"/>
    <n v="4"/>
    <n v="64.06"/>
    <n v="0.26"/>
    <x v="0"/>
    <x v="1211"/>
  </r>
  <r>
    <s v="SALE1215"/>
    <d v="2025-07-11T00:00:00"/>
    <s v="CUST1346"/>
    <s v="PROD46"/>
    <s v="STORE9"/>
    <x v="11"/>
    <s v="Men's Winter Jacket"/>
    <x v="4"/>
    <x v="2"/>
    <s v="John Jordan"/>
    <n v="2"/>
    <n v="152.25"/>
    <n v="0.13"/>
    <x v="0"/>
    <x v="1212"/>
  </r>
  <r>
    <s v="SALE1216"/>
    <d v="2023-12-21T00:00:00"/>
    <s v="CUST1100"/>
    <s v="PROD13"/>
    <s v="STORE19"/>
    <x v="12"/>
    <s v="USB-C Fast Charger"/>
    <x v="1"/>
    <x v="3"/>
    <s v="Diane Watson"/>
    <n v="2"/>
    <n v="889.04"/>
    <n v="0.23"/>
    <x v="0"/>
    <x v="1213"/>
  </r>
  <r>
    <s v="SALE1217"/>
    <d v="2024-01-31T00:00:00"/>
    <s v="CUST1161"/>
    <s v="PROD37"/>
    <s v="STORE10"/>
    <x v="15"/>
    <s v="Men's Casual Sneakers"/>
    <x v="4"/>
    <x v="3"/>
    <s v="Cynthia Morris"/>
    <n v="3"/>
    <n v="145.25"/>
    <n v="0.24"/>
    <x v="1"/>
    <x v="1214"/>
  </r>
  <r>
    <s v="SALE1218"/>
    <d v="2024-09-25T00:00:00"/>
    <s v="CUST1056"/>
    <s v="PROD88"/>
    <s v="STORE2"/>
    <x v="17"/>
    <s v="Sports Wrist Sweatbands"/>
    <x v="0"/>
    <x v="2"/>
    <s v="Christopher Sutton"/>
    <n v="2"/>
    <n v="898.45"/>
    <n v="0.28999999999999998"/>
    <x v="2"/>
    <x v="1215"/>
  </r>
  <r>
    <s v="SALE1219"/>
    <d v="2025-09-05T00:00:00"/>
    <s v="CUST1030"/>
    <s v="PROD35"/>
    <s v="STORE15"/>
    <x v="10"/>
    <s v="Bedroom Table Lamp"/>
    <x v="3"/>
    <x v="0"/>
    <s v="Jessica Acevedo"/>
    <n v="4.0000000000000009"/>
    <n v="642.04999999999995"/>
    <n v="0.25"/>
    <x v="0"/>
    <x v="1216"/>
  </r>
  <r>
    <s v="SALE1220"/>
    <d v="2024-08-27T00:00:00"/>
    <s v="CUST1313"/>
    <s v="PROD84"/>
    <s v="STORE7"/>
    <x v="4"/>
    <s v="Wooden Bookshelf"/>
    <x v="3"/>
    <x v="2"/>
    <s v="Elizabeth Jones"/>
    <n v="4.0000000000000009"/>
    <n v="450.83"/>
    <n v="0.24"/>
    <x v="0"/>
    <x v="1217"/>
  </r>
  <r>
    <s v="SALE1221"/>
    <d v="2023-10-17T00:00:00"/>
    <s v="CUST1010"/>
    <s v="PROD52"/>
    <s v="STORE19"/>
    <x v="12"/>
    <s v="Rugby Ball"/>
    <x v="0"/>
    <x v="3"/>
    <s v="Dominic Page"/>
    <n v="2"/>
    <n v="441.03"/>
    <n v="0.23"/>
    <x v="2"/>
    <x v="1218"/>
  </r>
  <r>
    <s v="SALE1222"/>
    <d v="2024-04-02T00:00:00"/>
    <s v="CUST1082"/>
    <s v="PROD25"/>
    <s v="STORE2"/>
    <x v="17"/>
    <s v="Women's Scarf Set"/>
    <x v="4"/>
    <x v="2"/>
    <s v="George Rosario"/>
    <n v="3.0000000000000004"/>
    <n v="377.69"/>
    <n v="7.0000000000000007E-2"/>
    <x v="1"/>
    <x v="1219"/>
  </r>
  <r>
    <s v="SALE1223"/>
    <d v="2024-05-04T00:00:00"/>
    <s v="CUST1160"/>
    <s v="PROD10"/>
    <s v="STORE7"/>
    <x v="4"/>
    <s v="Ceramic Kitchen Bowl Set"/>
    <x v="3"/>
    <x v="2"/>
    <s v="John Lawson"/>
    <n v="1.0000000000000002"/>
    <n v="457.33"/>
    <n v="0.27"/>
    <x v="0"/>
    <x v="1220"/>
  </r>
  <r>
    <s v="SALE1224"/>
    <d v="2025-08-11T00:00:00"/>
    <s v="CUST1244"/>
    <s v="PROD76"/>
    <s v="STORE6"/>
    <x v="16"/>
    <s v="Wireless Mouse"/>
    <x v="1"/>
    <x v="3"/>
    <s v="Nancy Page"/>
    <n v="4"/>
    <n v="218.01"/>
    <n v="0.06"/>
    <x v="0"/>
    <x v="1221"/>
  </r>
  <r>
    <s v="SALE1225"/>
    <d v="2025-10-03T00:00:00"/>
    <s v="CUST1218"/>
    <s v="PROD92"/>
    <s v="STORE18"/>
    <x v="14"/>
    <s v="Microwave Oven"/>
    <x v="3"/>
    <x v="3"/>
    <s v="Julia Jackson"/>
    <n v="1.9999999999999996"/>
    <n v="682.7"/>
    <n v="0.13"/>
    <x v="0"/>
    <x v="1222"/>
  </r>
  <r>
    <s v="SALE1226"/>
    <d v="2024-02-23T00:00:00"/>
    <s v="CUST1323"/>
    <s v="PROD19"/>
    <s v="STORE18"/>
    <x v="14"/>
    <s v="Knee Support Brace"/>
    <x v="0"/>
    <x v="3"/>
    <s v="Kristy Dunlap"/>
    <n v="3"/>
    <n v="726.97"/>
    <n v="0.04"/>
    <x v="1"/>
    <x v="1223"/>
  </r>
  <r>
    <s v="SALE1227"/>
    <d v="2025-01-24T00:00:00"/>
    <s v="CUST1408"/>
    <s v="PROD59"/>
    <s v="STORE9"/>
    <x v="11"/>
    <s v="Men's Hair Styling Gel"/>
    <x v="2"/>
    <x v="2"/>
    <s v="Isabel Foster"/>
    <n v="2"/>
    <n v="107.97"/>
    <n v="0.06"/>
    <x v="0"/>
    <x v="1224"/>
  </r>
  <r>
    <s v="SALE1228"/>
    <d v="2025-05-08T00:00:00"/>
    <s v="CUST1007"/>
    <s v="PROD5"/>
    <s v="STORE14"/>
    <x v="7"/>
    <s v="Men's Leather Belt"/>
    <x v="4"/>
    <x v="2"/>
    <s v="Daniel Boyd"/>
    <n v="1"/>
    <n v="38.880000000000003"/>
    <n v="0.16"/>
    <x v="2"/>
    <x v="1225"/>
  </r>
  <r>
    <s v="SALE1229"/>
    <d v="2025-06-15T00:00:00"/>
    <s v="CUST1078"/>
    <s v="PROD16"/>
    <s v="STORE17"/>
    <x v="1"/>
    <s v="Not Found"/>
    <x v="5"/>
    <x v="0"/>
    <s v="Cody Blake"/>
    <n v="3"/>
    <n v="484.39"/>
    <n v="0.28999999999999998"/>
    <x v="2"/>
    <x v="1226"/>
  </r>
  <r>
    <s v="SALE1230"/>
    <d v="2024-10-07T00:00:00"/>
    <s v="CUST1018"/>
    <s v="PROD80"/>
    <s v="STORE15"/>
    <x v="10"/>
    <s v="Wall-Mounted Spice Rack"/>
    <x v="3"/>
    <x v="0"/>
    <s v="Rhonda Moss"/>
    <n v="2"/>
    <n v="949.3"/>
    <n v="0.08"/>
    <x v="2"/>
    <x v="1227"/>
  </r>
  <r>
    <s v="SALE1231"/>
    <d v="2023-11-29T00:00:00"/>
    <s v="CUST1433"/>
    <s v="PROD71"/>
    <s v="STORE6"/>
    <x v="16"/>
    <s v="Hair Repair Oil Treatment"/>
    <x v="2"/>
    <x v="3"/>
    <s v="Thomas Moore"/>
    <n v="3"/>
    <n v="664.75"/>
    <n v="0.12"/>
    <x v="0"/>
    <x v="1228"/>
  </r>
  <r>
    <s v="SALE1232"/>
    <d v="2025-03-24T00:00:00"/>
    <s v="CUST1282"/>
    <s v="PROD70"/>
    <s v="STORE17"/>
    <x v="1"/>
    <s v="Kitchen Storage Rack"/>
    <x v="3"/>
    <x v="0"/>
    <s v="Kristi Lopez"/>
    <n v="3.0000000000000004"/>
    <n v="190.04"/>
    <n v="7.0000000000000007E-2"/>
    <x v="1"/>
    <x v="1229"/>
  </r>
  <r>
    <s v="SALE1233"/>
    <d v="2025-07-31T00:00:00"/>
    <s v="CUST1277"/>
    <s v="PROD7"/>
    <s v="STORE15"/>
    <x v="10"/>
    <s v="LED Table Lamp"/>
    <x v="3"/>
    <x v="0"/>
    <s v="Jeffrey Gomez"/>
    <n v="3"/>
    <n v="754.02"/>
    <n v="0.1"/>
    <x v="2"/>
    <x v="1230"/>
  </r>
  <r>
    <s v="SALE1234"/>
    <d v="2024-08-22T00:00:00"/>
    <s v="CUST1384"/>
    <s v="PROD34"/>
    <s v="STORE12"/>
    <x v="18"/>
    <s v="Gaming Mechanical Keyboard"/>
    <x v="1"/>
    <x v="0"/>
    <s v="Andrew Mason"/>
    <n v="4.0000000000000009"/>
    <n v="94.13"/>
    <n v="0.04"/>
    <x v="2"/>
    <x v="1231"/>
  </r>
  <r>
    <s v="SALE1235"/>
    <d v="2024-07-16T00:00:00"/>
    <s v="CUST1468"/>
    <s v="PROD1"/>
    <s v="STORE15"/>
    <x v="10"/>
    <s v="Men's Graphic T-Shirt"/>
    <x v="4"/>
    <x v="0"/>
    <s v="Gregory Curtis"/>
    <n v="3.0000000000000004"/>
    <n v="402.3"/>
    <n v="0.21"/>
    <x v="1"/>
    <x v="1232"/>
  </r>
  <r>
    <s v="SALE1236"/>
    <d v="2025-09-08T00:00:00"/>
    <s v="CUST1239"/>
    <s v="PROD86"/>
    <s v="STORE7"/>
    <x v="4"/>
    <s v="Kitchen Cutting Board"/>
    <x v="3"/>
    <x v="2"/>
    <s v="Maria Hill"/>
    <n v="1"/>
    <n v="729.05"/>
    <n v="0.06"/>
    <x v="2"/>
    <x v="1233"/>
  </r>
  <r>
    <s v="SALE1237"/>
    <d v="2025-09-12T00:00:00"/>
    <s v="CUST1134"/>
    <s v="PROD90"/>
    <s v="STORE13"/>
    <x v="13"/>
    <s v="Gaming Mouse Pad XL"/>
    <x v="1"/>
    <x v="3"/>
    <s v="Morgan Bowen"/>
    <n v="1"/>
    <n v="822.6"/>
    <n v="0.28999999999999998"/>
    <x v="1"/>
    <x v="1234"/>
  </r>
  <r>
    <s v="SALE1238"/>
    <d v="2025-04-24T00:00:00"/>
    <s v="CUST1193"/>
    <s v="PROD83"/>
    <s v="STORE8"/>
    <x v="2"/>
    <s v="Hydrating Face Cleanser"/>
    <x v="2"/>
    <x v="1"/>
    <s v="David Roberts"/>
    <n v="2"/>
    <n v="327.25"/>
    <n v="0.19"/>
    <x v="1"/>
    <x v="1235"/>
  </r>
  <r>
    <s v="SALE1239"/>
    <d v="2024-11-23T00:00:00"/>
    <s v="CUST1084"/>
    <s v="PROD70"/>
    <s v="STORE9"/>
    <x v="11"/>
    <s v="Kitchen Storage Rack"/>
    <x v="3"/>
    <x v="2"/>
    <s v="Christy Hoffman"/>
    <n v="4"/>
    <n v="930.38"/>
    <n v="0"/>
    <x v="2"/>
    <x v="1236"/>
  </r>
  <r>
    <s v="SALE1240"/>
    <d v="2024-04-12T00:00:00"/>
    <s v="CUST1144"/>
    <s v="PROD27"/>
    <s v="STORE5"/>
    <x v="3"/>
    <s v="Decorative Floor Vase"/>
    <x v="3"/>
    <x v="0"/>
    <s v="Justin Cross"/>
    <n v="2"/>
    <n v="437.84"/>
    <n v="0.24"/>
    <x v="0"/>
    <x v="1237"/>
  </r>
  <r>
    <s v="SALE1241"/>
    <d v="2025-05-09T00:00:00"/>
    <s v="CUST1070"/>
    <s v="PROD16"/>
    <s v="STORE16"/>
    <x v="9"/>
    <s v="Not Found"/>
    <x v="5"/>
    <x v="1"/>
    <s v="Eric Singh"/>
    <n v="2"/>
    <n v="126.02"/>
    <n v="0.09"/>
    <x v="2"/>
    <x v="1238"/>
  </r>
  <r>
    <s v="SALE1242"/>
    <d v="2025-02-04T00:00:00"/>
    <s v="CUST1437"/>
    <s v="PROD83"/>
    <s v="STORE15"/>
    <x v="10"/>
    <s v="Hydrating Face Cleanser"/>
    <x v="2"/>
    <x v="0"/>
    <s v="Melinda Rivera"/>
    <n v="1"/>
    <n v="860.84"/>
    <n v="7.0000000000000007E-2"/>
    <x v="1"/>
    <x v="1239"/>
  </r>
  <r>
    <s v="SALE1243"/>
    <d v="2025-01-20T00:00:00"/>
    <s v="CUST1093"/>
    <s v="PROD48"/>
    <s v="STORE13"/>
    <x v="13"/>
    <s v="Car Dashboard Phone Holder"/>
    <x v="1"/>
    <x v="3"/>
    <s v="Christy Vasquez"/>
    <n v="1"/>
    <n v="161.80000000000001"/>
    <n v="0.24"/>
    <x v="1"/>
    <x v="1240"/>
  </r>
  <r>
    <s v="SALE1244"/>
    <d v="2025-01-12T00:00:00"/>
    <s v="CUST1385"/>
    <s v="PROD38"/>
    <s v="STORE17"/>
    <x v="1"/>
    <s v="Sports Water Hydration Pack"/>
    <x v="0"/>
    <x v="0"/>
    <s v="Tammy Brennan"/>
    <n v="4.0000000000000009"/>
    <n v="347.82"/>
    <n v="0.02"/>
    <x v="2"/>
    <x v="1241"/>
  </r>
  <r>
    <s v="SALE1245"/>
    <d v="2024-01-08T00:00:00"/>
    <s v="CUST1453"/>
    <s v="PROD85"/>
    <s v="STORE16"/>
    <x v="9"/>
    <s v="Women's Beanie Hat"/>
    <x v="4"/>
    <x v="1"/>
    <s v="April Phillips"/>
    <n v="3"/>
    <n v="416.44"/>
    <n v="0.27"/>
    <x v="0"/>
    <x v="1242"/>
  </r>
  <r>
    <s v="SALE1246"/>
    <d v="2025-08-24T00:00:00"/>
    <s v="CUST1005"/>
    <s v="PROD62"/>
    <s v="STORE0"/>
    <x v="6"/>
    <s v="Laptop Cooling Pad"/>
    <x v="1"/>
    <x v="3"/>
    <s v="Christine Vaughn"/>
    <n v="1"/>
    <n v="147.96"/>
    <n v="0.24"/>
    <x v="2"/>
    <x v="1243"/>
  </r>
  <r>
    <s v="SALE1247"/>
    <d v="2024-09-25T00:00:00"/>
    <s v="CUST1445"/>
    <s v="PROD18"/>
    <s v="STORE8"/>
    <x v="2"/>
    <s v="Women's Denim Jeans"/>
    <x v="4"/>
    <x v="1"/>
    <s v="Gene Lee"/>
    <n v="3"/>
    <n v="550.26"/>
    <n v="0.22"/>
    <x v="0"/>
    <x v="1244"/>
  </r>
  <r>
    <s v="SALE1248"/>
    <d v="2023-12-07T00:00:00"/>
    <s v="CUST1371"/>
    <s v="PROD97"/>
    <s v="STORE7"/>
    <x v="4"/>
    <s v="Cricket Bat"/>
    <x v="0"/>
    <x v="2"/>
    <s v="Michael Garner"/>
    <n v="4"/>
    <n v="938.21"/>
    <n v="0.04"/>
    <x v="1"/>
    <x v="1245"/>
  </r>
  <r>
    <s v="SALE1249"/>
    <d v="2024-06-24T00:00:00"/>
    <s v="CUST1134"/>
    <s v="PROD94"/>
    <s v="STORE16"/>
    <x v="9"/>
    <s v="Vitamin E Body Lotion"/>
    <x v="2"/>
    <x v="1"/>
    <s v="Morgan Bowen"/>
    <n v="3"/>
    <n v="517.98"/>
    <n v="0.01"/>
    <x v="1"/>
    <x v="1246"/>
  </r>
  <r>
    <s v="SALE1250"/>
    <d v="2025-07-09T00:00:00"/>
    <s v="CUST1036"/>
    <s v="PROD6"/>
    <s v="STORE8"/>
    <x v="2"/>
    <s v="Herbal Face Moisturizer"/>
    <x v="2"/>
    <x v="1"/>
    <s v="Thomas Phillips"/>
    <n v="1"/>
    <n v="98.27"/>
    <n v="0.16"/>
    <x v="1"/>
    <x v="1247"/>
  </r>
  <r>
    <s v="SALE1251"/>
    <d v="2024-07-07T00:00:00"/>
    <s v="CUST1251"/>
    <s v="PROD48"/>
    <s v="STORE11"/>
    <x v="19"/>
    <s v="Car Dashboard Phone Holder"/>
    <x v="1"/>
    <x v="2"/>
    <s v="Tyler Garner"/>
    <n v="2"/>
    <n v="875.2"/>
    <n v="0.19"/>
    <x v="0"/>
    <x v="1248"/>
  </r>
  <r>
    <s v="SALE1252"/>
    <d v="2024-02-23T00:00:00"/>
    <s v="CUST1305"/>
    <s v="PROD86"/>
    <s v="STORE0"/>
    <x v="6"/>
    <s v="Kitchen Cutting Board"/>
    <x v="3"/>
    <x v="3"/>
    <s v="Roberta Green"/>
    <n v="1.0000000000000002"/>
    <n v="227.35"/>
    <n v="0.06"/>
    <x v="2"/>
    <x v="1249"/>
  </r>
  <r>
    <s v="SALE1253"/>
    <d v="2023-11-05T00:00:00"/>
    <s v="CUST1210"/>
    <s v="PROD74"/>
    <s v="STORE1"/>
    <x v="8"/>
    <s v="Bluetooth Car Audio System"/>
    <x v="1"/>
    <x v="0"/>
    <s v="Antonio Jones"/>
    <n v="1"/>
    <n v="842.46"/>
    <n v="0.05"/>
    <x v="2"/>
    <x v="1250"/>
  </r>
  <r>
    <s v="SALE1254"/>
    <d v="2024-09-08T00:00:00"/>
    <s v="CUST1212"/>
    <s v="PROD36"/>
    <s v="STORE11"/>
    <x v="19"/>
    <s v="Women's Summer Dress"/>
    <x v="4"/>
    <x v="2"/>
    <s v="Blake Harrison"/>
    <n v="2.9999999999999996"/>
    <n v="120.67"/>
    <n v="0.08"/>
    <x v="2"/>
    <x v="1251"/>
  </r>
  <r>
    <s v="SALE1255"/>
    <d v="2024-04-20T00:00:00"/>
    <s v="CUST1497"/>
    <s v="PROD20"/>
    <s v="STORE3"/>
    <x v="0"/>
    <s v="Outdoor Sports Water Bottle"/>
    <x v="0"/>
    <x v="0"/>
    <s v="Sarah Marsh"/>
    <n v="4"/>
    <n v="176.13"/>
    <n v="0.27"/>
    <x v="1"/>
    <x v="1252"/>
  </r>
  <r>
    <s v="SALE1256"/>
    <d v="2025-01-14T00:00:00"/>
    <s v="CUST1450"/>
    <s v="PROD63"/>
    <s v="STORE11"/>
    <x v="19"/>
    <s v="Organic Sunscreen Lotion"/>
    <x v="2"/>
    <x v="2"/>
    <s v="Shane Mills"/>
    <n v="4"/>
    <n v="592.67999999999995"/>
    <n v="0.03"/>
    <x v="0"/>
    <x v="1253"/>
  </r>
  <r>
    <s v="SALE1257"/>
    <d v="2024-03-16T00:00:00"/>
    <s v="CUST1176"/>
    <s v="PROD70"/>
    <s v="STORE4"/>
    <x v="5"/>
    <s v="Kitchen Storage Rack"/>
    <x v="3"/>
    <x v="2"/>
    <s v="John Bradford"/>
    <n v="4"/>
    <n v="662.43"/>
    <n v="0.24"/>
    <x v="1"/>
    <x v="1254"/>
  </r>
  <r>
    <s v="SALE1258"/>
    <d v="2024-07-15T00:00:00"/>
    <s v="CUST1128"/>
    <s v="PROD43"/>
    <s v="STORE8"/>
    <x v="2"/>
    <s v="USB External Hard Drive"/>
    <x v="1"/>
    <x v="1"/>
    <s v="Susan Mcdonald"/>
    <n v="2.9999999999999996"/>
    <n v="518.35"/>
    <n v="0.21"/>
    <x v="2"/>
    <x v="1255"/>
  </r>
  <r>
    <s v="SALE1259"/>
    <d v="2024-08-05T00:00:00"/>
    <s v="CUST1310"/>
    <s v="PROD61"/>
    <s v="STORE5"/>
    <x v="3"/>
    <s v="Tennis Ball 3-Pack"/>
    <x v="0"/>
    <x v="0"/>
    <s v="Kara Dodson"/>
    <n v="1"/>
    <n v="85.58"/>
    <n v="0.1"/>
    <x v="2"/>
    <x v="1256"/>
  </r>
  <r>
    <s v="SALE1260"/>
    <d v="2024-02-01T00:00:00"/>
    <s v="CUST1363"/>
    <s v="PROD87"/>
    <s v="STORE1"/>
    <x v="8"/>
    <s v="LED Bedside Lamp"/>
    <x v="3"/>
    <x v="0"/>
    <s v="Elizabeth Smith"/>
    <n v="4"/>
    <n v="800"/>
    <n v="0.2"/>
    <x v="0"/>
    <x v="1257"/>
  </r>
  <r>
    <s v="SALE1261"/>
    <d v="2025-08-20T00:00:00"/>
    <s v="CUST1155"/>
    <s v="PROD60"/>
    <s v="STORE10"/>
    <x v="15"/>
    <s v="Luxury Perfume Spray"/>
    <x v="2"/>
    <x v="3"/>
    <s v="Curtis Haynes"/>
    <n v="3"/>
    <n v="118.25"/>
    <n v="0.26"/>
    <x v="1"/>
    <x v="1258"/>
  </r>
  <r>
    <s v="SALE1262"/>
    <d v="2023-11-23T00:00:00"/>
    <s v="CUST1421"/>
    <s v="PROD32"/>
    <s v="STORE15"/>
    <x v="10"/>
    <s v="Vitamin C Face Serum"/>
    <x v="2"/>
    <x v="0"/>
    <s v="Holly Robinson"/>
    <n v="1"/>
    <n v="223.25"/>
    <n v="0.28999999999999998"/>
    <x v="0"/>
    <x v="1259"/>
  </r>
  <r>
    <s v="SALE1263"/>
    <d v="2024-08-26T00:00:00"/>
    <s v="CUST1427"/>
    <s v="PROD32"/>
    <s v="STORE4"/>
    <x v="5"/>
    <s v="Vitamin C Face Serum"/>
    <x v="2"/>
    <x v="2"/>
    <s v="Jose Stewart"/>
    <n v="2.9999999999999996"/>
    <n v="918.76"/>
    <n v="0.2"/>
    <x v="1"/>
    <x v="1260"/>
  </r>
  <r>
    <s v="SALE1264"/>
    <d v="2024-07-18T00:00:00"/>
    <s v="CUST1280"/>
    <s v="PROD84"/>
    <s v="STORE13"/>
    <x v="13"/>
    <s v="Wooden Bookshelf"/>
    <x v="3"/>
    <x v="3"/>
    <s v="Antonio Leon"/>
    <n v="2"/>
    <n v="905.26"/>
    <n v="0.15"/>
    <x v="2"/>
    <x v="1261"/>
  </r>
  <r>
    <s v="SALE1265"/>
    <d v="2024-12-02T00:00:00"/>
    <s v="CUST1312"/>
    <s v="PROD16"/>
    <s v="STORE19"/>
    <x v="12"/>
    <s v="Not Found"/>
    <x v="5"/>
    <x v="3"/>
    <s v="Jason Mullins"/>
    <n v="4"/>
    <n v="295.39999999999998"/>
    <n v="0.23"/>
    <x v="1"/>
    <x v="1262"/>
  </r>
  <r>
    <s v="SALE1266"/>
    <d v="2025-07-23T00:00:00"/>
    <s v="CUST1087"/>
    <s v="PROD94"/>
    <s v="STORE5"/>
    <x v="3"/>
    <s v="Vitamin E Body Lotion"/>
    <x v="2"/>
    <x v="0"/>
    <s v="Melissa Duffy MD"/>
    <n v="0.99999999999999989"/>
    <n v="252.18"/>
    <n v="0.23"/>
    <x v="1"/>
    <x v="1263"/>
  </r>
  <r>
    <s v="SALE1267"/>
    <d v="2025-08-09T00:00:00"/>
    <s v="CUST1152"/>
    <s v="PROD97"/>
    <s v="STORE12"/>
    <x v="18"/>
    <s v="Cricket Bat"/>
    <x v="0"/>
    <x v="0"/>
    <s v="Patrick Roberts"/>
    <n v="3.9999999999999991"/>
    <n v="792.1"/>
    <n v="0.19"/>
    <x v="2"/>
    <x v="1264"/>
  </r>
  <r>
    <s v="SALE1268"/>
    <d v="2024-05-14T00:00:00"/>
    <s v="CUST1076"/>
    <s v="PROD88"/>
    <s v="STORE14"/>
    <x v="7"/>
    <s v="Sports Wrist Sweatbands"/>
    <x v="0"/>
    <x v="2"/>
    <s v="Nathan Campbell"/>
    <n v="1"/>
    <n v="883.36"/>
    <n v="0.11"/>
    <x v="1"/>
    <x v="1265"/>
  </r>
  <r>
    <s v="SALE1269"/>
    <d v="2023-11-01T00:00:00"/>
    <s v="CUST1276"/>
    <s v="PROD69"/>
    <s v="STORE0"/>
    <x v="6"/>
    <s v="Men's Sports Shorts"/>
    <x v="4"/>
    <x v="3"/>
    <s v="Arthur Warren"/>
    <n v="4"/>
    <n v="305.95"/>
    <n v="0.08"/>
    <x v="1"/>
    <x v="1266"/>
  </r>
  <r>
    <s v="SALE1270"/>
    <d v="2024-11-13T00:00:00"/>
    <s v="CUST1401"/>
    <s v="PROD58"/>
    <s v="STORE7"/>
    <x v="4"/>
    <s v="Womens Cotton Scarf"/>
    <x v="4"/>
    <x v="2"/>
    <s v="Terry Moses"/>
    <n v="3"/>
    <n v="742.45"/>
    <n v="0.23"/>
    <x v="2"/>
    <x v="1267"/>
  </r>
  <r>
    <s v="SALE1271"/>
    <d v="2024-04-10T00:00:00"/>
    <s v="CUST1355"/>
    <s v="PROD25"/>
    <s v="STORE18"/>
    <x v="14"/>
    <s v="Women's Scarf Set"/>
    <x v="4"/>
    <x v="3"/>
    <s v="Carlos Flores"/>
    <n v="3"/>
    <n v="336.1"/>
    <n v="0.12"/>
    <x v="2"/>
    <x v="1268"/>
  </r>
  <r>
    <s v="SALE1272"/>
    <d v="2025-08-07T00:00:00"/>
    <s v="CUST1412"/>
    <s v="PROD29"/>
    <s v="STORE7"/>
    <x v="4"/>
    <s v="Fabric Sofa Throw Blanket"/>
    <x v="3"/>
    <x v="2"/>
    <s v="Shane Brown"/>
    <n v="3"/>
    <n v="310.36"/>
    <n v="0.14000000000000001"/>
    <x v="2"/>
    <x v="1269"/>
  </r>
  <r>
    <s v="SALE1273"/>
    <d v="2025-04-25T00:00:00"/>
    <s v="CUST1279"/>
    <s v="PROD98"/>
    <s v="STORE8"/>
    <x v="2"/>
    <s v="Portable Bluetooth Speaker"/>
    <x v="1"/>
    <x v="1"/>
    <s v="Aaron Luna"/>
    <n v="3.0000000000000004"/>
    <n v="992.81"/>
    <n v="0.04"/>
    <x v="1"/>
    <x v="1270"/>
  </r>
  <r>
    <s v="SALE1274"/>
    <d v="2023-10-18T00:00:00"/>
    <s v="CUST1198"/>
    <s v="PROD60"/>
    <s v="STORE11"/>
    <x v="19"/>
    <s v="Luxury Perfume Spray"/>
    <x v="2"/>
    <x v="2"/>
    <s v="Wanda Snyder"/>
    <n v="3"/>
    <n v="257.11"/>
    <n v="0.26"/>
    <x v="2"/>
    <x v="1271"/>
  </r>
  <r>
    <s v="SALE1275"/>
    <d v="2025-03-23T00:00:00"/>
    <s v="CUST1220"/>
    <s v="PROD95"/>
    <s v="STORE12"/>
    <x v="18"/>
    <s v="Sports Stopwatch Basic"/>
    <x v="0"/>
    <x v="0"/>
    <s v="George Davis"/>
    <n v="4"/>
    <n v="816.29"/>
    <n v="0.24"/>
    <x v="1"/>
    <x v="1272"/>
  </r>
  <r>
    <s v="SALE1276"/>
    <d v="2023-12-12T00:00:00"/>
    <s v="CUST1122"/>
    <s v="PROD60"/>
    <s v="STORE12"/>
    <x v="18"/>
    <s v="Luxury Perfume Spray"/>
    <x v="2"/>
    <x v="0"/>
    <s v="Michael Chang"/>
    <n v="3.9999999999999991"/>
    <n v="755.82"/>
    <n v="0.22"/>
    <x v="2"/>
    <x v="1273"/>
  </r>
  <r>
    <s v="SALE1277"/>
    <d v="2024-08-20T00:00:00"/>
    <s v="CUST1003"/>
    <s v="PROD0"/>
    <s v="STORE14"/>
    <x v="7"/>
    <s v="Brother Laser Printer"/>
    <x v="1"/>
    <x v="2"/>
    <s v="jeremy harris"/>
    <n v="0.99999999999999989"/>
    <n v="449.6"/>
    <n v="0.01"/>
    <x v="1"/>
    <x v="1274"/>
  </r>
  <r>
    <s v="SALE1278"/>
    <d v="2024-07-08T00:00:00"/>
    <s v="CUST1351"/>
    <s v="PROD14"/>
    <s v="STORE0"/>
    <x v="6"/>
    <s v="Decorative Wall Mirror"/>
    <x v="3"/>
    <x v="3"/>
    <s v="Jeffrey Mccarthy"/>
    <n v="2.0000000000000004"/>
    <n v="779.29"/>
    <n v="0.12"/>
    <x v="2"/>
    <x v="1275"/>
  </r>
  <r>
    <s v="SALE1279"/>
    <d v="2023-12-07T00:00:00"/>
    <s v="CUST1464"/>
    <s v="PROD77"/>
    <s v="STORE17"/>
    <x v="1"/>
    <s v="WiFi Mesh Router"/>
    <x v="1"/>
    <x v="0"/>
    <s v="Not Found"/>
    <n v="1"/>
    <n v="748.75"/>
    <n v="0.1"/>
    <x v="2"/>
    <x v="1276"/>
  </r>
  <r>
    <s v="SALE1280"/>
    <d v="2024-02-06T00:00:00"/>
    <s v="CUST1181"/>
    <s v="PROD89"/>
    <s v="STORE0"/>
    <x v="6"/>
    <s v="Face Foundation Kit"/>
    <x v="2"/>
    <x v="3"/>
    <s v="Erin Ward"/>
    <n v="2"/>
    <n v="121.67"/>
    <n v="0.08"/>
    <x v="2"/>
    <x v="1277"/>
  </r>
  <r>
    <s v="SALE1281"/>
    <d v="2025-05-10T00:00:00"/>
    <s v="CUST1492"/>
    <s v="PROD49"/>
    <s v="STORE15"/>
    <x v="10"/>
    <s v="Men's Roll-On Perfume"/>
    <x v="2"/>
    <x v="0"/>
    <s v="Darrell Miller"/>
    <n v="3.0000000000000004"/>
    <n v="225.14"/>
    <n v="0.15"/>
    <x v="2"/>
    <x v="1278"/>
  </r>
  <r>
    <s v="SALE1282"/>
    <d v="2025-08-07T00:00:00"/>
    <s v="CUST1321"/>
    <s v="PROD29"/>
    <s v="STORE19"/>
    <x v="12"/>
    <s v="Fabric Sofa Throw Blanket"/>
    <x v="3"/>
    <x v="3"/>
    <s v="Darren Burton"/>
    <n v="1"/>
    <n v="654.17999999999995"/>
    <n v="0.19"/>
    <x v="1"/>
    <x v="1279"/>
  </r>
  <r>
    <s v="SALE1283"/>
    <d v="2024-09-17T00:00:00"/>
    <s v="CUST1058"/>
    <s v="PROD71"/>
    <s v="STORE5"/>
    <x v="3"/>
    <s v="Hair Repair Oil Treatment"/>
    <x v="2"/>
    <x v="0"/>
    <s v="Cheryl Copeland"/>
    <n v="2"/>
    <n v="504.98"/>
    <n v="0.08"/>
    <x v="2"/>
    <x v="1280"/>
  </r>
  <r>
    <s v="SALE1284"/>
    <d v="2025-06-15T00:00:00"/>
    <s v="CUST1378"/>
    <s v="PROD54"/>
    <s v="STORE8"/>
    <x v="2"/>
    <s v="Sports Stopwatch Pro"/>
    <x v="0"/>
    <x v="1"/>
    <s v="Frank Stewart"/>
    <n v="2"/>
    <n v="623.20000000000005"/>
    <n v="0.14000000000000001"/>
    <x v="2"/>
    <x v="1281"/>
  </r>
  <r>
    <s v="SALE1285"/>
    <d v="2024-11-26T00:00:00"/>
    <s v="CUST1325"/>
    <s v="PROD5"/>
    <s v="STORE16"/>
    <x v="9"/>
    <s v="Men's Leather Belt"/>
    <x v="4"/>
    <x v="1"/>
    <s v="Andrew Smith"/>
    <n v="2"/>
    <n v="530.54"/>
    <n v="0.28000000000000003"/>
    <x v="2"/>
    <x v="1282"/>
  </r>
  <r>
    <s v="SALE1286"/>
    <d v="2025-06-02T00:00:00"/>
    <s v="CUST1365"/>
    <s v="PROD0"/>
    <s v="STORE16"/>
    <x v="9"/>
    <s v="Brother Laser Printer"/>
    <x v="1"/>
    <x v="1"/>
    <s v="Brandon Mcbride"/>
    <n v="2.9999999999999996"/>
    <n v="279.45"/>
    <n v="0.15"/>
    <x v="2"/>
    <x v="1283"/>
  </r>
  <r>
    <s v="SALE1287"/>
    <d v="2024-12-19T00:00:00"/>
    <s v="CUST1266"/>
    <s v="PROD12"/>
    <s v="STORE8"/>
    <x v="2"/>
    <s v="Hair Strengthening Shampoo"/>
    <x v="2"/>
    <x v="1"/>
    <s v="Cynthia Payne"/>
    <n v="3"/>
    <n v="906.99"/>
    <n v="0.26"/>
    <x v="2"/>
    <x v="1284"/>
  </r>
  <r>
    <s v="SALE1288"/>
    <d v="2025-04-02T00:00:00"/>
    <s v="CUST1070"/>
    <s v="PROD80"/>
    <s v="STORE17"/>
    <x v="1"/>
    <s v="Wall-Mounted Spice Rack"/>
    <x v="3"/>
    <x v="0"/>
    <s v="Eric Singh"/>
    <n v="4"/>
    <n v="408.76"/>
    <n v="0.12"/>
    <x v="2"/>
    <x v="1285"/>
  </r>
  <r>
    <s v="SALE1289"/>
    <d v="2024-09-02T00:00:00"/>
    <s v="CUST1177"/>
    <s v="PROD36"/>
    <s v="STORE9"/>
    <x v="11"/>
    <s v="Women's Summer Dress"/>
    <x v="4"/>
    <x v="2"/>
    <s v="Curtis Lam"/>
    <n v="1.9999999999999998"/>
    <n v="117.34"/>
    <n v="0.09"/>
    <x v="1"/>
    <x v="1286"/>
  </r>
  <r>
    <s v="SALE1290"/>
    <d v="2024-03-25T00:00:00"/>
    <s v="CUST1168"/>
    <s v="PROD91"/>
    <s v="STORE14"/>
    <x v="7"/>
    <s v="Women's High Heels"/>
    <x v="4"/>
    <x v="2"/>
    <s v="Daniel Contreras"/>
    <n v="3"/>
    <n v="690.27"/>
    <n v="7.0000000000000007E-2"/>
    <x v="1"/>
    <x v="1287"/>
  </r>
  <r>
    <s v="SALE1291"/>
    <d v="2025-02-21T00:00:00"/>
    <s v="CUST1108"/>
    <s v="PROD28"/>
    <s v="STORE17"/>
    <x v="1"/>
    <s v="Sports Stopwatch Timer"/>
    <x v="0"/>
    <x v="0"/>
    <s v="Travis Holland"/>
    <n v="3.9999999999999991"/>
    <n v="377.18"/>
    <n v="0.24"/>
    <x v="1"/>
    <x v="1288"/>
  </r>
  <r>
    <s v="SALE1292"/>
    <d v="2024-06-03T00:00:00"/>
    <s v="CUST1112"/>
    <s v="PROD40"/>
    <s v="STORE0"/>
    <x v="6"/>
    <s v="Noise-Canceling Headphones"/>
    <x v="1"/>
    <x v="3"/>
    <s v="David Cole"/>
    <n v="1"/>
    <n v="70.52"/>
    <n v="0.08"/>
    <x v="2"/>
    <x v="1289"/>
  </r>
  <r>
    <s v="SALE1293"/>
    <d v="2024-02-08T00:00:00"/>
    <s v="CUST1275"/>
    <s v="PROD38"/>
    <s v="STORE9"/>
    <x v="11"/>
    <s v="Sports Water Hydration Pack"/>
    <x v="0"/>
    <x v="2"/>
    <s v="Shannon Miller"/>
    <n v="1"/>
    <n v="40.25"/>
    <n v="0.1"/>
    <x v="1"/>
    <x v="1290"/>
  </r>
  <r>
    <s v="SALE1294"/>
    <d v="2024-04-06T00:00:00"/>
    <s v="CUST1232"/>
    <s v="PROD89"/>
    <s v="STORE11"/>
    <x v="19"/>
    <s v="Face Foundation Kit"/>
    <x v="2"/>
    <x v="2"/>
    <s v="Christy Hill"/>
    <n v="2.9999999999999996"/>
    <n v="539.44000000000005"/>
    <n v="0.05"/>
    <x v="2"/>
    <x v="1291"/>
  </r>
  <r>
    <s v="SALE1295"/>
    <d v="2024-01-22T00:00:00"/>
    <s v="CUST1247"/>
    <s v="PROD60"/>
    <s v="STORE4"/>
    <x v="5"/>
    <s v="Luxury Perfume Spray"/>
    <x v="2"/>
    <x v="2"/>
    <s v="Douglas Rhodes"/>
    <n v="3.0000000000000004"/>
    <n v="543.49"/>
    <n v="0.05"/>
    <x v="1"/>
    <x v="1292"/>
  </r>
  <r>
    <s v="SALE1296"/>
    <d v="2023-10-22T00:00:00"/>
    <s v="CUST1324"/>
    <s v="PROD7"/>
    <s v="STORE6"/>
    <x v="16"/>
    <s v="LED Table Lamp"/>
    <x v="3"/>
    <x v="3"/>
    <s v="Alex Mann II"/>
    <n v="3.9999999999999996"/>
    <n v="547.21"/>
    <n v="0.1"/>
    <x v="2"/>
    <x v="1293"/>
  </r>
  <r>
    <s v="SALE1297"/>
    <d v="2024-11-23T00:00:00"/>
    <s v="CUST1241"/>
    <s v="PROD65"/>
    <s v="STORE1"/>
    <x v="8"/>
    <s v="Adjustable Dumbbells 20kg"/>
    <x v="0"/>
    <x v="0"/>
    <s v="Mr. William Horton"/>
    <n v="2"/>
    <n v="892.46"/>
    <n v="7.0000000000000007E-2"/>
    <x v="1"/>
    <x v="1294"/>
  </r>
  <r>
    <s v="SALE1298"/>
    <d v="2023-12-26T00:00:00"/>
    <s v="CUST1387"/>
    <s v="PROD26"/>
    <s v="STORE8"/>
    <x v="2"/>
    <s v="Wireless Bluetooth Speaker"/>
    <x v="1"/>
    <x v="1"/>
    <s v="Timothy Gardner"/>
    <n v="2"/>
    <n v="853.41"/>
    <n v="0.25"/>
    <x v="0"/>
    <x v="1295"/>
  </r>
  <r>
    <s v="SALE1299"/>
    <d v="2024-06-08T00:00:00"/>
    <s v="CUST1110"/>
    <s v="PROD82"/>
    <s v="STORE7"/>
    <x v="4"/>
    <s v="Fitness Resistance Bands"/>
    <x v="0"/>
    <x v="2"/>
    <s v="Ashley Griffin"/>
    <n v="1.0000000000000002"/>
    <n v="162.13999999999999"/>
    <n v="7.0000000000000007E-2"/>
    <x v="1"/>
    <x v="1296"/>
  </r>
  <r>
    <s v="SALE1300"/>
    <d v="2024-07-05T00:00:00"/>
    <s v="CUST1147"/>
    <s v="PROD96"/>
    <s v="STORE16"/>
    <x v="9"/>
    <s v="Women's Formal Blazer"/>
    <x v="4"/>
    <x v="1"/>
    <s v="Rhonda Young"/>
    <n v="1"/>
    <n v="893.14"/>
    <n v="0.09"/>
    <x v="0"/>
    <x v="1297"/>
  </r>
  <r>
    <s v="SALE1301"/>
    <d v="2024-08-24T00:00:00"/>
    <s v="CUST1103"/>
    <s v="PROD34"/>
    <s v="STORE8"/>
    <x v="2"/>
    <s v="Gaming Mechanical Keyboard"/>
    <x v="1"/>
    <x v="1"/>
    <s v="Steven Stein"/>
    <n v="4"/>
    <n v="349.07"/>
    <n v="0.28000000000000003"/>
    <x v="0"/>
    <x v="1298"/>
  </r>
  <r>
    <s v="SALE1302"/>
    <d v="2024-05-06T00:00:00"/>
    <s v="CUST1283"/>
    <s v="PROD81"/>
    <s v="STORE13"/>
    <x v="13"/>
    <s v="Badminton Racket Set"/>
    <x v="0"/>
    <x v="3"/>
    <s v="Bryan Garcia"/>
    <n v="1"/>
    <n v="747.9"/>
    <n v="0.21"/>
    <x v="2"/>
    <x v="1299"/>
  </r>
  <r>
    <s v="SALE1303"/>
    <d v="2024-07-05T00:00:00"/>
    <s v="CUST1031"/>
    <s v="PROD81"/>
    <s v="STORE6"/>
    <x v="16"/>
    <s v="Badminton Racket Set"/>
    <x v="0"/>
    <x v="3"/>
    <s v="Sarah Vance"/>
    <n v="2.9999999999999996"/>
    <n v="438.92"/>
    <n v="0.21"/>
    <x v="0"/>
    <x v="1300"/>
  </r>
  <r>
    <s v="SALE1304"/>
    <d v="2023-11-02T00:00:00"/>
    <s v="CUST1123"/>
    <s v="PROD77"/>
    <s v="STORE4"/>
    <x v="5"/>
    <s v="WiFi Mesh Router"/>
    <x v="1"/>
    <x v="2"/>
    <s v="Erin Hopkins"/>
    <n v="3.9999999999999991"/>
    <n v="665.38"/>
    <n v="0.18"/>
    <x v="0"/>
    <x v="1301"/>
  </r>
  <r>
    <s v="SALE1305"/>
    <d v="2024-11-20T00:00:00"/>
    <s v="CUST1003"/>
    <s v="PROD60"/>
    <s v="STORE18"/>
    <x v="14"/>
    <s v="Luxury Perfume Spray"/>
    <x v="2"/>
    <x v="3"/>
    <s v="jeremy harris"/>
    <n v="1"/>
    <n v="146.49"/>
    <n v="0.28000000000000003"/>
    <x v="0"/>
    <x v="1302"/>
  </r>
  <r>
    <s v="SALE1306"/>
    <d v="2025-04-27T00:00:00"/>
    <s v="CUST1139"/>
    <s v="PROD38"/>
    <s v="STORE15"/>
    <x v="10"/>
    <s v="Sports Water Hydration Pack"/>
    <x v="0"/>
    <x v="0"/>
    <s v="Brian Holder"/>
    <n v="2"/>
    <n v="235.39"/>
    <n v="0.27"/>
    <x v="2"/>
    <x v="1303"/>
  </r>
  <r>
    <s v="SALE1307"/>
    <d v="2024-12-25T00:00:00"/>
    <s v="CUST1028"/>
    <s v="PROD61"/>
    <s v="STORE5"/>
    <x v="3"/>
    <s v="Tennis Ball 3-Pack"/>
    <x v="0"/>
    <x v="0"/>
    <s v="Joshua Ryan"/>
    <n v="3"/>
    <n v="38.07"/>
    <n v="0.09"/>
    <x v="1"/>
    <x v="1304"/>
  </r>
  <r>
    <s v="SALE1308"/>
    <d v="2025-09-02T00:00:00"/>
    <s v="CUST1403"/>
    <s v="PROD34"/>
    <s v="STORE4"/>
    <x v="5"/>
    <s v="Gaming Mechanical Keyboard"/>
    <x v="1"/>
    <x v="2"/>
    <s v="Justin Ingram"/>
    <n v="2"/>
    <n v="511.7"/>
    <n v="0.12"/>
    <x v="2"/>
    <x v="1305"/>
  </r>
  <r>
    <s v="SALE1309"/>
    <d v="2024-04-19T00:00:00"/>
    <s v="CUST1092"/>
    <s v="PROD75"/>
    <s v="STORE8"/>
    <x v="2"/>
    <s v="Women's Ankle Boots"/>
    <x v="4"/>
    <x v="1"/>
    <s v="Robert Jackson"/>
    <n v="3.9999999999999996"/>
    <n v="488.72"/>
    <n v="0.23"/>
    <x v="1"/>
    <x v="1306"/>
  </r>
  <r>
    <s v="SALE1310"/>
    <d v="2025-03-01T00:00:00"/>
    <s v="CUST1391"/>
    <s v="PROD50"/>
    <s v="STORE12"/>
    <x v="18"/>
    <s v="Boxing Hand Wraps"/>
    <x v="0"/>
    <x v="0"/>
    <s v="Heidi Tyler"/>
    <n v="2"/>
    <n v="520.45000000000005"/>
    <n v="0.11"/>
    <x v="2"/>
    <x v="1307"/>
  </r>
  <r>
    <s v="SALE1311"/>
    <d v="2024-03-25T00:00:00"/>
    <s v="CUST1432"/>
    <s v="PROD48"/>
    <s v="STORE5"/>
    <x v="3"/>
    <s v="Car Dashboard Phone Holder"/>
    <x v="1"/>
    <x v="0"/>
    <s v="Summer Weiss"/>
    <n v="1.0000000000000002"/>
    <n v="340.9"/>
    <n v="0.28999999999999998"/>
    <x v="0"/>
    <x v="1308"/>
  </r>
  <r>
    <s v="SALE1312"/>
    <d v="2024-10-11T00:00:00"/>
    <s v="CUST1346"/>
    <s v="PROD31"/>
    <s v="STORE8"/>
    <x v="2"/>
    <s v="Basketball"/>
    <x v="0"/>
    <x v="1"/>
    <s v="John Jordan"/>
    <n v="3"/>
    <n v="653.59"/>
    <n v="0.17"/>
    <x v="2"/>
    <x v="1309"/>
  </r>
  <r>
    <s v="SALE1313"/>
    <d v="2025-09-06T00:00:00"/>
    <s v="CUST1021"/>
    <s v="PROD26"/>
    <s v="STORE18"/>
    <x v="14"/>
    <s v="Wireless Bluetooth Speaker"/>
    <x v="1"/>
    <x v="3"/>
    <s v="Jeff Martinez"/>
    <n v="1"/>
    <n v="179.77"/>
    <n v="0.23"/>
    <x v="2"/>
    <x v="1310"/>
  </r>
  <r>
    <s v="SALE1314"/>
    <d v="2024-08-19T00:00:00"/>
    <s v="CUST1008"/>
    <s v="PROD0"/>
    <s v="STORE9"/>
    <x v="11"/>
    <s v="Brother Laser Printer"/>
    <x v="1"/>
    <x v="2"/>
    <s v="Melissa Howard"/>
    <n v="2.0000000000000004"/>
    <n v="943.8"/>
    <n v="0.06"/>
    <x v="0"/>
    <x v="1311"/>
  </r>
  <r>
    <s v="SALE1315"/>
    <d v="2023-11-04T00:00:00"/>
    <s v="CUST1409"/>
    <s v="PROD71"/>
    <s v="STORE15"/>
    <x v="10"/>
    <s v="Hair Repair Oil Treatment"/>
    <x v="2"/>
    <x v="0"/>
    <s v="Sarah Smith"/>
    <n v="2"/>
    <n v="985"/>
    <n v="0.25"/>
    <x v="0"/>
    <x v="1312"/>
  </r>
  <r>
    <s v="SALE1316"/>
    <d v="2024-04-23T00:00:00"/>
    <s v="CUST1485"/>
    <s v="PROD88"/>
    <s v="STORE10"/>
    <x v="15"/>
    <s v="Sports Wrist Sweatbands"/>
    <x v="0"/>
    <x v="3"/>
    <s v="Sara Ingram"/>
    <n v="4"/>
    <n v="216.81"/>
    <n v="0.28999999999999998"/>
    <x v="0"/>
    <x v="1313"/>
  </r>
  <r>
    <s v="SALE1317"/>
    <d v="2023-10-24T00:00:00"/>
    <s v="CUST1117"/>
    <s v="PROD64"/>
    <s v="STORE2"/>
    <x v="17"/>
    <s v="Matte Lipstick Set"/>
    <x v="2"/>
    <x v="2"/>
    <s v="Colleen Mccarthy"/>
    <n v="3.9999999999999996"/>
    <n v="950.21"/>
    <n v="0.27"/>
    <x v="2"/>
    <x v="1314"/>
  </r>
  <r>
    <s v="SALE1318"/>
    <d v="2025-06-30T00:00:00"/>
    <s v="CUST1256"/>
    <s v="PROD48"/>
    <s v="STORE7"/>
    <x v="4"/>
    <s v="Car Dashboard Phone Holder"/>
    <x v="1"/>
    <x v="2"/>
    <s v="Kristen Fischer"/>
    <n v="1.9999999999999998"/>
    <n v="271.39999999999998"/>
    <n v="0.17"/>
    <x v="1"/>
    <x v="1315"/>
  </r>
  <r>
    <s v="SALE1319"/>
    <d v="2025-08-14T00:00:00"/>
    <s v="CUST1168"/>
    <s v="PROD39"/>
    <s v="STORE8"/>
    <x v="2"/>
    <s v="Portable Power Bank"/>
    <x v="1"/>
    <x v="1"/>
    <s v="Daniel Contreras"/>
    <n v="3.9999999999999991"/>
    <n v="708.19"/>
    <n v="0.1"/>
    <x v="1"/>
    <x v="1316"/>
  </r>
  <r>
    <s v="SALE1320"/>
    <d v="2025-05-11T00:00:00"/>
    <s v="CUST1444"/>
    <s v="PROD54"/>
    <s v="STORE3"/>
    <x v="0"/>
    <s v="Sports Stopwatch Pro"/>
    <x v="0"/>
    <x v="0"/>
    <s v="Cheryl Carr"/>
    <n v="3"/>
    <n v="477.05"/>
    <n v="0.05"/>
    <x v="1"/>
    <x v="1317"/>
  </r>
  <r>
    <s v="SALE1321"/>
    <d v="2024-04-01T00:00:00"/>
    <s v="CUST1307"/>
    <s v="PROD74"/>
    <s v="STORE9"/>
    <x v="11"/>
    <s v="Bluetooth Car Audio System"/>
    <x v="1"/>
    <x v="2"/>
    <s v="Brandy Thompson"/>
    <n v="3.0000000000000004"/>
    <n v="627.29"/>
    <n v="0.27"/>
    <x v="2"/>
    <x v="1318"/>
  </r>
  <r>
    <s v="SALE1322"/>
    <d v="2024-02-13T00:00:00"/>
    <s v="CUST1304"/>
    <s v="PROD94"/>
    <s v="STORE11"/>
    <x v="19"/>
    <s v="Vitamin E Body Lotion"/>
    <x v="2"/>
    <x v="2"/>
    <s v="Miss Alexandria Li DVM"/>
    <n v="3"/>
    <n v="206.84"/>
    <n v="0.19"/>
    <x v="1"/>
    <x v="1319"/>
  </r>
  <r>
    <s v="SALE1323"/>
    <d v="2024-01-13T00:00:00"/>
    <s v="CUST1251"/>
    <s v="PROD30"/>
    <s v="STORE1"/>
    <x v="8"/>
    <s v="Stainless Steel Cutlery Set"/>
    <x v="3"/>
    <x v="0"/>
    <s v="Tyler Garner"/>
    <n v="4.0000000000000009"/>
    <n v="629.04999999999995"/>
    <n v="0.26"/>
    <x v="0"/>
    <x v="1320"/>
  </r>
  <r>
    <s v="SALE1324"/>
    <d v="2024-09-08T00:00:00"/>
    <s v="CUST1438"/>
    <s v="PROD74"/>
    <s v="STORE17"/>
    <x v="1"/>
    <s v="Bluetooth Car Audio System"/>
    <x v="1"/>
    <x v="0"/>
    <s v="Monica Flynn"/>
    <n v="4.0000000000000009"/>
    <n v="529.04"/>
    <n v="0.1"/>
    <x v="1"/>
    <x v="1321"/>
  </r>
  <r>
    <s v="SALE1325"/>
    <d v="2024-02-04T00:00:00"/>
    <s v="CUST1349"/>
    <s v="PROD30"/>
    <s v="STORE17"/>
    <x v="1"/>
    <s v="Stainless Steel Cutlery Set"/>
    <x v="3"/>
    <x v="0"/>
    <s v="Heather Valenzuela"/>
    <n v="1"/>
    <n v="350.67"/>
    <n v="0.22"/>
    <x v="1"/>
    <x v="1322"/>
  </r>
  <r>
    <s v="SALE1326"/>
    <d v="2024-07-25T00:00:00"/>
    <s v="CUST1371"/>
    <s v="PROD95"/>
    <s v="STORE1"/>
    <x v="8"/>
    <s v="Sports Stopwatch Basic"/>
    <x v="0"/>
    <x v="0"/>
    <s v="Michael Garner"/>
    <n v="1"/>
    <n v="128.93"/>
    <n v="0.26"/>
    <x v="0"/>
    <x v="1323"/>
  </r>
  <r>
    <s v="SALE1327"/>
    <d v="2024-09-09T00:00:00"/>
    <s v="CUST1145"/>
    <s v="PROD86"/>
    <s v="STORE15"/>
    <x v="10"/>
    <s v="Kitchen Cutting Board"/>
    <x v="3"/>
    <x v="0"/>
    <s v="Cameron Simpson"/>
    <n v="2"/>
    <n v="384.92"/>
    <n v="0.09"/>
    <x v="0"/>
    <x v="1324"/>
  </r>
  <r>
    <s v="SALE1328"/>
    <d v="2023-12-08T00:00:00"/>
    <s v="CUST1334"/>
    <s v="PROD5"/>
    <s v="STORE8"/>
    <x v="2"/>
    <s v="Men's Leather Belt"/>
    <x v="4"/>
    <x v="1"/>
    <s v="Mr. Christopher Sims"/>
    <n v="3"/>
    <n v="120.77"/>
    <n v="0.28999999999999998"/>
    <x v="1"/>
    <x v="1325"/>
  </r>
  <r>
    <s v="SALE1329"/>
    <d v="2025-06-16T00:00:00"/>
    <s v="CUST1222"/>
    <s v="PROD76"/>
    <s v="STORE17"/>
    <x v="1"/>
    <s v="Wireless Mouse"/>
    <x v="1"/>
    <x v="0"/>
    <s v="Alejandro Doyle"/>
    <n v="4.0000000000000009"/>
    <n v="661.39"/>
    <n v="7.0000000000000007E-2"/>
    <x v="0"/>
    <x v="1326"/>
  </r>
  <r>
    <s v="SALE1330"/>
    <d v="2023-12-01T00:00:00"/>
    <s v="CUST1449"/>
    <s v="PROD62"/>
    <s v="STORE2"/>
    <x v="17"/>
    <s v="Laptop Cooling Pad"/>
    <x v="1"/>
    <x v="2"/>
    <s v="William Cortez"/>
    <n v="1"/>
    <n v="195.24"/>
    <n v="0.27"/>
    <x v="1"/>
    <x v="1327"/>
  </r>
  <r>
    <s v="SALE1331"/>
    <d v="2023-11-03T00:00:00"/>
    <s v="CUST1004"/>
    <s v="PROD92"/>
    <s v="STORE18"/>
    <x v="14"/>
    <s v="Microwave Oven"/>
    <x v="3"/>
    <x v="3"/>
    <s v="Caroline Collins"/>
    <n v="1.9999999999999996"/>
    <n v="177.4"/>
    <n v="0.19"/>
    <x v="1"/>
    <x v="1328"/>
  </r>
  <r>
    <s v="SALE1332"/>
    <d v="2025-01-16T00:00:00"/>
    <s v="CUST1057"/>
    <s v="PROD98"/>
    <s v="STORE11"/>
    <x v="19"/>
    <s v="Portable Bluetooth Speaker"/>
    <x v="1"/>
    <x v="2"/>
    <s v="Jay Patel"/>
    <n v="4"/>
    <n v="862.67"/>
    <n v="0.2"/>
    <x v="1"/>
    <x v="1329"/>
  </r>
  <r>
    <s v="SALE1333"/>
    <d v="2024-09-30T00:00:00"/>
    <s v="CUST1444"/>
    <s v="PROD17"/>
    <s v="STORE6"/>
    <x v="16"/>
    <s v="Soccer Training Cone Set"/>
    <x v="0"/>
    <x v="3"/>
    <s v="Cheryl Carr"/>
    <n v="1.0000000000000002"/>
    <n v="55.04"/>
    <n v="0.01"/>
    <x v="2"/>
    <x v="1330"/>
  </r>
  <r>
    <s v="SALE1334"/>
    <d v="2024-12-20T00:00:00"/>
    <s v="CUST1049"/>
    <s v="PROD45"/>
    <s v="STORE0"/>
    <x v="6"/>
    <s v="High-Grip Football"/>
    <x v="0"/>
    <x v="3"/>
    <s v="Timothy Weaver"/>
    <n v="1.9999999999999998"/>
    <n v="905.47"/>
    <n v="0.2"/>
    <x v="2"/>
    <x v="1331"/>
  </r>
  <r>
    <s v="SALE1335"/>
    <d v="2024-09-04T00:00:00"/>
    <s v="CUST1461"/>
    <s v="PROD63"/>
    <s v="STORE13"/>
    <x v="13"/>
    <s v="Organic Sunscreen Lotion"/>
    <x v="2"/>
    <x v="3"/>
    <s v="Paul Cox"/>
    <n v="3.0000000000000004"/>
    <n v="217.13"/>
    <n v="0.28000000000000003"/>
    <x v="0"/>
    <x v="1332"/>
  </r>
  <r>
    <s v="SALE1336"/>
    <d v="2025-10-06T00:00:00"/>
    <s v="CUST1389"/>
    <s v="PROD75"/>
    <s v="STORE0"/>
    <x v="6"/>
    <s v="Women's Ankle Boots"/>
    <x v="4"/>
    <x v="3"/>
    <s v="Cynthia Lopez"/>
    <n v="2.9999999999999996"/>
    <n v="580.45000000000005"/>
    <n v="0"/>
    <x v="1"/>
    <x v="1333"/>
  </r>
  <r>
    <s v="SALE1337"/>
    <d v="2025-07-16T00:00:00"/>
    <s v="CUST1103"/>
    <s v="PROD4"/>
    <s v="STORE17"/>
    <x v="1"/>
    <s v="Women's Yoga Pants"/>
    <x v="4"/>
    <x v="0"/>
    <s v="Steven Stein"/>
    <n v="2.0000000000000004"/>
    <n v="892.88"/>
    <n v="0.17"/>
    <x v="1"/>
    <x v="1334"/>
  </r>
  <r>
    <s v="SALE1338"/>
    <d v="2025-10-06T00:00:00"/>
    <s v="CUST1091"/>
    <s v="PROD40"/>
    <s v="STORE18"/>
    <x v="14"/>
    <s v="Noise-Canceling Headphones"/>
    <x v="1"/>
    <x v="3"/>
    <s v="Donna Gregory"/>
    <n v="2"/>
    <n v="356.28"/>
    <n v="0.11"/>
    <x v="2"/>
    <x v="1335"/>
  </r>
  <r>
    <s v="SALE1339"/>
    <d v="2025-09-21T00:00:00"/>
    <s v="CUST1384"/>
    <s v="PROD80"/>
    <s v="STORE2"/>
    <x v="17"/>
    <s v="Wall-Mounted Spice Rack"/>
    <x v="3"/>
    <x v="2"/>
    <s v="Andrew Mason"/>
    <n v="4"/>
    <n v="806.99"/>
    <n v="0.06"/>
    <x v="0"/>
    <x v="1336"/>
  </r>
  <r>
    <s v="SALE1340"/>
    <d v="2025-07-17T00:00:00"/>
    <s v="CUST1439"/>
    <s v="PROD20"/>
    <s v="STORE1"/>
    <x v="8"/>
    <s v="Outdoor Sports Water Bottle"/>
    <x v="0"/>
    <x v="0"/>
    <s v="John Compton"/>
    <n v="2.9999999999999996"/>
    <n v="684.22"/>
    <n v="0.09"/>
    <x v="0"/>
    <x v="1337"/>
  </r>
  <r>
    <s v="SALE1341"/>
    <d v="2025-06-29T00:00:00"/>
    <s v="CUST1443"/>
    <s v="PROD93"/>
    <s v="STORE7"/>
    <x v="4"/>
    <s v="USB-C Laptop Charger"/>
    <x v="1"/>
    <x v="2"/>
    <s v="Adam Castro"/>
    <n v="4"/>
    <n v="763.34"/>
    <n v="7.0000000000000007E-2"/>
    <x v="1"/>
    <x v="1338"/>
  </r>
  <r>
    <s v="SALE1342"/>
    <d v="2025-03-22T00:00:00"/>
    <s v="CUST1361"/>
    <s v="PROD50"/>
    <s v="STORE3"/>
    <x v="0"/>
    <s v="Boxing Hand Wraps"/>
    <x v="0"/>
    <x v="0"/>
    <s v="Natalie Johnson"/>
    <n v="2.9999999999999996"/>
    <n v="721.94"/>
    <n v="0.26"/>
    <x v="0"/>
    <x v="1339"/>
  </r>
  <r>
    <s v="SALE1343"/>
    <d v="2024-02-01T00:00:00"/>
    <s v="CUST1406"/>
    <s v="PROD97"/>
    <s v="STORE1"/>
    <x v="8"/>
    <s v="Cricket Bat"/>
    <x v="0"/>
    <x v="0"/>
    <s v="David Lozano"/>
    <n v="3"/>
    <n v="760.38"/>
    <n v="0"/>
    <x v="2"/>
    <x v="1340"/>
  </r>
  <r>
    <s v="SALE1344"/>
    <d v="2024-03-11T00:00:00"/>
    <s v="CUST1298"/>
    <s v="PROD97"/>
    <s v="STORE6"/>
    <x v="16"/>
    <s v="Cricket Bat"/>
    <x v="0"/>
    <x v="3"/>
    <s v="Tracy Stephens"/>
    <n v="2.9999999999999996"/>
    <n v="612.53"/>
    <n v="0.21"/>
    <x v="2"/>
    <x v="1341"/>
  </r>
  <r>
    <s v="SALE1345"/>
    <d v="2024-09-09T00:00:00"/>
    <s v="CUST1041"/>
    <s v="PROD63"/>
    <s v="STORE16"/>
    <x v="9"/>
    <s v="Organic Sunscreen Lotion"/>
    <x v="2"/>
    <x v="1"/>
    <s v="James Gibbs"/>
    <n v="3"/>
    <n v="841.37"/>
    <n v="0.28999999999999998"/>
    <x v="1"/>
    <x v="1342"/>
  </r>
  <r>
    <s v="SALE1346"/>
    <d v="2023-11-19T00:00:00"/>
    <s v="CUST1261"/>
    <s v="PROD48"/>
    <s v="STORE9"/>
    <x v="11"/>
    <s v="Car Dashboard Phone Holder"/>
    <x v="1"/>
    <x v="2"/>
    <s v="Carol Bishop"/>
    <n v="2"/>
    <n v="636.51"/>
    <n v="0.25"/>
    <x v="0"/>
    <x v="1343"/>
  </r>
  <r>
    <s v="SALE1347"/>
    <d v="2025-01-02T00:00:00"/>
    <s v="CUST1091"/>
    <s v="PROD45"/>
    <s v="STORE8"/>
    <x v="2"/>
    <s v="High-Grip Football"/>
    <x v="0"/>
    <x v="1"/>
    <s v="Donna Gregory"/>
    <n v="2"/>
    <n v="732.37"/>
    <n v="0.22"/>
    <x v="2"/>
    <x v="1344"/>
  </r>
  <r>
    <s v="SALE1348"/>
    <d v="2025-09-27T00:00:00"/>
    <s v="CUST1164"/>
    <s v="PROD54"/>
    <s v="STORE16"/>
    <x v="9"/>
    <s v="Sports Stopwatch Pro"/>
    <x v="0"/>
    <x v="1"/>
    <s v="Daniel Rivas"/>
    <n v="2.9999999999999996"/>
    <n v="183.44"/>
    <n v="0.28000000000000003"/>
    <x v="2"/>
    <x v="1345"/>
  </r>
  <r>
    <s v="SALE1349"/>
    <d v="2024-03-22T00:00:00"/>
    <s v="CUST1065"/>
    <s v="PROD11"/>
    <s v="STORE13"/>
    <x v="13"/>
    <s v="HD Smart TV Stick"/>
    <x v="1"/>
    <x v="3"/>
    <s v="Michael Thomas"/>
    <n v="4"/>
    <n v="898.58"/>
    <n v="0.16"/>
    <x v="1"/>
    <x v="1346"/>
  </r>
  <r>
    <s v="SALE1350"/>
    <d v="2024-08-25T00:00:00"/>
    <s v="CUST1390"/>
    <s v="PROD23"/>
    <s v="STORE2"/>
    <x v="17"/>
    <s v="Men's Formal Shirt"/>
    <x v="4"/>
    <x v="2"/>
    <s v="Daniel Bell"/>
    <n v="3"/>
    <n v="152.41"/>
    <n v="0.25"/>
    <x v="0"/>
    <x v="1347"/>
  </r>
  <r>
    <s v="SALE1351"/>
    <d v="2025-08-03T00:00:00"/>
    <s v="CUST1223"/>
    <s v="PROD92"/>
    <s v="STORE14"/>
    <x v="7"/>
    <s v="Microwave Oven"/>
    <x v="3"/>
    <x v="2"/>
    <s v="Robert Harris"/>
    <n v="3"/>
    <n v="972.58"/>
    <n v="0.28000000000000003"/>
    <x v="2"/>
    <x v="1348"/>
  </r>
  <r>
    <s v="SALE1352"/>
    <d v="2023-12-07T00:00:00"/>
    <s v="CUST1466"/>
    <s v="PROD69"/>
    <s v="STORE11"/>
    <x v="19"/>
    <s v="Men's Sports Shorts"/>
    <x v="4"/>
    <x v="2"/>
    <s v="Cynthia Parrish"/>
    <n v="4"/>
    <n v="136.4"/>
    <n v="0.04"/>
    <x v="2"/>
    <x v="1349"/>
  </r>
  <r>
    <s v="SALE1353"/>
    <d v="2025-08-25T00:00:00"/>
    <s v="CUST1400"/>
    <s v="PROD94"/>
    <s v="STORE15"/>
    <x v="10"/>
    <s v="Vitamin E Body Lotion"/>
    <x v="2"/>
    <x v="0"/>
    <s v="Mark Rogers"/>
    <n v="1"/>
    <n v="509.63"/>
    <n v="0.27"/>
    <x v="2"/>
    <x v="1350"/>
  </r>
  <r>
    <s v="SALE1354"/>
    <d v="2024-02-09T00:00:00"/>
    <s v="CUST1003"/>
    <s v="PROD97"/>
    <s v="STORE3"/>
    <x v="0"/>
    <s v="Cricket Bat"/>
    <x v="0"/>
    <x v="0"/>
    <s v="jeremy harris"/>
    <n v="4"/>
    <n v="360.28"/>
    <n v="0.09"/>
    <x v="2"/>
    <x v="1351"/>
  </r>
  <r>
    <s v="SALE1355"/>
    <d v="2025-09-10T00:00:00"/>
    <s v="CUST1080"/>
    <s v="PROD89"/>
    <s v="STORE15"/>
    <x v="10"/>
    <s v="Face Foundation Kit"/>
    <x v="2"/>
    <x v="0"/>
    <s v="Jennifer Garcia"/>
    <n v="2.9999999999999991"/>
    <n v="882.05"/>
    <n v="0.06"/>
    <x v="1"/>
    <x v="1352"/>
  </r>
  <r>
    <s v="SALE1356"/>
    <d v="2024-09-29T00:00:00"/>
    <s v="CUST1195"/>
    <s v="PROD79"/>
    <s v="STORE8"/>
    <x v="2"/>
    <s v="Decorative Lamp Shade"/>
    <x v="3"/>
    <x v="1"/>
    <s v="Anthony Garcia"/>
    <n v="3"/>
    <n v="141.54"/>
    <n v="0.12"/>
    <x v="1"/>
    <x v="1353"/>
  </r>
  <r>
    <s v="SALE1357"/>
    <d v="2024-06-18T00:00:00"/>
    <s v="CUST1043"/>
    <s v="PROD15"/>
    <s v="STORE4"/>
    <x v="5"/>
    <s v="4K Home Projector"/>
    <x v="1"/>
    <x v="2"/>
    <s v="Joseph Snow"/>
    <n v="3"/>
    <n v="83.5"/>
    <n v="0.23"/>
    <x v="2"/>
    <x v="1354"/>
  </r>
  <r>
    <s v="SALE1358"/>
    <d v="2023-11-28T00:00:00"/>
    <s v="CUST1123"/>
    <s v="PROD14"/>
    <s v="STORE6"/>
    <x v="16"/>
    <s v="Decorative Wall Mirror"/>
    <x v="3"/>
    <x v="3"/>
    <s v="Erin Hopkins"/>
    <n v="2"/>
    <n v="629.73"/>
    <n v="7.0000000000000007E-2"/>
    <x v="1"/>
    <x v="1355"/>
  </r>
  <r>
    <s v="SALE1359"/>
    <d v="2023-10-29T00:00:00"/>
    <s v="CUST1012"/>
    <s v="PROD33"/>
    <s v="STORE6"/>
    <x v="16"/>
    <s v="Modern Wall Clock"/>
    <x v="3"/>
    <x v="3"/>
    <s v="Kenneth Lambert"/>
    <n v="1.9999999999999998"/>
    <n v="159.93"/>
    <n v="0.2"/>
    <x v="2"/>
    <x v="1356"/>
  </r>
  <r>
    <s v="SALE1360"/>
    <d v="2025-07-20T00:00:00"/>
    <s v="CUST1012"/>
    <s v="PROD45"/>
    <s v="STORE18"/>
    <x v="14"/>
    <s v="High-Grip Football"/>
    <x v="0"/>
    <x v="3"/>
    <s v="Kenneth Lambert"/>
    <n v="1"/>
    <n v="459.89"/>
    <n v="0.18"/>
    <x v="2"/>
    <x v="1357"/>
  </r>
  <r>
    <s v="SALE1361"/>
    <d v="2024-08-28T00:00:00"/>
    <s v="CUST1188"/>
    <s v="PROD33"/>
    <s v="STORE19"/>
    <x v="12"/>
    <s v="Modern Wall Clock"/>
    <x v="3"/>
    <x v="3"/>
    <s v="Kimberly Brooks"/>
    <n v="4"/>
    <n v="885.57"/>
    <n v="0.27"/>
    <x v="0"/>
    <x v="1358"/>
  </r>
  <r>
    <s v="SALE1362"/>
    <d v="2024-06-11T00:00:00"/>
    <s v="CUST1402"/>
    <s v="PROD54"/>
    <s v="STORE15"/>
    <x v="10"/>
    <s v="Sports Stopwatch Pro"/>
    <x v="0"/>
    <x v="0"/>
    <s v="Cassandra Perez"/>
    <n v="3.0000000000000004"/>
    <n v="789.05"/>
    <n v="0"/>
    <x v="1"/>
    <x v="1359"/>
  </r>
  <r>
    <s v="SALE1363"/>
    <d v="2023-11-14T00:00:00"/>
    <s v="CUST1154"/>
    <s v="PROD66"/>
    <s v="STORE0"/>
    <x v="6"/>
    <s v="Women's Hair Dryer Brush"/>
    <x v="2"/>
    <x v="3"/>
    <s v="Julie Hale"/>
    <n v="1"/>
    <n v="570.52"/>
    <n v="0"/>
    <x v="1"/>
    <x v="1360"/>
  </r>
  <r>
    <s v="SALE1364"/>
    <d v="2024-01-31T00:00:00"/>
    <s v="CUST1179"/>
    <s v="PROD27"/>
    <s v="STORE16"/>
    <x v="9"/>
    <s v="Decorative Floor Vase"/>
    <x v="3"/>
    <x v="1"/>
    <s v="Nicholas Bradshaw"/>
    <n v="4"/>
    <n v="310.79000000000002"/>
    <n v="0.22"/>
    <x v="2"/>
    <x v="1361"/>
  </r>
  <r>
    <s v="SALE1365"/>
    <d v="2025-04-10T00:00:00"/>
    <s v="CUST1057"/>
    <s v="PROD68"/>
    <s v="STORE17"/>
    <x v="1"/>
    <s v="Wooden Nightstand"/>
    <x v="3"/>
    <x v="0"/>
    <s v="Jay Patel"/>
    <n v="4"/>
    <n v="255.67"/>
    <n v="0.17"/>
    <x v="0"/>
    <x v="1362"/>
  </r>
  <r>
    <s v="SALE1366"/>
    <d v="2024-04-15T00:00:00"/>
    <s v="CUST1129"/>
    <s v="PROD27"/>
    <s v="STORE16"/>
    <x v="9"/>
    <s v="Decorative Floor Vase"/>
    <x v="3"/>
    <x v="1"/>
    <s v="Jessica Mitchell"/>
    <n v="1.9999999999999998"/>
    <n v="270.66000000000003"/>
    <n v="0.1"/>
    <x v="2"/>
    <x v="1363"/>
  </r>
  <r>
    <s v="SALE1367"/>
    <d v="2025-09-14T00:00:00"/>
    <s v="CUST1299"/>
    <s v="PROD23"/>
    <s v="STORE17"/>
    <x v="1"/>
    <s v="Men's Formal Shirt"/>
    <x v="4"/>
    <x v="0"/>
    <s v="Stephanie Jacobs"/>
    <n v="3.0000000000000004"/>
    <n v="373.35"/>
    <n v="0.2"/>
    <x v="2"/>
    <x v="1364"/>
  </r>
  <r>
    <s v="SALE1368"/>
    <d v="2024-05-20T00:00:00"/>
    <s v="CUST1036"/>
    <s v="PROD59"/>
    <s v="STORE11"/>
    <x v="19"/>
    <s v="Men's Hair Styling Gel"/>
    <x v="2"/>
    <x v="2"/>
    <s v="Thomas Phillips"/>
    <n v="2"/>
    <n v="23.58"/>
    <n v="0.02"/>
    <x v="1"/>
    <x v="1365"/>
  </r>
  <r>
    <s v="SALE1369"/>
    <d v="2025-05-21T00:00:00"/>
    <s v="CUST1005"/>
    <s v="PROD35"/>
    <s v="STORE7"/>
    <x v="4"/>
    <s v="Bedroom Table Lamp"/>
    <x v="3"/>
    <x v="2"/>
    <s v="Christine Vaughn"/>
    <n v="4"/>
    <n v="185.67"/>
    <n v="0.21"/>
    <x v="1"/>
    <x v="1366"/>
  </r>
  <r>
    <s v="SALE1370"/>
    <d v="2024-04-14T00:00:00"/>
    <s v="CUST1120"/>
    <s v="PROD18"/>
    <s v="STORE13"/>
    <x v="13"/>
    <s v="Women's Denim Jeans"/>
    <x v="4"/>
    <x v="3"/>
    <s v="Jacob Hopkins"/>
    <n v="3"/>
    <n v="928.74"/>
    <n v="0.27"/>
    <x v="1"/>
    <x v="1367"/>
  </r>
  <r>
    <s v="SALE1371"/>
    <d v="2023-11-05T00:00:00"/>
    <s v="CUST1029"/>
    <s v="PROD84"/>
    <s v="STORE5"/>
    <x v="3"/>
    <s v="Wooden Bookshelf"/>
    <x v="3"/>
    <x v="0"/>
    <s v="David Arnold"/>
    <n v="3"/>
    <n v="923.38"/>
    <n v="7.0000000000000007E-2"/>
    <x v="2"/>
    <x v="1368"/>
  </r>
  <r>
    <s v="SALE1372"/>
    <d v="2024-07-26T00:00:00"/>
    <s v="CUST1462"/>
    <s v="PROD4"/>
    <s v="STORE9"/>
    <x v="11"/>
    <s v="Women's Yoga Pants"/>
    <x v="4"/>
    <x v="2"/>
    <s v="Beth Martin"/>
    <n v="2"/>
    <n v="409.26"/>
    <n v="0.1"/>
    <x v="1"/>
    <x v="1369"/>
  </r>
  <r>
    <s v="SALE1373"/>
    <d v="2023-12-12T00:00:00"/>
    <s v="CUST1254"/>
    <s v="PROD23"/>
    <s v="STORE7"/>
    <x v="4"/>
    <s v="Men's Formal Shirt"/>
    <x v="4"/>
    <x v="2"/>
    <s v="Linda Kline"/>
    <n v="2"/>
    <n v="608.46"/>
    <n v="0.16"/>
    <x v="0"/>
    <x v="1370"/>
  </r>
  <r>
    <s v="SALE1374"/>
    <d v="2025-05-08T00:00:00"/>
    <s v="CUST1212"/>
    <s v="PROD42"/>
    <s v="STORE19"/>
    <x v="12"/>
    <s v="Smart Home WiFi Camera"/>
    <x v="1"/>
    <x v="3"/>
    <s v="Blake Harrison"/>
    <n v="4"/>
    <n v="150.47999999999999"/>
    <n v="0.09"/>
    <x v="0"/>
    <x v="1371"/>
  </r>
  <r>
    <s v="SALE1375"/>
    <d v="2024-08-30T00:00:00"/>
    <s v="CUST1245"/>
    <s v="PROD68"/>
    <s v="STORE14"/>
    <x v="7"/>
    <s v="Wooden Nightstand"/>
    <x v="3"/>
    <x v="2"/>
    <s v="Laura Soto"/>
    <n v="4"/>
    <n v="207.41"/>
    <n v="0.02"/>
    <x v="0"/>
    <x v="1372"/>
  </r>
  <r>
    <s v="SALE1376"/>
    <d v="2025-05-26T00:00:00"/>
    <s v="CUST1172"/>
    <s v="PROD11"/>
    <s v="STORE6"/>
    <x v="16"/>
    <s v="HD Smart TV Stick"/>
    <x v="1"/>
    <x v="3"/>
    <s v="Thomas Rhodes"/>
    <n v="1"/>
    <n v="56.59"/>
    <n v="0.15"/>
    <x v="1"/>
    <x v="1373"/>
  </r>
  <r>
    <s v="SALE1377"/>
    <d v="2025-01-10T00:00:00"/>
    <s v="CUST1405"/>
    <s v="PROD39"/>
    <s v="STORE4"/>
    <x v="5"/>
    <s v="Portable Power Bank"/>
    <x v="1"/>
    <x v="2"/>
    <s v="Eric Wolfe"/>
    <n v="4.0000000000000009"/>
    <n v="995.4"/>
    <n v="0.27"/>
    <x v="0"/>
    <x v="1374"/>
  </r>
  <r>
    <s v="SALE1378"/>
    <d v="2024-12-30T00:00:00"/>
    <s v="CUST1064"/>
    <s v="PROD47"/>
    <s v="STORE12"/>
    <x v="18"/>
    <s v="Makeup Brush Set"/>
    <x v="2"/>
    <x v="0"/>
    <s v="Mr. Mason Butler"/>
    <n v="2"/>
    <n v="591.33000000000004"/>
    <n v="0.24"/>
    <x v="0"/>
    <x v="1375"/>
  </r>
  <r>
    <s v="SALE1379"/>
    <d v="2025-07-31T00:00:00"/>
    <s v="CUST1378"/>
    <s v="PROD48"/>
    <s v="STORE17"/>
    <x v="1"/>
    <s v="Car Dashboard Phone Holder"/>
    <x v="1"/>
    <x v="0"/>
    <s v="Frank Stewart"/>
    <n v="2"/>
    <n v="204.89"/>
    <n v="0.24"/>
    <x v="0"/>
    <x v="1376"/>
  </r>
  <r>
    <s v="SALE1380"/>
    <d v="2024-09-14T00:00:00"/>
    <s v="CUST1090"/>
    <s v="PROD65"/>
    <s v="STORE14"/>
    <x v="7"/>
    <s v="Adjustable Dumbbells 20kg"/>
    <x v="0"/>
    <x v="2"/>
    <s v="Oscar Moon"/>
    <n v="2"/>
    <n v="546.41"/>
    <n v="0.08"/>
    <x v="2"/>
    <x v="1377"/>
  </r>
  <r>
    <s v="SALE1381"/>
    <d v="2024-04-27T00:00:00"/>
    <s v="CUST1056"/>
    <s v="PROD18"/>
    <s v="STORE12"/>
    <x v="18"/>
    <s v="Women's Denim Jeans"/>
    <x v="4"/>
    <x v="0"/>
    <s v="Christopher Sutton"/>
    <n v="4"/>
    <n v="455.49"/>
    <n v="0.17"/>
    <x v="0"/>
    <x v="1378"/>
  </r>
  <r>
    <s v="SALE1382"/>
    <d v="2024-03-23T00:00:00"/>
    <s v="CUST1422"/>
    <s v="PROD10"/>
    <s v="STORE16"/>
    <x v="9"/>
    <s v="Ceramic Kitchen Bowl Set"/>
    <x v="3"/>
    <x v="1"/>
    <s v="Brittany Edwards DDS"/>
    <n v="2.0000000000000004"/>
    <n v="700.27"/>
    <n v="0.16"/>
    <x v="0"/>
    <x v="1379"/>
  </r>
  <r>
    <s v="SALE1383"/>
    <d v="2023-12-22T00:00:00"/>
    <s v="CUST1345"/>
    <s v="PROD82"/>
    <s v="STORE17"/>
    <x v="1"/>
    <s v="Fitness Resistance Bands"/>
    <x v="0"/>
    <x v="0"/>
    <s v="Daniel Nelson"/>
    <n v="2"/>
    <n v="160.21"/>
    <n v="0.09"/>
    <x v="0"/>
    <x v="1380"/>
  </r>
  <r>
    <s v="SALE1384"/>
    <d v="2025-03-26T00:00:00"/>
    <s v="CUST1031"/>
    <s v="PROD47"/>
    <s v="STORE11"/>
    <x v="19"/>
    <s v="Makeup Brush Set"/>
    <x v="2"/>
    <x v="2"/>
    <s v="Sarah Vance"/>
    <n v="1"/>
    <n v="713.63"/>
    <n v="0.28000000000000003"/>
    <x v="2"/>
    <x v="1381"/>
  </r>
  <r>
    <s v="SALE1385"/>
    <d v="2024-06-04T00:00:00"/>
    <s v="CUST1227"/>
    <s v="PROD93"/>
    <s v="STORE7"/>
    <x v="4"/>
    <s v="USB-C Laptop Charger"/>
    <x v="1"/>
    <x v="2"/>
    <s v="Gregory Pham"/>
    <n v="2"/>
    <n v="224.69"/>
    <n v="0.2"/>
    <x v="2"/>
    <x v="1382"/>
  </r>
  <r>
    <s v="SALE1386"/>
    <d v="2025-03-17T00:00:00"/>
    <s v="CUST1453"/>
    <s v="PROD20"/>
    <s v="STORE14"/>
    <x v="7"/>
    <s v="Outdoor Sports Water Bottle"/>
    <x v="0"/>
    <x v="2"/>
    <s v="April Phillips"/>
    <n v="2"/>
    <n v="740.57"/>
    <n v="0.06"/>
    <x v="0"/>
    <x v="1383"/>
  </r>
  <r>
    <s v="SALE1387"/>
    <d v="2024-03-22T00:00:00"/>
    <s v="CUST1142"/>
    <s v="PROD11"/>
    <s v="STORE3"/>
    <x v="0"/>
    <s v="HD Smart TV Stick"/>
    <x v="1"/>
    <x v="0"/>
    <s v="Maria Ramirez"/>
    <n v="3"/>
    <n v="250.14"/>
    <n v="0.23"/>
    <x v="1"/>
    <x v="1384"/>
  </r>
  <r>
    <s v="SALE1388"/>
    <d v="2024-12-29T00:00:00"/>
    <s v="CUST1020"/>
    <s v="PROD98"/>
    <s v="STORE19"/>
    <x v="12"/>
    <s v="Portable Bluetooth Speaker"/>
    <x v="1"/>
    <x v="3"/>
    <s v="Bridget Allen"/>
    <n v="3"/>
    <n v="34.97"/>
    <n v="0.01"/>
    <x v="0"/>
    <x v="1385"/>
  </r>
  <r>
    <s v="SALE1389"/>
    <d v="2025-07-30T00:00:00"/>
    <s v="CUST1304"/>
    <s v="PROD42"/>
    <s v="STORE16"/>
    <x v="9"/>
    <s v="Smart Home WiFi Camera"/>
    <x v="1"/>
    <x v="1"/>
    <s v="Miss Alexandria Li DVM"/>
    <n v="1.0000000000000002"/>
    <n v="653.91"/>
    <n v="0.3"/>
    <x v="1"/>
    <x v="1386"/>
  </r>
  <r>
    <s v="SALE1390"/>
    <d v="2024-02-16T00:00:00"/>
    <s v="CUST1363"/>
    <s v="PROD66"/>
    <s v="STORE3"/>
    <x v="0"/>
    <s v="Women's Hair Dryer Brush"/>
    <x v="2"/>
    <x v="0"/>
    <s v="Elizabeth Smith"/>
    <n v="1"/>
    <n v="997.87"/>
    <n v="0.24"/>
    <x v="0"/>
    <x v="1387"/>
  </r>
  <r>
    <s v="SALE1391"/>
    <d v="2024-02-27T00:00:00"/>
    <s v="CUST1208"/>
    <s v="PROD89"/>
    <s v="STORE14"/>
    <x v="7"/>
    <s v="Face Foundation Kit"/>
    <x v="2"/>
    <x v="2"/>
    <s v="John Perez"/>
    <n v="1"/>
    <n v="174.27"/>
    <n v="0.27"/>
    <x v="2"/>
    <x v="1388"/>
  </r>
  <r>
    <s v="SALE1392"/>
    <d v="2024-03-17T00:00:00"/>
    <s v="CUST1115"/>
    <s v="PROD49"/>
    <s v="STORE7"/>
    <x v="4"/>
    <s v="Men's Roll-On Perfume"/>
    <x v="2"/>
    <x v="2"/>
    <s v="Tyler Conrad"/>
    <n v="2.9999999999999996"/>
    <n v="847.44"/>
    <n v="0.17"/>
    <x v="0"/>
    <x v="1389"/>
  </r>
  <r>
    <s v="SALE1393"/>
    <d v="2023-11-13T00:00:00"/>
    <s v="CUST1428"/>
    <s v="PROD2"/>
    <s v="STORE2"/>
    <x v="17"/>
    <s v="Women's Casual Hoodie"/>
    <x v="4"/>
    <x v="2"/>
    <s v="Samuel Mullins"/>
    <n v="0.99999999999999989"/>
    <n v="493.45"/>
    <n v="0.09"/>
    <x v="0"/>
    <x v="1390"/>
  </r>
  <r>
    <s v="SALE1394"/>
    <d v="2024-10-12T00:00:00"/>
    <s v="CUST1232"/>
    <s v="PROD62"/>
    <s v="STORE2"/>
    <x v="17"/>
    <s v="Laptop Cooling Pad"/>
    <x v="1"/>
    <x v="2"/>
    <s v="Christy Hill"/>
    <n v="4.0000000000000009"/>
    <n v="111.66"/>
    <n v="0.14000000000000001"/>
    <x v="0"/>
    <x v="1391"/>
  </r>
  <r>
    <s v="SALE1395"/>
    <d v="2024-02-21T00:00:00"/>
    <s v="CUST1278"/>
    <s v="PROD90"/>
    <s v="STORE11"/>
    <x v="19"/>
    <s v="Gaming Mouse Pad XL"/>
    <x v="1"/>
    <x v="2"/>
    <s v="Stephen Fowler"/>
    <n v="1.0000000000000002"/>
    <n v="413.65"/>
    <n v="0.1"/>
    <x v="2"/>
    <x v="1392"/>
  </r>
  <r>
    <s v="SALE1396"/>
    <d v="2025-03-28T00:00:00"/>
    <s v="CUST1475"/>
    <s v="PROD89"/>
    <s v="STORE9"/>
    <x v="11"/>
    <s v="Face Foundation Kit"/>
    <x v="2"/>
    <x v="2"/>
    <s v="Barbara Berry"/>
    <n v="1"/>
    <n v="317.14999999999998"/>
    <n v="0.24"/>
    <x v="2"/>
    <x v="1393"/>
  </r>
  <r>
    <s v="SALE1397"/>
    <d v="2025-08-04T00:00:00"/>
    <s v="CUST1359"/>
    <s v="PROD88"/>
    <s v="STORE1"/>
    <x v="8"/>
    <s v="Sports Wrist Sweatbands"/>
    <x v="0"/>
    <x v="0"/>
    <s v="Melanie Lam"/>
    <n v="3"/>
    <n v="642.94000000000005"/>
    <n v="0.05"/>
    <x v="2"/>
    <x v="1394"/>
  </r>
  <r>
    <s v="SALE1398"/>
    <d v="2024-11-05T00:00:00"/>
    <s v="CUST1133"/>
    <s v="PROD57"/>
    <s v="STORE10"/>
    <x v="15"/>
    <s v="Foam Roller"/>
    <x v="0"/>
    <x v="3"/>
    <s v="Hayley Pope"/>
    <n v="3.9999999999999996"/>
    <n v="559.59"/>
    <n v="0.19"/>
    <x v="2"/>
    <x v="1395"/>
  </r>
  <r>
    <s v="SALE1399"/>
    <d v="2024-06-15T00:00:00"/>
    <s v="CUST1114"/>
    <s v="PROD29"/>
    <s v="STORE18"/>
    <x v="14"/>
    <s v="Fabric Sofa Throw Blanket"/>
    <x v="3"/>
    <x v="3"/>
    <s v="Ryan Hernandez"/>
    <n v="1"/>
    <n v="758.54"/>
    <n v="0.28999999999999998"/>
    <x v="1"/>
    <x v="1396"/>
  </r>
  <r>
    <s v="SALE1400"/>
    <d v="2024-12-23T00:00:00"/>
    <s v="CUST1462"/>
    <s v="PROD80"/>
    <s v="STORE15"/>
    <x v="10"/>
    <s v="Wall-Mounted Spice Rack"/>
    <x v="3"/>
    <x v="0"/>
    <s v="Beth Martin"/>
    <n v="3.9999999999999991"/>
    <n v="643.96"/>
    <n v="0.16"/>
    <x v="1"/>
    <x v="1397"/>
  </r>
  <r>
    <s v="SALE1401"/>
    <d v="2024-12-27T00:00:00"/>
    <s v="CUST1243"/>
    <s v="PROD24"/>
    <s v="STORE9"/>
    <x v="11"/>
    <s v="Foldable Camping Chair"/>
    <x v="0"/>
    <x v="2"/>
    <s v="Brian Hammond"/>
    <n v="1"/>
    <n v="882.73"/>
    <n v="0.1"/>
    <x v="0"/>
    <x v="1398"/>
  </r>
  <r>
    <s v="SALE1402"/>
    <d v="2024-03-27T00:00:00"/>
    <s v="CUST1325"/>
    <s v="PROD91"/>
    <s v="STORE19"/>
    <x v="12"/>
    <s v="Women's High Heels"/>
    <x v="4"/>
    <x v="3"/>
    <s v="Andrew Smith"/>
    <n v="2"/>
    <n v="600.03"/>
    <n v="0.26"/>
    <x v="1"/>
    <x v="1399"/>
  </r>
  <r>
    <s v="SALE1403"/>
    <d v="2024-12-12T00:00:00"/>
    <s v="CUST1157"/>
    <s v="PROD54"/>
    <s v="STORE5"/>
    <x v="3"/>
    <s v="Sports Stopwatch Pro"/>
    <x v="0"/>
    <x v="0"/>
    <s v="Paul Zamora"/>
    <n v="2"/>
    <n v="628.83000000000004"/>
    <n v="7.0000000000000007E-2"/>
    <x v="1"/>
    <x v="1400"/>
  </r>
  <r>
    <s v="SALE1404"/>
    <d v="2023-12-17T00:00:00"/>
    <s v="CUST1175"/>
    <s v="PROD81"/>
    <s v="STORE9"/>
    <x v="11"/>
    <s v="Badminton Racket Set"/>
    <x v="0"/>
    <x v="2"/>
    <s v="Michelle Rogers"/>
    <n v="2.9999999999999996"/>
    <n v="113.87"/>
    <n v="0.21"/>
    <x v="2"/>
    <x v="1401"/>
  </r>
  <r>
    <s v="SALE1405"/>
    <d v="2024-02-29T00:00:00"/>
    <s v="CUST1418"/>
    <s v="PROD72"/>
    <s v="STORE7"/>
    <x v="4"/>
    <s v="Professional Jump Rope"/>
    <x v="0"/>
    <x v="2"/>
    <s v="Luke Parks"/>
    <n v="4"/>
    <n v="282.07"/>
    <n v="0.18"/>
    <x v="1"/>
    <x v="1402"/>
  </r>
  <r>
    <s v="SALE1406"/>
    <d v="2023-12-30T00:00:00"/>
    <s v="CUST1156"/>
    <s v="PROD54"/>
    <s v="STORE6"/>
    <x v="16"/>
    <s v="Sports Stopwatch Pro"/>
    <x v="0"/>
    <x v="3"/>
    <s v="Maria Sanchez"/>
    <n v="3.0000000000000004"/>
    <n v="676.77"/>
    <n v="0.17"/>
    <x v="1"/>
    <x v="1403"/>
  </r>
  <r>
    <s v="SALE1407"/>
    <d v="2024-12-12T00:00:00"/>
    <s v="CUST1220"/>
    <s v="PROD7"/>
    <s v="STORE16"/>
    <x v="9"/>
    <s v="LED Table Lamp"/>
    <x v="3"/>
    <x v="1"/>
    <s v="George Davis"/>
    <n v="2"/>
    <n v="362.7"/>
    <n v="0.09"/>
    <x v="0"/>
    <x v="1404"/>
  </r>
  <r>
    <s v="SALE1408"/>
    <d v="2025-01-22T00:00:00"/>
    <s v="CUST1135"/>
    <s v="PROD13"/>
    <s v="STORE2"/>
    <x v="17"/>
    <s v="USB-C Fast Charger"/>
    <x v="1"/>
    <x v="2"/>
    <s v="Matthew Hanna"/>
    <n v="1"/>
    <n v="908.5"/>
    <n v="0.2"/>
    <x v="2"/>
    <x v="1405"/>
  </r>
  <r>
    <s v="SALE1409"/>
    <d v="2024-01-05T00:00:00"/>
    <s v="CUST1067"/>
    <s v="PROD25"/>
    <s v="STORE15"/>
    <x v="10"/>
    <s v="Women's Scarf Set"/>
    <x v="4"/>
    <x v="0"/>
    <s v="Amber Mcclain"/>
    <n v="2"/>
    <n v="795.37"/>
    <n v="0.2"/>
    <x v="2"/>
    <x v="1406"/>
  </r>
  <r>
    <s v="SALE1410"/>
    <d v="2025-04-13T00:00:00"/>
    <s v="CUST1144"/>
    <s v="PROD35"/>
    <s v="STORE4"/>
    <x v="5"/>
    <s v="Bedroom Table Lamp"/>
    <x v="3"/>
    <x v="2"/>
    <s v="Justin Cross"/>
    <n v="2"/>
    <n v="326.85000000000002"/>
    <n v="0.17"/>
    <x v="2"/>
    <x v="1407"/>
  </r>
  <r>
    <s v="SALE1411"/>
    <d v="2024-11-07T00:00:00"/>
    <s v="CUST1350"/>
    <s v="PROD56"/>
    <s v="STORE14"/>
    <x v="7"/>
    <s v="Premium Blanket Throw"/>
    <x v="3"/>
    <x v="2"/>
    <s v="Charles Miller"/>
    <n v="3.0000000000000004"/>
    <n v="169.43"/>
    <n v="0.19"/>
    <x v="0"/>
    <x v="1408"/>
  </r>
  <r>
    <s v="SALE1412"/>
    <d v="2024-05-01T00:00:00"/>
    <s v="CUST1163"/>
    <s v="PROD83"/>
    <s v="STORE6"/>
    <x v="16"/>
    <s v="Hydrating Face Cleanser"/>
    <x v="2"/>
    <x v="3"/>
    <s v="Joseph Jones"/>
    <n v="1"/>
    <n v="254.47"/>
    <n v="0.1"/>
    <x v="0"/>
    <x v="1409"/>
  </r>
  <r>
    <s v="SALE1413"/>
    <d v="2024-08-02T00:00:00"/>
    <s v="CUST1418"/>
    <s v="PROD25"/>
    <s v="STORE16"/>
    <x v="9"/>
    <s v="Women's Scarf Set"/>
    <x v="4"/>
    <x v="1"/>
    <s v="Luke Parks"/>
    <n v="4"/>
    <n v="627.73"/>
    <n v="0.11"/>
    <x v="2"/>
    <x v="1410"/>
  </r>
  <r>
    <s v="SALE1414"/>
    <d v="2024-04-12T00:00:00"/>
    <s v="CUST1371"/>
    <s v="PROD31"/>
    <s v="STORE19"/>
    <x v="12"/>
    <s v="Basketball"/>
    <x v="0"/>
    <x v="3"/>
    <s v="Michael Garner"/>
    <n v="4"/>
    <n v="327.25"/>
    <n v="0.13"/>
    <x v="2"/>
    <x v="1411"/>
  </r>
  <r>
    <s v="SALE1415"/>
    <d v="2025-04-08T00:00:00"/>
    <s v="CUST1145"/>
    <s v="PROD59"/>
    <s v="STORE11"/>
    <x v="19"/>
    <s v="Men's Hair Styling Gel"/>
    <x v="2"/>
    <x v="2"/>
    <s v="Cameron Simpson"/>
    <n v="3.9999999999999996"/>
    <n v="511.43"/>
    <n v="0.18"/>
    <x v="2"/>
    <x v="1412"/>
  </r>
  <r>
    <s v="SALE1416"/>
    <d v="2024-06-30T00:00:00"/>
    <s v="CUST1165"/>
    <s v="PROD63"/>
    <s v="STORE17"/>
    <x v="1"/>
    <s v="Organic Sunscreen Lotion"/>
    <x v="2"/>
    <x v="0"/>
    <s v="Jason Wheeler"/>
    <n v="4"/>
    <n v="194.67"/>
    <n v="0.23"/>
    <x v="1"/>
    <x v="1413"/>
  </r>
  <r>
    <s v="SALE1417"/>
    <d v="2024-01-13T00:00:00"/>
    <s v="CUST1059"/>
    <s v="PROD23"/>
    <s v="STORE1"/>
    <x v="8"/>
    <s v="Men's Formal Shirt"/>
    <x v="4"/>
    <x v="0"/>
    <s v="Alyssa Vargas"/>
    <n v="2.0000000000000004"/>
    <n v="54.51"/>
    <n v="7.0000000000000007E-2"/>
    <x v="0"/>
    <x v="1414"/>
  </r>
  <r>
    <s v="SALE1418"/>
    <d v="2024-09-22T00:00:00"/>
    <s v="CUST1076"/>
    <s v="PROD62"/>
    <s v="STORE11"/>
    <x v="19"/>
    <s v="Laptop Cooling Pad"/>
    <x v="1"/>
    <x v="2"/>
    <s v="Nathan Campbell"/>
    <n v="4"/>
    <n v="964"/>
    <n v="0.14000000000000001"/>
    <x v="1"/>
    <x v="1415"/>
  </r>
  <r>
    <s v="SALE1419"/>
    <d v="2024-08-23T00:00:00"/>
    <s v="CUST1040"/>
    <s v="PROD89"/>
    <s v="STORE4"/>
    <x v="5"/>
    <s v="Face Foundation Kit"/>
    <x v="2"/>
    <x v="2"/>
    <s v="Eric Vega"/>
    <n v="1"/>
    <n v="170.12"/>
    <n v="0.26"/>
    <x v="1"/>
    <x v="1416"/>
  </r>
  <r>
    <s v="SALE1420"/>
    <d v="2025-08-06T00:00:00"/>
    <s v="CUST1152"/>
    <s v="PROD53"/>
    <s v="STORE19"/>
    <x v="12"/>
    <s v="Men's Track Pants"/>
    <x v="4"/>
    <x v="3"/>
    <s v="Patrick Roberts"/>
    <n v="2"/>
    <n v="664.5"/>
    <n v="0.23"/>
    <x v="0"/>
    <x v="1417"/>
  </r>
  <r>
    <s v="SALE1421"/>
    <d v="2025-10-06T00:00:00"/>
    <s v="CUST1371"/>
    <s v="PROD45"/>
    <s v="STORE10"/>
    <x v="15"/>
    <s v="High-Grip Football"/>
    <x v="0"/>
    <x v="3"/>
    <s v="Michael Garner"/>
    <n v="4"/>
    <n v="557.51"/>
    <n v="0.11"/>
    <x v="0"/>
    <x v="1418"/>
  </r>
  <r>
    <s v="SALE1422"/>
    <d v="2025-05-30T00:00:00"/>
    <s v="CUST1397"/>
    <s v="PROD90"/>
    <s v="STORE1"/>
    <x v="8"/>
    <s v="Gaming Mouse Pad XL"/>
    <x v="1"/>
    <x v="0"/>
    <s v="Charles Norman PhD"/>
    <n v="2"/>
    <n v="410"/>
    <n v="0.13"/>
    <x v="2"/>
    <x v="1419"/>
  </r>
  <r>
    <s v="SALE1423"/>
    <d v="2024-06-30T00:00:00"/>
    <s v="CUST1306"/>
    <s v="PROD83"/>
    <s v="STORE5"/>
    <x v="3"/>
    <s v="Hydrating Face Cleanser"/>
    <x v="2"/>
    <x v="0"/>
    <s v="Angela Robinson"/>
    <n v="2.0000000000000004"/>
    <n v="879.93"/>
    <n v="0.28999999999999998"/>
    <x v="2"/>
    <x v="1420"/>
  </r>
  <r>
    <s v="SALE1424"/>
    <d v="2025-01-07T00:00:00"/>
    <s v="CUST1007"/>
    <s v="PROD13"/>
    <s v="STORE18"/>
    <x v="14"/>
    <s v="USB-C Fast Charger"/>
    <x v="1"/>
    <x v="3"/>
    <s v="Daniel Boyd"/>
    <n v="1"/>
    <n v="350.58"/>
    <n v="0.03"/>
    <x v="2"/>
    <x v="1421"/>
  </r>
  <r>
    <s v="SALE1425"/>
    <d v="2024-12-07T00:00:00"/>
    <s v="CUST1350"/>
    <s v="PROD58"/>
    <s v="STORE3"/>
    <x v="0"/>
    <s v="Womens Cotton Scarf"/>
    <x v="4"/>
    <x v="0"/>
    <s v="Charles Miller"/>
    <n v="4"/>
    <n v="348.58"/>
    <n v="0.16"/>
    <x v="0"/>
    <x v="1422"/>
  </r>
  <r>
    <s v="SALE1426"/>
    <d v="2024-09-13T00:00:00"/>
    <s v="CUST1459"/>
    <s v="PROD25"/>
    <s v="STORE3"/>
    <x v="0"/>
    <s v="Women's Scarf Set"/>
    <x v="4"/>
    <x v="0"/>
    <s v="John Perez"/>
    <n v="3"/>
    <n v="247.66"/>
    <n v="0.02"/>
    <x v="2"/>
    <x v="1423"/>
  </r>
  <r>
    <s v="SALE1427"/>
    <d v="2023-11-14T00:00:00"/>
    <s v="CUST1388"/>
    <s v="PROD39"/>
    <s v="STORE15"/>
    <x v="10"/>
    <s v="Portable Power Bank"/>
    <x v="1"/>
    <x v="0"/>
    <s v="Timothy Valenzuela"/>
    <n v="3"/>
    <n v="836.27"/>
    <n v="0.16"/>
    <x v="0"/>
    <x v="1424"/>
  </r>
  <r>
    <s v="SALE1428"/>
    <d v="2025-04-06T00:00:00"/>
    <s v="CUST1195"/>
    <s v="PROD14"/>
    <s v="STORE10"/>
    <x v="15"/>
    <s v="Decorative Wall Mirror"/>
    <x v="3"/>
    <x v="3"/>
    <s v="Anthony Garcia"/>
    <n v="3"/>
    <n v="696.74"/>
    <n v="0.13"/>
    <x v="2"/>
    <x v="1425"/>
  </r>
  <r>
    <s v="SALE1429"/>
    <d v="2025-05-27T00:00:00"/>
    <s v="CUST1245"/>
    <s v="PROD94"/>
    <s v="STORE13"/>
    <x v="13"/>
    <s v="Vitamin E Body Lotion"/>
    <x v="2"/>
    <x v="3"/>
    <s v="Laura Soto"/>
    <n v="2"/>
    <n v="822.59"/>
    <n v="0.22"/>
    <x v="1"/>
    <x v="1426"/>
  </r>
  <r>
    <s v="SALE1430"/>
    <d v="2023-12-03T00:00:00"/>
    <s v="CUST1222"/>
    <s v="PROD79"/>
    <s v="STORE2"/>
    <x v="17"/>
    <s v="Decorative Lamp Shade"/>
    <x v="3"/>
    <x v="2"/>
    <s v="Alejandro Doyle"/>
    <n v="1"/>
    <n v="462.23"/>
    <n v="0.3"/>
    <x v="1"/>
    <x v="1427"/>
  </r>
  <r>
    <s v="SALE1431"/>
    <d v="2025-09-06T00:00:00"/>
    <s v="CUST1447"/>
    <s v="PROD42"/>
    <s v="STORE17"/>
    <x v="1"/>
    <s v="Smart Home WiFi Camera"/>
    <x v="1"/>
    <x v="0"/>
    <s v="Monica Wright"/>
    <n v="1"/>
    <n v="361.09"/>
    <n v="0.06"/>
    <x v="1"/>
    <x v="1428"/>
  </r>
  <r>
    <s v="SALE1432"/>
    <d v="2023-11-13T00:00:00"/>
    <s v="CUST1383"/>
    <s v="PROD73"/>
    <s v="STORE19"/>
    <x v="12"/>
    <s v="Shin Guards – Adult"/>
    <x v="0"/>
    <x v="3"/>
    <s v="Kristine Higgins"/>
    <n v="3"/>
    <n v="59.37"/>
    <n v="0.03"/>
    <x v="1"/>
    <x v="1429"/>
  </r>
  <r>
    <s v="SALE1433"/>
    <d v="2025-01-29T00:00:00"/>
    <s v="CUST1036"/>
    <s v="PROD40"/>
    <s v="STORE1"/>
    <x v="8"/>
    <s v="Noise-Canceling Headphones"/>
    <x v="1"/>
    <x v="0"/>
    <s v="Thomas Phillips"/>
    <n v="3"/>
    <n v="765.21"/>
    <n v="0.14000000000000001"/>
    <x v="2"/>
    <x v="1430"/>
  </r>
  <r>
    <s v="SALE1434"/>
    <d v="2024-06-29T00:00:00"/>
    <s v="CUST1243"/>
    <s v="PROD32"/>
    <s v="STORE12"/>
    <x v="18"/>
    <s v="Vitamin C Face Serum"/>
    <x v="2"/>
    <x v="0"/>
    <s v="Brian Hammond"/>
    <n v="4"/>
    <n v="303.56"/>
    <n v="0.2"/>
    <x v="2"/>
    <x v="1431"/>
  </r>
  <r>
    <s v="SALE1435"/>
    <d v="2025-05-02T00:00:00"/>
    <s v="CUST1443"/>
    <s v="PROD27"/>
    <s v="STORE0"/>
    <x v="6"/>
    <s v="Decorative Floor Vase"/>
    <x v="3"/>
    <x v="3"/>
    <s v="Adam Castro"/>
    <n v="1"/>
    <n v="640.92999999999995"/>
    <n v="0.19"/>
    <x v="1"/>
    <x v="1432"/>
  </r>
  <r>
    <s v="SALE1436"/>
    <d v="2025-06-22T00:00:00"/>
    <s v="CUST1174"/>
    <s v="PROD86"/>
    <s v="STORE10"/>
    <x v="15"/>
    <s v="Kitchen Cutting Board"/>
    <x v="3"/>
    <x v="3"/>
    <s v="Maria Davis"/>
    <n v="2"/>
    <n v="611.25"/>
    <n v="0.22"/>
    <x v="0"/>
    <x v="1433"/>
  </r>
  <r>
    <s v="SALE1437"/>
    <d v="2025-04-09T00:00:00"/>
    <s v="CUST1461"/>
    <s v="PROD66"/>
    <s v="STORE1"/>
    <x v="8"/>
    <s v="Women's Hair Dryer Brush"/>
    <x v="2"/>
    <x v="0"/>
    <s v="Paul Cox"/>
    <n v="1"/>
    <n v="209.93"/>
    <n v="0.21"/>
    <x v="0"/>
    <x v="1434"/>
  </r>
  <r>
    <s v="SALE1438"/>
    <d v="2025-07-09T00:00:00"/>
    <s v="CUST1110"/>
    <s v="PROD99"/>
    <s v="STORE10"/>
    <x v="15"/>
    <s v="Stainless Steel Cookware Set"/>
    <x v="3"/>
    <x v="3"/>
    <s v="Ashley Griffin"/>
    <n v="3"/>
    <n v="130.38999999999999"/>
    <n v="0.24"/>
    <x v="1"/>
    <x v="1435"/>
  </r>
  <r>
    <s v="SALE1439"/>
    <d v="2024-01-31T00:00:00"/>
    <s v="CUST1291"/>
    <s v="PROD93"/>
    <s v="STORE7"/>
    <x v="4"/>
    <s v="USB-C Laptop Charger"/>
    <x v="1"/>
    <x v="2"/>
    <s v="James Powell"/>
    <n v="2"/>
    <n v="846.18"/>
    <n v="0.1"/>
    <x v="2"/>
    <x v="1436"/>
  </r>
  <r>
    <s v="SALE1440"/>
    <d v="2025-06-21T00:00:00"/>
    <s v="CUST1354"/>
    <s v="PROD70"/>
    <s v="STORE14"/>
    <x v="7"/>
    <s v="Kitchen Storage Rack"/>
    <x v="3"/>
    <x v="2"/>
    <s v="Ryan Torres"/>
    <n v="2"/>
    <n v="424.53"/>
    <n v="0.14000000000000001"/>
    <x v="2"/>
    <x v="1437"/>
  </r>
  <r>
    <s v="SALE1441"/>
    <d v="2024-09-04T00:00:00"/>
    <s v="CUST1258"/>
    <s v="PROD88"/>
    <s v="STORE14"/>
    <x v="7"/>
    <s v="Sports Wrist Sweatbands"/>
    <x v="0"/>
    <x v="2"/>
    <s v="Sarah Stewart"/>
    <n v="4"/>
    <n v="450.42"/>
    <n v="0.08"/>
    <x v="2"/>
    <x v="1438"/>
  </r>
  <r>
    <s v="SALE1442"/>
    <d v="2025-08-24T00:00:00"/>
    <s v="CUST1156"/>
    <s v="PROD26"/>
    <s v="STORE9"/>
    <x v="11"/>
    <s v="Wireless Bluetooth Speaker"/>
    <x v="1"/>
    <x v="2"/>
    <s v="Maria Sanchez"/>
    <n v="4"/>
    <n v="896.91"/>
    <n v="0.1"/>
    <x v="0"/>
    <x v="1439"/>
  </r>
  <r>
    <s v="SALE1443"/>
    <d v="2025-06-06T00:00:00"/>
    <s v="CUST1485"/>
    <s v="PROD97"/>
    <s v="STORE10"/>
    <x v="15"/>
    <s v="Cricket Bat"/>
    <x v="0"/>
    <x v="3"/>
    <s v="Sara Ingram"/>
    <n v="3"/>
    <n v="679.38"/>
    <n v="0.3"/>
    <x v="2"/>
    <x v="1440"/>
  </r>
  <r>
    <s v="SALE1444"/>
    <d v="2024-10-06T00:00:00"/>
    <s v="CUST1016"/>
    <s v="PROD80"/>
    <s v="STORE16"/>
    <x v="9"/>
    <s v="Wall-Mounted Spice Rack"/>
    <x v="3"/>
    <x v="1"/>
    <s v="John Scott"/>
    <n v="3"/>
    <n v="483.63"/>
    <n v="0"/>
    <x v="0"/>
    <x v="1441"/>
  </r>
  <r>
    <s v="SALE1445"/>
    <d v="2024-09-07T00:00:00"/>
    <s v="CUST1030"/>
    <s v="PROD39"/>
    <s v="STORE0"/>
    <x v="6"/>
    <s v="Portable Power Bank"/>
    <x v="1"/>
    <x v="3"/>
    <s v="Jessica Acevedo"/>
    <n v="3"/>
    <n v="158.27000000000001"/>
    <n v="0.24"/>
    <x v="2"/>
    <x v="1442"/>
  </r>
  <r>
    <s v="SALE1446"/>
    <d v="2025-04-11T00:00:00"/>
    <s v="CUST1115"/>
    <s v="PROD2"/>
    <s v="STORE15"/>
    <x v="10"/>
    <s v="Women's Casual Hoodie"/>
    <x v="4"/>
    <x v="0"/>
    <s v="Tyler Conrad"/>
    <n v="4"/>
    <n v="601.5"/>
    <n v="0.18"/>
    <x v="0"/>
    <x v="1443"/>
  </r>
  <r>
    <s v="SALE1447"/>
    <d v="2025-02-21T00:00:00"/>
    <s v="CUST1069"/>
    <s v="PROD31"/>
    <s v="STORE18"/>
    <x v="14"/>
    <s v="Basketball"/>
    <x v="0"/>
    <x v="3"/>
    <s v="Roy Cole"/>
    <n v="2"/>
    <n v="46.39"/>
    <n v="7.0000000000000007E-2"/>
    <x v="0"/>
    <x v="1444"/>
  </r>
  <r>
    <s v="SALE1448"/>
    <d v="2024-10-22T00:00:00"/>
    <s v="CUST1119"/>
    <s v="PROD82"/>
    <s v="STORE8"/>
    <x v="2"/>
    <s v="Fitness Resistance Bands"/>
    <x v="0"/>
    <x v="1"/>
    <s v="Michael Jones"/>
    <n v="4"/>
    <n v="892.28"/>
    <n v="0.23"/>
    <x v="0"/>
    <x v="1445"/>
  </r>
  <r>
    <s v="SALE1449"/>
    <d v="2024-07-21T00:00:00"/>
    <s v="CUST1221"/>
    <s v="PROD10"/>
    <s v="STORE7"/>
    <x v="4"/>
    <s v="Ceramic Kitchen Bowl Set"/>
    <x v="3"/>
    <x v="2"/>
    <s v="Lisa Young"/>
    <n v="2"/>
    <n v="164.23"/>
    <n v="0.17"/>
    <x v="0"/>
    <x v="1446"/>
  </r>
  <r>
    <s v="SALE1450"/>
    <d v="2024-01-14T00:00:00"/>
    <s v="CUST1452"/>
    <s v="PROD9"/>
    <s v="STORE7"/>
    <x v="4"/>
    <s v="Adjustable Dumbbell Set"/>
    <x v="0"/>
    <x v="2"/>
    <s v="Jeffery Wolf"/>
    <n v="1"/>
    <n v="484.23"/>
    <n v="0.12"/>
    <x v="2"/>
    <x v="1447"/>
  </r>
  <r>
    <s v="SALE1451"/>
    <d v="2024-04-01T00:00:00"/>
    <s v="CUST1005"/>
    <s v="PROD35"/>
    <s v="STORE18"/>
    <x v="14"/>
    <s v="Bedroom Table Lamp"/>
    <x v="3"/>
    <x v="3"/>
    <s v="Christine Vaughn"/>
    <n v="3"/>
    <n v="341.51"/>
    <n v="0.22"/>
    <x v="2"/>
    <x v="1448"/>
  </r>
  <r>
    <s v="SALE1452"/>
    <d v="2025-05-11T00:00:00"/>
    <s v="CUST1109"/>
    <s v="PROD98"/>
    <s v="STORE13"/>
    <x v="13"/>
    <s v="Portable Bluetooth Speaker"/>
    <x v="1"/>
    <x v="3"/>
    <s v="Amy Walker"/>
    <n v="3"/>
    <n v="758.87"/>
    <n v="0.11"/>
    <x v="1"/>
    <x v="1449"/>
  </r>
  <r>
    <s v="SALE1453"/>
    <d v="2025-07-17T00:00:00"/>
    <s v="CUST1470"/>
    <s v="PROD56"/>
    <s v="STORE12"/>
    <x v="18"/>
    <s v="Premium Blanket Throw"/>
    <x v="3"/>
    <x v="0"/>
    <s v="Manuel Fisher"/>
    <n v="3"/>
    <n v="560.52"/>
    <n v="0.17"/>
    <x v="0"/>
    <x v="1450"/>
  </r>
  <r>
    <s v="SALE1454"/>
    <d v="2024-08-29T00:00:00"/>
    <s v="CUST1351"/>
    <s v="PROD96"/>
    <s v="STORE17"/>
    <x v="1"/>
    <s v="Women's Formal Blazer"/>
    <x v="4"/>
    <x v="0"/>
    <s v="Jeffrey Mccarthy"/>
    <n v="2"/>
    <n v="977.18"/>
    <n v="0.19"/>
    <x v="0"/>
    <x v="1451"/>
  </r>
  <r>
    <s v="SALE1455"/>
    <d v="2025-04-16T00:00:00"/>
    <s v="CUST1236"/>
    <s v="PROD16"/>
    <s v="STORE14"/>
    <x v="7"/>
    <s v="Not Found"/>
    <x v="5"/>
    <x v="2"/>
    <s v="Joshua Wilson"/>
    <n v="4"/>
    <n v="761.35"/>
    <n v="0.08"/>
    <x v="0"/>
    <x v="1452"/>
  </r>
  <r>
    <s v="SALE1456"/>
    <d v="2025-08-31T00:00:00"/>
    <s v="CUST1179"/>
    <s v="PROD67"/>
    <s v="STORE18"/>
    <x v="14"/>
    <s v="Smart LED Light Strip"/>
    <x v="1"/>
    <x v="3"/>
    <s v="Nicholas Bradshaw"/>
    <n v="2"/>
    <n v="947.56"/>
    <n v="0.02"/>
    <x v="2"/>
    <x v="1453"/>
  </r>
  <r>
    <s v="SALE1457"/>
    <d v="2025-10-13T00:00:00"/>
    <s v="CUST1238"/>
    <s v="PROD43"/>
    <s v="STORE18"/>
    <x v="14"/>
    <s v="USB External Hard Drive"/>
    <x v="1"/>
    <x v="3"/>
    <s v="Steven Smith"/>
    <n v="4"/>
    <n v="975.47"/>
    <n v="0.04"/>
    <x v="0"/>
    <x v="1454"/>
  </r>
  <r>
    <s v="SALE1458"/>
    <d v="2024-06-05T00:00:00"/>
    <s v="CUST1477"/>
    <s v="PROD13"/>
    <s v="STORE9"/>
    <x v="11"/>
    <s v="USB-C Fast Charger"/>
    <x v="1"/>
    <x v="2"/>
    <s v="Andrea Harris"/>
    <n v="3"/>
    <n v="769.06"/>
    <n v="0.23"/>
    <x v="2"/>
    <x v="1455"/>
  </r>
  <r>
    <s v="SALE1459"/>
    <d v="2025-09-29T00:00:00"/>
    <s v="CUST1486"/>
    <s v="PROD39"/>
    <s v="STORE2"/>
    <x v="17"/>
    <s v="Portable Power Bank"/>
    <x v="1"/>
    <x v="2"/>
    <s v="Not Found"/>
    <n v="3"/>
    <n v="824.75"/>
    <n v="0.23"/>
    <x v="0"/>
    <x v="1456"/>
  </r>
  <r>
    <s v="SALE1460"/>
    <d v="2024-07-05T00:00:00"/>
    <s v="CUST1401"/>
    <s v="PROD68"/>
    <s v="STORE4"/>
    <x v="5"/>
    <s v="Wooden Nightstand"/>
    <x v="3"/>
    <x v="2"/>
    <s v="Terry Moses"/>
    <n v="2"/>
    <n v="821.35"/>
    <n v="0.11"/>
    <x v="1"/>
    <x v="1457"/>
  </r>
  <r>
    <s v="SALE1461"/>
    <d v="2025-03-07T00:00:00"/>
    <s v="CUST1405"/>
    <s v="PROD13"/>
    <s v="STORE10"/>
    <x v="15"/>
    <s v="USB-C Fast Charger"/>
    <x v="1"/>
    <x v="3"/>
    <s v="Eric Wolfe"/>
    <n v="1"/>
    <n v="120.57"/>
    <n v="0.06"/>
    <x v="1"/>
    <x v="1458"/>
  </r>
  <r>
    <s v="SALE1462"/>
    <d v="2023-11-10T00:00:00"/>
    <s v="CUST1335"/>
    <s v="PROD89"/>
    <s v="STORE1"/>
    <x v="8"/>
    <s v="Face Foundation Kit"/>
    <x v="2"/>
    <x v="0"/>
    <s v="Jennifer Woods"/>
    <n v="1"/>
    <n v="122.27"/>
    <n v="0.26"/>
    <x v="1"/>
    <x v="1459"/>
  </r>
  <r>
    <s v="SALE1463"/>
    <d v="2025-08-21T00:00:00"/>
    <s v="CUST1170"/>
    <s v="PROD26"/>
    <s v="STORE2"/>
    <x v="17"/>
    <s v="Wireless Bluetooth Speaker"/>
    <x v="1"/>
    <x v="2"/>
    <s v="Christopher Garcia DDS"/>
    <n v="2"/>
    <n v="182.89"/>
    <n v="0.11"/>
    <x v="0"/>
    <x v="1460"/>
  </r>
  <r>
    <s v="SALE1464"/>
    <d v="2025-05-19T00:00:00"/>
    <s v="CUST1371"/>
    <s v="PROD46"/>
    <s v="STORE4"/>
    <x v="5"/>
    <s v="Men's Winter Jacket"/>
    <x v="4"/>
    <x v="2"/>
    <s v="Michael Garner"/>
    <n v="1"/>
    <n v="695.26"/>
    <n v="0.23"/>
    <x v="1"/>
    <x v="1461"/>
  </r>
  <r>
    <s v="SALE1465"/>
    <d v="2025-08-26T00:00:00"/>
    <s v="CUST1027"/>
    <s v="PROD29"/>
    <s v="STORE6"/>
    <x v="16"/>
    <s v="Fabric Sofa Throw Blanket"/>
    <x v="3"/>
    <x v="3"/>
    <s v="Leslie Johnson"/>
    <n v="2"/>
    <n v="408.8"/>
    <n v="0.17"/>
    <x v="2"/>
    <x v="1462"/>
  </r>
  <r>
    <s v="SALE1466"/>
    <d v="2025-01-19T00:00:00"/>
    <s v="CUST1226"/>
    <s v="PROD49"/>
    <s v="STORE8"/>
    <x v="2"/>
    <s v="Men's Roll-On Perfume"/>
    <x v="2"/>
    <x v="1"/>
    <s v="Alexis Castaneda"/>
    <n v="3"/>
    <n v="512.15"/>
    <n v="0.12"/>
    <x v="0"/>
    <x v="1463"/>
  </r>
  <r>
    <s v="SALE1467"/>
    <d v="2024-10-03T00:00:00"/>
    <s v="CUST1409"/>
    <s v="PROD9"/>
    <s v="STORE8"/>
    <x v="2"/>
    <s v="Adjustable Dumbbell Set"/>
    <x v="0"/>
    <x v="1"/>
    <s v="Sarah Smith"/>
    <n v="3"/>
    <n v="136.4"/>
    <n v="0.15"/>
    <x v="1"/>
    <x v="1464"/>
  </r>
  <r>
    <s v="SALE1468"/>
    <d v="2023-12-12T00:00:00"/>
    <s v="CUST1175"/>
    <s v="PROD6"/>
    <s v="STORE3"/>
    <x v="0"/>
    <s v="Herbal Face Moisturizer"/>
    <x v="2"/>
    <x v="0"/>
    <s v="Michelle Rogers"/>
    <n v="2"/>
    <n v="42.51"/>
    <n v="0.04"/>
    <x v="2"/>
    <x v="1465"/>
  </r>
  <r>
    <s v="SALE1469"/>
    <d v="2025-03-02T00:00:00"/>
    <s v="CUST1359"/>
    <s v="PROD75"/>
    <s v="STORE7"/>
    <x v="4"/>
    <s v="Women's Ankle Boots"/>
    <x v="4"/>
    <x v="2"/>
    <s v="Melanie Lam"/>
    <n v="3"/>
    <n v="582.1"/>
    <n v="0.12"/>
    <x v="1"/>
    <x v="1466"/>
  </r>
  <r>
    <s v="SALE1470"/>
    <d v="2024-03-05T00:00:00"/>
    <s v="CUST1219"/>
    <s v="PROD82"/>
    <s v="STORE17"/>
    <x v="1"/>
    <s v="Fitness Resistance Bands"/>
    <x v="0"/>
    <x v="0"/>
    <s v="Jordan Wells"/>
    <n v="4"/>
    <n v="461.52"/>
    <n v="0"/>
    <x v="2"/>
    <x v="1467"/>
  </r>
  <r>
    <s v="SALE1471"/>
    <d v="2024-09-17T00:00:00"/>
    <s v="CUST1496"/>
    <s v="PROD16"/>
    <s v="STORE11"/>
    <x v="19"/>
    <s v="Not Found"/>
    <x v="5"/>
    <x v="2"/>
    <s v="Christopher Ford"/>
    <n v="1"/>
    <n v="558.41999999999996"/>
    <n v="0.03"/>
    <x v="0"/>
    <x v="1468"/>
  </r>
  <r>
    <s v="SALE1472"/>
    <d v="2023-12-28T00:00:00"/>
    <s v="CUST1263"/>
    <s v="PROD12"/>
    <s v="STORE18"/>
    <x v="14"/>
    <s v="Hair Strengthening Shampoo"/>
    <x v="2"/>
    <x v="3"/>
    <s v="Crystal Davis"/>
    <n v="4"/>
    <n v="700.98"/>
    <n v="0.12"/>
    <x v="1"/>
    <x v="1469"/>
  </r>
  <r>
    <s v="SALE1473"/>
    <d v="2024-11-09T00:00:00"/>
    <s v="CUST1405"/>
    <s v="PROD85"/>
    <s v="STORE18"/>
    <x v="14"/>
    <s v="Women's Beanie Hat"/>
    <x v="4"/>
    <x v="3"/>
    <s v="Eric Wolfe"/>
    <n v="2"/>
    <n v="227.97"/>
    <n v="0.08"/>
    <x v="2"/>
    <x v="1470"/>
  </r>
  <r>
    <s v="SALE1474"/>
    <d v="2024-08-12T00:00:00"/>
    <s v="CUST1474"/>
    <s v="PROD39"/>
    <s v="STORE11"/>
    <x v="19"/>
    <s v="Portable Power Bank"/>
    <x v="1"/>
    <x v="2"/>
    <s v="Joshua Howard"/>
    <n v="4"/>
    <n v="278.70999999999998"/>
    <n v="0.2"/>
    <x v="1"/>
    <x v="1471"/>
  </r>
  <r>
    <s v="SALE1475"/>
    <d v="2024-03-28T00:00:00"/>
    <s v="CUST1259"/>
    <s v="PROD99"/>
    <s v="STORE8"/>
    <x v="2"/>
    <s v="Stainless Steel Cookware Set"/>
    <x v="3"/>
    <x v="1"/>
    <s v="Beth Allen"/>
    <n v="2"/>
    <n v="916.12"/>
    <n v="0.05"/>
    <x v="1"/>
    <x v="1472"/>
  </r>
  <r>
    <s v="SALE1476"/>
    <d v="2024-10-02T00:00:00"/>
    <s v="CUST1133"/>
    <s v="PROD10"/>
    <s v="STORE12"/>
    <x v="18"/>
    <s v="Ceramic Kitchen Bowl Set"/>
    <x v="3"/>
    <x v="0"/>
    <s v="Hayley Pope"/>
    <n v="4"/>
    <n v="228.98"/>
    <n v="0.22"/>
    <x v="1"/>
    <x v="1473"/>
  </r>
  <r>
    <s v="SALE1477"/>
    <d v="2024-08-06T00:00:00"/>
    <s v="CUST1234"/>
    <s v="PROD89"/>
    <s v="STORE15"/>
    <x v="10"/>
    <s v="Face Foundation Kit"/>
    <x v="2"/>
    <x v="0"/>
    <s v="Nathaniel Hill"/>
    <n v="4"/>
    <n v="904.82"/>
    <n v="0.09"/>
    <x v="1"/>
    <x v="1474"/>
  </r>
  <r>
    <s v="SALE1478"/>
    <d v="2025-05-29T00:00:00"/>
    <s v="CUST1081"/>
    <s v="PROD23"/>
    <s v="STORE11"/>
    <x v="19"/>
    <s v="Men's Formal Shirt"/>
    <x v="4"/>
    <x v="2"/>
    <s v="Krystal Ford"/>
    <n v="1"/>
    <n v="588.61"/>
    <n v="0.1"/>
    <x v="1"/>
    <x v="1475"/>
  </r>
  <r>
    <s v="SALE1479"/>
    <d v="2023-11-10T00:00:00"/>
    <s v="CUST1113"/>
    <s v="PROD33"/>
    <s v="STORE3"/>
    <x v="0"/>
    <s v="Modern Wall Clock"/>
    <x v="3"/>
    <x v="0"/>
    <s v="Edward Hall"/>
    <n v="4"/>
    <n v="695.97"/>
    <n v="0.02"/>
    <x v="0"/>
    <x v="1476"/>
  </r>
  <r>
    <s v="SALE1480"/>
    <d v="2024-01-18T00:00:00"/>
    <s v="CUST1301"/>
    <s v="PROD97"/>
    <s v="STORE11"/>
    <x v="19"/>
    <s v="Cricket Bat"/>
    <x v="0"/>
    <x v="2"/>
    <s v="Ryan Kane"/>
    <n v="2"/>
    <n v="181.42"/>
    <n v="0.08"/>
    <x v="1"/>
    <x v="1477"/>
  </r>
  <r>
    <s v="SALE1481"/>
    <d v="2024-03-24T00:00:00"/>
    <s v="CUST1023"/>
    <s v="PROD97"/>
    <s v="STORE13"/>
    <x v="13"/>
    <s v="Cricket Bat"/>
    <x v="0"/>
    <x v="3"/>
    <s v="Jonathan Steele"/>
    <n v="1"/>
    <n v="439.55"/>
    <n v="0.28999999999999998"/>
    <x v="2"/>
    <x v="1478"/>
  </r>
  <r>
    <s v="SALE1482"/>
    <d v="2025-03-17T00:00:00"/>
    <s v="CUST1114"/>
    <s v="PROD55"/>
    <s v="STORE18"/>
    <x v="14"/>
    <s v="Ceramic Plant Pot"/>
    <x v="3"/>
    <x v="3"/>
    <s v="Ryan Hernandez"/>
    <n v="3"/>
    <n v="471.27"/>
    <n v="0.27"/>
    <x v="2"/>
    <x v="1479"/>
  </r>
  <r>
    <s v="SALE1483"/>
    <d v="2024-05-23T00:00:00"/>
    <s v="CUST1044"/>
    <s v="PROD59"/>
    <s v="STORE12"/>
    <x v="18"/>
    <s v="Men's Hair Styling Gel"/>
    <x v="2"/>
    <x v="0"/>
    <s v="Denise Williams"/>
    <n v="1"/>
    <n v="758.89"/>
    <n v="0.1"/>
    <x v="0"/>
    <x v="1480"/>
  </r>
  <r>
    <s v="SALE1484"/>
    <d v="2025-07-26T00:00:00"/>
    <s v="CUST1485"/>
    <s v="PROD95"/>
    <s v="STORE15"/>
    <x v="10"/>
    <s v="Sports Stopwatch Basic"/>
    <x v="0"/>
    <x v="0"/>
    <s v="Sara Ingram"/>
    <n v="4"/>
    <n v="918.1"/>
    <n v="0.19"/>
    <x v="2"/>
    <x v="1481"/>
  </r>
  <r>
    <s v="SALE1485"/>
    <d v="2024-10-04T00:00:00"/>
    <s v="CUST1259"/>
    <s v="PROD94"/>
    <s v="STORE11"/>
    <x v="19"/>
    <s v="Vitamin E Body Lotion"/>
    <x v="2"/>
    <x v="2"/>
    <s v="Beth Allen"/>
    <n v="1"/>
    <n v="861.5"/>
    <n v="0.05"/>
    <x v="2"/>
    <x v="1482"/>
  </r>
  <r>
    <s v="SALE1486"/>
    <d v="2025-01-07T00:00:00"/>
    <s v="CUST1462"/>
    <s v="PROD22"/>
    <s v="STORE14"/>
    <x v="7"/>
    <s v="Carbon Fiber Tennis Racket"/>
    <x v="0"/>
    <x v="2"/>
    <s v="Beth Martin"/>
    <n v="1"/>
    <n v="588.29999999999995"/>
    <n v="0.26"/>
    <x v="2"/>
    <x v="1483"/>
  </r>
  <r>
    <s v="SALE1487"/>
    <d v="2024-12-19T00:00:00"/>
    <s v="CUST1462"/>
    <s v="PROD55"/>
    <s v="STORE7"/>
    <x v="4"/>
    <s v="Ceramic Plant Pot"/>
    <x v="3"/>
    <x v="2"/>
    <s v="Beth Martin"/>
    <n v="1"/>
    <n v="917.26"/>
    <n v="0.05"/>
    <x v="1"/>
    <x v="1484"/>
  </r>
  <r>
    <s v="SALE1488"/>
    <d v="2024-06-06T00:00:00"/>
    <s v="CUST1233"/>
    <s v="PROD6"/>
    <s v="STORE18"/>
    <x v="14"/>
    <s v="Herbal Face Moisturizer"/>
    <x v="2"/>
    <x v="3"/>
    <s v="Michelle Gonzalez"/>
    <n v="4"/>
    <n v="96.78"/>
    <n v="0.11"/>
    <x v="1"/>
    <x v="1485"/>
  </r>
  <r>
    <s v="SALE1489"/>
    <d v="2024-12-03T00:00:00"/>
    <s v="CUST1478"/>
    <s v="PROD28"/>
    <s v="STORE4"/>
    <x v="5"/>
    <s v="Sports Stopwatch Timer"/>
    <x v="0"/>
    <x v="2"/>
    <s v="Earl Smith DDS"/>
    <n v="3"/>
    <n v="199.41"/>
    <n v="0.16"/>
    <x v="2"/>
    <x v="1486"/>
  </r>
  <r>
    <s v="SALE1490"/>
    <d v="2025-03-23T00:00:00"/>
    <s v="CUST1019"/>
    <s v="PROD54"/>
    <s v="STORE9"/>
    <x v="11"/>
    <s v="Sports Stopwatch Pro"/>
    <x v="0"/>
    <x v="2"/>
    <s v="Michael Torres"/>
    <n v="1"/>
    <n v="687.91"/>
    <n v="0.25"/>
    <x v="0"/>
    <x v="1487"/>
  </r>
  <r>
    <s v="SALE1491"/>
    <d v="2025-07-11T00:00:00"/>
    <s v="CUST1039"/>
    <s v="PROD71"/>
    <s v="STORE2"/>
    <x v="17"/>
    <s v="Hair Repair Oil Treatment"/>
    <x v="2"/>
    <x v="2"/>
    <s v="Tonya Reynolds"/>
    <n v="3"/>
    <n v="769.62"/>
    <n v="0.09"/>
    <x v="1"/>
    <x v="1488"/>
  </r>
  <r>
    <s v="SALE1492"/>
    <d v="2023-10-31T00:00:00"/>
    <s v="CUST1220"/>
    <s v="PROD4"/>
    <s v="STORE3"/>
    <x v="0"/>
    <s v="Women's Yoga Pants"/>
    <x v="4"/>
    <x v="0"/>
    <s v="George Davis"/>
    <n v="1"/>
    <n v="492.05"/>
    <n v="0.27"/>
    <x v="0"/>
    <x v="1489"/>
  </r>
  <r>
    <s v="SALE1493"/>
    <d v="2024-01-01T00:00:00"/>
    <s v="CUST1104"/>
    <s v="PROD17"/>
    <s v="STORE12"/>
    <x v="18"/>
    <s v="Soccer Training Cone Set"/>
    <x v="0"/>
    <x v="0"/>
    <s v="Christopher Lester"/>
    <n v="2"/>
    <n v="428.55"/>
    <n v="0"/>
    <x v="1"/>
    <x v="1490"/>
  </r>
  <r>
    <s v="SALE1494"/>
    <d v="2023-11-21T00:00:00"/>
    <s v="CUST1229"/>
    <s v="PROD10"/>
    <s v="STORE15"/>
    <x v="10"/>
    <s v="Ceramic Kitchen Bowl Set"/>
    <x v="3"/>
    <x v="0"/>
    <s v="Tanner Thompson"/>
    <n v="4"/>
    <n v="316.18"/>
    <n v="0.12"/>
    <x v="0"/>
    <x v="1491"/>
  </r>
  <r>
    <s v="SALE1495"/>
    <d v="2024-09-20T00:00:00"/>
    <s v="CUST1007"/>
    <s v="PROD13"/>
    <s v="STORE3"/>
    <x v="0"/>
    <s v="USB-C Fast Charger"/>
    <x v="1"/>
    <x v="0"/>
    <s v="Daniel Boyd"/>
    <n v="3"/>
    <n v="162.16999999999999"/>
    <n v="0.15"/>
    <x v="1"/>
    <x v="1492"/>
  </r>
  <r>
    <s v="SALE1496"/>
    <d v="2024-04-03T00:00:00"/>
    <s v="CUST1331"/>
    <s v="PROD4"/>
    <s v="STORE3"/>
    <x v="0"/>
    <s v="Women's Yoga Pants"/>
    <x v="4"/>
    <x v="0"/>
    <s v="Maria Phillips"/>
    <n v="3"/>
    <n v="698.14"/>
    <n v="0.04"/>
    <x v="1"/>
    <x v="1493"/>
  </r>
  <r>
    <s v="SALE1497"/>
    <d v="2025-05-10T00:00:00"/>
    <s v="CUST1310"/>
    <s v="PROD74"/>
    <s v="STORE18"/>
    <x v="14"/>
    <s v="Bluetooth Car Audio System"/>
    <x v="1"/>
    <x v="3"/>
    <s v="Kara Dodson"/>
    <n v="1"/>
    <n v="478.08"/>
    <n v="7.0000000000000007E-2"/>
    <x v="2"/>
    <x v="1494"/>
  </r>
  <r>
    <s v="SALE1498"/>
    <d v="2025-06-14T00:00:00"/>
    <s v="CUST1208"/>
    <s v="PROD59"/>
    <s v="STORE7"/>
    <x v="4"/>
    <s v="Men's Hair Styling Gel"/>
    <x v="2"/>
    <x v="2"/>
    <s v="John Perez"/>
    <n v="2"/>
    <n v="958.64"/>
    <n v="0.2"/>
    <x v="1"/>
    <x v="1495"/>
  </r>
  <r>
    <s v="SALE1499"/>
    <d v="2024-10-25T00:00:00"/>
    <s v="CUST1464"/>
    <s v="PROD41"/>
    <s v="STORE12"/>
    <x v="18"/>
    <s v="Yoga Exercise Mat"/>
    <x v="0"/>
    <x v="0"/>
    <s v="Not Found"/>
    <n v="2"/>
    <n v="581.19000000000005"/>
    <n v="7.0000000000000007E-2"/>
    <x v="2"/>
    <x v="1496"/>
  </r>
  <r>
    <s v="SALE1500"/>
    <d v="2024-11-22T00:00:00"/>
    <s v="CUST1112"/>
    <s v="PROD99"/>
    <s v="STORE11"/>
    <x v="19"/>
    <s v="Stainless Steel Cookware Set"/>
    <x v="3"/>
    <x v="2"/>
    <s v="David Cole"/>
    <n v="1"/>
    <n v="736.54"/>
    <n v="0.16"/>
    <x v="1"/>
    <x v="1497"/>
  </r>
  <r>
    <s v="SALE1501"/>
    <d v="2024-10-21T00:00:00"/>
    <s v="CUST1401"/>
    <s v="PROD65"/>
    <s v="STORE15"/>
    <x v="10"/>
    <s v="Adjustable Dumbbells 20kg"/>
    <x v="0"/>
    <x v="0"/>
    <s v="Terry Moses"/>
    <n v="1"/>
    <n v="524"/>
    <n v="0.28000000000000003"/>
    <x v="0"/>
    <x v="1498"/>
  </r>
  <r>
    <s v="SALE1502"/>
    <d v="2024-09-13T00:00:00"/>
    <s v="CUST1046"/>
    <s v="PROD28"/>
    <s v="STORE3"/>
    <x v="0"/>
    <s v="Sports Stopwatch Timer"/>
    <x v="0"/>
    <x v="0"/>
    <s v="Michelle Garcia DDS"/>
    <n v="4"/>
    <n v="566.09"/>
    <n v="0.28000000000000003"/>
    <x v="2"/>
    <x v="1499"/>
  </r>
  <r>
    <s v="SALE1503"/>
    <d v="2025-04-25T00:00:00"/>
    <s v="CUST1259"/>
    <s v="PROD21"/>
    <s v="STORE10"/>
    <x v="15"/>
    <s v="Multi-Purpose Storage Box"/>
    <x v="3"/>
    <x v="3"/>
    <s v="Beth Allen"/>
    <n v="1"/>
    <n v="251.99"/>
    <n v="0.09"/>
    <x v="0"/>
    <x v="1500"/>
  </r>
  <r>
    <s v="SALE1504"/>
    <d v="2024-03-10T00:00:00"/>
    <s v="CUST1221"/>
    <s v="PROD17"/>
    <s v="STORE19"/>
    <x v="12"/>
    <s v="Soccer Training Cone Set"/>
    <x v="0"/>
    <x v="3"/>
    <s v="Lisa Young"/>
    <n v="1"/>
    <n v="259.2"/>
    <n v="0.27"/>
    <x v="2"/>
    <x v="1501"/>
  </r>
  <r>
    <s v="SALE1505"/>
    <d v="2023-11-05T00:00:00"/>
    <s v="CUST1446"/>
    <s v="PROD59"/>
    <s v="STORE15"/>
    <x v="10"/>
    <s v="Men's Hair Styling Gel"/>
    <x v="2"/>
    <x v="0"/>
    <s v="Shannon Turner"/>
    <n v="1"/>
    <n v="935.66"/>
    <n v="0.26"/>
    <x v="1"/>
    <x v="1502"/>
  </r>
  <r>
    <s v="SALE1506"/>
    <d v="2025-07-26T00:00:00"/>
    <s v="CUST1469"/>
    <s v="PROD35"/>
    <s v="STORE8"/>
    <x v="2"/>
    <s v="Bedroom Table Lamp"/>
    <x v="3"/>
    <x v="1"/>
    <s v="James Foster"/>
    <n v="4"/>
    <n v="480.75"/>
    <n v="0.02"/>
    <x v="0"/>
    <x v="1503"/>
  </r>
  <r>
    <s v="SALE1507"/>
    <d v="2025-01-24T00:00:00"/>
    <s v="CUST1369"/>
    <s v="PROD81"/>
    <s v="STORE15"/>
    <x v="10"/>
    <s v="Badminton Racket Set"/>
    <x v="0"/>
    <x v="0"/>
    <s v="Gregory Allen"/>
    <n v="2"/>
    <n v="457.83"/>
    <n v="0.01"/>
    <x v="2"/>
    <x v="1504"/>
  </r>
  <r>
    <s v="SALE1508"/>
    <d v="2025-09-05T00:00:00"/>
    <s v="CUST1164"/>
    <s v="PROD48"/>
    <s v="STORE14"/>
    <x v="7"/>
    <s v="Car Dashboard Phone Holder"/>
    <x v="1"/>
    <x v="2"/>
    <s v="Daniel Rivas"/>
    <n v="1"/>
    <n v="994.63"/>
    <n v="0.28000000000000003"/>
    <x v="0"/>
    <x v="1505"/>
  </r>
  <r>
    <s v="SALE1509"/>
    <d v="2025-04-18T00:00:00"/>
    <s v="CUST1245"/>
    <s v="PROD90"/>
    <s v="STORE0"/>
    <x v="6"/>
    <s v="Gaming Mouse Pad XL"/>
    <x v="1"/>
    <x v="3"/>
    <s v="Laura Soto"/>
    <n v="3"/>
    <n v="65.569999999999993"/>
    <n v="0.3"/>
    <x v="2"/>
    <x v="1506"/>
  </r>
  <r>
    <s v="SALE1510"/>
    <d v="2025-06-13T00:00:00"/>
    <s v="CUST1160"/>
    <s v="PROD58"/>
    <s v="STORE17"/>
    <x v="1"/>
    <s v="Womens Cotton Scarf"/>
    <x v="4"/>
    <x v="0"/>
    <s v="John Lawson"/>
    <n v="3"/>
    <n v="622.98"/>
    <n v="0.28000000000000003"/>
    <x v="1"/>
    <x v="1507"/>
  </r>
  <r>
    <s v="SALE1511"/>
    <d v="2025-02-03T00:00:00"/>
    <s v="CUST1250"/>
    <s v="PROD55"/>
    <s v="STORE13"/>
    <x v="13"/>
    <s v="Ceramic Plant Pot"/>
    <x v="3"/>
    <x v="3"/>
    <s v="Veronica Newman"/>
    <n v="1"/>
    <n v="170.68"/>
    <n v="0.13"/>
    <x v="1"/>
    <x v="1508"/>
  </r>
  <r>
    <s v="SALE1512"/>
    <d v="2025-07-22T00:00:00"/>
    <s v="CUST1096"/>
    <s v="PROD7"/>
    <s v="STORE8"/>
    <x v="2"/>
    <s v="LED Table Lamp"/>
    <x v="3"/>
    <x v="1"/>
    <s v="Samantha Walker"/>
    <n v="4"/>
    <n v="797.83"/>
    <n v="0.08"/>
    <x v="0"/>
    <x v="1509"/>
  </r>
  <r>
    <s v="SALE1513"/>
    <d v="2025-09-22T00:00:00"/>
    <s v="CUST1098"/>
    <s v="PROD2"/>
    <s v="STORE16"/>
    <x v="9"/>
    <s v="Women's Casual Hoodie"/>
    <x v="4"/>
    <x v="1"/>
    <s v="Brittney Morgan"/>
    <n v="1"/>
    <n v="372.75"/>
    <n v="0.12"/>
    <x v="0"/>
    <x v="1510"/>
  </r>
  <r>
    <s v="SALE1514"/>
    <d v="2024-07-04T00:00:00"/>
    <s v="CUST1396"/>
    <s v="PROD61"/>
    <s v="STORE4"/>
    <x v="5"/>
    <s v="Tennis Ball 3-Pack"/>
    <x v="0"/>
    <x v="2"/>
    <s v="Alexander Byrd"/>
    <n v="1"/>
    <n v="994.18"/>
    <n v="0.05"/>
    <x v="1"/>
    <x v="1511"/>
  </r>
  <r>
    <s v="SALE1515"/>
    <d v="2024-07-31T00:00:00"/>
    <s v="CUST1422"/>
    <s v="PROD20"/>
    <s v="STORE13"/>
    <x v="13"/>
    <s v="Outdoor Sports Water Bottle"/>
    <x v="0"/>
    <x v="3"/>
    <s v="Brittany Edwards DDS"/>
    <n v="1"/>
    <n v="136.12"/>
    <n v="7.0000000000000007E-2"/>
    <x v="0"/>
    <x v="1512"/>
  </r>
  <r>
    <s v="SALE1516"/>
    <d v="2025-07-24T00:00:00"/>
    <s v="CUST1030"/>
    <s v="PROD52"/>
    <s v="STORE18"/>
    <x v="14"/>
    <s v="Rugby Ball"/>
    <x v="0"/>
    <x v="3"/>
    <s v="Jessica Acevedo"/>
    <n v="3"/>
    <n v="634.45000000000005"/>
    <n v="0.17"/>
    <x v="1"/>
    <x v="1513"/>
  </r>
  <r>
    <s v="SALE1517"/>
    <d v="2024-10-14T00:00:00"/>
    <s v="CUST1329"/>
    <s v="PROD64"/>
    <s v="STORE0"/>
    <x v="6"/>
    <s v="Matte Lipstick Set"/>
    <x v="2"/>
    <x v="3"/>
    <s v="Victor Mcintosh"/>
    <n v="4"/>
    <n v="179.62"/>
    <n v="0.05"/>
    <x v="0"/>
    <x v="1514"/>
  </r>
  <r>
    <s v="SALE1518"/>
    <d v="2025-01-01T00:00:00"/>
    <s v="CUST1294"/>
    <s v="PROD20"/>
    <s v="STORE18"/>
    <x v="14"/>
    <s v="Outdoor Sports Water Bottle"/>
    <x v="0"/>
    <x v="3"/>
    <s v="Lisa Chandler"/>
    <n v="4"/>
    <n v="558.83000000000004"/>
    <n v="0.16"/>
    <x v="1"/>
    <x v="1515"/>
  </r>
  <r>
    <s v="SALE1519"/>
    <d v="2025-01-07T00:00:00"/>
    <s v="CUST1171"/>
    <s v="PROD94"/>
    <s v="STORE6"/>
    <x v="16"/>
    <s v="Vitamin E Body Lotion"/>
    <x v="2"/>
    <x v="3"/>
    <s v="Amy Wilson"/>
    <n v="2"/>
    <n v="859.74"/>
    <n v="0.25"/>
    <x v="2"/>
    <x v="1516"/>
  </r>
  <r>
    <s v="SALE1520"/>
    <d v="2025-10-06T00:00:00"/>
    <s v="CUST1106"/>
    <s v="PROD65"/>
    <s v="STORE16"/>
    <x v="9"/>
    <s v="Adjustable Dumbbells 20kg"/>
    <x v="0"/>
    <x v="1"/>
    <s v="Howard Summers"/>
    <n v="3"/>
    <n v="578.47"/>
    <n v="0.06"/>
    <x v="2"/>
    <x v="1517"/>
  </r>
  <r>
    <s v="SALE1521"/>
    <d v="2024-02-22T00:00:00"/>
    <s v="CUST1055"/>
    <s v="PROD21"/>
    <s v="STORE12"/>
    <x v="18"/>
    <s v="Multi-Purpose Storage Box"/>
    <x v="3"/>
    <x v="0"/>
    <s v="Wayne Mcpherson"/>
    <n v="1"/>
    <n v="440.48"/>
    <n v="0.11"/>
    <x v="2"/>
    <x v="1518"/>
  </r>
  <r>
    <s v="SALE1522"/>
    <d v="2024-02-07T00:00:00"/>
    <s v="CUST1016"/>
    <s v="PROD16"/>
    <s v="STORE19"/>
    <x v="12"/>
    <s v="Not Found"/>
    <x v="5"/>
    <x v="3"/>
    <s v="John Scott"/>
    <n v="2"/>
    <n v="303.67"/>
    <n v="0.05"/>
    <x v="1"/>
    <x v="1519"/>
  </r>
  <r>
    <s v="SALE1523"/>
    <d v="2025-08-26T00:00:00"/>
    <s v="CUST1336"/>
    <s v="PROD74"/>
    <s v="STORE14"/>
    <x v="7"/>
    <s v="Bluetooth Car Audio System"/>
    <x v="1"/>
    <x v="2"/>
    <s v="John Jones"/>
    <n v="2"/>
    <n v="611.21"/>
    <n v="0.22"/>
    <x v="2"/>
    <x v="1520"/>
  </r>
  <r>
    <s v="SALE1524"/>
    <d v="2023-11-09T00:00:00"/>
    <s v="CUST1202"/>
    <s v="PROD39"/>
    <s v="STORE15"/>
    <x v="10"/>
    <s v="Portable Power Bank"/>
    <x v="1"/>
    <x v="0"/>
    <s v="Christina Garcia"/>
    <n v="2"/>
    <n v="768.08"/>
    <n v="0.26"/>
    <x v="1"/>
    <x v="1521"/>
  </r>
  <r>
    <s v="SALE1525"/>
    <d v="2024-01-05T00:00:00"/>
    <s v="CUST1296"/>
    <s v="PROD23"/>
    <s v="STORE18"/>
    <x v="14"/>
    <s v="Men's Formal Shirt"/>
    <x v="4"/>
    <x v="3"/>
    <s v="Jared Moran"/>
    <n v="1"/>
    <n v="616.82000000000005"/>
    <n v="0.24"/>
    <x v="0"/>
    <x v="1522"/>
  </r>
  <r>
    <s v="SALE1526"/>
    <d v="2025-01-15T00:00:00"/>
    <s v="CUST1183"/>
    <s v="PROD40"/>
    <s v="STORE18"/>
    <x v="14"/>
    <s v="Noise-Canceling Headphones"/>
    <x v="1"/>
    <x v="3"/>
    <s v="Mario Jacobs"/>
    <n v="1"/>
    <n v="470.34"/>
    <n v="0.18"/>
    <x v="2"/>
    <x v="1523"/>
  </r>
  <r>
    <s v="SALE1527"/>
    <d v="2024-07-26T00:00:00"/>
    <s v="CUST1219"/>
    <s v="PROD53"/>
    <s v="STORE8"/>
    <x v="2"/>
    <s v="Men's Track Pants"/>
    <x v="4"/>
    <x v="1"/>
    <s v="Jordan Wells"/>
    <n v="2"/>
    <n v="616.36"/>
    <n v="0.12"/>
    <x v="1"/>
    <x v="1524"/>
  </r>
  <r>
    <s v="SALE1528"/>
    <d v="2024-05-22T00:00:00"/>
    <s v="CUST1082"/>
    <s v="PROD3"/>
    <s v="STORE9"/>
    <x v="11"/>
    <s v="Not Found"/>
    <x v="5"/>
    <x v="2"/>
    <s v="George Rosario"/>
    <n v="3"/>
    <n v="657.24"/>
    <n v="0.18"/>
    <x v="1"/>
    <x v="1525"/>
  </r>
  <r>
    <s v="SALE1529"/>
    <d v="2025-08-24T00:00:00"/>
    <s v="CUST1034"/>
    <s v="PROD41"/>
    <s v="STORE19"/>
    <x v="12"/>
    <s v="Yoga Exercise Mat"/>
    <x v="0"/>
    <x v="3"/>
    <s v="Christopher Olson"/>
    <n v="2"/>
    <n v="392.45"/>
    <n v="0.04"/>
    <x v="1"/>
    <x v="1526"/>
  </r>
  <r>
    <s v="SALE1530"/>
    <d v="2024-02-24T00:00:00"/>
    <s v="CUST1245"/>
    <s v="PROD40"/>
    <s v="STORE14"/>
    <x v="7"/>
    <s v="Noise-Canceling Headphones"/>
    <x v="1"/>
    <x v="2"/>
    <s v="Laura Soto"/>
    <n v="3"/>
    <n v="62.03"/>
    <n v="0.01"/>
    <x v="2"/>
    <x v="1527"/>
  </r>
  <r>
    <s v="SALE1531"/>
    <d v="2024-11-17T00:00:00"/>
    <s v="CUST1092"/>
    <s v="PROD96"/>
    <s v="STORE3"/>
    <x v="0"/>
    <s v="Women's Formal Blazer"/>
    <x v="4"/>
    <x v="0"/>
    <s v="Robert Jackson"/>
    <n v="4"/>
    <n v="933.73"/>
    <n v="0.25"/>
    <x v="1"/>
    <x v="1528"/>
  </r>
  <r>
    <s v="SALE1532"/>
    <d v="2025-09-28T00:00:00"/>
    <s v="CUST1155"/>
    <s v="PROD85"/>
    <s v="STORE16"/>
    <x v="9"/>
    <s v="Women's Beanie Hat"/>
    <x v="4"/>
    <x v="1"/>
    <s v="Curtis Haynes"/>
    <n v="3"/>
    <n v="615.30999999999995"/>
    <n v="0.14000000000000001"/>
    <x v="1"/>
    <x v="1529"/>
  </r>
  <r>
    <s v="SALE1533"/>
    <d v="2024-11-23T00:00:00"/>
    <s v="CUST1373"/>
    <s v="PROD59"/>
    <s v="STORE18"/>
    <x v="14"/>
    <s v="Men's Hair Styling Gel"/>
    <x v="2"/>
    <x v="3"/>
    <s v="James Orozco"/>
    <n v="4"/>
    <n v="790.38"/>
    <n v="0.22"/>
    <x v="2"/>
    <x v="1530"/>
  </r>
  <r>
    <s v="SALE1534"/>
    <d v="2024-08-29T00:00:00"/>
    <s v="CUST1269"/>
    <s v="PROD59"/>
    <s v="STORE17"/>
    <x v="1"/>
    <s v="Men's Hair Styling Gel"/>
    <x v="2"/>
    <x v="0"/>
    <s v="Tyrone Olson"/>
    <n v="2"/>
    <n v="102.85"/>
    <n v="0.08"/>
    <x v="1"/>
    <x v="1531"/>
  </r>
  <r>
    <s v="SALE1535"/>
    <d v="2025-05-04T00:00:00"/>
    <s v="CUST1039"/>
    <s v="PROD11"/>
    <s v="STORE16"/>
    <x v="9"/>
    <s v="HD Smart TV Stick"/>
    <x v="1"/>
    <x v="1"/>
    <s v="Tonya Reynolds"/>
    <n v="3"/>
    <n v="866.78"/>
    <n v="0.27"/>
    <x v="1"/>
    <x v="1532"/>
  </r>
  <r>
    <s v="SALE1536"/>
    <d v="2024-03-27T00:00:00"/>
    <s v="CUST1208"/>
    <s v="PROD78"/>
    <s v="STORE16"/>
    <x v="9"/>
    <s v="Essential Oil Diffuser"/>
    <x v="3"/>
    <x v="1"/>
    <s v="John Perez"/>
    <n v="3"/>
    <n v="392.84"/>
    <n v="0.27"/>
    <x v="1"/>
    <x v="1533"/>
  </r>
  <r>
    <s v="SALE1537"/>
    <d v="2025-01-31T00:00:00"/>
    <s v="CUST1323"/>
    <s v="PROD9"/>
    <s v="STORE5"/>
    <x v="3"/>
    <s v="Adjustable Dumbbell Set"/>
    <x v="0"/>
    <x v="0"/>
    <s v="Kristy Dunlap"/>
    <n v="2"/>
    <n v="753.1"/>
    <n v="0.19"/>
    <x v="1"/>
    <x v="1534"/>
  </r>
  <r>
    <s v="SALE1538"/>
    <d v="2025-09-27T00:00:00"/>
    <s v="CUST1007"/>
    <s v="PROD54"/>
    <s v="STORE17"/>
    <x v="1"/>
    <s v="Sports Stopwatch Pro"/>
    <x v="0"/>
    <x v="0"/>
    <s v="Daniel Boyd"/>
    <n v="2"/>
    <n v="700.91"/>
    <n v="0.1"/>
    <x v="1"/>
    <x v="1535"/>
  </r>
  <r>
    <s v="SALE1539"/>
    <d v="2025-04-28T00:00:00"/>
    <s v="CUST1072"/>
    <s v="PROD15"/>
    <s v="STORE12"/>
    <x v="18"/>
    <s v="4K Home Projector"/>
    <x v="1"/>
    <x v="0"/>
    <s v="Tonya Burch"/>
    <n v="4"/>
    <n v="935.98"/>
    <n v="0.11"/>
    <x v="1"/>
    <x v="1536"/>
  </r>
  <r>
    <s v="SALE1540"/>
    <d v="2025-07-11T00:00:00"/>
    <s v="CUST1485"/>
    <s v="PROD76"/>
    <s v="STORE16"/>
    <x v="9"/>
    <s v="Wireless Mouse"/>
    <x v="1"/>
    <x v="1"/>
    <s v="Sara Ingram"/>
    <n v="1"/>
    <n v="539.9"/>
    <n v="7.0000000000000007E-2"/>
    <x v="0"/>
    <x v="1537"/>
  </r>
  <r>
    <s v="SALE1541"/>
    <d v="2024-10-08T00:00:00"/>
    <s v="CUST1171"/>
    <s v="PROD40"/>
    <s v="STORE6"/>
    <x v="16"/>
    <s v="Noise-Canceling Headphones"/>
    <x v="1"/>
    <x v="3"/>
    <s v="Amy Wilson"/>
    <n v="1"/>
    <n v="312.81"/>
    <n v="0.14000000000000001"/>
    <x v="1"/>
    <x v="1538"/>
  </r>
  <r>
    <s v="SALE1542"/>
    <d v="2024-03-05T00:00:00"/>
    <s v="CUST1249"/>
    <s v="PROD48"/>
    <s v="STORE7"/>
    <x v="4"/>
    <s v="Car Dashboard Phone Holder"/>
    <x v="1"/>
    <x v="2"/>
    <s v="Lauren George"/>
    <n v="3"/>
    <n v="855.96"/>
    <n v="0.28999999999999998"/>
    <x v="2"/>
    <x v="1539"/>
  </r>
  <r>
    <s v="SALE1543"/>
    <d v="2024-02-04T00:00:00"/>
    <s v="CUST1355"/>
    <s v="PROD1"/>
    <s v="STORE11"/>
    <x v="19"/>
    <s v="Men's Graphic T-Shirt"/>
    <x v="4"/>
    <x v="2"/>
    <s v="Carlos Flores"/>
    <n v="3"/>
    <n v="305"/>
    <n v="0.01"/>
    <x v="2"/>
    <x v="1540"/>
  </r>
  <r>
    <s v="SALE1544"/>
    <d v="2024-03-10T00:00:00"/>
    <s v="CUST1468"/>
    <s v="PROD99"/>
    <s v="STORE12"/>
    <x v="18"/>
    <s v="Stainless Steel Cookware Set"/>
    <x v="3"/>
    <x v="0"/>
    <s v="Gregory Curtis"/>
    <n v="3"/>
    <n v="831.15"/>
    <n v="0.19"/>
    <x v="0"/>
    <x v="1541"/>
  </r>
  <r>
    <s v="SALE1545"/>
    <d v="2025-09-26T00:00:00"/>
    <s v="CUST1207"/>
    <s v="PROD96"/>
    <s v="STORE3"/>
    <x v="0"/>
    <s v="Women's Formal Blazer"/>
    <x v="4"/>
    <x v="0"/>
    <s v="Jacqueline Pacheco"/>
    <n v="2"/>
    <n v="644.97"/>
    <n v="0.24"/>
    <x v="2"/>
    <x v="1542"/>
  </r>
  <r>
    <s v="SALE1546"/>
    <d v="2025-07-01T00:00:00"/>
    <s v="CUST1095"/>
    <s v="PROD88"/>
    <s v="STORE1"/>
    <x v="8"/>
    <s v="Sports Wrist Sweatbands"/>
    <x v="0"/>
    <x v="0"/>
    <s v="Amy Fowler"/>
    <n v="1"/>
    <n v="149.56"/>
    <n v="0.09"/>
    <x v="0"/>
    <x v="1543"/>
  </r>
  <r>
    <s v="SALE1547"/>
    <d v="2024-05-22T00:00:00"/>
    <s v="CUST1217"/>
    <s v="PROD43"/>
    <s v="STORE19"/>
    <x v="12"/>
    <s v="USB External Hard Drive"/>
    <x v="1"/>
    <x v="3"/>
    <s v="Kathy Copeland"/>
    <n v="1"/>
    <n v="661.77"/>
    <n v="0.03"/>
    <x v="1"/>
    <x v="1544"/>
  </r>
  <r>
    <s v="SALE1548"/>
    <d v="2025-06-11T00:00:00"/>
    <s v="CUST1108"/>
    <s v="PROD94"/>
    <s v="STORE7"/>
    <x v="4"/>
    <s v="Vitamin E Body Lotion"/>
    <x v="2"/>
    <x v="2"/>
    <s v="Travis Holland"/>
    <n v="3"/>
    <n v="99.67"/>
    <n v="0.17"/>
    <x v="0"/>
    <x v="1545"/>
  </r>
  <r>
    <s v="SALE1549"/>
    <d v="2024-09-18T00:00:00"/>
    <s v="CUST1221"/>
    <s v="PROD62"/>
    <s v="STORE1"/>
    <x v="8"/>
    <s v="Laptop Cooling Pad"/>
    <x v="1"/>
    <x v="0"/>
    <s v="Lisa Young"/>
    <n v="3"/>
    <n v="103.66"/>
    <n v="0.26"/>
    <x v="2"/>
    <x v="1546"/>
  </r>
  <r>
    <s v="SALE1550"/>
    <d v="2023-11-28T00:00:00"/>
    <s v="CUST1436"/>
    <s v="PROD40"/>
    <s v="STORE2"/>
    <x v="17"/>
    <s v="Noise-Canceling Headphones"/>
    <x v="1"/>
    <x v="2"/>
    <s v="Sharon Simpson"/>
    <n v="4"/>
    <n v="54.4"/>
    <n v="0.22"/>
    <x v="0"/>
    <x v="1547"/>
  </r>
  <r>
    <s v="SALE1551"/>
    <d v="2024-05-23T00:00:00"/>
    <s v="CUST1490"/>
    <s v="PROD84"/>
    <s v="STORE14"/>
    <x v="7"/>
    <s v="Wooden Bookshelf"/>
    <x v="3"/>
    <x v="2"/>
    <s v="Scott Harris"/>
    <n v="1"/>
    <n v="46.66"/>
    <n v="0.2"/>
    <x v="0"/>
    <x v="1548"/>
  </r>
  <r>
    <s v="SALE1552"/>
    <d v="2024-06-04T00:00:00"/>
    <s v="CUST1007"/>
    <s v="PROD73"/>
    <s v="STORE11"/>
    <x v="19"/>
    <s v="Shin Guards – Adult"/>
    <x v="0"/>
    <x v="2"/>
    <s v="Daniel Boyd"/>
    <n v="4"/>
    <n v="871.2"/>
    <n v="0.28999999999999998"/>
    <x v="0"/>
    <x v="1549"/>
  </r>
  <r>
    <s v="SALE1553"/>
    <d v="2025-03-08T00:00:00"/>
    <s v="CUST1379"/>
    <s v="PROD18"/>
    <s v="STORE14"/>
    <x v="7"/>
    <s v="Women's Denim Jeans"/>
    <x v="4"/>
    <x v="2"/>
    <s v="Tanya Lopez"/>
    <n v="4"/>
    <n v="317.11"/>
    <n v="0.16"/>
    <x v="1"/>
    <x v="1550"/>
  </r>
  <r>
    <s v="SALE1554"/>
    <d v="2024-02-16T00:00:00"/>
    <s v="CUST1258"/>
    <s v="PROD25"/>
    <s v="STORE13"/>
    <x v="13"/>
    <s v="Women's Scarf Set"/>
    <x v="4"/>
    <x v="3"/>
    <s v="Sarah Stewart"/>
    <n v="2"/>
    <n v="388.34"/>
    <n v="0.09"/>
    <x v="1"/>
    <x v="1551"/>
  </r>
  <r>
    <s v="SALE1555"/>
    <d v="2023-11-22T00:00:00"/>
    <s v="CUST1319"/>
    <s v="PROD30"/>
    <s v="STORE6"/>
    <x v="16"/>
    <s v="Stainless Steel Cutlery Set"/>
    <x v="3"/>
    <x v="3"/>
    <s v="Casey Simpson"/>
    <n v="4"/>
    <n v="998.2"/>
    <n v="0.15"/>
    <x v="0"/>
    <x v="1552"/>
  </r>
  <r>
    <s v="SALE1556"/>
    <d v="2024-11-10T00:00:00"/>
    <s v="CUST1493"/>
    <s v="PROD36"/>
    <s v="STORE0"/>
    <x v="6"/>
    <s v="Women's Summer Dress"/>
    <x v="4"/>
    <x v="3"/>
    <s v="Amanda Powell"/>
    <n v="1"/>
    <n v="887.38"/>
    <n v="0.01"/>
    <x v="2"/>
    <x v="1553"/>
  </r>
  <r>
    <s v="SALE1557"/>
    <d v="2024-08-20T00:00:00"/>
    <s v="CUST1312"/>
    <s v="PROD37"/>
    <s v="STORE12"/>
    <x v="18"/>
    <s v="Men's Casual Sneakers"/>
    <x v="4"/>
    <x v="0"/>
    <s v="Jason Mullins"/>
    <n v="4"/>
    <n v="332.97"/>
    <n v="0.28000000000000003"/>
    <x v="0"/>
    <x v="1554"/>
  </r>
  <r>
    <s v="SALE1558"/>
    <d v="2025-10-04T00:00:00"/>
    <s v="CUST1021"/>
    <s v="PROD46"/>
    <s v="STORE0"/>
    <x v="6"/>
    <s v="Men's Winter Jacket"/>
    <x v="4"/>
    <x v="3"/>
    <s v="Jeff Martinez"/>
    <n v="2"/>
    <n v="157.91"/>
    <n v="0.09"/>
    <x v="2"/>
    <x v="1555"/>
  </r>
  <r>
    <s v="SALE1559"/>
    <d v="2024-09-04T00:00:00"/>
    <s v="CUST1356"/>
    <s v="PROD12"/>
    <s v="STORE18"/>
    <x v="14"/>
    <s v="Hair Strengthening Shampoo"/>
    <x v="2"/>
    <x v="3"/>
    <s v="Steve Hunt"/>
    <n v="1"/>
    <n v="548.15"/>
    <n v="0.11"/>
    <x v="0"/>
    <x v="1556"/>
  </r>
  <r>
    <s v="SALE1560"/>
    <d v="2024-09-20T00:00:00"/>
    <s v="CUST1209"/>
    <s v="PROD48"/>
    <s v="STORE15"/>
    <x v="10"/>
    <s v="Car Dashboard Phone Holder"/>
    <x v="1"/>
    <x v="0"/>
    <s v="Joan Johnson"/>
    <n v="1"/>
    <n v="135.13"/>
    <n v="0.04"/>
    <x v="0"/>
    <x v="1557"/>
  </r>
  <r>
    <s v="SALE1561"/>
    <d v="2023-12-21T00:00:00"/>
    <s v="CUST1219"/>
    <s v="PROD56"/>
    <s v="STORE3"/>
    <x v="0"/>
    <s v="Premium Blanket Throw"/>
    <x v="3"/>
    <x v="0"/>
    <s v="Jordan Wells"/>
    <n v="3"/>
    <n v="579.26"/>
    <n v="0.19"/>
    <x v="0"/>
    <x v="1558"/>
  </r>
  <r>
    <s v="SALE1562"/>
    <d v="2024-10-17T00:00:00"/>
    <s v="CUST1389"/>
    <s v="PROD17"/>
    <s v="STORE0"/>
    <x v="6"/>
    <s v="Soccer Training Cone Set"/>
    <x v="0"/>
    <x v="3"/>
    <s v="Cynthia Lopez"/>
    <n v="1"/>
    <n v="465.63"/>
    <n v="0.25"/>
    <x v="0"/>
    <x v="1559"/>
  </r>
  <r>
    <s v="SALE1563"/>
    <d v="2024-03-21T00:00:00"/>
    <s v="CUST1047"/>
    <s v="PROD76"/>
    <s v="STORE16"/>
    <x v="9"/>
    <s v="Wireless Mouse"/>
    <x v="1"/>
    <x v="1"/>
    <s v="Gina Knight"/>
    <n v="2"/>
    <n v="675.61"/>
    <n v="0.08"/>
    <x v="2"/>
    <x v="1560"/>
  </r>
  <r>
    <s v="SALE1564"/>
    <d v="2024-06-15T00:00:00"/>
    <s v="CUST1416"/>
    <s v="PROD33"/>
    <s v="STORE6"/>
    <x v="16"/>
    <s v="Modern Wall Clock"/>
    <x v="3"/>
    <x v="3"/>
    <s v="Jennifer Myers"/>
    <n v="1"/>
    <n v="718.99"/>
    <n v="0.08"/>
    <x v="1"/>
    <x v="1561"/>
  </r>
  <r>
    <s v="SALE1565"/>
    <d v="2025-10-13T00:00:00"/>
    <s v="CUST1376"/>
    <s v="PROD14"/>
    <s v="STORE10"/>
    <x v="15"/>
    <s v="Decorative Wall Mirror"/>
    <x v="3"/>
    <x v="3"/>
    <s v="Michele Burke"/>
    <n v="2"/>
    <n v="675.65"/>
    <n v="0.2"/>
    <x v="2"/>
    <x v="1562"/>
  </r>
  <r>
    <s v="SALE1566"/>
    <d v="2024-03-23T00:00:00"/>
    <s v="CUST1336"/>
    <s v="PROD95"/>
    <s v="STORE15"/>
    <x v="10"/>
    <s v="Sports Stopwatch Basic"/>
    <x v="0"/>
    <x v="0"/>
    <s v="John Jones"/>
    <n v="4"/>
    <n v="284.24"/>
    <n v="0.1"/>
    <x v="0"/>
    <x v="1563"/>
  </r>
  <r>
    <s v="SALE1567"/>
    <d v="2024-03-23T00:00:00"/>
    <s v="CUST1213"/>
    <s v="PROD1"/>
    <s v="STORE3"/>
    <x v="0"/>
    <s v="Men's Graphic T-Shirt"/>
    <x v="4"/>
    <x v="0"/>
    <s v="Stuart Johnson"/>
    <n v="1"/>
    <n v="94.26"/>
    <n v="0.18"/>
    <x v="1"/>
    <x v="1564"/>
  </r>
  <r>
    <s v="SALE1568"/>
    <d v="2025-05-12T00:00:00"/>
    <s v="CUST1416"/>
    <s v="PROD6"/>
    <s v="STORE10"/>
    <x v="15"/>
    <s v="Herbal Face Moisturizer"/>
    <x v="2"/>
    <x v="3"/>
    <s v="Jennifer Myers"/>
    <n v="4"/>
    <n v="458.58"/>
    <n v="0.28999999999999998"/>
    <x v="2"/>
    <x v="1565"/>
  </r>
  <r>
    <s v="SALE1569"/>
    <d v="2024-06-09T00:00:00"/>
    <s v="CUST1113"/>
    <s v="PROD65"/>
    <s v="STORE10"/>
    <x v="15"/>
    <s v="Adjustable Dumbbells 20kg"/>
    <x v="0"/>
    <x v="3"/>
    <s v="Edward Hall"/>
    <n v="4"/>
    <n v="704.49"/>
    <n v="0.05"/>
    <x v="2"/>
    <x v="1566"/>
  </r>
  <r>
    <s v="SALE1570"/>
    <d v="2023-12-24T00:00:00"/>
    <s v="CUST1032"/>
    <s v="PROD27"/>
    <s v="STORE19"/>
    <x v="12"/>
    <s v="Decorative Floor Vase"/>
    <x v="3"/>
    <x v="3"/>
    <s v="Mike Jennings"/>
    <n v="4"/>
    <n v="822.32"/>
    <n v="0.26"/>
    <x v="1"/>
    <x v="1567"/>
  </r>
  <r>
    <s v="SALE1571"/>
    <d v="2024-02-03T00:00:00"/>
    <s v="CUST1245"/>
    <s v="PROD3"/>
    <s v="STORE13"/>
    <x v="13"/>
    <s v="Not Found"/>
    <x v="5"/>
    <x v="3"/>
    <s v="Laura Soto"/>
    <n v="4"/>
    <n v="785.41"/>
    <n v="0.13"/>
    <x v="2"/>
    <x v="1568"/>
  </r>
  <r>
    <s v="SALE1572"/>
    <d v="2024-06-22T00:00:00"/>
    <s v="CUST1031"/>
    <s v="PROD39"/>
    <s v="STORE14"/>
    <x v="7"/>
    <s v="Portable Power Bank"/>
    <x v="1"/>
    <x v="2"/>
    <s v="Sarah Vance"/>
    <n v="1"/>
    <n v="405.8"/>
    <n v="0.11"/>
    <x v="1"/>
    <x v="1569"/>
  </r>
  <r>
    <s v="SALE1573"/>
    <d v="2024-11-16T00:00:00"/>
    <s v="CUST1433"/>
    <s v="PROD91"/>
    <s v="STORE9"/>
    <x v="11"/>
    <s v="Women's High Heels"/>
    <x v="4"/>
    <x v="2"/>
    <s v="Thomas Moore"/>
    <n v="2"/>
    <n v="976.83"/>
    <n v="0.1"/>
    <x v="1"/>
    <x v="1570"/>
  </r>
  <r>
    <s v="SALE1574"/>
    <d v="2024-06-29T00:00:00"/>
    <s v="CUST1273"/>
    <s v="PROD64"/>
    <s v="STORE2"/>
    <x v="17"/>
    <s v="Matte Lipstick Set"/>
    <x v="2"/>
    <x v="2"/>
    <s v="Samantha Robinson"/>
    <n v="1"/>
    <n v="644.15"/>
    <n v="0.06"/>
    <x v="0"/>
    <x v="1571"/>
  </r>
  <r>
    <s v="SALE1575"/>
    <d v="2025-08-28T00:00:00"/>
    <s v="CUST1337"/>
    <s v="PROD67"/>
    <s v="STORE13"/>
    <x v="13"/>
    <s v="Smart LED Light Strip"/>
    <x v="1"/>
    <x v="3"/>
    <s v="Carol Lewis"/>
    <n v="1"/>
    <n v="470.55"/>
    <n v="0.23"/>
    <x v="1"/>
    <x v="1572"/>
  </r>
  <r>
    <s v="SALE1576"/>
    <d v="2023-11-11T00:00:00"/>
    <s v="CUST1478"/>
    <s v="PROD7"/>
    <s v="STORE6"/>
    <x v="16"/>
    <s v="LED Table Lamp"/>
    <x v="3"/>
    <x v="3"/>
    <s v="Earl Smith DDS"/>
    <n v="3"/>
    <n v="598.82000000000005"/>
    <n v="0.19"/>
    <x v="2"/>
    <x v="1573"/>
  </r>
  <r>
    <s v="SALE1577"/>
    <d v="2025-07-13T00:00:00"/>
    <s v="CUST1101"/>
    <s v="PROD20"/>
    <s v="STORE12"/>
    <x v="18"/>
    <s v="Outdoor Sports Water Bottle"/>
    <x v="0"/>
    <x v="0"/>
    <s v="Colleen Maynard"/>
    <n v="4"/>
    <n v="659.17"/>
    <n v="0.12"/>
    <x v="0"/>
    <x v="1574"/>
  </r>
  <r>
    <s v="SALE1578"/>
    <d v="2024-10-07T00:00:00"/>
    <s v="CUST1104"/>
    <s v="PROD46"/>
    <s v="STORE1"/>
    <x v="8"/>
    <s v="Men's Winter Jacket"/>
    <x v="4"/>
    <x v="0"/>
    <s v="Christopher Lester"/>
    <n v="2"/>
    <n v="216.02"/>
    <n v="0.25"/>
    <x v="0"/>
    <x v="1575"/>
  </r>
  <r>
    <s v="SALE1579"/>
    <d v="2025-04-27T00:00:00"/>
    <s v="CUST1030"/>
    <s v="PROD31"/>
    <s v="STORE10"/>
    <x v="15"/>
    <s v="Basketball"/>
    <x v="0"/>
    <x v="3"/>
    <s v="Jessica Acevedo"/>
    <n v="2"/>
    <n v="613.47"/>
    <n v="0.02"/>
    <x v="1"/>
    <x v="1576"/>
  </r>
  <r>
    <s v="SALE1580"/>
    <d v="2025-09-21T00:00:00"/>
    <s v="CUST1098"/>
    <s v="PROD58"/>
    <s v="STORE12"/>
    <x v="18"/>
    <s v="Womens Cotton Scarf"/>
    <x v="4"/>
    <x v="0"/>
    <s v="Brittney Morgan"/>
    <n v="2"/>
    <n v="485.17"/>
    <n v="0.11"/>
    <x v="1"/>
    <x v="1577"/>
  </r>
  <r>
    <s v="SALE1581"/>
    <d v="2023-12-08T00:00:00"/>
    <s v="CUST1307"/>
    <s v="PROD46"/>
    <s v="STORE10"/>
    <x v="15"/>
    <s v="Men's Winter Jacket"/>
    <x v="4"/>
    <x v="3"/>
    <s v="Brandy Thompson"/>
    <n v="1"/>
    <n v="209.7"/>
    <n v="0.2"/>
    <x v="1"/>
    <x v="1578"/>
  </r>
  <r>
    <s v="SALE1582"/>
    <d v="2024-04-20T00:00:00"/>
    <s v="CUST1326"/>
    <s v="PROD92"/>
    <s v="STORE0"/>
    <x v="6"/>
    <s v="Microwave Oven"/>
    <x v="3"/>
    <x v="3"/>
    <s v="Robert King"/>
    <n v="1"/>
    <n v="681.47"/>
    <n v="0.15"/>
    <x v="0"/>
    <x v="1579"/>
  </r>
  <r>
    <s v="SALE1583"/>
    <d v="2025-01-10T00:00:00"/>
    <s v="CUST1440"/>
    <s v="PROD76"/>
    <s v="STORE17"/>
    <x v="1"/>
    <s v="Wireless Mouse"/>
    <x v="1"/>
    <x v="0"/>
    <s v="Tammy Trevino"/>
    <n v="2"/>
    <n v="877.21"/>
    <n v="0.1"/>
    <x v="0"/>
    <x v="1580"/>
  </r>
  <r>
    <s v="SALE1584"/>
    <d v="2025-09-02T00:00:00"/>
    <s v="CUST1318"/>
    <s v="PROD78"/>
    <s v="STORE5"/>
    <x v="3"/>
    <s v="Essential Oil Diffuser"/>
    <x v="3"/>
    <x v="0"/>
    <s v="Madison Wright"/>
    <n v="2"/>
    <n v="479.77"/>
    <n v="0.21"/>
    <x v="1"/>
    <x v="1581"/>
  </r>
  <r>
    <s v="SALE1585"/>
    <d v="2024-10-24T00:00:00"/>
    <s v="CUST1322"/>
    <s v="PROD83"/>
    <s v="STORE15"/>
    <x v="10"/>
    <s v="Hydrating Face Cleanser"/>
    <x v="2"/>
    <x v="0"/>
    <s v="Samuel Arias"/>
    <n v="1"/>
    <n v="140.72"/>
    <n v="0"/>
    <x v="2"/>
    <x v="1582"/>
  </r>
  <r>
    <s v="SALE1586"/>
    <d v="2025-01-11T00:00:00"/>
    <s v="CUST1027"/>
    <s v="PROD19"/>
    <s v="STORE6"/>
    <x v="16"/>
    <s v="Knee Support Brace"/>
    <x v="0"/>
    <x v="3"/>
    <s v="Leslie Johnson"/>
    <n v="2"/>
    <n v="764.25"/>
    <n v="0.23"/>
    <x v="1"/>
    <x v="1583"/>
  </r>
  <r>
    <s v="SALE1587"/>
    <d v="2024-01-09T00:00:00"/>
    <s v="CUST1222"/>
    <s v="PROD83"/>
    <s v="STORE5"/>
    <x v="3"/>
    <s v="Hydrating Face Cleanser"/>
    <x v="2"/>
    <x v="0"/>
    <s v="Alejandro Doyle"/>
    <n v="3"/>
    <n v="107.8"/>
    <n v="0.28999999999999998"/>
    <x v="1"/>
    <x v="1584"/>
  </r>
  <r>
    <s v="SALE1588"/>
    <d v="2025-04-10T00:00:00"/>
    <s v="CUST1147"/>
    <s v="PROD22"/>
    <s v="STORE8"/>
    <x v="2"/>
    <s v="Carbon Fiber Tennis Racket"/>
    <x v="0"/>
    <x v="1"/>
    <s v="Rhonda Young"/>
    <n v="4"/>
    <n v="565.37"/>
    <n v="7.0000000000000007E-2"/>
    <x v="1"/>
    <x v="1585"/>
  </r>
  <r>
    <s v="SALE1589"/>
    <d v="2023-11-05T00:00:00"/>
    <s v="CUST1034"/>
    <s v="PROD36"/>
    <s v="STORE4"/>
    <x v="5"/>
    <s v="Women's Summer Dress"/>
    <x v="4"/>
    <x v="2"/>
    <s v="Christopher Olson"/>
    <n v="3"/>
    <n v="811.45"/>
    <n v="0.26"/>
    <x v="0"/>
    <x v="1586"/>
  </r>
  <r>
    <s v="SALE1590"/>
    <d v="2025-04-02T00:00:00"/>
    <s v="CUST1410"/>
    <s v="PROD33"/>
    <s v="STORE19"/>
    <x v="12"/>
    <s v="Modern Wall Clock"/>
    <x v="3"/>
    <x v="3"/>
    <s v="Jackie Thompson"/>
    <n v="4"/>
    <n v="62.25"/>
    <n v="0.11"/>
    <x v="1"/>
    <x v="1587"/>
  </r>
  <r>
    <s v="SALE1591"/>
    <d v="2025-05-30T00:00:00"/>
    <s v="CUST1025"/>
    <s v="PROD95"/>
    <s v="STORE10"/>
    <x v="15"/>
    <s v="Sports Stopwatch Basic"/>
    <x v="0"/>
    <x v="3"/>
    <s v="Diana Taylor"/>
    <n v="1"/>
    <n v="749.78"/>
    <n v="0.03"/>
    <x v="0"/>
    <x v="1588"/>
  </r>
  <r>
    <s v="SALE1592"/>
    <d v="2024-07-23T00:00:00"/>
    <s v="CUST1350"/>
    <s v="PROD59"/>
    <s v="STORE5"/>
    <x v="3"/>
    <s v="Men's Hair Styling Gel"/>
    <x v="2"/>
    <x v="0"/>
    <s v="Charles Miller"/>
    <n v="3"/>
    <n v="630.28"/>
    <n v="7.0000000000000007E-2"/>
    <x v="2"/>
    <x v="1589"/>
  </r>
  <r>
    <s v="SALE1593"/>
    <d v="2024-03-04T00:00:00"/>
    <s v="CUST1143"/>
    <s v="PROD30"/>
    <s v="STORE16"/>
    <x v="9"/>
    <s v="Stainless Steel Cutlery Set"/>
    <x v="3"/>
    <x v="1"/>
    <s v="Carlos Skinner"/>
    <n v="1"/>
    <n v="101.84"/>
    <n v="0.17"/>
    <x v="0"/>
    <x v="1590"/>
  </r>
  <r>
    <s v="SALE1594"/>
    <d v="2023-11-26T00:00:00"/>
    <s v="CUST1055"/>
    <s v="PROD24"/>
    <s v="STORE18"/>
    <x v="14"/>
    <s v="Foldable Camping Chair"/>
    <x v="0"/>
    <x v="3"/>
    <s v="Wayne Mcpherson"/>
    <n v="4"/>
    <n v="641.45000000000005"/>
    <n v="0.16"/>
    <x v="2"/>
    <x v="1591"/>
  </r>
  <r>
    <s v="SALE1595"/>
    <d v="2025-07-11T00:00:00"/>
    <s v="CUST1471"/>
    <s v="PROD43"/>
    <s v="STORE1"/>
    <x v="8"/>
    <s v="USB External Hard Drive"/>
    <x v="1"/>
    <x v="0"/>
    <s v="Debra Mccullough"/>
    <n v="1"/>
    <n v="135.87"/>
    <n v="0.23"/>
    <x v="1"/>
    <x v="1592"/>
  </r>
  <r>
    <s v="SALE1596"/>
    <d v="2024-02-22T00:00:00"/>
    <s v="CUST1095"/>
    <s v="PROD21"/>
    <s v="STORE6"/>
    <x v="16"/>
    <s v="Multi-Purpose Storage Box"/>
    <x v="3"/>
    <x v="3"/>
    <s v="Amy Fowler"/>
    <n v="1"/>
    <n v="388.35"/>
    <n v="0.01"/>
    <x v="1"/>
    <x v="1593"/>
  </r>
  <r>
    <s v="SALE1597"/>
    <d v="2024-03-16T00:00:00"/>
    <s v="CUST1486"/>
    <s v="PROD38"/>
    <s v="STORE9"/>
    <x v="11"/>
    <s v="Sports Water Hydration Pack"/>
    <x v="0"/>
    <x v="2"/>
    <s v="Not Found"/>
    <n v="2"/>
    <n v="999.08"/>
    <n v="0.3"/>
    <x v="1"/>
    <x v="1594"/>
  </r>
  <r>
    <s v="SALE1598"/>
    <d v="2025-08-18T00:00:00"/>
    <s v="CUST1170"/>
    <s v="PROD38"/>
    <s v="STORE17"/>
    <x v="1"/>
    <s v="Sports Water Hydration Pack"/>
    <x v="0"/>
    <x v="0"/>
    <s v="Christopher Garcia DDS"/>
    <n v="3"/>
    <n v="453.19"/>
    <n v="0.08"/>
    <x v="2"/>
    <x v="1595"/>
  </r>
  <r>
    <s v="SALE1599"/>
    <d v="2024-10-02T00:00:00"/>
    <s v="CUST1235"/>
    <s v="PROD80"/>
    <s v="STORE10"/>
    <x v="15"/>
    <s v="Wall-Mounted Spice Rack"/>
    <x v="3"/>
    <x v="3"/>
    <s v="Jon Ortiz"/>
    <n v="2"/>
    <n v="61.31"/>
    <n v="0.15"/>
    <x v="2"/>
    <x v="1596"/>
  </r>
  <r>
    <s v="SALE1600"/>
    <d v="2023-10-24T00:00:00"/>
    <s v="CUST1342"/>
    <s v="PROD81"/>
    <s v="STORE10"/>
    <x v="15"/>
    <s v="Badminton Racket Set"/>
    <x v="0"/>
    <x v="3"/>
    <s v="Michelle Cunningham"/>
    <n v="2"/>
    <n v="870.13"/>
    <n v="0.23"/>
    <x v="0"/>
    <x v="1597"/>
  </r>
  <r>
    <s v="SALE1601"/>
    <d v="2025-01-07T00:00:00"/>
    <s v="CUST1067"/>
    <s v="PROD15"/>
    <s v="STORE19"/>
    <x v="12"/>
    <s v="4K Home Projector"/>
    <x v="1"/>
    <x v="3"/>
    <s v="Amber Mcclain"/>
    <n v="1"/>
    <n v="336.51"/>
    <n v="0.11"/>
    <x v="1"/>
    <x v="1598"/>
  </r>
  <r>
    <s v="SALE1602"/>
    <d v="2024-01-22T00:00:00"/>
    <s v="CUST1181"/>
    <s v="PROD67"/>
    <s v="STORE0"/>
    <x v="6"/>
    <s v="Smart LED Light Strip"/>
    <x v="1"/>
    <x v="3"/>
    <s v="Erin Ward"/>
    <n v="1"/>
    <n v="305.70999999999998"/>
    <n v="0.26"/>
    <x v="2"/>
    <x v="1599"/>
  </r>
  <r>
    <s v="SALE1603"/>
    <d v="2023-10-25T00:00:00"/>
    <s v="CUST1121"/>
    <s v="PROD10"/>
    <s v="STORE18"/>
    <x v="14"/>
    <s v="Ceramic Kitchen Bowl Set"/>
    <x v="3"/>
    <x v="3"/>
    <s v="Joel Robinson"/>
    <n v="2"/>
    <n v="635.39"/>
    <n v="0.28999999999999998"/>
    <x v="2"/>
    <x v="1600"/>
  </r>
  <r>
    <s v="SALE1604"/>
    <d v="2024-07-18T00:00:00"/>
    <s v="CUST1116"/>
    <s v="PROD92"/>
    <s v="STORE19"/>
    <x v="12"/>
    <s v="Microwave Oven"/>
    <x v="3"/>
    <x v="3"/>
    <s v="Anthony Phillips"/>
    <n v="2"/>
    <n v="253.87"/>
    <n v="0.23"/>
    <x v="2"/>
    <x v="1601"/>
  </r>
  <r>
    <s v="SALE1605"/>
    <d v="2024-06-29T00:00:00"/>
    <s v="CUST1484"/>
    <s v="PROD76"/>
    <s v="STORE17"/>
    <x v="1"/>
    <s v="Wireless Mouse"/>
    <x v="1"/>
    <x v="0"/>
    <s v="Jessica Castro"/>
    <n v="3"/>
    <n v="915.81"/>
    <n v="0.17"/>
    <x v="2"/>
    <x v="1602"/>
  </r>
  <r>
    <s v="SALE1606"/>
    <d v="2025-05-18T00:00:00"/>
    <s v="CUST1209"/>
    <s v="PROD42"/>
    <s v="STORE8"/>
    <x v="2"/>
    <s v="Smart Home WiFi Camera"/>
    <x v="1"/>
    <x v="1"/>
    <s v="Joan Johnson"/>
    <n v="3"/>
    <n v="779.5"/>
    <n v="0.02"/>
    <x v="0"/>
    <x v="1603"/>
  </r>
  <r>
    <s v="SALE1607"/>
    <d v="2024-06-27T00:00:00"/>
    <s v="CUST1469"/>
    <s v="PROD61"/>
    <s v="STORE16"/>
    <x v="9"/>
    <s v="Tennis Ball 3-Pack"/>
    <x v="0"/>
    <x v="1"/>
    <s v="James Foster"/>
    <n v="2"/>
    <n v="780.57"/>
    <n v="0.26"/>
    <x v="0"/>
    <x v="1604"/>
  </r>
  <r>
    <s v="SALE1608"/>
    <d v="2024-04-08T00:00:00"/>
    <s v="CUST1383"/>
    <s v="PROD95"/>
    <s v="STORE19"/>
    <x v="12"/>
    <s v="Sports Stopwatch Basic"/>
    <x v="0"/>
    <x v="3"/>
    <s v="Kristine Higgins"/>
    <n v="1"/>
    <n v="511.35"/>
    <n v="0"/>
    <x v="0"/>
    <x v="1605"/>
  </r>
  <r>
    <s v="SALE1609"/>
    <d v="2025-05-26T00:00:00"/>
    <s v="CUST1016"/>
    <s v="PROD97"/>
    <s v="STORE3"/>
    <x v="0"/>
    <s v="Cricket Bat"/>
    <x v="0"/>
    <x v="0"/>
    <s v="John Scott"/>
    <n v="4"/>
    <n v="44.07"/>
    <n v="0.28999999999999998"/>
    <x v="2"/>
    <x v="1606"/>
  </r>
  <r>
    <s v="SALE1610"/>
    <d v="2024-01-29T00:00:00"/>
    <s v="CUST1197"/>
    <s v="PROD69"/>
    <s v="STORE11"/>
    <x v="19"/>
    <s v="Men's Sports Shorts"/>
    <x v="4"/>
    <x v="2"/>
    <s v="Andrea Jacobs"/>
    <n v="2"/>
    <n v="895.92"/>
    <n v="0.15"/>
    <x v="0"/>
    <x v="1607"/>
  </r>
  <r>
    <s v="SALE1611"/>
    <d v="2024-11-23T00:00:00"/>
    <s v="CUST1305"/>
    <s v="PROD53"/>
    <s v="STORE2"/>
    <x v="17"/>
    <s v="Men's Track Pants"/>
    <x v="4"/>
    <x v="2"/>
    <s v="Roberta Green"/>
    <n v="4"/>
    <n v="456.32"/>
    <n v="0.22"/>
    <x v="2"/>
    <x v="1608"/>
  </r>
  <r>
    <s v="SALE1612"/>
    <d v="2025-04-30T00:00:00"/>
    <s v="CUST1420"/>
    <s v="PROD34"/>
    <s v="STORE0"/>
    <x v="6"/>
    <s v="Gaming Mechanical Keyboard"/>
    <x v="1"/>
    <x v="3"/>
    <s v="Dr. Tamara White MD"/>
    <n v="1"/>
    <n v="905.5"/>
    <n v="0.28999999999999998"/>
    <x v="2"/>
    <x v="1609"/>
  </r>
  <r>
    <s v="SALE1613"/>
    <d v="2024-08-19T00:00:00"/>
    <s v="CUST1204"/>
    <s v="PROD16"/>
    <s v="STORE13"/>
    <x v="13"/>
    <s v="Not Found"/>
    <x v="5"/>
    <x v="3"/>
    <s v="Tiffany Herrera"/>
    <n v="3"/>
    <n v="63.19"/>
    <n v="0.08"/>
    <x v="0"/>
    <x v="1610"/>
  </r>
  <r>
    <s v="SALE1614"/>
    <d v="2024-12-02T00:00:00"/>
    <s v="CUST1050"/>
    <s v="PROD70"/>
    <s v="STORE7"/>
    <x v="4"/>
    <s v="Kitchen Storage Rack"/>
    <x v="3"/>
    <x v="2"/>
    <s v="Matthew Hunter Jr."/>
    <n v="3"/>
    <n v="687.66"/>
    <n v="0.06"/>
    <x v="1"/>
    <x v="1611"/>
  </r>
  <r>
    <s v="SALE1615"/>
    <d v="2025-03-26T00:00:00"/>
    <s v="CUST1219"/>
    <s v="PROD43"/>
    <s v="STORE9"/>
    <x v="11"/>
    <s v="USB External Hard Drive"/>
    <x v="1"/>
    <x v="2"/>
    <s v="Jordan Wells"/>
    <n v="4"/>
    <n v="639.05999999999995"/>
    <n v="0.12"/>
    <x v="1"/>
    <x v="1612"/>
  </r>
  <r>
    <s v="SALE1616"/>
    <d v="2024-06-13T00:00:00"/>
    <s v="CUST1067"/>
    <s v="PROD71"/>
    <s v="STORE7"/>
    <x v="4"/>
    <s v="Hair Repair Oil Treatment"/>
    <x v="2"/>
    <x v="2"/>
    <s v="Amber Mcclain"/>
    <n v="1"/>
    <n v="475.15"/>
    <n v="0.04"/>
    <x v="2"/>
    <x v="1613"/>
  </r>
  <r>
    <s v="SALE1617"/>
    <d v="2024-08-30T00:00:00"/>
    <s v="CUST1190"/>
    <s v="PROD44"/>
    <s v="STORE6"/>
    <x v="16"/>
    <s v="Adjustable Jump Rope"/>
    <x v="0"/>
    <x v="3"/>
    <s v="Christopher Stewart"/>
    <n v="1"/>
    <n v="62.38"/>
    <n v="0.08"/>
    <x v="2"/>
    <x v="1614"/>
  </r>
  <r>
    <s v="SALE1618"/>
    <d v="2024-03-24T00:00:00"/>
    <s v="CUST1354"/>
    <s v="PROD15"/>
    <s v="STORE7"/>
    <x v="4"/>
    <s v="4K Home Projector"/>
    <x v="1"/>
    <x v="2"/>
    <s v="Ryan Torres"/>
    <n v="1"/>
    <n v="977.02"/>
    <n v="0.2"/>
    <x v="2"/>
    <x v="1615"/>
  </r>
  <r>
    <s v="SALE1619"/>
    <d v="2024-09-11T00:00:00"/>
    <s v="CUST1074"/>
    <s v="PROD83"/>
    <s v="STORE4"/>
    <x v="5"/>
    <s v="Hydrating Face Cleanser"/>
    <x v="2"/>
    <x v="2"/>
    <s v="John Mayer"/>
    <n v="2"/>
    <n v="898.81"/>
    <n v="0.25"/>
    <x v="0"/>
    <x v="1616"/>
  </r>
  <r>
    <s v="SALE1620"/>
    <d v="2025-04-22T00:00:00"/>
    <s v="CUST1351"/>
    <s v="PROD57"/>
    <s v="STORE3"/>
    <x v="0"/>
    <s v="Foam Roller"/>
    <x v="0"/>
    <x v="0"/>
    <s v="Jeffrey Mccarthy"/>
    <n v="2"/>
    <n v="422.13"/>
    <n v="0.28000000000000003"/>
    <x v="0"/>
    <x v="1617"/>
  </r>
  <r>
    <s v="SALE1621"/>
    <d v="2024-08-20T00:00:00"/>
    <s v="CUST1050"/>
    <s v="PROD34"/>
    <s v="STORE11"/>
    <x v="19"/>
    <s v="Gaming Mechanical Keyboard"/>
    <x v="1"/>
    <x v="2"/>
    <s v="Matthew Hunter Jr."/>
    <n v="1"/>
    <n v="324.56"/>
    <n v="0.03"/>
    <x v="2"/>
    <x v="1618"/>
  </r>
  <r>
    <s v="SALE1622"/>
    <d v="2024-08-27T00:00:00"/>
    <s v="CUST1468"/>
    <s v="PROD55"/>
    <s v="STORE16"/>
    <x v="9"/>
    <s v="Ceramic Plant Pot"/>
    <x v="3"/>
    <x v="1"/>
    <s v="Gregory Curtis"/>
    <n v="4"/>
    <n v="570.38"/>
    <n v="0.26"/>
    <x v="1"/>
    <x v="1619"/>
  </r>
  <r>
    <s v="SALE1623"/>
    <d v="2024-07-06T00:00:00"/>
    <s v="CUST1394"/>
    <s v="PROD34"/>
    <s v="STORE15"/>
    <x v="10"/>
    <s v="Gaming Mechanical Keyboard"/>
    <x v="1"/>
    <x v="0"/>
    <s v="Alejandro Evans"/>
    <n v="2"/>
    <n v="223.73"/>
    <n v="0.11"/>
    <x v="1"/>
    <x v="1620"/>
  </r>
  <r>
    <s v="SALE1624"/>
    <d v="2025-07-30T00:00:00"/>
    <s v="CUST1351"/>
    <s v="PROD86"/>
    <s v="STORE16"/>
    <x v="9"/>
    <s v="Kitchen Cutting Board"/>
    <x v="3"/>
    <x v="1"/>
    <s v="Jeffrey Mccarthy"/>
    <n v="4"/>
    <n v="164.93"/>
    <n v="0.11"/>
    <x v="0"/>
    <x v="1621"/>
  </r>
  <r>
    <s v="SALE1625"/>
    <d v="2024-10-04T00:00:00"/>
    <s v="CUST1249"/>
    <s v="PROD15"/>
    <s v="STORE7"/>
    <x v="4"/>
    <s v="4K Home Projector"/>
    <x v="1"/>
    <x v="2"/>
    <s v="Lauren George"/>
    <n v="3"/>
    <n v="326.66000000000003"/>
    <n v="0.28000000000000003"/>
    <x v="2"/>
    <x v="1622"/>
  </r>
  <r>
    <s v="SALE1626"/>
    <d v="2024-03-31T00:00:00"/>
    <s v="CUST1182"/>
    <s v="PROD1"/>
    <s v="STORE15"/>
    <x v="10"/>
    <s v="Men's Graphic T-Shirt"/>
    <x v="4"/>
    <x v="0"/>
    <s v="Melissa Hamilton"/>
    <n v="2"/>
    <n v="462.93"/>
    <n v="0.17"/>
    <x v="1"/>
    <x v="1623"/>
  </r>
  <r>
    <s v="SALE1627"/>
    <d v="2025-08-16T00:00:00"/>
    <s v="CUST1147"/>
    <s v="PROD0"/>
    <s v="STORE16"/>
    <x v="9"/>
    <s v="Brother Laser Printer"/>
    <x v="1"/>
    <x v="1"/>
    <s v="Rhonda Young"/>
    <n v="3"/>
    <n v="60.26"/>
    <n v="0.04"/>
    <x v="0"/>
    <x v="1624"/>
  </r>
  <r>
    <s v="SALE1628"/>
    <d v="2025-06-21T00:00:00"/>
    <s v="CUST1071"/>
    <s v="PROD34"/>
    <s v="STORE9"/>
    <x v="11"/>
    <s v="Gaming Mechanical Keyboard"/>
    <x v="1"/>
    <x v="2"/>
    <s v="Andrea Perez"/>
    <n v="3"/>
    <n v="109.5"/>
    <n v="0.06"/>
    <x v="2"/>
    <x v="1625"/>
  </r>
  <r>
    <s v="SALE1629"/>
    <d v="2025-03-05T00:00:00"/>
    <s v="CUST1382"/>
    <s v="PROD70"/>
    <s v="STORE16"/>
    <x v="9"/>
    <s v="Kitchen Storage Rack"/>
    <x v="3"/>
    <x v="1"/>
    <s v="Martha Brown"/>
    <n v="1"/>
    <n v="505.83"/>
    <n v="0.14000000000000001"/>
    <x v="2"/>
    <x v="1626"/>
  </r>
  <r>
    <s v="SALE1630"/>
    <d v="2024-08-07T00:00:00"/>
    <s v="CUST1163"/>
    <s v="PROD98"/>
    <s v="STORE10"/>
    <x v="15"/>
    <s v="Portable Bluetooth Speaker"/>
    <x v="1"/>
    <x v="3"/>
    <s v="Joseph Jones"/>
    <n v="2"/>
    <n v="443.15"/>
    <n v="0.27"/>
    <x v="1"/>
    <x v="1627"/>
  </r>
  <r>
    <s v="SALE1631"/>
    <d v="2025-03-23T00:00:00"/>
    <s v="CUST1497"/>
    <s v="PROD7"/>
    <s v="STORE7"/>
    <x v="4"/>
    <s v="LED Table Lamp"/>
    <x v="3"/>
    <x v="2"/>
    <s v="Sarah Marsh"/>
    <n v="2"/>
    <n v="784.26"/>
    <n v="0.23"/>
    <x v="1"/>
    <x v="1628"/>
  </r>
  <r>
    <s v="SALE1632"/>
    <d v="2024-08-29T00:00:00"/>
    <s v="CUST1455"/>
    <s v="PROD39"/>
    <s v="STORE11"/>
    <x v="19"/>
    <s v="Portable Power Bank"/>
    <x v="1"/>
    <x v="2"/>
    <s v="Tyler Weber"/>
    <n v="3"/>
    <n v="590.30999999999995"/>
    <n v="0.17"/>
    <x v="1"/>
    <x v="1629"/>
  </r>
  <r>
    <s v="SALE1633"/>
    <d v="2024-09-18T00:00:00"/>
    <s v="CUST1120"/>
    <s v="PROD69"/>
    <s v="STORE16"/>
    <x v="9"/>
    <s v="Men's Sports Shorts"/>
    <x v="4"/>
    <x v="1"/>
    <s v="Jacob Hopkins"/>
    <n v="1"/>
    <n v="696.13"/>
    <n v="0.06"/>
    <x v="2"/>
    <x v="1630"/>
  </r>
  <r>
    <s v="SALE1634"/>
    <d v="2024-02-19T00:00:00"/>
    <s v="CUST1104"/>
    <s v="PROD51"/>
    <s v="STORE6"/>
    <x v="16"/>
    <s v="HDMI Cable – 2m"/>
    <x v="1"/>
    <x v="3"/>
    <s v="Christopher Lester"/>
    <n v="4"/>
    <n v="194.39"/>
    <n v="0.25"/>
    <x v="0"/>
    <x v="1631"/>
  </r>
  <r>
    <s v="SALE1635"/>
    <d v="2024-05-18T00:00:00"/>
    <s v="CUST1330"/>
    <s v="PROD33"/>
    <s v="STORE1"/>
    <x v="8"/>
    <s v="Modern Wall Clock"/>
    <x v="3"/>
    <x v="0"/>
    <s v="Pamela Mcguire"/>
    <n v="1"/>
    <n v="339.7"/>
    <n v="0.1"/>
    <x v="0"/>
    <x v="1632"/>
  </r>
  <r>
    <s v="SALE1636"/>
    <d v="2025-09-12T00:00:00"/>
    <s v="CUST1048"/>
    <s v="PROD68"/>
    <s v="STORE13"/>
    <x v="13"/>
    <s v="Wooden Nightstand"/>
    <x v="3"/>
    <x v="3"/>
    <s v="April Mullins"/>
    <n v="4"/>
    <n v="463.16"/>
    <n v="0.27"/>
    <x v="1"/>
    <x v="1633"/>
  </r>
  <r>
    <s v="SALE1637"/>
    <d v="2025-02-21T00:00:00"/>
    <s v="CUST1107"/>
    <s v="PROD5"/>
    <s v="STORE10"/>
    <x v="15"/>
    <s v="Men's Leather Belt"/>
    <x v="4"/>
    <x v="3"/>
    <s v="Erica Carney"/>
    <n v="2"/>
    <n v="824.91"/>
    <n v="0.09"/>
    <x v="0"/>
    <x v="1634"/>
  </r>
  <r>
    <s v="SALE1638"/>
    <d v="2024-08-16T00:00:00"/>
    <s v="CUST1070"/>
    <s v="PROD5"/>
    <s v="STORE2"/>
    <x v="17"/>
    <s v="Men's Leather Belt"/>
    <x v="4"/>
    <x v="2"/>
    <s v="Eric Singh"/>
    <n v="4"/>
    <n v="796.89"/>
    <n v="0.17"/>
    <x v="0"/>
    <x v="1635"/>
  </r>
  <r>
    <s v="SALE1639"/>
    <d v="2024-07-05T00:00:00"/>
    <s v="CUST1240"/>
    <s v="PROD26"/>
    <s v="STORE17"/>
    <x v="1"/>
    <s v="Wireless Bluetooth Speaker"/>
    <x v="1"/>
    <x v="0"/>
    <s v="William Hull"/>
    <n v="3"/>
    <n v="543.92999999999995"/>
    <n v="0.3"/>
    <x v="2"/>
    <x v="1636"/>
  </r>
  <r>
    <s v="SALE1640"/>
    <d v="2024-07-23T00:00:00"/>
    <s v="CUST1173"/>
    <s v="PROD14"/>
    <s v="STORE7"/>
    <x v="4"/>
    <s v="Decorative Wall Mirror"/>
    <x v="3"/>
    <x v="2"/>
    <s v="Teresa Stokes"/>
    <n v="2"/>
    <n v="44.65"/>
    <n v="0.03"/>
    <x v="1"/>
    <x v="1637"/>
  </r>
  <r>
    <s v="SALE1641"/>
    <d v="2025-03-26T00:00:00"/>
    <s v="CUST1250"/>
    <s v="PROD56"/>
    <s v="STORE0"/>
    <x v="6"/>
    <s v="Premium Blanket Throw"/>
    <x v="3"/>
    <x v="3"/>
    <s v="Veronica Newman"/>
    <n v="4"/>
    <n v="827.39"/>
    <n v="0.06"/>
    <x v="2"/>
    <x v="1638"/>
  </r>
  <r>
    <s v="SALE1642"/>
    <d v="2024-01-10T00:00:00"/>
    <s v="CUST1308"/>
    <s v="PROD14"/>
    <s v="STORE12"/>
    <x v="18"/>
    <s v="Decorative Wall Mirror"/>
    <x v="3"/>
    <x v="0"/>
    <s v="Jennifer Zamora"/>
    <n v="2"/>
    <n v="403.2"/>
    <n v="0.21"/>
    <x v="1"/>
    <x v="1639"/>
  </r>
  <r>
    <s v="SALE1643"/>
    <d v="2024-09-12T00:00:00"/>
    <s v="CUST1017"/>
    <s v="PROD86"/>
    <s v="STORE13"/>
    <x v="13"/>
    <s v="Kitchen Cutting Board"/>
    <x v="3"/>
    <x v="3"/>
    <s v="Adam Cruz"/>
    <n v="4"/>
    <n v="292.31"/>
    <n v="0.27"/>
    <x v="1"/>
    <x v="1640"/>
  </r>
  <r>
    <s v="SALE1644"/>
    <d v="2025-05-29T00:00:00"/>
    <s v="CUST1492"/>
    <s v="PROD2"/>
    <s v="STORE10"/>
    <x v="15"/>
    <s v="Women's Casual Hoodie"/>
    <x v="4"/>
    <x v="3"/>
    <s v="Darrell Miller"/>
    <n v="1"/>
    <n v="948.33"/>
    <n v="0.11"/>
    <x v="0"/>
    <x v="1641"/>
  </r>
  <r>
    <s v="SALE1645"/>
    <d v="2024-01-03T00:00:00"/>
    <s v="CUST1343"/>
    <s v="PROD39"/>
    <s v="STORE5"/>
    <x v="3"/>
    <s v="Portable Power Bank"/>
    <x v="1"/>
    <x v="0"/>
    <s v="Ryan Moore"/>
    <n v="1"/>
    <n v="702.27"/>
    <n v="0.17"/>
    <x v="2"/>
    <x v="1642"/>
  </r>
  <r>
    <s v="SALE1646"/>
    <d v="2025-08-06T00:00:00"/>
    <s v="CUST1041"/>
    <s v="PROD30"/>
    <s v="STORE3"/>
    <x v="0"/>
    <s v="Stainless Steel Cutlery Set"/>
    <x v="3"/>
    <x v="0"/>
    <s v="James Gibbs"/>
    <n v="2"/>
    <n v="379.28"/>
    <n v="0.26"/>
    <x v="0"/>
    <x v="1643"/>
  </r>
  <r>
    <s v="SALE1647"/>
    <d v="2025-01-12T00:00:00"/>
    <s v="CUST1132"/>
    <s v="PROD47"/>
    <s v="STORE0"/>
    <x v="6"/>
    <s v="Makeup Brush Set"/>
    <x v="2"/>
    <x v="3"/>
    <s v="Miguel Reynolds"/>
    <n v="4"/>
    <n v="92.35"/>
    <n v="0.15"/>
    <x v="0"/>
    <x v="1644"/>
  </r>
  <r>
    <s v="SALE1648"/>
    <d v="2024-11-10T00:00:00"/>
    <s v="CUST1219"/>
    <s v="PROD39"/>
    <s v="STORE12"/>
    <x v="18"/>
    <s v="Portable Power Bank"/>
    <x v="1"/>
    <x v="0"/>
    <s v="Jordan Wells"/>
    <n v="4"/>
    <n v="721.54"/>
    <n v="0.21"/>
    <x v="0"/>
    <x v="1645"/>
  </r>
  <r>
    <s v="SALE1649"/>
    <d v="2025-05-10T00:00:00"/>
    <s v="CUST1053"/>
    <s v="PROD38"/>
    <s v="STORE9"/>
    <x v="11"/>
    <s v="Sports Water Hydration Pack"/>
    <x v="0"/>
    <x v="2"/>
    <s v="Sharon Brown"/>
    <n v="1"/>
    <n v="228.69"/>
    <n v="0.14000000000000001"/>
    <x v="0"/>
    <x v="1646"/>
  </r>
  <r>
    <s v="SALE1650"/>
    <d v="2025-09-29T00:00:00"/>
    <s v="CUST1355"/>
    <s v="PROD53"/>
    <s v="STORE10"/>
    <x v="15"/>
    <s v="Men's Track Pants"/>
    <x v="4"/>
    <x v="3"/>
    <s v="Carlos Flores"/>
    <n v="1"/>
    <n v="899.09"/>
    <n v="0.2"/>
    <x v="1"/>
    <x v="1647"/>
  </r>
  <r>
    <s v="SALE1651"/>
    <d v="2024-03-28T00:00:00"/>
    <s v="CUST1384"/>
    <s v="PROD8"/>
    <s v="STORE8"/>
    <x v="2"/>
    <s v="Wireless Bluetooth Earbuds"/>
    <x v="1"/>
    <x v="1"/>
    <s v="Andrew Mason"/>
    <n v="4"/>
    <n v="195.75"/>
    <n v="0.17"/>
    <x v="0"/>
    <x v="1648"/>
  </r>
  <r>
    <s v="SALE1652"/>
    <d v="2024-08-28T00:00:00"/>
    <s v="CUST1426"/>
    <s v="PROD93"/>
    <s v="STORE15"/>
    <x v="10"/>
    <s v="USB-C Laptop Charger"/>
    <x v="1"/>
    <x v="0"/>
    <s v="Jeanette Nichols"/>
    <n v="3"/>
    <n v="199.13"/>
    <n v="0.24"/>
    <x v="0"/>
    <x v="1649"/>
  </r>
  <r>
    <s v="SALE1653"/>
    <d v="2024-06-23T00:00:00"/>
    <s v="CUST1160"/>
    <s v="PROD22"/>
    <s v="STORE14"/>
    <x v="7"/>
    <s v="Carbon Fiber Tennis Racket"/>
    <x v="0"/>
    <x v="2"/>
    <s v="John Lawson"/>
    <n v="2"/>
    <n v="833.62"/>
    <n v="0.18"/>
    <x v="0"/>
    <x v="1650"/>
  </r>
  <r>
    <s v="SALE1654"/>
    <d v="2024-04-13T00:00:00"/>
    <s v="CUST1484"/>
    <s v="PROD75"/>
    <s v="STORE0"/>
    <x v="6"/>
    <s v="Women's Ankle Boots"/>
    <x v="4"/>
    <x v="3"/>
    <s v="Jessica Castro"/>
    <n v="1"/>
    <n v="676.26"/>
    <n v="0.14000000000000001"/>
    <x v="0"/>
    <x v="1651"/>
  </r>
  <r>
    <s v="SALE1655"/>
    <d v="2025-02-20T00:00:00"/>
    <s v="CUST1032"/>
    <s v="PROD60"/>
    <s v="STORE9"/>
    <x v="11"/>
    <s v="Luxury Perfume Spray"/>
    <x v="2"/>
    <x v="2"/>
    <s v="Mike Jennings"/>
    <n v="2"/>
    <n v="666.49"/>
    <n v="0.06"/>
    <x v="0"/>
    <x v="1652"/>
  </r>
  <r>
    <s v="SALE1656"/>
    <d v="2025-03-19T00:00:00"/>
    <s v="CUST1460"/>
    <s v="PROD15"/>
    <s v="STORE4"/>
    <x v="5"/>
    <s v="4K Home Projector"/>
    <x v="1"/>
    <x v="2"/>
    <s v="Justin Johnson"/>
    <n v="3"/>
    <n v="471.19"/>
    <n v="0.28000000000000003"/>
    <x v="2"/>
    <x v="1653"/>
  </r>
  <r>
    <s v="SALE1657"/>
    <d v="2023-11-07T00:00:00"/>
    <s v="CUST1119"/>
    <s v="PROD8"/>
    <s v="STORE3"/>
    <x v="0"/>
    <s v="Wireless Bluetooth Earbuds"/>
    <x v="1"/>
    <x v="0"/>
    <s v="Michael Jones"/>
    <n v="4"/>
    <n v="555.65"/>
    <n v="0.25"/>
    <x v="2"/>
    <x v="1654"/>
  </r>
  <r>
    <s v="SALE1658"/>
    <d v="2023-12-22T00:00:00"/>
    <s v="CUST1035"/>
    <s v="PROD95"/>
    <s v="STORE14"/>
    <x v="7"/>
    <s v="Sports Stopwatch Basic"/>
    <x v="0"/>
    <x v="2"/>
    <s v="Rachel Myers"/>
    <n v="2"/>
    <n v="100.42"/>
    <n v="0.06"/>
    <x v="0"/>
    <x v="1655"/>
  </r>
  <r>
    <s v="SALE1659"/>
    <d v="2024-02-15T00:00:00"/>
    <s v="CUST1050"/>
    <s v="PROD98"/>
    <s v="STORE18"/>
    <x v="14"/>
    <s v="Portable Bluetooth Speaker"/>
    <x v="1"/>
    <x v="3"/>
    <s v="Matthew Hunter Jr."/>
    <n v="3"/>
    <n v="981.69"/>
    <n v="0.05"/>
    <x v="2"/>
    <x v="1656"/>
  </r>
  <r>
    <s v="SALE1660"/>
    <d v="2024-01-19T00:00:00"/>
    <s v="CUST1327"/>
    <s v="PROD10"/>
    <s v="STORE16"/>
    <x v="9"/>
    <s v="Ceramic Kitchen Bowl Set"/>
    <x v="3"/>
    <x v="1"/>
    <s v="Reginald Willis"/>
    <n v="2"/>
    <n v="848.87"/>
    <n v="0.09"/>
    <x v="2"/>
    <x v="1657"/>
  </r>
  <r>
    <s v="SALE1661"/>
    <d v="2023-10-31T00:00:00"/>
    <s v="CUST1375"/>
    <s v="PROD96"/>
    <s v="STORE10"/>
    <x v="15"/>
    <s v="Women's Formal Blazer"/>
    <x v="4"/>
    <x v="3"/>
    <s v="Joshua Bell"/>
    <n v="3"/>
    <n v="582.32000000000005"/>
    <n v="0"/>
    <x v="1"/>
    <x v="1658"/>
  </r>
  <r>
    <s v="SALE1662"/>
    <d v="2024-02-19T00:00:00"/>
    <s v="CUST1171"/>
    <s v="PROD49"/>
    <s v="STORE17"/>
    <x v="1"/>
    <s v="Men's Roll-On Perfume"/>
    <x v="2"/>
    <x v="0"/>
    <s v="Amy Wilson"/>
    <n v="2"/>
    <n v="869.43"/>
    <n v="0.24"/>
    <x v="2"/>
    <x v="1659"/>
  </r>
  <r>
    <s v="SALE1663"/>
    <d v="2024-05-28T00:00:00"/>
    <s v="CUST1021"/>
    <s v="PROD54"/>
    <s v="STORE4"/>
    <x v="5"/>
    <s v="Sports Stopwatch Pro"/>
    <x v="0"/>
    <x v="2"/>
    <s v="Jeff Martinez"/>
    <n v="1"/>
    <n v="62.26"/>
    <n v="0.03"/>
    <x v="2"/>
    <x v="1660"/>
  </r>
  <r>
    <s v="SALE1664"/>
    <d v="2025-05-21T00:00:00"/>
    <s v="CUST1152"/>
    <s v="PROD39"/>
    <s v="STORE14"/>
    <x v="7"/>
    <s v="Portable Power Bank"/>
    <x v="1"/>
    <x v="2"/>
    <s v="Patrick Roberts"/>
    <n v="3"/>
    <n v="343.97"/>
    <n v="0.04"/>
    <x v="2"/>
    <x v="1661"/>
  </r>
  <r>
    <s v="SALE1665"/>
    <d v="2024-01-02T00:00:00"/>
    <s v="CUST1303"/>
    <s v="PROD24"/>
    <s v="STORE12"/>
    <x v="18"/>
    <s v="Foldable Camping Chair"/>
    <x v="0"/>
    <x v="0"/>
    <s v="John Sloan"/>
    <n v="3"/>
    <n v="304.67"/>
    <n v="0.11"/>
    <x v="0"/>
    <x v="1662"/>
  </r>
  <r>
    <s v="SALE1666"/>
    <d v="2024-01-05T00:00:00"/>
    <s v="CUST1365"/>
    <s v="PROD27"/>
    <s v="STORE9"/>
    <x v="11"/>
    <s v="Decorative Floor Vase"/>
    <x v="3"/>
    <x v="2"/>
    <s v="Brandon Mcbride"/>
    <n v="4"/>
    <n v="208.34"/>
    <n v="0.01"/>
    <x v="1"/>
    <x v="1663"/>
  </r>
  <r>
    <s v="SALE1667"/>
    <d v="2025-07-22T00:00:00"/>
    <s v="CUST1312"/>
    <s v="PROD86"/>
    <s v="STORE1"/>
    <x v="8"/>
    <s v="Kitchen Cutting Board"/>
    <x v="3"/>
    <x v="0"/>
    <s v="Jason Mullins"/>
    <n v="1"/>
    <n v="119.04"/>
    <n v="0.13"/>
    <x v="2"/>
    <x v="1664"/>
  </r>
  <r>
    <s v="SALE1668"/>
    <d v="2025-07-05T00:00:00"/>
    <s v="CUST1321"/>
    <s v="PROD44"/>
    <s v="STORE9"/>
    <x v="11"/>
    <s v="Adjustable Jump Rope"/>
    <x v="0"/>
    <x v="2"/>
    <s v="Darren Burton"/>
    <n v="4"/>
    <n v="791.65"/>
    <n v="0.06"/>
    <x v="2"/>
    <x v="1665"/>
  </r>
  <r>
    <s v="SALE1669"/>
    <d v="2025-07-24T00:00:00"/>
    <s v="CUST1052"/>
    <s v="PROD14"/>
    <s v="STORE2"/>
    <x v="17"/>
    <s v="Decorative Wall Mirror"/>
    <x v="3"/>
    <x v="2"/>
    <s v="Debra Liu"/>
    <n v="2"/>
    <n v="414.86"/>
    <n v="0.23"/>
    <x v="0"/>
    <x v="1666"/>
  </r>
  <r>
    <s v="SALE1670"/>
    <d v="2024-04-03T00:00:00"/>
    <s v="CUST1478"/>
    <s v="PROD38"/>
    <s v="STORE12"/>
    <x v="18"/>
    <s v="Sports Water Hydration Pack"/>
    <x v="0"/>
    <x v="0"/>
    <s v="Earl Smith DDS"/>
    <n v="2"/>
    <n v="960.81"/>
    <n v="0.28000000000000003"/>
    <x v="1"/>
    <x v="1667"/>
  </r>
  <r>
    <s v="SALE1671"/>
    <d v="2025-01-11T00:00:00"/>
    <s v="CUST1212"/>
    <s v="PROD50"/>
    <s v="STORE4"/>
    <x v="5"/>
    <s v="Boxing Hand Wraps"/>
    <x v="0"/>
    <x v="2"/>
    <s v="Blake Harrison"/>
    <n v="4"/>
    <n v="943.36"/>
    <n v="0.18"/>
    <x v="1"/>
    <x v="1668"/>
  </r>
  <r>
    <s v="SALE1672"/>
    <d v="2024-09-26T00:00:00"/>
    <s v="CUST1213"/>
    <s v="PROD3"/>
    <s v="STORE13"/>
    <x v="13"/>
    <s v="Not Found"/>
    <x v="5"/>
    <x v="3"/>
    <s v="Stuart Johnson"/>
    <n v="1"/>
    <n v="830.42"/>
    <n v="0.26"/>
    <x v="2"/>
    <x v="1669"/>
  </r>
  <r>
    <s v="SALE1673"/>
    <d v="2024-12-11T00:00:00"/>
    <s v="CUST1353"/>
    <s v="PROD67"/>
    <s v="STORE17"/>
    <x v="1"/>
    <s v="Smart LED Light Strip"/>
    <x v="1"/>
    <x v="0"/>
    <s v="   laura green"/>
    <n v="1"/>
    <n v="762.55"/>
    <n v="0.19"/>
    <x v="0"/>
    <x v="1670"/>
  </r>
  <r>
    <s v="SALE1674"/>
    <d v="2025-07-01T00:00:00"/>
    <s v="CUST1343"/>
    <s v="PROD74"/>
    <s v="STORE18"/>
    <x v="14"/>
    <s v="Bluetooth Car Audio System"/>
    <x v="1"/>
    <x v="3"/>
    <s v="Ryan Moore"/>
    <n v="2"/>
    <n v="464.43"/>
    <n v="0.24"/>
    <x v="2"/>
    <x v="1671"/>
  </r>
  <r>
    <s v="SALE1675"/>
    <d v="2025-07-13T00:00:00"/>
    <s v="CUST1016"/>
    <s v="PROD64"/>
    <s v="STORE18"/>
    <x v="14"/>
    <s v="Matte Lipstick Set"/>
    <x v="2"/>
    <x v="3"/>
    <s v="John Scott"/>
    <n v="1"/>
    <n v="711.08"/>
    <n v="0.24"/>
    <x v="1"/>
    <x v="1672"/>
  </r>
  <r>
    <s v="SALE1676"/>
    <d v="2024-12-30T00:00:00"/>
    <s v="CUST1251"/>
    <s v="PROD45"/>
    <s v="STORE14"/>
    <x v="7"/>
    <s v="High-Grip Football"/>
    <x v="0"/>
    <x v="2"/>
    <s v="Tyler Garner"/>
    <n v="2"/>
    <n v="984.96"/>
    <n v="0.16"/>
    <x v="1"/>
    <x v="1673"/>
  </r>
  <r>
    <s v="SALE1677"/>
    <d v="2025-04-12T00:00:00"/>
    <s v="CUST1343"/>
    <s v="PROD38"/>
    <s v="STORE12"/>
    <x v="18"/>
    <s v="Sports Water Hydration Pack"/>
    <x v="0"/>
    <x v="0"/>
    <s v="Ryan Moore"/>
    <n v="1"/>
    <n v="21.14"/>
    <n v="0.06"/>
    <x v="2"/>
    <x v="1674"/>
  </r>
  <r>
    <s v="SALE1678"/>
    <d v="2025-01-22T00:00:00"/>
    <s v="CUST1106"/>
    <s v="PROD98"/>
    <s v="STORE8"/>
    <x v="2"/>
    <s v="Portable Bluetooth Speaker"/>
    <x v="1"/>
    <x v="1"/>
    <s v="Howard Summers"/>
    <n v="1"/>
    <n v="343.03"/>
    <n v="0.16"/>
    <x v="0"/>
    <x v="1675"/>
  </r>
  <r>
    <s v="SALE1679"/>
    <d v="2023-11-07T00:00:00"/>
    <s v="CUST1247"/>
    <s v="PROD20"/>
    <s v="STORE18"/>
    <x v="14"/>
    <s v="Outdoor Sports Water Bottle"/>
    <x v="0"/>
    <x v="3"/>
    <s v="Douglas Rhodes"/>
    <n v="3"/>
    <n v="94.83"/>
    <n v="0.16"/>
    <x v="2"/>
    <x v="1676"/>
  </r>
  <r>
    <s v="SALE1680"/>
    <d v="2025-05-13T00:00:00"/>
    <s v="CUST1018"/>
    <s v="PROD69"/>
    <s v="STORE19"/>
    <x v="12"/>
    <s v="Men's Sports Shorts"/>
    <x v="4"/>
    <x v="3"/>
    <s v="Rhonda Moss"/>
    <n v="3"/>
    <n v="74.66"/>
    <n v="0.03"/>
    <x v="1"/>
    <x v="1677"/>
  </r>
  <r>
    <s v="SALE1681"/>
    <d v="2023-12-08T00:00:00"/>
    <s v="CUST1136"/>
    <s v="PROD37"/>
    <s v="STORE15"/>
    <x v="10"/>
    <s v="Men's Casual Sneakers"/>
    <x v="4"/>
    <x v="0"/>
    <s v="Patrick Coleman"/>
    <n v="3"/>
    <n v="281.95999999999998"/>
    <n v="0.01"/>
    <x v="2"/>
    <x v="1678"/>
  </r>
  <r>
    <s v="SALE1682"/>
    <d v="2025-01-07T00:00:00"/>
    <s v="CUST1236"/>
    <s v="PROD71"/>
    <s v="STORE18"/>
    <x v="14"/>
    <s v="Hair Repair Oil Treatment"/>
    <x v="2"/>
    <x v="3"/>
    <s v="Joshua Wilson"/>
    <n v="4"/>
    <n v="622.27"/>
    <n v="0.02"/>
    <x v="1"/>
    <x v="1679"/>
  </r>
  <r>
    <s v="SALE1683"/>
    <d v="2024-07-02T00:00:00"/>
    <s v="CUST1102"/>
    <s v="PROD37"/>
    <s v="STORE7"/>
    <x v="4"/>
    <s v="Men's Casual Sneakers"/>
    <x v="4"/>
    <x v="2"/>
    <s v="Sarah Schneider"/>
    <n v="2"/>
    <n v="78.27"/>
    <n v="0.28999999999999998"/>
    <x v="2"/>
    <x v="1680"/>
  </r>
  <r>
    <s v="SALE1684"/>
    <d v="2025-07-07T00:00:00"/>
    <s v="CUST1012"/>
    <s v="PROD62"/>
    <s v="STORE13"/>
    <x v="13"/>
    <s v="Laptop Cooling Pad"/>
    <x v="1"/>
    <x v="3"/>
    <s v="Kenneth Lambert"/>
    <n v="4"/>
    <n v="676.58"/>
    <n v="0.23"/>
    <x v="2"/>
    <x v="1681"/>
  </r>
  <r>
    <s v="SALE1685"/>
    <d v="2024-06-03T00:00:00"/>
    <s v="CUST1486"/>
    <s v="PROD31"/>
    <s v="STORE1"/>
    <x v="8"/>
    <s v="Basketball"/>
    <x v="0"/>
    <x v="0"/>
    <s v="Not Found"/>
    <n v="2"/>
    <n v="938.6"/>
    <n v="0.04"/>
    <x v="1"/>
    <x v="1682"/>
  </r>
  <r>
    <s v="SALE1686"/>
    <d v="2025-04-14T00:00:00"/>
    <s v="CUST1355"/>
    <s v="PROD13"/>
    <s v="STORE14"/>
    <x v="7"/>
    <s v="USB-C Fast Charger"/>
    <x v="1"/>
    <x v="2"/>
    <s v="Carlos Flores"/>
    <n v="2"/>
    <n v="859.47"/>
    <n v="0.01"/>
    <x v="0"/>
    <x v="1683"/>
  </r>
  <r>
    <s v="SALE1687"/>
    <d v="2024-03-12T00:00:00"/>
    <s v="CUST1057"/>
    <s v="PROD27"/>
    <s v="STORE14"/>
    <x v="7"/>
    <s v="Decorative Floor Vase"/>
    <x v="3"/>
    <x v="2"/>
    <s v="Jay Patel"/>
    <n v="3"/>
    <n v="672.98"/>
    <n v="0.23"/>
    <x v="1"/>
    <x v="1684"/>
  </r>
  <r>
    <s v="SALE1688"/>
    <d v="2024-05-08T00:00:00"/>
    <s v="CUST1206"/>
    <s v="PROD56"/>
    <s v="STORE18"/>
    <x v="14"/>
    <s v="Premium Blanket Throw"/>
    <x v="3"/>
    <x v="3"/>
    <s v="Ronald Jones"/>
    <n v="1"/>
    <n v="75.8"/>
    <n v="0.28999999999999998"/>
    <x v="1"/>
    <x v="1685"/>
  </r>
  <r>
    <s v="SALE1689"/>
    <d v="2024-09-01T00:00:00"/>
    <s v="CUST1034"/>
    <s v="PROD17"/>
    <s v="STORE15"/>
    <x v="10"/>
    <s v="Soccer Training Cone Set"/>
    <x v="0"/>
    <x v="0"/>
    <s v="Christopher Olson"/>
    <n v="4"/>
    <n v="742.15"/>
    <n v="0.1"/>
    <x v="2"/>
    <x v="1686"/>
  </r>
  <r>
    <s v="SALE1690"/>
    <d v="2024-06-02T00:00:00"/>
    <s v="CUST1072"/>
    <s v="PROD30"/>
    <s v="STORE7"/>
    <x v="4"/>
    <s v="Stainless Steel Cutlery Set"/>
    <x v="3"/>
    <x v="2"/>
    <s v="Tonya Burch"/>
    <n v="1"/>
    <n v="637.39"/>
    <n v="0.22"/>
    <x v="1"/>
    <x v="1687"/>
  </r>
  <r>
    <s v="SALE1691"/>
    <d v="2023-10-31T00:00:00"/>
    <s v="CUST1391"/>
    <s v="PROD6"/>
    <s v="STORE17"/>
    <x v="1"/>
    <s v="Herbal Face Moisturizer"/>
    <x v="2"/>
    <x v="0"/>
    <s v="Heidi Tyler"/>
    <n v="1"/>
    <n v="631"/>
    <n v="0.04"/>
    <x v="0"/>
    <x v="1688"/>
  </r>
  <r>
    <s v="SALE1692"/>
    <d v="2025-09-16T00:00:00"/>
    <s v="CUST1393"/>
    <s v="PROD80"/>
    <s v="STORE3"/>
    <x v="0"/>
    <s v="Wall-Mounted Spice Rack"/>
    <x v="3"/>
    <x v="0"/>
    <s v="Michael Mcneil"/>
    <n v="4"/>
    <n v="983.98"/>
    <n v="0.11"/>
    <x v="2"/>
    <x v="1689"/>
  </r>
  <r>
    <s v="SALE1693"/>
    <d v="2024-03-02T00:00:00"/>
    <s v="CUST1054"/>
    <s v="PROD55"/>
    <s v="STORE11"/>
    <x v="19"/>
    <s v="Ceramic Plant Pot"/>
    <x v="3"/>
    <x v="2"/>
    <s v="Katherine Dorsey"/>
    <n v="4"/>
    <n v="73.69"/>
    <n v="0.08"/>
    <x v="0"/>
    <x v="1690"/>
  </r>
  <r>
    <s v="SALE1694"/>
    <d v="2024-07-17T00:00:00"/>
    <s v="CUST1433"/>
    <s v="PROD11"/>
    <s v="STORE7"/>
    <x v="4"/>
    <s v="HD Smart TV Stick"/>
    <x v="1"/>
    <x v="2"/>
    <s v="Thomas Moore"/>
    <n v="3"/>
    <n v="110.99"/>
    <n v="0.21"/>
    <x v="0"/>
    <x v="1691"/>
  </r>
  <r>
    <s v="SALE1695"/>
    <d v="2025-07-12T00:00:00"/>
    <s v="CUST1083"/>
    <s v="PROD10"/>
    <s v="STORE7"/>
    <x v="4"/>
    <s v="Ceramic Kitchen Bowl Set"/>
    <x v="3"/>
    <x v="2"/>
    <s v="Thomas Robinson"/>
    <n v="1"/>
    <n v="66.86"/>
    <n v="0.22"/>
    <x v="2"/>
    <x v="1692"/>
  </r>
  <r>
    <s v="SALE1696"/>
    <d v="2024-08-11T00:00:00"/>
    <s v="CUST1417"/>
    <s v="PROD67"/>
    <s v="STORE18"/>
    <x v="14"/>
    <s v="Smart LED Light Strip"/>
    <x v="1"/>
    <x v="3"/>
    <s v="Karen King"/>
    <n v="1"/>
    <n v="980.26"/>
    <n v="0.14000000000000001"/>
    <x v="1"/>
    <x v="1693"/>
  </r>
  <r>
    <s v="SALE1697"/>
    <d v="2024-01-31T00:00:00"/>
    <s v="CUST1037"/>
    <s v="PROD18"/>
    <s v="STORE18"/>
    <x v="14"/>
    <s v="Women's Denim Jeans"/>
    <x v="4"/>
    <x v="3"/>
    <s v="Christopher Carter"/>
    <n v="1"/>
    <n v="235.28"/>
    <n v="0.05"/>
    <x v="1"/>
    <x v="1694"/>
  </r>
  <r>
    <s v="SALE1698"/>
    <d v="2024-09-07T00:00:00"/>
    <s v="CUST1416"/>
    <s v="PROD0"/>
    <s v="STORE15"/>
    <x v="10"/>
    <s v="Brother Laser Printer"/>
    <x v="1"/>
    <x v="0"/>
    <s v="Jennifer Myers"/>
    <n v="3"/>
    <n v="407.39"/>
    <n v="0.08"/>
    <x v="1"/>
    <x v="1695"/>
  </r>
  <r>
    <s v="SALE1699"/>
    <d v="2025-01-18T00:00:00"/>
    <s v="CUST1068"/>
    <s v="PROD27"/>
    <s v="STORE14"/>
    <x v="7"/>
    <s v="Decorative Floor Vase"/>
    <x v="3"/>
    <x v="2"/>
    <s v="Mr. Mark Beasley"/>
    <n v="4"/>
    <n v="459.83"/>
    <n v="0.12"/>
    <x v="2"/>
    <x v="1696"/>
  </r>
  <r>
    <s v="SALE1700"/>
    <d v="2024-02-11T00:00:00"/>
    <s v="CUST1147"/>
    <s v="PROD93"/>
    <s v="STORE4"/>
    <x v="5"/>
    <s v="USB-C Laptop Charger"/>
    <x v="1"/>
    <x v="2"/>
    <s v="Rhonda Young"/>
    <n v="3"/>
    <n v="706.6"/>
    <n v="0.17"/>
    <x v="1"/>
    <x v="1697"/>
  </r>
  <r>
    <s v="SALE1701"/>
    <d v="2025-06-11T00:00:00"/>
    <s v="CUST1462"/>
    <s v="PROD91"/>
    <s v="STORE19"/>
    <x v="12"/>
    <s v="Women's High Heels"/>
    <x v="4"/>
    <x v="3"/>
    <s v="Beth Martin"/>
    <n v="3"/>
    <n v="811.16"/>
    <n v="0.1"/>
    <x v="2"/>
    <x v="1698"/>
  </r>
  <r>
    <s v="SALE1702"/>
    <d v="2023-12-08T00:00:00"/>
    <s v="CUST1217"/>
    <s v="PROD37"/>
    <s v="STORE7"/>
    <x v="4"/>
    <s v="Men's Casual Sneakers"/>
    <x v="4"/>
    <x v="2"/>
    <s v="Kathy Copeland"/>
    <n v="2"/>
    <n v="985.79"/>
    <n v="0.04"/>
    <x v="1"/>
    <x v="1699"/>
  </r>
  <r>
    <s v="SALE1703"/>
    <d v="2024-08-17T00:00:00"/>
    <s v="CUST1187"/>
    <s v="PROD33"/>
    <s v="STORE14"/>
    <x v="7"/>
    <s v="Modern Wall Clock"/>
    <x v="3"/>
    <x v="2"/>
    <s v="Dr. Suzanne Bullock"/>
    <n v="1"/>
    <n v="255.02"/>
    <n v="0.3"/>
    <x v="0"/>
    <x v="1700"/>
  </r>
  <r>
    <s v="SALE1704"/>
    <d v="2025-02-05T00:00:00"/>
    <s v="CUST1095"/>
    <s v="PROD19"/>
    <s v="STORE8"/>
    <x v="2"/>
    <s v="Knee Support Brace"/>
    <x v="0"/>
    <x v="1"/>
    <s v="Amy Fowler"/>
    <n v="1"/>
    <n v="153.57"/>
    <n v="0.01"/>
    <x v="1"/>
    <x v="1701"/>
  </r>
  <r>
    <s v="SALE1705"/>
    <d v="2025-03-18T00:00:00"/>
    <s v="CUST1253"/>
    <s v="PROD43"/>
    <s v="STORE18"/>
    <x v="14"/>
    <s v="USB External Hard Drive"/>
    <x v="1"/>
    <x v="3"/>
    <s v="Dr. Ashley Yates MD"/>
    <n v="3"/>
    <n v="962.98"/>
    <n v="0.21"/>
    <x v="0"/>
    <x v="1702"/>
  </r>
  <r>
    <s v="SALE1706"/>
    <d v="2024-03-26T00:00:00"/>
    <s v="CUST1057"/>
    <s v="PROD44"/>
    <s v="STORE8"/>
    <x v="2"/>
    <s v="Adjustable Jump Rope"/>
    <x v="0"/>
    <x v="1"/>
    <s v="Jay Patel"/>
    <n v="3"/>
    <n v="884.46"/>
    <n v="0.25"/>
    <x v="0"/>
    <x v="1703"/>
  </r>
  <r>
    <s v="SALE1707"/>
    <d v="2025-05-01T00:00:00"/>
    <s v="CUST1437"/>
    <s v="PROD67"/>
    <s v="STORE10"/>
    <x v="15"/>
    <s v="Smart LED Light Strip"/>
    <x v="1"/>
    <x v="3"/>
    <s v="Melinda Rivera"/>
    <n v="4"/>
    <n v="359.71"/>
    <n v="0.05"/>
    <x v="1"/>
    <x v="1704"/>
  </r>
  <r>
    <s v="SALE1708"/>
    <d v="2025-02-27T00:00:00"/>
    <s v="CUST1051"/>
    <s v="PROD50"/>
    <s v="STORE4"/>
    <x v="5"/>
    <s v="Boxing Hand Wraps"/>
    <x v="0"/>
    <x v="2"/>
    <s v="Sarah Rodgers"/>
    <n v="3"/>
    <n v="766.47"/>
    <n v="0.18"/>
    <x v="0"/>
    <x v="1705"/>
  </r>
  <r>
    <s v="SALE1709"/>
    <d v="2024-07-19T00:00:00"/>
    <s v="CUST1223"/>
    <s v="PROD56"/>
    <s v="STORE18"/>
    <x v="14"/>
    <s v="Premium Blanket Throw"/>
    <x v="3"/>
    <x v="3"/>
    <s v="Robert Harris"/>
    <n v="1"/>
    <n v="772.07"/>
    <n v="0.26"/>
    <x v="1"/>
    <x v="1706"/>
  </r>
  <r>
    <s v="SALE1710"/>
    <d v="2024-01-01T00:00:00"/>
    <s v="CUST1277"/>
    <s v="PROD19"/>
    <s v="STORE5"/>
    <x v="3"/>
    <s v="Knee Support Brace"/>
    <x v="0"/>
    <x v="0"/>
    <s v="Jeffrey Gomez"/>
    <n v="3"/>
    <n v="108.31"/>
    <n v="0.26"/>
    <x v="2"/>
    <x v="1707"/>
  </r>
  <r>
    <s v="SALE1711"/>
    <d v="2024-01-25T00:00:00"/>
    <s v="CUST1218"/>
    <s v="PROD79"/>
    <s v="STORE6"/>
    <x v="16"/>
    <s v="Decorative Lamp Shade"/>
    <x v="3"/>
    <x v="3"/>
    <s v="Julia Jackson"/>
    <n v="1"/>
    <n v="502.53"/>
    <n v="0"/>
    <x v="1"/>
    <x v="1708"/>
  </r>
  <r>
    <s v="SALE1712"/>
    <d v="2024-09-13T00:00:00"/>
    <s v="CUST1076"/>
    <s v="PROD1"/>
    <s v="STORE16"/>
    <x v="9"/>
    <s v="Men's Graphic T-Shirt"/>
    <x v="4"/>
    <x v="1"/>
    <s v="Nathan Campbell"/>
    <n v="2"/>
    <n v="508.52"/>
    <n v="0.11"/>
    <x v="2"/>
    <x v="1709"/>
  </r>
  <r>
    <s v="SALE1713"/>
    <d v="2024-10-07T00:00:00"/>
    <s v="CUST1468"/>
    <s v="PROD74"/>
    <s v="STORE3"/>
    <x v="0"/>
    <s v="Bluetooth Car Audio System"/>
    <x v="1"/>
    <x v="0"/>
    <s v="Gregory Curtis"/>
    <n v="1"/>
    <n v="492"/>
    <n v="0.26"/>
    <x v="1"/>
    <x v="1710"/>
  </r>
  <r>
    <s v="SALE1714"/>
    <d v="2024-02-25T00:00:00"/>
    <s v="CUST1485"/>
    <s v="PROD37"/>
    <s v="STORE14"/>
    <x v="7"/>
    <s v="Men's Casual Sneakers"/>
    <x v="4"/>
    <x v="2"/>
    <s v="Sara Ingram"/>
    <n v="4"/>
    <n v="746.36"/>
    <n v="0.02"/>
    <x v="0"/>
    <x v="1711"/>
  </r>
  <r>
    <s v="SALE1715"/>
    <d v="2025-06-15T00:00:00"/>
    <s v="CUST1433"/>
    <s v="PROD12"/>
    <s v="STORE1"/>
    <x v="8"/>
    <s v="Hair Strengthening Shampoo"/>
    <x v="2"/>
    <x v="0"/>
    <s v="Thomas Moore"/>
    <n v="1"/>
    <n v="120.83"/>
    <n v="0.08"/>
    <x v="0"/>
    <x v="1712"/>
  </r>
  <r>
    <s v="SALE1716"/>
    <d v="2024-04-12T00:00:00"/>
    <s v="CUST1399"/>
    <s v="PROD77"/>
    <s v="STORE18"/>
    <x v="14"/>
    <s v="WiFi Mesh Router"/>
    <x v="1"/>
    <x v="3"/>
    <s v="John Donaldson"/>
    <n v="2"/>
    <n v="68.31"/>
    <n v="0.28999999999999998"/>
    <x v="2"/>
    <x v="1713"/>
  </r>
  <r>
    <s v="SALE1717"/>
    <d v="2023-12-05T00:00:00"/>
    <s v="CUST1062"/>
    <s v="PROD22"/>
    <s v="STORE18"/>
    <x v="14"/>
    <s v="Carbon Fiber Tennis Racket"/>
    <x v="0"/>
    <x v="3"/>
    <s v="James Bean"/>
    <n v="2"/>
    <n v="761.71"/>
    <n v="0.02"/>
    <x v="1"/>
    <x v="1714"/>
  </r>
  <r>
    <s v="SALE1718"/>
    <d v="2023-12-01T00:00:00"/>
    <s v="CUST1066"/>
    <s v="PROD78"/>
    <s v="STORE3"/>
    <x v="0"/>
    <s v="Essential Oil Diffuser"/>
    <x v="3"/>
    <x v="0"/>
    <s v="Cody Diaz"/>
    <n v="4"/>
    <n v="346.37"/>
    <n v="0.18"/>
    <x v="2"/>
    <x v="1715"/>
  </r>
  <r>
    <s v="SALE1719"/>
    <d v="2025-02-14T00:00:00"/>
    <s v="CUST1007"/>
    <s v="PROD55"/>
    <s v="STORE12"/>
    <x v="18"/>
    <s v="Ceramic Plant Pot"/>
    <x v="3"/>
    <x v="0"/>
    <s v="Daniel Boyd"/>
    <n v="1"/>
    <n v="846.3"/>
    <n v="0.14000000000000001"/>
    <x v="1"/>
    <x v="1716"/>
  </r>
  <r>
    <s v="SALE1720"/>
    <d v="2024-11-28T00:00:00"/>
    <s v="CUST1432"/>
    <s v="PROD0"/>
    <s v="STORE19"/>
    <x v="12"/>
    <s v="Brother Laser Printer"/>
    <x v="1"/>
    <x v="3"/>
    <s v="Summer Weiss"/>
    <n v="1"/>
    <n v="458.97"/>
    <n v="0.1"/>
    <x v="1"/>
    <x v="1717"/>
  </r>
  <r>
    <s v="SALE1721"/>
    <d v="2025-03-20T00:00:00"/>
    <s v="CUST1289"/>
    <s v="PROD43"/>
    <s v="STORE7"/>
    <x v="4"/>
    <s v="USB External Hard Drive"/>
    <x v="1"/>
    <x v="2"/>
    <s v="Jennifer Figueroa"/>
    <n v="2"/>
    <n v="536.61"/>
    <n v="0.14000000000000001"/>
    <x v="0"/>
    <x v="1718"/>
  </r>
  <r>
    <s v="SALE1722"/>
    <d v="2025-02-21T00:00:00"/>
    <s v="CUST1420"/>
    <s v="PROD58"/>
    <s v="STORE0"/>
    <x v="6"/>
    <s v="Womens Cotton Scarf"/>
    <x v="4"/>
    <x v="3"/>
    <s v="Dr. Tamara White MD"/>
    <n v="3"/>
    <n v="130.41"/>
    <n v="0.14000000000000001"/>
    <x v="1"/>
    <x v="1719"/>
  </r>
  <r>
    <s v="SALE1723"/>
    <d v="2025-03-22T00:00:00"/>
    <s v="CUST1496"/>
    <s v="PROD89"/>
    <s v="STORE12"/>
    <x v="18"/>
    <s v="Face Foundation Kit"/>
    <x v="2"/>
    <x v="0"/>
    <s v="Christopher Ford"/>
    <n v="4"/>
    <n v="706.67"/>
    <n v="0.01"/>
    <x v="0"/>
    <x v="1720"/>
  </r>
  <r>
    <s v="SALE1724"/>
    <d v="2025-01-28T00:00:00"/>
    <s v="CUST1392"/>
    <s v="PROD27"/>
    <s v="STORE3"/>
    <x v="0"/>
    <s v="Decorative Floor Vase"/>
    <x v="3"/>
    <x v="0"/>
    <s v="Jacqueline Payne"/>
    <n v="3"/>
    <n v="523.45000000000005"/>
    <n v="0.17"/>
    <x v="0"/>
    <x v="1721"/>
  </r>
  <r>
    <s v="SALE1725"/>
    <d v="2025-02-13T00:00:00"/>
    <s v="CUST1009"/>
    <s v="PROD91"/>
    <s v="STORE18"/>
    <x v="14"/>
    <s v="Women's High Heels"/>
    <x v="4"/>
    <x v="3"/>
    <s v="Ms. Maria Leach"/>
    <n v="3"/>
    <n v="482.2"/>
    <n v="0.23"/>
    <x v="2"/>
    <x v="1722"/>
  </r>
  <r>
    <s v="SALE1726"/>
    <d v="2025-03-29T00:00:00"/>
    <s v="CUST1124"/>
    <s v="PROD63"/>
    <s v="STORE5"/>
    <x v="3"/>
    <s v="Organic Sunscreen Lotion"/>
    <x v="2"/>
    <x v="0"/>
    <s v="Donald Lee"/>
    <n v="4"/>
    <n v="688.86"/>
    <n v="0.02"/>
    <x v="2"/>
    <x v="1723"/>
  </r>
  <r>
    <s v="SALE1727"/>
    <d v="2023-10-15T00:00:00"/>
    <s v="CUST1023"/>
    <s v="PROD12"/>
    <s v="STORE0"/>
    <x v="6"/>
    <s v="Hair Strengthening Shampoo"/>
    <x v="2"/>
    <x v="3"/>
    <s v="Jonathan Steele"/>
    <n v="1"/>
    <n v="145.47999999999999"/>
    <n v="0.1"/>
    <x v="2"/>
    <x v="1724"/>
  </r>
  <r>
    <s v="SALE1728"/>
    <d v="2024-09-12T00:00:00"/>
    <s v="CUST1052"/>
    <s v="PROD31"/>
    <s v="STORE11"/>
    <x v="19"/>
    <s v="Basketball"/>
    <x v="0"/>
    <x v="2"/>
    <s v="Debra Liu"/>
    <n v="4"/>
    <n v="862.25"/>
    <n v="0.28000000000000003"/>
    <x v="1"/>
    <x v="1725"/>
  </r>
  <r>
    <s v="SALE1729"/>
    <d v="2024-01-05T00:00:00"/>
    <s v="CUST1292"/>
    <s v="PROD1"/>
    <s v="STORE14"/>
    <x v="7"/>
    <s v="Men's Graphic T-Shirt"/>
    <x v="4"/>
    <x v="2"/>
    <s v="Ricardo Jones"/>
    <n v="4"/>
    <n v="146.12"/>
    <n v="0.12"/>
    <x v="2"/>
    <x v="1726"/>
  </r>
  <r>
    <s v="SALE1730"/>
    <d v="2024-09-14T00:00:00"/>
    <s v="CUST1478"/>
    <s v="PROD31"/>
    <s v="STORE18"/>
    <x v="14"/>
    <s v="Basketball"/>
    <x v="0"/>
    <x v="3"/>
    <s v="Earl Smith DDS"/>
    <n v="2"/>
    <n v="695.02"/>
    <n v="0.3"/>
    <x v="2"/>
    <x v="1727"/>
  </r>
  <r>
    <s v="SALE1731"/>
    <d v="2023-11-01T00:00:00"/>
    <s v="CUST1219"/>
    <s v="PROD94"/>
    <s v="STORE10"/>
    <x v="15"/>
    <s v="Vitamin E Body Lotion"/>
    <x v="2"/>
    <x v="3"/>
    <s v="Jordan Wells"/>
    <n v="2"/>
    <n v="886.67"/>
    <n v="0.24"/>
    <x v="1"/>
    <x v="1728"/>
  </r>
  <r>
    <s v="SALE1732"/>
    <d v="2024-12-02T00:00:00"/>
    <s v="CUST1054"/>
    <s v="PROD66"/>
    <s v="STORE18"/>
    <x v="14"/>
    <s v="Women's Hair Dryer Brush"/>
    <x v="2"/>
    <x v="3"/>
    <s v="Katherine Dorsey"/>
    <n v="2"/>
    <n v="864.09"/>
    <n v="0.06"/>
    <x v="2"/>
    <x v="1729"/>
  </r>
  <r>
    <s v="SALE1733"/>
    <d v="2025-07-24T00:00:00"/>
    <s v="CUST1003"/>
    <s v="PROD12"/>
    <s v="STORE9"/>
    <x v="11"/>
    <s v="Hair Strengthening Shampoo"/>
    <x v="2"/>
    <x v="2"/>
    <s v="jeremy harris"/>
    <n v="1"/>
    <n v="437.65"/>
    <n v="0.02"/>
    <x v="1"/>
    <x v="1730"/>
  </r>
  <r>
    <s v="SALE1734"/>
    <d v="2025-07-05T00:00:00"/>
    <s v="CUST1202"/>
    <s v="PROD36"/>
    <s v="STORE13"/>
    <x v="13"/>
    <s v="Women's Summer Dress"/>
    <x v="4"/>
    <x v="3"/>
    <s v="Christina Garcia"/>
    <n v="2"/>
    <n v="208.09"/>
    <n v="0.27"/>
    <x v="0"/>
    <x v="1731"/>
  </r>
  <r>
    <s v="SALE1735"/>
    <d v="2024-07-09T00:00:00"/>
    <s v="CUST1054"/>
    <s v="PROD93"/>
    <s v="STORE17"/>
    <x v="1"/>
    <s v="USB-C Laptop Charger"/>
    <x v="1"/>
    <x v="0"/>
    <s v="Katherine Dorsey"/>
    <n v="4"/>
    <n v="825.78"/>
    <n v="0.02"/>
    <x v="0"/>
    <x v="1732"/>
  </r>
  <r>
    <s v="SALE1736"/>
    <d v="2024-01-22T00:00:00"/>
    <s v="CUST1116"/>
    <s v="PROD25"/>
    <s v="STORE17"/>
    <x v="1"/>
    <s v="Women's Scarf Set"/>
    <x v="4"/>
    <x v="0"/>
    <s v="Anthony Phillips"/>
    <n v="3"/>
    <n v="849.77"/>
    <n v="0.12"/>
    <x v="1"/>
    <x v="1733"/>
  </r>
  <r>
    <s v="SALE1737"/>
    <d v="2024-01-23T00:00:00"/>
    <s v="CUST1344"/>
    <s v="PROD60"/>
    <s v="STORE4"/>
    <x v="5"/>
    <s v="Luxury Perfume Spray"/>
    <x v="2"/>
    <x v="2"/>
    <s v="Evelyn Brown"/>
    <n v="1"/>
    <n v="88.78"/>
    <n v="0.18"/>
    <x v="0"/>
    <x v="1734"/>
  </r>
  <r>
    <s v="SALE1738"/>
    <d v="2024-08-22T00:00:00"/>
    <s v="CUST1191"/>
    <s v="PROD78"/>
    <s v="STORE4"/>
    <x v="5"/>
    <s v="Essential Oil Diffuser"/>
    <x v="3"/>
    <x v="2"/>
    <s v="Todd Poole"/>
    <n v="4"/>
    <n v="507.22"/>
    <n v="0.14000000000000001"/>
    <x v="1"/>
    <x v="1735"/>
  </r>
  <r>
    <s v="SALE1739"/>
    <d v="2025-08-18T00:00:00"/>
    <s v="CUST1316"/>
    <s v="PROD96"/>
    <s v="STORE0"/>
    <x v="6"/>
    <s v="Women's Formal Blazer"/>
    <x v="4"/>
    <x v="3"/>
    <s v="Robert House"/>
    <n v="3"/>
    <n v="330.98"/>
    <n v="0.11"/>
    <x v="0"/>
    <x v="1736"/>
  </r>
  <r>
    <s v="SALE1740"/>
    <d v="2024-09-27T00:00:00"/>
    <s v="CUST1051"/>
    <s v="PROD37"/>
    <s v="STORE19"/>
    <x v="12"/>
    <s v="Men's Casual Sneakers"/>
    <x v="4"/>
    <x v="3"/>
    <s v="Sarah Rodgers"/>
    <n v="4"/>
    <n v="442.87"/>
    <n v="0.08"/>
    <x v="0"/>
    <x v="1737"/>
  </r>
  <r>
    <s v="SALE1741"/>
    <d v="2025-08-11T00:00:00"/>
    <s v="CUST1009"/>
    <s v="PROD96"/>
    <s v="STORE2"/>
    <x v="17"/>
    <s v="Women's Formal Blazer"/>
    <x v="4"/>
    <x v="2"/>
    <s v="Ms. Maria Leach"/>
    <n v="2"/>
    <n v="939.66"/>
    <n v="0.14000000000000001"/>
    <x v="1"/>
    <x v="1738"/>
  </r>
  <r>
    <s v="SALE1742"/>
    <d v="2024-09-21T00:00:00"/>
    <s v="CUST1293"/>
    <s v="PROD73"/>
    <s v="STORE3"/>
    <x v="0"/>
    <s v="Shin Guards – Adult"/>
    <x v="0"/>
    <x v="0"/>
    <s v="Gloria Taylor"/>
    <n v="1"/>
    <n v="24.13"/>
    <n v="0"/>
    <x v="0"/>
    <x v="1739"/>
  </r>
  <r>
    <s v="SALE1743"/>
    <d v="2024-03-04T00:00:00"/>
    <s v="CUST1364"/>
    <s v="PROD41"/>
    <s v="STORE3"/>
    <x v="0"/>
    <s v="Yoga Exercise Mat"/>
    <x v="0"/>
    <x v="0"/>
    <s v="Chloe Aguilar"/>
    <n v="3"/>
    <n v="239.54"/>
    <n v="0.28999999999999998"/>
    <x v="2"/>
    <x v="1740"/>
  </r>
  <r>
    <s v="SALE1744"/>
    <d v="2023-11-14T00:00:00"/>
    <s v="CUST1482"/>
    <s v="PROD46"/>
    <s v="STORE14"/>
    <x v="7"/>
    <s v="Men's Winter Jacket"/>
    <x v="4"/>
    <x v="2"/>
    <s v="Sheri Joyce"/>
    <n v="1"/>
    <n v="588.53"/>
    <n v="0.1"/>
    <x v="0"/>
    <x v="1741"/>
  </r>
  <r>
    <s v="SALE1745"/>
    <d v="2025-07-25T00:00:00"/>
    <s v="CUST1288"/>
    <s v="PROD60"/>
    <s v="STORE15"/>
    <x v="10"/>
    <s v="Luxury Perfume Spray"/>
    <x v="2"/>
    <x v="0"/>
    <s v="Misty Ferguson"/>
    <n v="1"/>
    <n v="145.96"/>
    <n v="0.3"/>
    <x v="0"/>
    <x v="1742"/>
  </r>
  <r>
    <s v="SALE1746"/>
    <d v="2024-10-08T00:00:00"/>
    <s v="CUST1101"/>
    <s v="PROD70"/>
    <s v="STORE4"/>
    <x v="5"/>
    <s v="Kitchen Storage Rack"/>
    <x v="3"/>
    <x v="2"/>
    <s v="Colleen Maynard"/>
    <n v="4"/>
    <n v="640.91"/>
    <n v="0.06"/>
    <x v="0"/>
    <x v="1743"/>
  </r>
  <r>
    <s v="SALE1747"/>
    <d v="2025-05-15T00:00:00"/>
    <s v="CUST1042"/>
    <s v="PROD64"/>
    <s v="STORE11"/>
    <x v="19"/>
    <s v="Matte Lipstick Set"/>
    <x v="2"/>
    <x v="2"/>
    <s v="William Martin"/>
    <n v="3"/>
    <n v="773.86"/>
    <n v="0.22"/>
    <x v="0"/>
    <x v="1744"/>
  </r>
  <r>
    <s v="SALE1748"/>
    <d v="2025-03-28T00:00:00"/>
    <s v="CUST1463"/>
    <s v="PROD31"/>
    <s v="STORE15"/>
    <x v="10"/>
    <s v="Basketball"/>
    <x v="0"/>
    <x v="0"/>
    <s v="Samantha Lee"/>
    <n v="2"/>
    <n v="31.28"/>
    <n v="0.2"/>
    <x v="2"/>
    <x v="1745"/>
  </r>
  <r>
    <s v="SALE1749"/>
    <d v="2025-07-04T00:00:00"/>
    <s v="CUST1373"/>
    <s v="PROD82"/>
    <s v="STORE6"/>
    <x v="16"/>
    <s v="Fitness Resistance Bands"/>
    <x v="0"/>
    <x v="3"/>
    <s v="James Orozco"/>
    <n v="4"/>
    <n v="389.22"/>
    <n v="0.18"/>
    <x v="0"/>
    <x v="1746"/>
  </r>
  <r>
    <s v="SALE1750"/>
    <d v="2024-07-29T00:00:00"/>
    <s v="CUST1015"/>
    <s v="PROD64"/>
    <s v="STORE15"/>
    <x v="10"/>
    <s v="Matte Lipstick Set"/>
    <x v="2"/>
    <x v="0"/>
    <s v="Laura Alvarez"/>
    <n v="3"/>
    <n v="543.44000000000005"/>
    <n v="0.13"/>
    <x v="1"/>
    <x v="1747"/>
  </r>
  <r>
    <s v="SALE1751"/>
    <d v="2024-01-05T00:00:00"/>
    <s v="CUST1257"/>
    <s v="PROD97"/>
    <s v="STORE19"/>
    <x v="12"/>
    <s v="Cricket Bat"/>
    <x v="0"/>
    <x v="3"/>
    <s v="Christopher David"/>
    <n v="4"/>
    <n v="715.42"/>
    <n v="0.28999999999999998"/>
    <x v="1"/>
    <x v="1748"/>
  </r>
  <r>
    <s v="SALE1752"/>
    <d v="2025-08-17T00:00:00"/>
    <s v="CUST1051"/>
    <s v="PROD12"/>
    <s v="STORE4"/>
    <x v="5"/>
    <s v="Hair Strengthening Shampoo"/>
    <x v="2"/>
    <x v="2"/>
    <s v="Sarah Rodgers"/>
    <n v="4"/>
    <n v="676.14"/>
    <n v="0.11"/>
    <x v="2"/>
    <x v="1749"/>
  </r>
  <r>
    <s v="SALE1753"/>
    <d v="2024-05-13T00:00:00"/>
    <s v="CUST1089"/>
    <s v="PROD39"/>
    <s v="STORE1"/>
    <x v="8"/>
    <s v="Portable Power Bank"/>
    <x v="1"/>
    <x v="0"/>
    <s v="Jamie Yoder"/>
    <n v="4"/>
    <n v="352.72"/>
    <n v="0.25"/>
    <x v="0"/>
    <x v="1750"/>
  </r>
  <r>
    <s v="SALE1754"/>
    <d v="2025-05-20T00:00:00"/>
    <s v="CUST1173"/>
    <s v="PROD11"/>
    <s v="STORE12"/>
    <x v="18"/>
    <s v="HD Smart TV Stick"/>
    <x v="1"/>
    <x v="0"/>
    <s v="Teresa Stokes"/>
    <n v="1"/>
    <n v="470.18"/>
    <n v="0.19"/>
    <x v="1"/>
    <x v="1751"/>
  </r>
  <r>
    <s v="SALE1755"/>
    <d v="2025-08-29T00:00:00"/>
    <s v="CUST1230"/>
    <s v="PROD66"/>
    <s v="STORE11"/>
    <x v="19"/>
    <s v="Women's Hair Dryer Brush"/>
    <x v="2"/>
    <x v="2"/>
    <s v="Timothy Sanders"/>
    <n v="1"/>
    <n v="891.79"/>
    <n v="0.03"/>
    <x v="0"/>
    <x v="1752"/>
  </r>
  <r>
    <s v="SALE1756"/>
    <d v="2024-04-08T00:00:00"/>
    <s v="CUST1348"/>
    <s v="PROD89"/>
    <s v="STORE17"/>
    <x v="1"/>
    <s v="Face Foundation Kit"/>
    <x v="2"/>
    <x v="0"/>
    <s v="Sherry Cabrera"/>
    <n v="2"/>
    <n v="433.07"/>
    <n v="0.25"/>
    <x v="2"/>
    <x v="1753"/>
  </r>
  <r>
    <s v="SALE1757"/>
    <d v="2024-03-04T00:00:00"/>
    <s v="CUST1012"/>
    <s v="PROD66"/>
    <s v="STORE19"/>
    <x v="12"/>
    <s v="Women's Hair Dryer Brush"/>
    <x v="2"/>
    <x v="3"/>
    <s v="Kenneth Lambert"/>
    <n v="3"/>
    <n v="626.71"/>
    <n v="7.0000000000000007E-2"/>
    <x v="2"/>
    <x v="1754"/>
  </r>
  <r>
    <s v="SALE1758"/>
    <d v="2025-09-16T00:00:00"/>
    <s v="CUST1076"/>
    <s v="PROD36"/>
    <s v="STORE0"/>
    <x v="6"/>
    <s v="Women's Summer Dress"/>
    <x v="4"/>
    <x v="3"/>
    <s v="Nathan Campbell"/>
    <n v="2"/>
    <n v="324.18"/>
    <n v="0.06"/>
    <x v="2"/>
    <x v="1755"/>
  </r>
  <r>
    <s v="SALE1759"/>
    <d v="2024-06-05T00:00:00"/>
    <s v="CUST1013"/>
    <s v="PROD14"/>
    <s v="STORE17"/>
    <x v="1"/>
    <s v="Decorative Wall Mirror"/>
    <x v="3"/>
    <x v="0"/>
    <s v="Nathan Hernandez"/>
    <n v="4"/>
    <n v="839.74"/>
    <n v="0.13"/>
    <x v="1"/>
    <x v="1756"/>
  </r>
  <r>
    <s v="SALE1760"/>
    <d v="2024-04-20T00:00:00"/>
    <s v="CUST1156"/>
    <s v="PROD62"/>
    <s v="STORE15"/>
    <x v="10"/>
    <s v="Laptop Cooling Pad"/>
    <x v="1"/>
    <x v="0"/>
    <s v="Maria Sanchez"/>
    <n v="3"/>
    <n v="252.63"/>
    <n v="0.28000000000000003"/>
    <x v="0"/>
    <x v="1757"/>
  </r>
  <r>
    <s v="SALE1761"/>
    <d v="2024-10-16T00:00:00"/>
    <s v="CUST1255"/>
    <s v="PROD79"/>
    <s v="STORE19"/>
    <x v="12"/>
    <s v="Decorative Lamp Shade"/>
    <x v="3"/>
    <x v="3"/>
    <s v="Damon Perez"/>
    <n v="2"/>
    <n v="60.53"/>
    <n v="0.18"/>
    <x v="0"/>
    <x v="1758"/>
  </r>
  <r>
    <s v="SALE1762"/>
    <d v="2024-11-14T00:00:00"/>
    <s v="CUST1054"/>
    <s v="PROD84"/>
    <s v="STORE13"/>
    <x v="13"/>
    <s v="Wooden Bookshelf"/>
    <x v="3"/>
    <x v="3"/>
    <s v="Katherine Dorsey"/>
    <n v="4"/>
    <n v="341.95"/>
    <n v="0.25"/>
    <x v="0"/>
    <x v="1759"/>
  </r>
  <r>
    <s v="SALE1763"/>
    <d v="2024-05-26T00:00:00"/>
    <s v="CUST1283"/>
    <s v="PROD22"/>
    <s v="STORE16"/>
    <x v="9"/>
    <s v="Carbon Fiber Tennis Racket"/>
    <x v="0"/>
    <x v="1"/>
    <s v="Bryan Garcia"/>
    <n v="4"/>
    <n v="300.12"/>
    <n v="0.05"/>
    <x v="1"/>
    <x v="1760"/>
  </r>
  <r>
    <s v="SALE1764"/>
    <d v="2025-02-17T00:00:00"/>
    <s v="CUST1115"/>
    <s v="PROD28"/>
    <s v="STORE17"/>
    <x v="1"/>
    <s v="Sports Stopwatch Timer"/>
    <x v="0"/>
    <x v="0"/>
    <s v="Tyler Conrad"/>
    <n v="2"/>
    <n v="289.14"/>
    <n v="0.12"/>
    <x v="2"/>
    <x v="1761"/>
  </r>
  <r>
    <s v="SALE1765"/>
    <d v="2025-02-07T00:00:00"/>
    <s v="CUST1045"/>
    <s v="PROD25"/>
    <s v="STORE0"/>
    <x v="6"/>
    <s v="Women's Scarf Set"/>
    <x v="4"/>
    <x v="3"/>
    <s v="Jordan Jackson DDS"/>
    <n v="2"/>
    <n v="596.84"/>
    <n v="0.01"/>
    <x v="1"/>
    <x v="1762"/>
  </r>
  <r>
    <s v="SALE1766"/>
    <d v="2024-10-06T00:00:00"/>
    <s v="CUST1436"/>
    <s v="PROD19"/>
    <s v="STORE8"/>
    <x v="2"/>
    <s v="Knee Support Brace"/>
    <x v="0"/>
    <x v="1"/>
    <s v="Sharon Simpson"/>
    <n v="4"/>
    <n v="466.24"/>
    <n v="0.16"/>
    <x v="0"/>
    <x v="1763"/>
  </r>
  <r>
    <s v="SALE1767"/>
    <d v="2024-09-09T00:00:00"/>
    <s v="CUST1252"/>
    <s v="PROD13"/>
    <s v="STORE16"/>
    <x v="9"/>
    <s v="USB-C Fast Charger"/>
    <x v="1"/>
    <x v="1"/>
    <s v="John Mccoy"/>
    <n v="2"/>
    <n v="330.59"/>
    <n v="0.14000000000000001"/>
    <x v="0"/>
    <x v="1764"/>
  </r>
  <r>
    <s v="SALE1768"/>
    <d v="2024-12-28T00:00:00"/>
    <s v="CUST1493"/>
    <s v="PROD22"/>
    <s v="STORE6"/>
    <x v="16"/>
    <s v="Carbon Fiber Tennis Racket"/>
    <x v="0"/>
    <x v="3"/>
    <s v="Amanda Powell"/>
    <n v="2"/>
    <n v="616.42999999999995"/>
    <n v="0.02"/>
    <x v="2"/>
    <x v="1765"/>
  </r>
  <r>
    <s v="SALE1769"/>
    <d v="2024-10-24T00:00:00"/>
    <s v="CUST1403"/>
    <s v="PROD63"/>
    <s v="STORE6"/>
    <x v="16"/>
    <s v="Organic Sunscreen Lotion"/>
    <x v="2"/>
    <x v="3"/>
    <s v="Justin Ingram"/>
    <n v="3"/>
    <n v="195.89"/>
    <n v="0.16"/>
    <x v="1"/>
    <x v="1766"/>
  </r>
  <r>
    <s v="SALE1770"/>
    <d v="2024-07-14T00:00:00"/>
    <s v="CUST1343"/>
    <s v="PROD7"/>
    <s v="STORE10"/>
    <x v="15"/>
    <s v="LED Table Lamp"/>
    <x v="3"/>
    <x v="3"/>
    <s v="Ryan Moore"/>
    <n v="4"/>
    <n v="614.76"/>
    <n v="0.16"/>
    <x v="0"/>
    <x v="1767"/>
  </r>
  <r>
    <s v="SALE1771"/>
    <d v="2024-05-06T00:00:00"/>
    <s v="CUST1404"/>
    <s v="PROD79"/>
    <s v="STORE7"/>
    <x v="4"/>
    <s v="Decorative Lamp Shade"/>
    <x v="3"/>
    <x v="2"/>
    <s v="David Ross"/>
    <n v="1"/>
    <n v="224.49"/>
    <n v="0.11"/>
    <x v="1"/>
    <x v="1768"/>
  </r>
  <r>
    <s v="SALE1772"/>
    <d v="2024-02-16T00:00:00"/>
    <s v="CUST1356"/>
    <s v="PROD55"/>
    <s v="STORE12"/>
    <x v="18"/>
    <s v="Ceramic Plant Pot"/>
    <x v="3"/>
    <x v="0"/>
    <s v="Steve Hunt"/>
    <n v="1"/>
    <n v="967.76"/>
    <n v="0.09"/>
    <x v="0"/>
    <x v="1769"/>
  </r>
  <r>
    <s v="SALE1773"/>
    <d v="2024-08-03T00:00:00"/>
    <s v="CUST1067"/>
    <s v="PROD41"/>
    <s v="STORE19"/>
    <x v="12"/>
    <s v="Yoga Exercise Mat"/>
    <x v="0"/>
    <x v="3"/>
    <s v="Amber Mcclain"/>
    <n v="2"/>
    <n v="56.52"/>
    <n v="0.17"/>
    <x v="1"/>
    <x v="1770"/>
  </r>
  <r>
    <s v="SALE1774"/>
    <d v="2023-12-15T00:00:00"/>
    <s v="CUST1490"/>
    <s v="PROD67"/>
    <s v="STORE1"/>
    <x v="8"/>
    <s v="Smart LED Light Strip"/>
    <x v="1"/>
    <x v="0"/>
    <s v="Scott Harris"/>
    <n v="4"/>
    <n v="921.84"/>
    <n v="0.04"/>
    <x v="0"/>
    <x v="1771"/>
  </r>
  <r>
    <s v="SALE1775"/>
    <d v="2024-01-28T00:00:00"/>
    <s v="CUST1328"/>
    <s v="PROD86"/>
    <s v="STORE16"/>
    <x v="9"/>
    <s v="Kitchen Cutting Board"/>
    <x v="3"/>
    <x v="1"/>
    <s v="Mario Harvey Jr."/>
    <n v="3"/>
    <n v="738.47"/>
    <n v="0.28000000000000003"/>
    <x v="0"/>
    <x v="1772"/>
  </r>
  <r>
    <s v="SALE1776"/>
    <d v="2024-11-24T00:00:00"/>
    <s v="CUST1328"/>
    <s v="PROD5"/>
    <s v="STORE0"/>
    <x v="6"/>
    <s v="Men's Leather Belt"/>
    <x v="4"/>
    <x v="3"/>
    <s v="Mario Harvey Jr."/>
    <n v="4"/>
    <n v="477.83"/>
    <n v="0.05"/>
    <x v="2"/>
    <x v="1773"/>
  </r>
  <r>
    <s v="SALE1777"/>
    <d v="2025-06-23T00:00:00"/>
    <s v="CUST1168"/>
    <s v="PROD42"/>
    <s v="STORE12"/>
    <x v="18"/>
    <s v="Smart Home WiFi Camera"/>
    <x v="1"/>
    <x v="0"/>
    <s v="Daniel Contreras"/>
    <n v="3"/>
    <n v="605.83000000000004"/>
    <n v="0.28000000000000003"/>
    <x v="2"/>
    <x v="1774"/>
  </r>
  <r>
    <s v="SALE1778"/>
    <d v="2024-03-22T00:00:00"/>
    <s v="CUST1067"/>
    <s v="PROD43"/>
    <s v="STORE3"/>
    <x v="0"/>
    <s v="USB External Hard Drive"/>
    <x v="1"/>
    <x v="0"/>
    <s v="Amber Mcclain"/>
    <n v="2"/>
    <n v="521.44000000000005"/>
    <n v="0.25"/>
    <x v="2"/>
    <x v="1775"/>
  </r>
  <r>
    <s v="SALE1779"/>
    <d v="2025-07-25T00:00:00"/>
    <s v="CUST1373"/>
    <s v="PROD10"/>
    <s v="STORE7"/>
    <x v="4"/>
    <s v="Ceramic Kitchen Bowl Set"/>
    <x v="3"/>
    <x v="2"/>
    <s v="James Orozco"/>
    <n v="4"/>
    <n v="499.02"/>
    <n v="0.06"/>
    <x v="0"/>
    <x v="1776"/>
  </r>
  <r>
    <s v="SALE1780"/>
    <d v="2025-04-11T00:00:00"/>
    <s v="CUST1153"/>
    <s v="PROD4"/>
    <s v="STORE18"/>
    <x v="14"/>
    <s v="Women's Yoga Pants"/>
    <x v="4"/>
    <x v="3"/>
    <s v="Joseph Faulkner"/>
    <n v="4"/>
    <n v="299.45999999999998"/>
    <n v="0.18"/>
    <x v="2"/>
    <x v="1777"/>
  </r>
  <r>
    <s v="SALE1781"/>
    <d v="2023-12-25T00:00:00"/>
    <s v="CUST1457"/>
    <s v="PROD39"/>
    <s v="STORE0"/>
    <x v="6"/>
    <s v="Portable Power Bank"/>
    <x v="1"/>
    <x v="3"/>
    <s v="Christina Robertson"/>
    <n v="1"/>
    <n v="609.29"/>
    <n v="0.15"/>
    <x v="0"/>
    <x v="1778"/>
  </r>
  <r>
    <s v="SALE1782"/>
    <d v="2024-12-30T00:00:00"/>
    <s v="CUST1101"/>
    <s v="PROD2"/>
    <s v="STORE8"/>
    <x v="2"/>
    <s v="Women's Casual Hoodie"/>
    <x v="4"/>
    <x v="1"/>
    <s v="Colleen Maynard"/>
    <n v="1"/>
    <n v="213.74"/>
    <n v="7.0000000000000007E-2"/>
    <x v="2"/>
    <x v="1779"/>
  </r>
  <r>
    <s v="SALE1783"/>
    <d v="2025-03-02T00:00:00"/>
    <s v="CUST1153"/>
    <s v="PROD55"/>
    <s v="STORE16"/>
    <x v="9"/>
    <s v="Ceramic Plant Pot"/>
    <x v="3"/>
    <x v="1"/>
    <s v="Joseph Faulkner"/>
    <n v="4"/>
    <n v="613.16999999999996"/>
    <n v="0.26"/>
    <x v="0"/>
    <x v="1780"/>
  </r>
  <r>
    <s v="SALE1784"/>
    <d v="2024-01-02T00:00:00"/>
    <s v="CUST1357"/>
    <s v="PROD59"/>
    <s v="STORE11"/>
    <x v="19"/>
    <s v="Men's Hair Styling Gel"/>
    <x v="2"/>
    <x v="2"/>
    <s v="Manuel Castillo"/>
    <n v="2"/>
    <n v="687.36"/>
    <n v="7.0000000000000007E-2"/>
    <x v="2"/>
    <x v="1781"/>
  </r>
  <r>
    <s v="SALE1785"/>
    <d v="2025-09-15T00:00:00"/>
    <s v="CUST1326"/>
    <s v="PROD67"/>
    <s v="STORE13"/>
    <x v="13"/>
    <s v="Smart LED Light Strip"/>
    <x v="1"/>
    <x v="3"/>
    <s v="Robert King"/>
    <n v="3"/>
    <n v="115.39"/>
    <n v="0.02"/>
    <x v="1"/>
    <x v="1782"/>
  </r>
  <r>
    <s v="SALE1786"/>
    <d v="2024-03-08T00:00:00"/>
    <s v="CUST1179"/>
    <s v="PROD24"/>
    <s v="STORE12"/>
    <x v="18"/>
    <s v="Foldable Camping Chair"/>
    <x v="0"/>
    <x v="0"/>
    <s v="Nicholas Bradshaw"/>
    <n v="2"/>
    <n v="722.06"/>
    <n v="7.0000000000000007E-2"/>
    <x v="0"/>
    <x v="1783"/>
  </r>
  <r>
    <s v="SALE1787"/>
    <d v="2024-12-26T00:00:00"/>
    <s v="CUST1425"/>
    <s v="PROD7"/>
    <s v="STORE15"/>
    <x v="10"/>
    <s v="LED Table Lamp"/>
    <x v="3"/>
    <x v="0"/>
    <s v="Bryce Hawkins"/>
    <n v="1"/>
    <n v="384.57"/>
    <n v="0.06"/>
    <x v="1"/>
    <x v="1784"/>
  </r>
  <r>
    <s v="SALE1788"/>
    <d v="2025-03-19T00:00:00"/>
    <s v="CUST1210"/>
    <s v="PROD8"/>
    <s v="STORE13"/>
    <x v="13"/>
    <s v="Wireless Bluetooth Earbuds"/>
    <x v="1"/>
    <x v="3"/>
    <s v="Antonio Jones"/>
    <n v="2"/>
    <n v="194.09"/>
    <n v="0.18"/>
    <x v="1"/>
    <x v="1785"/>
  </r>
  <r>
    <s v="SALE1789"/>
    <d v="2024-10-14T00:00:00"/>
    <s v="CUST1172"/>
    <s v="PROD88"/>
    <s v="STORE3"/>
    <x v="0"/>
    <s v="Sports Wrist Sweatbands"/>
    <x v="0"/>
    <x v="0"/>
    <s v="Thomas Rhodes"/>
    <n v="2"/>
    <n v="403.91"/>
    <n v="7.0000000000000007E-2"/>
    <x v="0"/>
    <x v="1786"/>
  </r>
  <r>
    <s v="SALE1790"/>
    <d v="2025-03-05T00:00:00"/>
    <s v="CUST1076"/>
    <s v="PROD17"/>
    <s v="STORE14"/>
    <x v="7"/>
    <s v="Soccer Training Cone Set"/>
    <x v="0"/>
    <x v="2"/>
    <s v="Nathan Campbell"/>
    <n v="1"/>
    <n v="878.69"/>
    <n v="0.3"/>
    <x v="1"/>
    <x v="1787"/>
  </r>
  <r>
    <s v="SALE1791"/>
    <d v="2024-06-03T00:00:00"/>
    <s v="CUST1381"/>
    <s v="PROD33"/>
    <s v="STORE15"/>
    <x v="10"/>
    <s v="Modern Wall Clock"/>
    <x v="3"/>
    <x v="0"/>
    <s v="Erika Padilla"/>
    <n v="1"/>
    <n v="161.16999999999999"/>
    <n v="0.05"/>
    <x v="0"/>
    <x v="1788"/>
  </r>
  <r>
    <s v="SALE1792"/>
    <d v="2024-04-05T00:00:00"/>
    <s v="CUST1214"/>
    <s v="PROD73"/>
    <s v="STORE14"/>
    <x v="7"/>
    <s v="Shin Guards – Adult"/>
    <x v="0"/>
    <x v="2"/>
    <s v="Eric Todd"/>
    <n v="2"/>
    <n v="720.15"/>
    <n v="0.22"/>
    <x v="2"/>
    <x v="1789"/>
  </r>
  <r>
    <s v="SALE1793"/>
    <d v="2023-10-23T00:00:00"/>
    <s v="CUST1347"/>
    <s v="PROD26"/>
    <s v="STORE8"/>
    <x v="2"/>
    <s v="Wireless Bluetooth Speaker"/>
    <x v="1"/>
    <x v="1"/>
    <s v="Justin Mason DDS"/>
    <n v="1"/>
    <n v="361.8"/>
    <n v="0.02"/>
    <x v="2"/>
    <x v="1790"/>
  </r>
  <r>
    <s v="SALE1794"/>
    <d v="2024-04-20T00:00:00"/>
    <s v="CUST1230"/>
    <s v="PROD95"/>
    <s v="STORE6"/>
    <x v="16"/>
    <s v="Sports Stopwatch Basic"/>
    <x v="0"/>
    <x v="3"/>
    <s v="Timothy Sanders"/>
    <n v="1"/>
    <n v="779.84"/>
    <n v="0.28999999999999998"/>
    <x v="1"/>
    <x v="1791"/>
  </r>
  <r>
    <s v="SALE1795"/>
    <d v="2024-06-12T00:00:00"/>
    <s v="CUST1004"/>
    <s v="PROD96"/>
    <s v="STORE4"/>
    <x v="5"/>
    <s v="Women's Formal Blazer"/>
    <x v="4"/>
    <x v="2"/>
    <s v="Caroline Collins"/>
    <n v="2"/>
    <n v="649.89"/>
    <n v="0.17"/>
    <x v="2"/>
    <x v="1792"/>
  </r>
  <r>
    <s v="SALE1796"/>
    <d v="2025-08-08T00:00:00"/>
    <s v="CUST1204"/>
    <s v="PROD53"/>
    <s v="STORE6"/>
    <x v="16"/>
    <s v="Men's Track Pants"/>
    <x v="4"/>
    <x v="3"/>
    <s v="Tiffany Herrera"/>
    <n v="1"/>
    <n v="952.73"/>
    <n v="0.17"/>
    <x v="0"/>
    <x v="1793"/>
  </r>
  <r>
    <s v="SALE1797"/>
    <d v="2025-08-06T00:00:00"/>
    <s v="CUST1084"/>
    <s v="PROD99"/>
    <s v="STORE16"/>
    <x v="9"/>
    <s v="Stainless Steel Cookware Set"/>
    <x v="3"/>
    <x v="1"/>
    <s v="Christy Hoffman"/>
    <n v="4"/>
    <n v="820.78"/>
    <n v="0.25"/>
    <x v="0"/>
    <x v="1794"/>
  </r>
  <r>
    <s v="SALE1798"/>
    <d v="2024-10-27T00:00:00"/>
    <s v="CUST1342"/>
    <s v="PROD38"/>
    <s v="STORE3"/>
    <x v="0"/>
    <s v="Sports Water Hydration Pack"/>
    <x v="0"/>
    <x v="0"/>
    <s v="Michelle Cunningham"/>
    <n v="4"/>
    <n v="247.55"/>
    <n v="0.05"/>
    <x v="0"/>
    <x v="1795"/>
  </r>
  <r>
    <s v="SALE1799"/>
    <d v="2024-03-18T00:00:00"/>
    <s v="CUST1227"/>
    <s v="PROD99"/>
    <s v="STORE8"/>
    <x v="2"/>
    <s v="Stainless Steel Cookware Set"/>
    <x v="3"/>
    <x v="1"/>
    <s v="Gregory Pham"/>
    <n v="3"/>
    <n v="561.44000000000005"/>
    <n v="0.2"/>
    <x v="2"/>
    <x v="1796"/>
  </r>
  <r>
    <s v="SALE1800"/>
    <d v="2023-11-19T00:00:00"/>
    <s v="CUST1281"/>
    <s v="PROD72"/>
    <s v="STORE8"/>
    <x v="2"/>
    <s v="Professional Jump Rope"/>
    <x v="0"/>
    <x v="1"/>
    <s v="Brittany Watson"/>
    <n v="4"/>
    <n v="214.37"/>
    <n v="0.11"/>
    <x v="2"/>
    <x v="1797"/>
  </r>
  <r>
    <s v="SALE1801"/>
    <d v="2025-03-25T00:00:00"/>
    <s v="CUST1417"/>
    <s v="PROD17"/>
    <s v="STORE16"/>
    <x v="9"/>
    <s v="Soccer Training Cone Set"/>
    <x v="0"/>
    <x v="1"/>
    <s v="Karen King"/>
    <n v="3"/>
    <n v="123.74"/>
    <n v="0.23"/>
    <x v="1"/>
    <x v="1798"/>
  </r>
  <r>
    <s v="SALE1802"/>
    <d v="2024-05-15T00:00:00"/>
    <s v="CUST1013"/>
    <s v="PROD67"/>
    <s v="STORE11"/>
    <x v="19"/>
    <s v="Smart LED Light Strip"/>
    <x v="1"/>
    <x v="2"/>
    <s v="Nathan Hernandez"/>
    <n v="4"/>
    <n v="645.71"/>
    <n v="0.1"/>
    <x v="1"/>
    <x v="1799"/>
  </r>
  <r>
    <s v="SALE1803"/>
    <d v="2025-03-20T00:00:00"/>
    <s v="CUST1033"/>
    <s v="PROD21"/>
    <s v="STORE12"/>
    <x v="18"/>
    <s v="Multi-Purpose Storage Box"/>
    <x v="3"/>
    <x v="0"/>
    <s v="Robert Jones DDS"/>
    <n v="3"/>
    <n v="587.12"/>
    <n v="0.3"/>
    <x v="0"/>
    <x v="1800"/>
  </r>
  <r>
    <s v="SALE1804"/>
    <d v="2025-10-11T00:00:00"/>
    <s v="CUST1241"/>
    <s v="PROD25"/>
    <s v="STORE18"/>
    <x v="14"/>
    <s v="Women's Scarf Set"/>
    <x v="4"/>
    <x v="3"/>
    <s v="Mr. William Horton"/>
    <n v="1"/>
    <n v="401.18"/>
    <n v="0.15"/>
    <x v="2"/>
    <x v="1801"/>
  </r>
  <r>
    <s v="SALE1805"/>
    <d v="2024-07-13T00:00:00"/>
    <s v="CUST1366"/>
    <s v="PROD58"/>
    <s v="STORE18"/>
    <x v="14"/>
    <s v="Womens Cotton Scarf"/>
    <x v="4"/>
    <x v="3"/>
    <s v="Mallory Allen"/>
    <n v="3"/>
    <n v="658.33"/>
    <n v="0.12"/>
    <x v="2"/>
    <x v="1802"/>
  </r>
  <r>
    <s v="SALE1806"/>
    <d v="2024-07-01T00:00:00"/>
    <s v="CUST1201"/>
    <s v="PROD49"/>
    <s v="STORE11"/>
    <x v="19"/>
    <s v="Men's Roll-On Perfume"/>
    <x v="2"/>
    <x v="2"/>
    <s v="Mary Boyd"/>
    <n v="4"/>
    <n v="450.3"/>
    <n v="0.02"/>
    <x v="0"/>
    <x v="1803"/>
  </r>
  <r>
    <s v="SALE1807"/>
    <d v="2025-04-10T00:00:00"/>
    <s v="CUST1145"/>
    <s v="PROD94"/>
    <s v="STORE10"/>
    <x v="15"/>
    <s v="Vitamin E Body Lotion"/>
    <x v="2"/>
    <x v="3"/>
    <s v="Cameron Simpson"/>
    <n v="4"/>
    <n v="33.630000000000003"/>
    <n v="0.05"/>
    <x v="0"/>
    <x v="1804"/>
  </r>
  <r>
    <s v="SALE1808"/>
    <d v="2024-07-02T00:00:00"/>
    <s v="CUST1035"/>
    <s v="PROD16"/>
    <s v="STORE0"/>
    <x v="6"/>
    <s v="Not Found"/>
    <x v="5"/>
    <x v="3"/>
    <s v="Rachel Myers"/>
    <n v="3"/>
    <n v="168.89"/>
    <n v="0.03"/>
    <x v="2"/>
    <x v="1805"/>
  </r>
  <r>
    <s v="SALE1809"/>
    <d v="2024-09-11T00:00:00"/>
    <s v="CUST1095"/>
    <s v="PROD60"/>
    <s v="STORE11"/>
    <x v="19"/>
    <s v="Luxury Perfume Spray"/>
    <x v="2"/>
    <x v="2"/>
    <s v="Amy Fowler"/>
    <n v="1"/>
    <n v="141.85"/>
    <n v="0.06"/>
    <x v="1"/>
    <x v="1806"/>
  </r>
  <r>
    <s v="SALE1810"/>
    <d v="2024-08-16T00:00:00"/>
    <s v="CUST1306"/>
    <s v="PROD35"/>
    <s v="STORE7"/>
    <x v="4"/>
    <s v="Bedroom Table Lamp"/>
    <x v="3"/>
    <x v="2"/>
    <s v="Angela Robinson"/>
    <n v="1"/>
    <n v="617.4"/>
    <n v="0.21"/>
    <x v="0"/>
    <x v="1807"/>
  </r>
  <r>
    <s v="SALE1811"/>
    <d v="2024-08-30T00:00:00"/>
    <s v="CUST1147"/>
    <s v="PROD53"/>
    <s v="STORE1"/>
    <x v="8"/>
    <s v="Men's Track Pants"/>
    <x v="4"/>
    <x v="0"/>
    <s v="Rhonda Young"/>
    <n v="3"/>
    <n v="841.47"/>
    <n v="0.15"/>
    <x v="2"/>
    <x v="1808"/>
  </r>
  <r>
    <s v="SALE1812"/>
    <d v="2024-02-12T00:00:00"/>
    <s v="CUST1059"/>
    <s v="PROD21"/>
    <s v="STORE13"/>
    <x v="13"/>
    <s v="Multi-Purpose Storage Box"/>
    <x v="3"/>
    <x v="3"/>
    <s v="Alyssa Vargas"/>
    <n v="2"/>
    <n v="960.41"/>
    <n v="0.18"/>
    <x v="0"/>
    <x v="1809"/>
  </r>
  <r>
    <s v="SALE1813"/>
    <d v="2023-12-29T00:00:00"/>
    <s v="CUST1451"/>
    <s v="PROD75"/>
    <s v="STORE18"/>
    <x v="14"/>
    <s v="Women's Ankle Boots"/>
    <x v="4"/>
    <x v="3"/>
    <s v="Ashley Roberts"/>
    <n v="3"/>
    <n v="717.22"/>
    <n v="0.24"/>
    <x v="1"/>
    <x v="1810"/>
  </r>
  <r>
    <s v="SALE1814"/>
    <d v="2025-06-24T00:00:00"/>
    <s v="CUST1115"/>
    <s v="PROD12"/>
    <s v="STORE0"/>
    <x v="6"/>
    <s v="Hair Strengthening Shampoo"/>
    <x v="2"/>
    <x v="3"/>
    <s v="Tyler Conrad"/>
    <n v="1"/>
    <n v="281.83"/>
    <n v="0.16"/>
    <x v="2"/>
    <x v="1811"/>
  </r>
  <r>
    <s v="SALE1815"/>
    <d v="2024-04-18T00:00:00"/>
    <s v="CUST1204"/>
    <s v="PROD59"/>
    <s v="STORE14"/>
    <x v="7"/>
    <s v="Men's Hair Styling Gel"/>
    <x v="2"/>
    <x v="2"/>
    <s v="Tiffany Herrera"/>
    <n v="1"/>
    <n v="509.08"/>
    <n v="0.04"/>
    <x v="1"/>
    <x v="1812"/>
  </r>
  <r>
    <s v="SALE1816"/>
    <d v="2025-09-30T00:00:00"/>
    <s v="CUST1400"/>
    <s v="PROD96"/>
    <s v="STORE2"/>
    <x v="17"/>
    <s v="Women's Formal Blazer"/>
    <x v="4"/>
    <x v="2"/>
    <s v="Mark Rogers"/>
    <n v="4"/>
    <n v="827.09"/>
    <n v="0.3"/>
    <x v="0"/>
    <x v="1813"/>
  </r>
  <r>
    <s v="SALE1817"/>
    <d v="2025-10-05T00:00:00"/>
    <s v="CUST1210"/>
    <s v="PROD29"/>
    <s v="STORE4"/>
    <x v="5"/>
    <s v="Fabric Sofa Throw Blanket"/>
    <x v="3"/>
    <x v="2"/>
    <s v="Antonio Jones"/>
    <n v="2"/>
    <n v="823.36"/>
    <n v="0.23"/>
    <x v="0"/>
    <x v="1814"/>
  </r>
  <r>
    <s v="SALE1818"/>
    <d v="2025-06-06T00:00:00"/>
    <s v="CUST1137"/>
    <s v="PROD26"/>
    <s v="STORE5"/>
    <x v="3"/>
    <s v="Wireless Bluetooth Speaker"/>
    <x v="1"/>
    <x v="0"/>
    <s v="Rick Dominguez"/>
    <n v="4"/>
    <n v="282.18"/>
    <n v="0.13"/>
    <x v="2"/>
    <x v="1815"/>
  </r>
  <r>
    <s v="SALE1819"/>
    <d v="2024-02-01T00:00:00"/>
    <s v="CUST1172"/>
    <s v="PROD21"/>
    <s v="STORE1"/>
    <x v="8"/>
    <s v="Multi-Purpose Storage Box"/>
    <x v="3"/>
    <x v="0"/>
    <s v="Thomas Rhodes"/>
    <n v="1"/>
    <n v="486.39"/>
    <n v="0.09"/>
    <x v="2"/>
    <x v="1816"/>
  </r>
  <r>
    <s v="SALE1820"/>
    <d v="2024-01-21T00:00:00"/>
    <s v="CUST1044"/>
    <s v="PROD18"/>
    <s v="STORE3"/>
    <x v="0"/>
    <s v="Women's Denim Jeans"/>
    <x v="4"/>
    <x v="0"/>
    <s v="Denise Williams"/>
    <n v="2"/>
    <n v="603.62"/>
    <n v="0.18"/>
    <x v="2"/>
    <x v="1817"/>
  </r>
  <r>
    <s v="SALE1821"/>
    <d v="2024-09-19T00:00:00"/>
    <s v="CUST1147"/>
    <s v="PROD37"/>
    <s v="STORE8"/>
    <x v="2"/>
    <s v="Men's Casual Sneakers"/>
    <x v="4"/>
    <x v="1"/>
    <s v="Rhonda Young"/>
    <n v="3"/>
    <n v="204.17"/>
    <n v="0.1"/>
    <x v="1"/>
    <x v="1818"/>
  </r>
  <r>
    <s v="SALE1822"/>
    <d v="2024-01-19T00:00:00"/>
    <s v="CUST1137"/>
    <s v="PROD8"/>
    <s v="STORE15"/>
    <x v="10"/>
    <s v="Wireless Bluetooth Earbuds"/>
    <x v="1"/>
    <x v="0"/>
    <s v="Rick Dominguez"/>
    <n v="1"/>
    <n v="43.58"/>
    <n v="0.01"/>
    <x v="2"/>
    <x v="1819"/>
  </r>
  <r>
    <s v="SALE1823"/>
    <d v="2024-10-29T00:00:00"/>
    <s v="CUST1332"/>
    <s v="PROD47"/>
    <s v="STORE2"/>
    <x v="17"/>
    <s v="Makeup Brush Set"/>
    <x v="2"/>
    <x v="2"/>
    <s v="Dr. Lindsay Hanna"/>
    <n v="3"/>
    <n v="469.33"/>
    <n v="0.14000000000000001"/>
    <x v="1"/>
    <x v="1820"/>
  </r>
  <r>
    <s v="SALE1824"/>
    <d v="2025-07-02T00:00:00"/>
    <s v="CUST1209"/>
    <s v="PROD8"/>
    <s v="STORE8"/>
    <x v="2"/>
    <s v="Wireless Bluetooth Earbuds"/>
    <x v="1"/>
    <x v="1"/>
    <s v="Joan Johnson"/>
    <n v="4"/>
    <n v="836.23"/>
    <n v="0.12"/>
    <x v="0"/>
    <x v="1821"/>
  </r>
  <r>
    <s v="SALE1825"/>
    <d v="2024-09-14T00:00:00"/>
    <s v="CUST1178"/>
    <s v="PROD67"/>
    <s v="STORE19"/>
    <x v="12"/>
    <s v="Smart LED Light Strip"/>
    <x v="1"/>
    <x v="3"/>
    <s v="Michelle Myers"/>
    <n v="2"/>
    <n v="661.53"/>
    <n v="0.2"/>
    <x v="1"/>
    <x v="1822"/>
  </r>
  <r>
    <s v="SALE1826"/>
    <d v="2025-09-03T00:00:00"/>
    <s v="CUST1118"/>
    <s v="PROD56"/>
    <s v="STORE16"/>
    <x v="9"/>
    <s v="Premium Blanket Throw"/>
    <x v="3"/>
    <x v="1"/>
    <s v="Earl Allen"/>
    <n v="3"/>
    <n v="753.47"/>
    <n v="0.25"/>
    <x v="1"/>
    <x v="1823"/>
  </r>
  <r>
    <s v="SALE1827"/>
    <d v="2025-01-16T00:00:00"/>
    <s v="CUST1156"/>
    <s v="PROD64"/>
    <s v="STORE0"/>
    <x v="6"/>
    <s v="Matte Lipstick Set"/>
    <x v="2"/>
    <x v="3"/>
    <s v="Maria Sanchez"/>
    <n v="3"/>
    <n v="713.95"/>
    <n v="0"/>
    <x v="0"/>
    <x v="1824"/>
  </r>
  <r>
    <s v="SALE1828"/>
    <d v="2024-04-13T00:00:00"/>
    <s v="CUST1099"/>
    <s v="PROD11"/>
    <s v="STORE5"/>
    <x v="3"/>
    <s v="HD Smart TV Stick"/>
    <x v="1"/>
    <x v="0"/>
    <s v="Sheila Wilson"/>
    <n v="3"/>
    <n v="596"/>
    <n v="0.28000000000000003"/>
    <x v="2"/>
    <x v="1825"/>
  </r>
  <r>
    <s v="SALE1829"/>
    <d v="2024-03-28T00:00:00"/>
    <s v="CUST1334"/>
    <s v="PROD9"/>
    <s v="STORE9"/>
    <x v="11"/>
    <s v="Adjustable Dumbbell Set"/>
    <x v="0"/>
    <x v="2"/>
    <s v="Mr. Christopher Sims"/>
    <n v="2"/>
    <n v="169.46"/>
    <n v="0.03"/>
    <x v="1"/>
    <x v="1826"/>
  </r>
  <r>
    <s v="SALE1830"/>
    <d v="2025-07-22T00:00:00"/>
    <s v="CUST1300"/>
    <s v="PROD65"/>
    <s v="STORE14"/>
    <x v="7"/>
    <s v="Adjustable Dumbbells 20kg"/>
    <x v="0"/>
    <x v="2"/>
    <s v="Matthew Avery"/>
    <n v="4"/>
    <n v="611.91999999999996"/>
    <n v="0.2"/>
    <x v="1"/>
    <x v="1827"/>
  </r>
  <r>
    <s v="SALE1831"/>
    <d v="2025-02-16T00:00:00"/>
    <s v="CUST1003"/>
    <s v="PROD74"/>
    <s v="STORE15"/>
    <x v="10"/>
    <s v="Bluetooth Car Audio System"/>
    <x v="1"/>
    <x v="0"/>
    <s v="jeremy harris"/>
    <n v="2"/>
    <n v="25.3"/>
    <n v="0.21"/>
    <x v="0"/>
    <x v="1828"/>
  </r>
  <r>
    <s v="SALE1832"/>
    <d v="2024-02-05T00:00:00"/>
    <s v="CUST1433"/>
    <s v="PROD73"/>
    <s v="STORE10"/>
    <x v="15"/>
    <s v="Shin Guards – Adult"/>
    <x v="0"/>
    <x v="3"/>
    <s v="Thomas Moore"/>
    <n v="4"/>
    <n v="166.93"/>
    <n v="0.02"/>
    <x v="1"/>
    <x v="1829"/>
  </r>
  <r>
    <s v="SALE1833"/>
    <d v="2025-03-05T00:00:00"/>
    <s v="CUST1280"/>
    <s v="PROD60"/>
    <s v="STORE11"/>
    <x v="19"/>
    <s v="Luxury Perfume Spray"/>
    <x v="2"/>
    <x v="2"/>
    <s v="Antonio Leon"/>
    <n v="4"/>
    <n v="861.55"/>
    <n v="0.12"/>
    <x v="0"/>
    <x v="1830"/>
  </r>
  <r>
    <s v="SALE1834"/>
    <d v="2025-07-04T00:00:00"/>
    <s v="CUST1360"/>
    <s v="PROD43"/>
    <s v="STORE5"/>
    <x v="3"/>
    <s v="USB External Hard Drive"/>
    <x v="1"/>
    <x v="0"/>
    <s v="Denise Tate"/>
    <n v="3"/>
    <n v="56.17"/>
    <n v="0.01"/>
    <x v="2"/>
    <x v="1831"/>
  </r>
  <r>
    <s v="SALE1835"/>
    <d v="2025-07-24T00:00:00"/>
    <s v="CUST1266"/>
    <s v="PROD15"/>
    <s v="STORE19"/>
    <x v="12"/>
    <s v="4K Home Projector"/>
    <x v="1"/>
    <x v="3"/>
    <s v="Cynthia Payne"/>
    <n v="1"/>
    <n v="582.29"/>
    <n v="0.2"/>
    <x v="0"/>
    <x v="1832"/>
  </r>
  <r>
    <s v="SALE1836"/>
    <d v="2025-01-24T00:00:00"/>
    <s v="CUST1261"/>
    <s v="PROD83"/>
    <s v="STORE0"/>
    <x v="6"/>
    <s v="Hydrating Face Cleanser"/>
    <x v="2"/>
    <x v="3"/>
    <s v="Carol Bishop"/>
    <n v="3"/>
    <n v="63.96"/>
    <n v="0.02"/>
    <x v="0"/>
    <x v="1833"/>
  </r>
  <r>
    <s v="SALE1837"/>
    <d v="2024-04-10T00:00:00"/>
    <s v="CUST1065"/>
    <s v="PROD9"/>
    <s v="STORE12"/>
    <x v="18"/>
    <s v="Adjustable Dumbbell Set"/>
    <x v="0"/>
    <x v="0"/>
    <s v="Michael Thomas"/>
    <n v="1"/>
    <n v="829.83"/>
    <n v="0.26"/>
    <x v="2"/>
    <x v="1834"/>
  </r>
  <r>
    <s v="SALE1838"/>
    <d v="2024-10-21T00:00:00"/>
    <s v="CUST1370"/>
    <s v="PROD34"/>
    <s v="STORE16"/>
    <x v="9"/>
    <s v="Gaming Mechanical Keyboard"/>
    <x v="1"/>
    <x v="1"/>
    <s v="James Holloway Jr."/>
    <n v="2"/>
    <n v="858.15"/>
    <n v="0.03"/>
    <x v="0"/>
    <x v="1835"/>
  </r>
  <r>
    <s v="SALE1839"/>
    <d v="2024-02-18T00:00:00"/>
    <s v="CUST1359"/>
    <s v="PROD73"/>
    <s v="STORE13"/>
    <x v="13"/>
    <s v="Shin Guards – Adult"/>
    <x v="0"/>
    <x v="3"/>
    <s v="Melanie Lam"/>
    <n v="3"/>
    <n v="717.32"/>
    <n v="0.23"/>
    <x v="2"/>
    <x v="1836"/>
  </r>
  <r>
    <s v="SALE1840"/>
    <d v="2025-07-15T00:00:00"/>
    <s v="CUST1428"/>
    <s v="PROD83"/>
    <s v="STORE12"/>
    <x v="18"/>
    <s v="Hydrating Face Cleanser"/>
    <x v="2"/>
    <x v="0"/>
    <s v="Samuel Mullins"/>
    <n v="1"/>
    <n v="163.19999999999999"/>
    <n v="0.22"/>
    <x v="1"/>
    <x v="1837"/>
  </r>
  <r>
    <s v="SALE1841"/>
    <d v="2024-07-16T00:00:00"/>
    <s v="CUST1126"/>
    <s v="PROD81"/>
    <s v="STORE12"/>
    <x v="18"/>
    <s v="Badminton Racket Set"/>
    <x v="0"/>
    <x v="0"/>
    <s v="James Wolfe"/>
    <n v="2"/>
    <n v="966.71"/>
    <n v="0.11"/>
    <x v="0"/>
    <x v="1838"/>
  </r>
  <r>
    <s v="SALE1842"/>
    <d v="2025-04-14T00:00:00"/>
    <s v="CUST1348"/>
    <s v="PROD35"/>
    <s v="STORE13"/>
    <x v="13"/>
    <s v="Bedroom Table Lamp"/>
    <x v="3"/>
    <x v="3"/>
    <s v="Sherry Cabrera"/>
    <n v="2"/>
    <n v="873.94"/>
    <n v="0.14000000000000001"/>
    <x v="2"/>
    <x v="1839"/>
  </r>
  <r>
    <s v="SALE1843"/>
    <d v="2024-03-28T00:00:00"/>
    <s v="CUST1149"/>
    <s v="PROD0"/>
    <s v="STORE3"/>
    <x v="0"/>
    <s v="Brother Laser Printer"/>
    <x v="1"/>
    <x v="0"/>
    <s v="Denise Griffin"/>
    <n v="1"/>
    <n v="140.24"/>
    <n v="0.27"/>
    <x v="0"/>
    <x v="1840"/>
  </r>
  <r>
    <s v="SALE1844"/>
    <d v="2025-02-28T00:00:00"/>
    <s v="CUST1201"/>
    <s v="PROD43"/>
    <s v="STORE5"/>
    <x v="3"/>
    <s v="USB External Hard Drive"/>
    <x v="1"/>
    <x v="0"/>
    <s v="Mary Boyd"/>
    <n v="2"/>
    <n v="549.91999999999996"/>
    <n v="0.28000000000000003"/>
    <x v="0"/>
    <x v="1841"/>
  </r>
  <r>
    <s v="SALE1845"/>
    <d v="2024-03-13T00:00:00"/>
    <s v="CUST1111"/>
    <s v="PROD17"/>
    <s v="STORE5"/>
    <x v="3"/>
    <s v="Soccer Training Cone Set"/>
    <x v="0"/>
    <x v="0"/>
    <s v="Julie Farmer"/>
    <n v="4"/>
    <n v="715.88"/>
    <n v="0.19"/>
    <x v="1"/>
    <x v="1842"/>
  </r>
  <r>
    <s v="SALE1846"/>
    <d v="2025-04-05T00:00:00"/>
    <s v="CUST1371"/>
    <s v="PROD2"/>
    <s v="STORE8"/>
    <x v="2"/>
    <s v="Women's Casual Hoodie"/>
    <x v="4"/>
    <x v="1"/>
    <s v="Michael Garner"/>
    <n v="3"/>
    <n v="591.9"/>
    <n v="0.27"/>
    <x v="0"/>
    <x v="1843"/>
  </r>
  <r>
    <s v="SALE1847"/>
    <d v="2025-08-14T00:00:00"/>
    <s v="CUST1375"/>
    <s v="PROD22"/>
    <s v="STORE10"/>
    <x v="15"/>
    <s v="Carbon Fiber Tennis Racket"/>
    <x v="0"/>
    <x v="3"/>
    <s v="Joshua Bell"/>
    <n v="2"/>
    <n v="523.14"/>
    <n v="0.13"/>
    <x v="1"/>
    <x v="1844"/>
  </r>
  <r>
    <s v="SALE1848"/>
    <d v="2024-07-04T00:00:00"/>
    <s v="CUST1226"/>
    <s v="PROD69"/>
    <s v="STORE14"/>
    <x v="7"/>
    <s v="Men's Sports Shorts"/>
    <x v="4"/>
    <x v="2"/>
    <s v="Alexis Castaneda"/>
    <n v="2"/>
    <n v="478.62"/>
    <n v="0.17"/>
    <x v="2"/>
    <x v="1845"/>
  </r>
  <r>
    <s v="SALE1849"/>
    <d v="2024-09-21T00:00:00"/>
    <s v="CUST1299"/>
    <s v="PROD82"/>
    <s v="STORE1"/>
    <x v="8"/>
    <s v="Fitness Resistance Bands"/>
    <x v="0"/>
    <x v="0"/>
    <s v="Stephanie Jacobs"/>
    <n v="4"/>
    <n v="740.5"/>
    <n v="0.17"/>
    <x v="1"/>
    <x v="1846"/>
  </r>
  <r>
    <s v="SALE1850"/>
    <d v="2024-06-22T00:00:00"/>
    <s v="CUST1112"/>
    <s v="PROD46"/>
    <s v="STORE2"/>
    <x v="17"/>
    <s v="Men's Winter Jacket"/>
    <x v="4"/>
    <x v="2"/>
    <s v="David Cole"/>
    <n v="1"/>
    <n v="780.24"/>
    <n v="0.04"/>
    <x v="2"/>
    <x v="1847"/>
  </r>
  <r>
    <s v="SALE1851"/>
    <d v="2024-09-17T00:00:00"/>
    <s v="CUST1107"/>
    <s v="PROD70"/>
    <s v="STORE16"/>
    <x v="9"/>
    <s v="Kitchen Storage Rack"/>
    <x v="3"/>
    <x v="1"/>
    <s v="Erica Carney"/>
    <n v="4"/>
    <n v="579.24"/>
    <n v="0.04"/>
    <x v="2"/>
    <x v="1848"/>
  </r>
  <r>
    <s v="SALE1852"/>
    <d v="2024-12-09T00:00:00"/>
    <s v="CUST1371"/>
    <s v="PROD1"/>
    <s v="STORE2"/>
    <x v="17"/>
    <s v="Men's Graphic T-Shirt"/>
    <x v="4"/>
    <x v="2"/>
    <s v="Michael Garner"/>
    <n v="3"/>
    <n v="268.95"/>
    <n v="0.04"/>
    <x v="1"/>
    <x v="1849"/>
  </r>
  <r>
    <s v="SALE1853"/>
    <d v="2025-03-24T00:00:00"/>
    <s v="CUST1305"/>
    <s v="PROD5"/>
    <s v="STORE4"/>
    <x v="5"/>
    <s v="Men's Leather Belt"/>
    <x v="4"/>
    <x v="2"/>
    <s v="Roberta Green"/>
    <n v="1"/>
    <n v="47.47"/>
    <n v="0.28000000000000003"/>
    <x v="0"/>
    <x v="1850"/>
  </r>
  <r>
    <s v="SALE1854"/>
    <d v="2025-05-19T00:00:00"/>
    <s v="CUST1257"/>
    <s v="PROD33"/>
    <s v="STORE17"/>
    <x v="1"/>
    <s v="Modern Wall Clock"/>
    <x v="3"/>
    <x v="0"/>
    <s v="Christopher David"/>
    <n v="3"/>
    <n v="858.81"/>
    <n v="7.0000000000000007E-2"/>
    <x v="0"/>
    <x v="1851"/>
  </r>
  <r>
    <s v="SALE1855"/>
    <d v="2025-02-22T00:00:00"/>
    <s v="CUST1310"/>
    <s v="PROD19"/>
    <s v="STORE10"/>
    <x v="15"/>
    <s v="Knee Support Brace"/>
    <x v="0"/>
    <x v="3"/>
    <s v="Kara Dodson"/>
    <n v="3"/>
    <n v="569.98"/>
    <n v="0.05"/>
    <x v="0"/>
    <x v="1852"/>
  </r>
  <r>
    <s v="SALE1856"/>
    <d v="2024-10-31T00:00:00"/>
    <s v="CUST1327"/>
    <s v="PROD74"/>
    <s v="STORE12"/>
    <x v="18"/>
    <s v="Bluetooth Car Audio System"/>
    <x v="1"/>
    <x v="0"/>
    <s v="Reginald Willis"/>
    <n v="3"/>
    <n v="306.52"/>
    <n v="0.01"/>
    <x v="2"/>
    <x v="1853"/>
  </r>
  <r>
    <s v="SALE1857"/>
    <d v="2024-03-03T00:00:00"/>
    <s v="CUST1064"/>
    <s v="PROD56"/>
    <s v="STORE13"/>
    <x v="13"/>
    <s v="Premium Blanket Throw"/>
    <x v="3"/>
    <x v="3"/>
    <s v="Mr. Mason Butler"/>
    <n v="3"/>
    <n v="184.67"/>
    <n v="0.03"/>
    <x v="2"/>
    <x v="1854"/>
  </r>
  <r>
    <s v="SALE1858"/>
    <d v="2024-05-16T00:00:00"/>
    <s v="CUST1482"/>
    <s v="PROD26"/>
    <s v="STORE5"/>
    <x v="3"/>
    <s v="Wireless Bluetooth Speaker"/>
    <x v="1"/>
    <x v="0"/>
    <s v="Sheri Joyce"/>
    <n v="4"/>
    <n v="189.56"/>
    <n v="0"/>
    <x v="2"/>
    <x v="1855"/>
  </r>
  <r>
    <s v="SALE1859"/>
    <d v="2024-08-07T00:00:00"/>
    <s v="CUST1208"/>
    <s v="PROD75"/>
    <s v="STORE5"/>
    <x v="3"/>
    <s v="Women's Ankle Boots"/>
    <x v="4"/>
    <x v="0"/>
    <s v="John Perez"/>
    <n v="1"/>
    <n v="805.24"/>
    <n v="0.04"/>
    <x v="1"/>
    <x v="1856"/>
  </r>
  <r>
    <s v="SALE1860"/>
    <d v="2024-09-14T00:00:00"/>
    <s v="CUST1188"/>
    <s v="PROD54"/>
    <s v="STORE17"/>
    <x v="1"/>
    <s v="Sports Stopwatch Pro"/>
    <x v="0"/>
    <x v="0"/>
    <s v="Kimberly Brooks"/>
    <n v="3"/>
    <n v="683.74"/>
    <n v="0.24"/>
    <x v="0"/>
    <x v="1857"/>
  </r>
  <r>
    <s v="SALE1861"/>
    <d v="2024-10-08T00:00:00"/>
    <s v="CUST1210"/>
    <s v="PROD56"/>
    <s v="STORE18"/>
    <x v="14"/>
    <s v="Premium Blanket Throw"/>
    <x v="3"/>
    <x v="3"/>
    <s v="Antonio Jones"/>
    <n v="3"/>
    <n v="439.21"/>
    <n v="0.28000000000000003"/>
    <x v="2"/>
    <x v="1858"/>
  </r>
  <r>
    <s v="SALE1862"/>
    <d v="2025-09-04T00:00:00"/>
    <s v="CUST1119"/>
    <s v="PROD66"/>
    <s v="STORE6"/>
    <x v="16"/>
    <s v="Women's Hair Dryer Brush"/>
    <x v="2"/>
    <x v="3"/>
    <s v="Michael Jones"/>
    <n v="1"/>
    <n v="126.92"/>
    <n v="0.24"/>
    <x v="2"/>
    <x v="1859"/>
  </r>
  <r>
    <s v="SALE1863"/>
    <d v="2024-07-16T00:00:00"/>
    <s v="CUST1004"/>
    <s v="PROD73"/>
    <s v="STORE4"/>
    <x v="5"/>
    <s v="Shin Guards – Adult"/>
    <x v="0"/>
    <x v="2"/>
    <s v="Caroline Collins"/>
    <n v="4"/>
    <n v="834.7"/>
    <n v="0.14000000000000001"/>
    <x v="0"/>
    <x v="1860"/>
  </r>
  <r>
    <s v="SALE1864"/>
    <d v="2025-09-09T00:00:00"/>
    <s v="CUST1341"/>
    <s v="PROD42"/>
    <s v="STORE11"/>
    <x v="19"/>
    <s v="Smart Home WiFi Camera"/>
    <x v="1"/>
    <x v="2"/>
    <s v="Angela Williams"/>
    <n v="2"/>
    <n v="271.88"/>
    <n v="0.11"/>
    <x v="2"/>
    <x v="1861"/>
  </r>
  <r>
    <s v="SALE1865"/>
    <d v="2025-03-04T00:00:00"/>
    <s v="CUST1480"/>
    <s v="PROD11"/>
    <s v="STORE1"/>
    <x v="8"/>
    <s v="HD Smart TV Stick"/>
    <x v="1"/>
    <x v="0"/>
    <s v="Jordan Medina"/>
    <n v="4"/>
    <n v="972.14"/>
    <n v="0.25"/>
    <x v="0"/>
    <x v="1862"/>
  </r>
  <r>
    <s v="SALE1866"/>
    <d v="2025-06-23T00:00:00"/>
    <s v="CUST1093"/>
    <s v="PROD43"/>
    <s v="STORE4"/>
    <x v="5"/>
    <s v="USB External Hard Drive"/>
    <x v="1"/>
    <x v="2"/>
    <s v="Christy Vasquez"/>
    <n v="3"/>
    <n v="523.66"/>
    <n v="0.27"/>
    <x v="1"/>
    <x v="1863"/>
  </r>
  <r>
    <s v="SALE1867"/>
    <d v="2024-11-06T00:00:00"/>
    <s v="CUST1148"/>
    <s v="PROD64"/>
    <s v="STORE2"/>
    <x v="17"/>
    <s v="Matte Lipstick Set"/>
    <x v="2"/>
    <x v="2"/>
    <s v="Theresa Campbell"/>
    <n v="4"/>
    <n v="838.99"/>
    <n v="0.16"/>
    <x v="0"/>
    <x v="1864"/>
  </r>
  <r>
    <s v="SALE1868"/>
    <d v="2025-03-06T00:00:00"/>
    <s v="CUST1135"/>
    <s v="PROD11"/>
    <s v="STORE17"/>
    <x v="1"/>
    <s v="HD Smart TV Stick"/>
    <x v="1"/>
    <x v="0"/>
    <s v="Matthew Hanna"/>
    <n v="4"/>
    <n v="838.7"/>
    <n v="0.21"/>
    <x v="2"/>
    <x v="1865"/>
  </r>
  <r>
    <s v="SALE1869"/>
    <d v="2025-05-17T00:00:00"/>
    <s v="CUST1420"/>
    <s v="PROD74"/>
    <s v="STORE8"/>
    <x v="2"/>
    <s v="Bluetooth Car Audio System"/>
    <x v="1"/>
    <x v="1"/>
    <s v="Dr. Tamara White MD"/>
    <n v="3"/>
    <n v="943.24"/>
    <n v="0.21"/>
    <x v="0"/>
    <x v="1866"/>
  </r>
  <r>
    <s v="SALE1870"/>
    <d v="2025-01-02T00:00:00"/>
    <s v="CUST1299"/>
    <s v="PROD0"/>
    <s v="STORE17"/>
    <x v="1"/>
    <s v="Brother Laser Printer"/>
    <x v="1"/>
    <x v="0"/>
    <s v="Stephanie Jacobs"/>
    <n v="2"/>
    <n v="310.33"/>
    <n v="0.26"/>
    <x v="0"/>
    <x v="1867"/>
  </r>
  <r>
    <s v="SALE1871"/>
    <d v="2024-07-28T00:00:00"/>
    <s v="CUST1346"/>
    <s v="PROD45"/>
    <s v="STORE0"/>
    <x v="6"/>
    <s v="High-Grip Football"/>
    <x v="0"/>
    <x v="3"/>
    <s v="John Jordan"/>
    <n v="3"/>
    <n v="201.05"/>
    <n v="0.23"/>
    <x v="1"/>
    <x v="1868"/>
  </r>
  <r>
    <s v="SALE1872"/>
    <d v="2024-04-26T00:00:00"/>
    <s v="CUST1252"/>
    <s v="PROD58"/>
    <s v="STORE17"/>
    <x v="1"/>
    <s v="Womens Cotton Scarf"/>
    <x v="4"/>
    <x v="0"/>
    <s v="John Mccoy"/>
    <n v="1"/>
    <n v="803.37"/>
    <n v="0.3"/>
    <x v="1"/>
    <x v="1869"/>
  </r>
  <r>
    <s v="SALE1873"/>
    <d v="2025-08-17T00:00:00"/>
    <s v="CUST1036"/>
    <s v="PROD61"/>
    <s v="STORE15"/>
    <x v="10"/>
    <s v="Tennis Ball 3-Pack"/>
    <x v="0"/>
    <x v="0"/>
    <s v="Thomas Phillips"/>
    <n v="3"/>
    <n v="259.98"/>
    <n v="7.0000000000000007E-2"/>
    <x v="2"/>
    <x v="1870"/>
  </r>
  <r>
    <s v="SALE1874"/>
    <d v="2024-05-14T00:00:00"/>
    <s v="CUST1124"/>
    <s v="PROD2"/>
    <s v="STORE3"/>
    <x v="0"/>
    <s v="Women's Casual Hoodie"/>
    <x v="4"/>
    <x v="0"/>
    <s v="Donald Lee"/>
    <n v="4"/>
    <n v="591.9"/>
    <n v="0.2"/>
    <x v="1"/>
    <x v="1871"/>
  </r>
  <r>
    <s v="SALE1875"/>
    <d v="2025-03-14T00:00:00"/>
    <s v="CUST1031"/>
    <s v="PROD60"/>
    <s v="STORE12"/>
    <x v="18"/>
    <s v="Luxury Perfume Spray"/>
    <x v="2"/>
    <x v="0"/>
    <s v="Sarah Vance"/>
    <n v="2"/>
    <n v="396.9"/>
    <n v="0.18"/>
    <x v="1"/>
    <x v="1872"/>
  </r>
  <r>
    <s v="SALE1876"/>
    <d v="2025-03-15T00:00:00"/>
    <s v="CUST1453"/>
    <s v="PROD98"/>
    <s v="STORE2"/>
    <x v="17"/>
    <s v="Portable Bluetooth Speaker"/>
    <x v="1"/>
    <x v="2"/>
    <s v="April Phillips"/>
    <n v="1"/>
    <n v="176.84"/>
    <n v="0.19"/>
    <x v="0"/>
    <x v="1873"/>
  </r>
  <r>
    <s v="SALE1877"/>
    <d v="2023-12-12T00:00:00"/>
    <s v="CUST1254"/>
    <s v="PROD26"/>
    <s v="STORE0"/>
    <x v="6"/>
    <s v="Wireless Bluetooth Speaker"/>
    <x v="1"/>
    <x v="3"/>
    <s v="Linda Kline"/>
    <n v="2"/>
    <n v="614.21"/>
    <n v="0.11"/>
    <x v="1"/>
    <x v="1874"/>
  </r>
  <r>
    <s v="SALE1878"/>
    <d v="2024-10-19T00:00:00"/>
    <s v="CUST1108"/>
    <s v="PROD3"/>
    <s v="STORE7"/>
    <x v="4"/>
    <s v="Not Found"/>
    <x v="5"/>
    <x v="2"/>
    <s v="Travis Holland"/>
    <n v="3"/>
    <n v="604.66"/>
    <n v="0.18"/>
    <x v="2"/>
    <x v="1875"/>
  </r>
  <r>
    <s v="SALE1879"/>
    <d v="2024-08-30T00:00:00"/>
    <s v="CUST1498"/>
    <s v="PROD2"/>
    <s v="STORE12"/>
    <x v="18"/>
    <s v="Women's Casual Hoodie"/>
    <x v="4"/>
    <x v="0"/>
    <s v="Traci Gonzalez"/>
    <n v="3"/>
    <n v="24.29"/>
    <n v="0.12"/>
    <x v="1"/>
    <x v="1876"/>
  </r>
  <r>
    <s v="SALE1880"/>
    <d v="2024-07-09T00:00:00"/>
    <s v="CUST1121"/>
    <s v="PROD63"/>
    <s v="STORE11"/>
    <x v="19"/>
    <s v="Organic Sunscreen Lotion"/>
    <x v="2"/>
    <x v="2"/>
    <s v="Joel Robinson"/>
    <n v="1"/>
    <n v="503.95"/>
    <n v="0.24"/>
    <x v="1"/>
    <x v="1877"/>
  </r>
  <r>
    <s v="SALE1881"/>
    <d v="2024-07-02T00:00:00"/>
    <s v="CUST1319"/>
    <s v="PROD51"/>
    <s v="STORE14"/>
    <x v="7"/>
    <s v="HDMI Cable – 2m"/>
    <x v="1"/>
    <x v="2"/>
    <s v="Casey Simpson"/>
    <n v="4"/>
    <n v="860.78"/>
    <n v="0.03"/>
    <x v="0"/>
    <x v="1878"/>
  </r>
  <r>
    <s v="SALE1882"/>
    <d v="2023-11-04T00:00:00"/>
    <s v="CUST1197"/>
    <s v="PROD42"/>
    <s v="STORE3"/>
    <x v="0"/>
    <s v="Smart Home WiFi Camera"/>
    <x v="1"/>
    <x v="0"/>
    <s v="Andrea Jacobs"/>
    <n v="3"/>
    <n v="41.97"/>
    <n v="0.03"/>
    <x v="2"/>
    <x v="1879"/>
  </r>
  <r>
    <s v="SALE1883"/>
    <d v="2024-04-15T00:00:00"/>
    <s v="CUST1033"/>
    <s v="PROD15"/>
    <s v="STORE5"/>
    <x v="3"/>
    <s v="4K Home Projector"/>
    <x v="1"/>
    <x v="0"/>
    <s v="Robert Jones DDS"/>
    <n v="1"/>
    <n v="649.59"/>
    <n v="0.12"/>
    <x v="2"/>
    <x v="1880"/>
  </r>
  <r>
    <s v="SALE1884"/>
    <d v="2024-07-29T00:00:00"/>
    <s v="CUST1053"/>
    <s v="PROD63"/>
    <s v="STORE9"/>
    <x v="11"/>
    <s v="Organic Sunscreen Lotion"/>
    <x v="2"/>
    <x v="2"/>
    <s v="Sharon Brown"/>
    <n v="2"/>
    <n v="386.09"/>
    <n v="0.19"/>
    <x v="1"/>
    <x v="1881"/>
  </r>
  <r>
    <s v="SALE1885"/>
    <d v="2024-12-18T00:00:00"/>
    <s v="CUST1099"/>
    <s v="PROD51"/>
    <s v="STORE12"/>
    <x v="18"/>
    <s v="HDMI Cable – 2m"/>
    <x v="1"/>
    <x v="0"/>
    <s v="Sheila Wilson"/>
    <n v="1"/>
    <n v="891.62"/>
    <n v="0.06"/>
    <x v="1"/>
    <x v="1882"/>
  </r>
  <r>
    <s v="SALE1886"/>
    <d v="2024-11-21T00:00:00"/>
    <s v="CUST1381"/>
    <s v="PROD64"/>
    <s v="STORE15"/>
    <x v="10"/>
    <s v="Matte Lipstick Set"/>
    <x v="2"/>
    <x v="0"/>
    <s v="Erika Padilla"/>
    <n v="2"/>
    <n v="558.9"/>
    <n v="0.05"/>
    <x v="2"/>
    <x v="1883"/>
  </r>
  <r>
    <s v="SALE1887"/>
    <d v="2025-05-20T00:00:00"/>
    <s v="CUST1352"/>
    <s v="PROD1"/>
    <s v="STORE3"/>
    <x v="0"/>
    <s v="Men's Graphic T-Shirt"/>
    <x v="4"/>
    <x v="0"/>
    <s v="Michael Greene"/>
    <n v="2"/>
    <n v="99.04"/>
    <n v="0.26"/>
    <x v="2"/>
    <x v="1884"/>
  </r>
  <r>
    <s v="SALE1888"/>
    <d v="2025-03-24T00:00:00"/>
    <s v="CUST1291"/>
    <s v="PROD3"/>
    <s v="STORE8"/>
    <x v="2"/>
    <s v="Not Found"/>
    <x v="5"/>
    <x v="1"/>
    <s v="James Powell"/>
    <n v="4"/>
    <n v="625.13"/>
    <n v="0.06"/>
    <x v="0"/>
    <x v="1885"/>
  </r>
  <r>
    <s v="SALE1889"/>
    <d v="2025-06-16T00:00:00"/>
    <s v="CUST1036"/>
    <s v="PROD40"/>
    <s v="STORE18"/>
    <x v="14"/>
    <s v="Noise-Canceling Headphones"/>
    <x v="1"/>
    <x v="3"/>
    <s v="Thomas Phillips"/>
    <n v="4"/>
    <n v="38.380000000000003"/>
    <n v="0.16"/>
    <x v="2"/>
    <x v="1886"/>
  </r>
  <r>
    <s v="SALE1890"/>
    <d v="2024-04-22T00:00:00"/>
    <s v="CUST1492"/>
    <s v="PROD94"/>
    <s v="STORE10"/>
    <x v="15"/>
    <s v="Vitamin E Body Lotion"/>
    <x v="2"/>
    <x v="3"/>
    <s v="Darrell Miller"/>
    <n v="4"/>
    <n v="731.72"/>
    <n v="0.22"/>
    <x v="2"/>
    <x v="1887"/>
  </r>
  <r>
    <s v="SALE1891"/>
    <d v="2025-09-16T00:00:00"/>
    <s v="CUST1457"/>
    <s v="PROD81"/>
    <s v="STORE19"/>
    <x v="12"/>
    <s v="Badminton Racket Set"/>
    <x v="0"/>
    <x v="3"/>
    <s v="Christina Robertson"/>
    <n v="3"/>
    <n v="825.33"/>
    <n v="0.21"/>
    <x v="0"/>
    <x v="1888"/>
  </r>
  <r>
    <s v="SALE1892"/>
    <d v="2023-12-09T00:00:00"/>
    <s v="CUST1059"/>
    <s v="PROD70"/>
    <s v="STORE14"/>
    <x v="7"/>
    <s v="Kitchen Storage Rack"/>
    <x v="3"/>
    <x v="2"/>
    <s v="Alyssa Vargas"/>
    <n v="2"/>
    <n v="47.3"/>
    <n v="0.01"/>
    <x v="1"/>
    <x v="1889"/>
  </r>
  <r>
    <s v="SALE1893"/>
    <d v="2024-07-20T00:00:00"/>
    <s v="CUST1171"/>
    <s v="PROD72"/>
    <s v="STORE17"/>
    <x v="1"/>
    <s v="Professional Jump Rope"/>
    <x v="0"/>
    <x v="0"/>
    <s v="Amy Wilson"/>
    <n v="1"/>
    <n v="389.12"/>
    <n v="0.18"/>
    <x v="1"/>
    <x v="1890"/>
  </r>
  <r>
    <s v="SALE1894"/>
    <d v="2024-09-23T00:00:00"/>
    <s v="CUST1458"/>
    <s v="PROD82"/>
    <s v="STORE18"/>
    <x v="14"/>
    <s v="Fitness Resistance Bands"/>
    <x v="0"/>
    <x v="3"/>
    <s v="Kelly Garrett"/>
    <n v="3"/>
    <n v="543.83000000000004"/>
    <n v="0.05"/>
    <x v="0"/>
    <x v="1891"/>
  </r>
  <r>
    <s v="SALE1895"/>
    <d v="2024-05-11T00:00:00"/>
    <s v="CUST1024"/>
    <s v="PROD14"/>
    <s v="STORE1"/>
    <x v="8"/>
    <s v="Decorative Wall Mirror"/>
    <x v="3"/>
    <x v="0"/>
    <s v="Heather Collins"/>
    <n v="2"/>
    <n v="660.27"/>
    <n v="0.01"/>
    <x v="1"/>
    <x v="1892"/>
  </r>
  <r>
    <s v="SALE1896"/>
    <d v="2025-05-03T00:00:00"/>
    <s v="CUST1434"/>
    <s v="PROD13"/>
    <s v="STORE8"/>
    <x v="2"/>
    <s v="USB-C Fast Charger"/>
    <x v="1"/>
    <x v="1"/>
    <s v="Monique Castro"/>
    <n v="4"/>
    <n v="729.31"/>
    <n v="0.03"/>
    <x v="0"/>
    <x v="1893"/>
  </r>
  <r>
    <s v="SALE1897"/>
    <d v="2024-02-23T00:00:00"/>
    <s v="CUST1421"/>
    <s v="PROD87"/>
    <s v="STORE6"/>
    <x v="16"/>
    <s v="LED Bedside Lamp"/>
    <x v="3"/>
    <x v="3"/>
    <s v="Holly Robinson"/>
    <n v="2"/>
    <n v="152.91"/>
    <n v="0.24"/>
    <x v="1"/>
    <x v="1894"/>
  </r>
  <r>
    <s v="SALE1898"/>
    <d v="2024-02-22T00:00:00"/>
    <s v="CUST1461"/>
    <s v="PROD74"/>
    <s v="STORE15"/>
    <x v="10"/>
    <s v="Bluetooth Car Audio System"/>
    <x v="1"/>
    <x v="0"/>
    <s v="Paul Cox"/>
    <n v="4"/>
    <n v="592.14"/>
    <n v="0.12"/>
    <x v="2"/>
    <x v="1895"/>
  </r>
  <r>
    <s v="SALE1899"/>
    <d v="2024-08-21T00:00:00"/>
    <s v="CUST1062"/>
    <s v="PROD78"/>
    <s v="STORE12"/>
    <x v="18"/>
    <s v="Essential Oil Diffuser"/>
    <x v="3"/>
    <x v="0"/>
    <s v="James Bean"/>
    <n v="1"/>
    <n v="984.37"/>
    <n v="0"/>
    <x v="1"/>
    <x v="1896"/>
  </r>
  <r>
    <s v="SALE1900"/>
    <d v="2024-02-07T00:00:00"/>
    <s v="CUST1292"/>
    <s v="PROD1"/>
    <s v="STORE12"/>
    <x v="18"/>
    <s v="Men's Graphic T-Shirt"/>
    <x v="4"/>
    <x v="0"/>
    <s v="Ricardo Jones"/>
    <n v="2"/>
    <n v="237.59"/>
    <n v="0.12"/>
    <x v="0"/>
    <x v="1897"/>
  </r>
  <r>
    <s v="SALE1901"/>
    <d v="2023-11-20T00:00:00"/>
    <s v="CUST1431"/>
    <s v="PROD25"/>
    <s v="STORE8"/>
    <x v="2"/>
    <s v="Women's Scarf Set"/>
    <x v="4"/>
    <x v="1"/>
    <s v="John Smith"/>
    <n v="1"/>
    <n v="52.06"/>
    <n v="0.27"/>
    <x v="2"/>
    <x v="1898"/>
  </r>
  <r>
    <s v="SALE1902"/>
    <d v="2025-02-03T00:00:00"/>
    <s v="CUST1455"/>
    <s v="PROD3"/>
    <s v="STORE1"/>
    <x v="8"/>
    <s v="Not Found"/>
    <x v="5"/>
    <x v="0"/>
    <s v="Tyler Weber"/>
    <n v="2"/>
    <n v="594.63"/>
    <n v="0.12"/>
    <x v="0"/>
    <x v="1899"/>
  </r>
  <r>
    <s v="SALE1903"/>
    <d v="2024-12-18T00:00:00"/>
    <s v="CUST1167"/>
    <s v="PROD3"/>
    <s v="STORE0"/>
    <x v="6"/>
    <s v="Not Found"/>
    <x v="5"/>
    <x v="3"/>
    <s v="Antonio Wade"/>
    <n v="3"/>
    <n v="476.1"/>
    <n v="0.05"/>
    <x v="2"/>
    <x v="1900"/>
  </r>
  <r>
    <s v="SALE1904"/>
    <d v="2024-08-10T00:00:00"/>
    <s v="CUST1061"/>
    <s v="PROD61"/>
    <s v="STORE6"/>
    <x v="16"/>
    <s v="Tennis Ball 3-Pack"/>
    <x v="0"/>
    <x v="3"/>
    <s v="Kristin Stein"/>
    <n v="1"/>
    <n v="546.47"/>
    <n v="0.08"/>
    <x v="2"/>
    <x v="1901"/>
  </r>
  <r>
    <s v="SALE1905"/>
    <d v="2025-04-13T00:00:00"/>
    <s v="CUST1176"/>
    <s v="PROD75"/>
    <s v="STORE12"/>
    <x v="18"/>
    <s v="Women's Ankle Boots"/>
    <x v="4"/>
    <x v="0"/>
    <s v="John Bradford"/>
    <n v="1"/>
    <n v="979.49"/>
    <n v="0.19"/>
    <x v="2"/>
    <x v="1902"/>
  </r>
  <r>
    <s v="SALE1906"/>
    <d v="2023-12-29T00:00:00"/>
    <s v="CUST1193"/>
    <s v="PROD17"/>
    <s v="STORE2"/>
    <x v="17"/>
    <s v="Soccer Training Cone Set"/>
    <x v="0"/>
    <x v="2"/>
    <s v="David Roberts"/>
    <n v="3"/>
    <n v="988.53"/>
    <n v="0.3"/>
    <x v="2"/>
    <x v="1903"/>
  </r>
  <r>
    <s v="SALE1907"/>
    <d v="2025-02-16T00:00:00"/>
    <s v="CUST1255"/>
    <s v="PROD76"/>
    <s v="STORE3"/>
    <x v="0"/>
    <s v="Wireless Mouse"/>
    <x v="1"/>
    <x v="0"/>
    <s v="Damon Perez"/>
    <n v="4"/>
    <n v="849.29"/>
    <n v="0.26"/>
    <x v="0"/>
    <x v="1904"/>
  </r>
  <r>
    <s v="SALE1908"/>
    <d v="2024-01-27T00:00:00"/>
    <s v="CUST1343"/>
    <s v="PROD95"/>
    <s v="STORE14"/>
    <x v="7"/>
    <s v="Sports Stopwatch Basic"/>
    <x v="0"/>
    <x v="2"/>
    <s v="Ryan Moore"/>
    <n v="2"/>
    <n v="452.29"/>
    <n v="0.01"/>
    <x v="2"/>
    <x v="1905"/>
  </r>
  <r>
    <s v="SALE1909"/>
    <d v="2024-07-22T00:00:00"/>
    <s v="CUST1445"/>
    <s v="PROD54"/>
    <s v="STORE18"/>
    <x v="14"/>
    <s v="Sports Stopwatch Pro"/>
    <x v="0"/>
    <x v="3"/>
    <s v="Gene Lee"/>
    <n v="2"/>
    <n v="810.81"/>
    <n v="0.11"/>
    <x v="2"/>
    <x v="1906"/>
  </r>
  <r>
    <s v="SALE1910"/>
    <d v="2024-09-25T00:00:00"/>
    <s v="CUST1031"/>
    <s v="PROD61"/>
    <s v="STORE8"/>
    <x v="2"/>
    <s v="Tennis Ball 3-Pack"/>
    <x v="0"/>
    <x v="1"/>
    <s v="Sarah Vance"/>
    <n v="1"/>
    <n v="846.67"/>
    <n v="0.1"/>
    <x v="2"/>
    <x v="1907"/>
  </r>
  <r>
    <s v="SALE1911"/>
    <d v="2024-03-16T00:00:00"/>
    <s v="CUST1017"/>
    <s v="PROD24"/>
    <s v="STORE6"/>
    <x v="16"/>
    <s v="Foldable Camping Chair"/>
    <x v="0"/>
    <x v="3"/>
    <s v="Adam Cruz"/>
    <n v="4"/>
    <n v="73.55"/>
    <n v="0.24"/>
    <x v="2"/>
    <x v="1908"/>
  </r>
  <r>
    <s v="SALE1912"/>
    <d v="2025-07-23T00:00:00"/>
    <s v="CUST1278"/>
    <s v="PROD92"/>
    <s v="STORE6"/>
    <x v="16"/>
    <s v="Microwave Oven"/>
    <x v="3"/>
    <x v="3"/>
    <s v="Stephen Fowler"/>
    <n v="1"/>
    <n v="882.03"/>
    <n v="0.04"/>
    <x v="2"/>
    <x v="1909"/>
  </r>
  <r>
    <s v="SALE1913"/>
    <d v="2024-10-24T00:00:00"/>
    <s v="CUST1008"/>
    <s v="PROD22"/>
    <s v="STORE14"/>
    <x v="7"/>
    <s v="Carbon Fiber Tennis Racket"/>
    <x v="0"/>
    <x v="2"/>
    <s v="Melissa Howard"/>
    <n v="1"/>
    <n v="958.44"/>
    <n v="0.21"/>
    <x v="0"/>
    <x v="1910"/>
  </r>
  <r>
    <s v="SALE1914"/>
    <d v="2024-09-25T00:00:00"/>
    <s v="CUST1008"/>
    <s v="PROD99"/>
    <s v="STORE2"/>
    <x v="17"/>
    <s v="Stainless Steel Cookware Set"/>
    <x v="3"/>
    <x v="2"/>
    <s v="Melissa Howard"/>
    <n v="1"/>
    <n v="716.29"/>
    <n v="0.01"/>
    <x v="1"/>
    <x v="1911"/>
  </r>
  <r>
    <s v="SALE1915"/>
    <d v="2024-04-26T00:00:00"/>
    <s v="CUST1323"/>
    <s v="PROD9"/>
    <s v="STORE16"/>
    <x v="9"/>
    <s v="Adjustable Dumbbell Set"/>
    <x v="0"/>
    <x v="1"/>
    <s v="Kristy Dunlap"/>
    <n v="2"/>
    <n v="409.14"/>
    <n v="0.01"/>
    <x v="1"/>
    <x v="1912"/>
  </r>
  <r>
    <s v="SALE1916"/>
    <d v="2025-02-26T00:00:00"/>
    <s v="CUST1084"/>
    <s v="PROD99"/>
    <s v="STORE9"/>
    <x v="11"/>
    <s v="Stainless Steel Cookware Set"/>
    <x v="3"/>
    <x v="2"/>
    <s v="Christy Hoffman"/>
    <n v="4"/>
    <n v="261.73"/>
    <n v="0.1"/>
    <x v="1"/>
    <x v="1913"/>
  </r>
  <r>
    <s v="SALE1917"/>
    <d v="2025-01-04T00:00:00"/>
    <s v="CUST1466"/>
    <s v="PROD12"/>
    <s v="STORE0"/>
    <x v="6"/>
    <s v="Hair Strengthening Shampoo"/>
    <x v="2"/>
    <x v="3"/>
    <s v="Cynthia Parrish"/>
    <n v="2"/>
    <n v="687.35"/>
    <n v="0.2"/>
    <x v="2"/>
    <x v="1914"/>
  </r>
  <r>
    <s v="SALE1918"/>
    <d v="2025-09-21T00:00:00"/>
    <s v="CUST1207"/>
    <s v="PROD84"/>
    <s v="STORE8"/>
    <x v="2"/>
    <s v="Wooden Bookshelf"/>
    <x v="3"/>
    <x v="1"/>
    <s v="Jacqueline Pacheco"/>
    <n v="2"/>
    <n v="30.14"/>
    <n v="0.21"/>
    <x v="0"/>
    <x v="1915"/>
  </r>
  <r>
    <s v="SALE1919"/>
    <d v="2024-12-25T00:00:00"/>
    <s v="CUST1099"/>
    <s v="PROD34"/>
    <s v="STORE8"/>
    <x v="2"/>
    <s v="Gaming Mechanical Keyboard"/>
    <x v="1"/>
    <x v="1"/>
    <s v="Sheila Wilson"/>
    <n v="3"/>
    <n v="570.12"/>
    <n v="0.12"/>
    <x v="1"/>
    <x v="1916"/>
  </r>
  <r>
    <s v="SALE1920"/>
    <d v="2025-08-14T00:00:00"/>
    <s v="CUST1281"/>
    <s v="PROD77"/>
    <s v="STORE19"/>
    <x v="12"/>
    <s v="WiFi Mesh Router"/>
    <x v="1"/>
    <x v="3"/>
    <s v="Brittany Watson"/>
    <n v="3"/>
    <n v="401.87"/>
    <n v="0.28999999999999998"/>
    <x v="2"/>
    <x v="1917"/>
  </r>
  <r>
    <s v="SALE1921"/>
    <d v="2024-11-28T00:00:00"/>
    <s v="CUST1496"/>
    <s v="PROD79"/>
    <s v="STORE12"/>
    <x v="18"/>
    <s v="Decorative Lamp Shade"/>
    <x v="3"/>
    <x v="0"/>
    <s v="Christopher Ford"/>
    <n v="4"/>
    <n v="619.35"/>
    <n v="0.3"/>
    <x v="0"/>
    <x v="1918"/>
  </r>
  <r>
    <s v="SALE1922"/>
    <d v="2023-12-16T00:00:00"/>
    <s v="CUST1247"/>
    <s v="PROD46"/>
    <s v="STORE17"/>
    <x v="1"/>
    <s v="Men's Winter Jacket"/>
    <x v="4"/>
    <x v="0"/>
    <s v="Douglas Rhodes"/>
    <n v="4"/>
    <n v="569.36"/>
    <n v="0.27"/>
    <x v="1"/>
    <x v="1919"/>
  </r>
  <r>
    <s v="SALE1923"/>
    <d v="2024-02-22T00:00:00"/>
    <s v="CUST1476"/>
    <s v="PROD27"/>
    <s v="STORE4"/>
    <x v="5"/>
    <s v="Decorative Floor Vase"/>
    <x v="3"/>
    <x v="2"/>
    <s v="Elizabeth Foster"/>
    <n v="2"/>
    <n v="846.35"/>
    <n v="0.3"/>
    <x v="2"/>
    <x v="1920"/>
  </r>
  <r>
    <s v="SALE1924"/>
    <d v="2025-07-11T00:00:00"/>
    <s v="CUST1434"/>
    <s v="PROD30"/>
    <s v="STORE2"/>
    <x v="17"/>
    <s v="Stainless Steel Cutlery Set"/>
    <x v="3"/>
    <x v="2"/>
    <s v="Monique Castro"/>
    <n v="1"/>
    <n v="788.45"/>
    <n v="0.28999999999999998"/>
    <x v="1"/>
    <x v="1921"/>
  </r>
  <r>
    <s v="SALE1925"/>
    <d v="2025-08-11T00:00:00"/>
    <s v="CUST1360"/>
    <s v="PROD35"/>
    <s v="STORE12"/>
    <x v="18"/>
    <s v="Bedroom Table Lamp"/>
    <x v="3"/>
    <x v="0"/>
    <s v="Denise Tate"/>
    <n v="2"/>
    <n v="338.81"/>
    <n v="7.0000000000000007E-2"/>
    <x v="2"/>
    <x v="1922"/>
  </r>
  <r>
    <s v="SALE1926"/>
    <d v="2025-09-07T00:00:00"/>
    <s v="CUST1026"/>
    <s v="PROD14"/>
    <s v="STORE5"/>
    <x v="3"/>
    <s v="Decorative Wall Mirror"/>
    <x v="3"/>
    <x v="0"/>
    <s v="Amber Carlson"/>
    <n v="4"/>
    <n v="94.48"/>
    <n v="0.06"/>
    <x v="2"/>
    <x v="1923"/>
  </r>
  <r>
    <s v="SALE1927"/>
    <d v="2024-09-10T00:00:00"/>
    <s v="CUST1477"/>
    <s v="PROD19"/>
    <s v="STORE13"/>
    <x v="13"/>
    <s v="Knee Support Brace"/>
    <x v="0"/>
    <x v="3"/>
    <s v="Andrea Harris"/>
    <n v="3"/>
    <n v="941.85"/>
    <n v="0.16"/>
    <x v="1"/>
    <x v="1924"/>
  </r>
  <r>
    <s v="SALE1928"/>
    <d v="2023-11-27T00:00:00"/>
    <s v="CUST1161"/>
    <s v="PROD45"/>
    <s v="STORE5"/>
    <x v="3"/>
    <s v="High-Grip Football"/>
    <x v="0"/>
    <x v="0"/>
    <s v="Cynthia Morris"/>
    <n v="2"/>
    <n v="336.97"/>
    <n v="0.14000000000000001"/>
    <x v="1"/>
    <x v="1925"/>
  </r>
  <r>
    <s v="SALE1929"/>
    <d v="2024-06-23T00:00:00"/>
    <s v="CUST1310"/>
    <s v="PROD5"/>
    <s v="STORE5"/>
    <x v="3"/>
    <s v="Men's Leather Belt"/>
    <x v="4"/>
    <x v="0"/>
    <s v="Kara Dodson"/>
    <n v="2"/>
    <n v="344.16"/>
    <n v="0.09"/>
    <x v="1"/>
    <x v="1926"/>
  </r>
  <r>
    <s v="SALE1930"/>
    <d v="2025-07-09T00:00:00"/>
    <s v="CUST1300"/>
    <s v="PROD48"/>
    <s v="STORE9"/>
    <x v="11"/>
    <s v="Car Dashboard Phone Holder"/>
    <x v="1"/>
    <x v="2"/>
    <s v="Matthew Avery"/>
    <n v="1"/>
    <n v="841.53"/>
    <n v="0.15"/>
    <x v="0"/>
    <x v="1927"/>
  </r>
  <r>
    <s v="SALE1931"/>
    <d v="2025-06-17T00:00:00"/>
    <s v="CUST1424"/>
    <s v="PROD83"/>
    <s v="STORE17"/>
    <x v="1"/>
    <s v="Hydrating Face Cleanser"/>
    <x v="2"/>
    <x v="0"/>
    <s v="Edwin Barnes"/>
    <n v="3"/>
    <n v="63.36"/>
    <n v="0.28999999999999998"/>
    <x v="2"/>
    <x v="1928"/>
  </r>
  <r>
    <s v="SALE1932"/>
    <d v="2025-07-01T00:00:00"/>
    <s v="CUST1496"/>
    <s v="PROD78"/>
    <s v="STORE8"/>
    <x v="2"/>
    <s v="Essential Oil Diffuser"/>
    <x v="3"/>
    <x v="1"/>
    <s v="Christopher Ford"/>
    <n v="2"/>
    <n v="552.49"/>
    <n v="0.1"/>
    <x v="0"/>
    <x v="1929"/>
  </r>
  <r>
    <s v="SALE1933"/>
    <d v="2025-03-04T00:00:00"/>
    <s v="CUST1236"/>
    <s v="PROD24"/>
    <s v="STORE6"/>
    <x v="16"/>
    <s v="Foldable Camping Chair"/>
    <x v="0"/>
    <x v="3"/>
    <s v="Joshua Wilson"/>
    <n v="3"/>
    <n v="447.38"/>
    <n v="0.03"/>
    <x v="0"/>
    <x v="1930"/>
  </r>
  <r>
    <s v="SALE1934"/>
    <d v="2023-11-20T00:00:00"/>
    <s v="CUST1450"/>
    <s v="PROD73"/>
    <s v="STORE19"/>
    <x v="12"/>
    <s v="Shin Guards – Adult"/>
    <x v="0"/>
    <x v="3"/>
    <s v="Shane Mills"/>
    <n v="1"/>
    <n v="727.7"/>
    <n v="0.21"/>
    <x v="2"/>
    <x v="1931"/>
  </r>
  <r>
    <s v="SALE1935"/>
    <d v="2023-11-28T00:00:00"/>
    <s v="CUST1436"/>
    <s v="PROD51"/>
    <s v="STORE7"/>
    <x v="4"/>
    <s v="HDMI Cable – 2m"/>
    <x v="1"/>
    <x v="2"/>
    <s v="Sharon Simpson"/>
    <n v="4"/>
    <n v="581.34"/>
    <n v="0.08"/>
    <x v="0"/>
    <x v="1932"/>
  </r>
  <r>
    <s v="SALE1936"/>
    <d v="2025-05-16T00:00:00"/>
    <s v="CUST1096"/>
    <s v="PROD66"/>
    <s v="STORE1"/>
    <x v="8"/>
    <s v="Women's Hair Dryer Brush"/>
    <x v="2"/>
    <x v="0"/>
    <s v="Samantha Walker"/>
    <n v="1"/>
    <n v="338.83"/>
    <n v="0.19"/>
    <x v="1"/>
    <x v="1933"/>
  </r>
  <r>
    <s v="SALE1937"/>
    <d v="2023-12-05T00:00:00"/>
    <s v="CUST1285"/>
    <s v="PROD49"/>
    <s v="STORE13"/>
    <x v="13"/>
    <s v="Men's Roll-On Perfume"/>
    <x v="2"/>
    <x v="3"/>
    <s v="Donna Guerra"/>
    <n v="4"/>
    <n v="568.80999999999995"/>
    <n v="0.25"/>
    <x v="0"/>
    <x v="1934"/>
  </r>
  <r>
    <s v="SALE1938"/>
    <d v="2024-11-11T00:00:00"/>
    <s v="CUST1375"/>
    <s v="PROD61"/>
    <s v="STORE17"/>
    <x v="1"/>
    <s v="Tennis Ball 3-Pack"/>
    <x v="0"/>
    <x v="0"/>
    <s v="Joshua Bell"/>
    <n v="2"/>
    <n v="352.63"/>
    <n v="0.15"/>
    <x v="1"/>
    <x v="1935"/>
  </r>
  <r>
    <s v="SALE1939"/>
    <d v="2024-03-31T00:00:00"/>
    <s v="CUST1156"/>
    <s v="PROD96"/>
    <s v="STORE13"/>
    <x v="13"/>
    <s v="Women's Formal Blazer"/>
    <x v="4"/>
    <x v="3"/>
    <s v="Maria Sanchez"/>
    <n v="2"/>
    <n v="629.86"/>
    <n v="0.15"/>
    <x v="1"/>
    <x v="1936"/>
  </r>
  <r>
    <s v="SALE1940"/>
    <d v="2025-05-16T00:00:00"/>
    <s v="CUST1493"/>
    <s v="PROD98"/>
    <s v="STORE3"/>
    <x v="0"/>
    <s v="Portable Bluetooth Speaker"/>
    <x v="1"/>
    <x v="0"/>
    <s v="Amanda Powell"/>
    <n v="3"/>
    <n v="212.08"/>
    <n v="7.0000000000000007E-2"/>
    <x v="0"/>
    <x v="1937"/>
  </r>
  <r>
    <s v="SALE1941"/>
    <d v="2024-10-25T00:00:00"/>
    <s v="CUST1161"/>
    <s v="PROD57"/>
    <s v="STORE2"/>
    <x v="17"/>
    <s v="Foam Roller"/>
    <x v="0"/>
    <x v="2"/>
    <s v="Cynthia Morris"/>
    <n v="3"/>
    <n v="878.62"/>
    <n v="0.05"/>
    <x v="1"/>
    <x v="1938"/>
  </r>
  <r>
    <s v="SALE1942"/>
    <d v="2025-01-22T00:00:00"/>
    <s v="CUST1261"/>
    <s v="PROD80"/>
    <s v="STORE10"/>
    <x v="15"/>
    <s v="Wall-Mounted Spice Rack"/>
    <x v="3"/>
    <x v="3"/>
    <s v="Carol Bishop"/>
    <n v="4"/>
    <n v="87.83"/>
    <n v="0.23"/>
    <x v="1"/>
    <x v="1939"/>
  </r>
  <r>
    <s v="SALE1943"/>
    <d v="2025-06-06T00:00:00"/>
    <s v="CUST1275"/>
    <s v="PROD56"/>
    <s v="STORE9"/>
    <x v="11"/>
    <s v="Premium Blanket Throw"/>
    <x v="3"/>
    <x v="2"/>
    <s v="Shannon Miller"/>
    <n v="3"/>
    <n v="442.64"/>
    <n v="0.15"/>
    <x v="2"/>
    <x v="1940"/>
  </r>
  <r>
    <s v="SALE1944"/>
    <d v="2025-05-18T00:00:00"/>
    <s v="CUST1093"/>
    <s v="PROD38"/>
    <s v="STORE2"/>
    <x v="17"/>
    <s v="Sports Water Hydration Pack"/>
    <x v="0"/>
    <x v="2"/>
    <s v="Christy Vasquez"/>
    <n v="3"/>
    <n v="410.04"/>
    <n v="0.09"/>
    <x v="2"/>
    <x v="1941"/>
  </r>
  <r>
    <s v="SALE1945"/>
    <d v="2025-05-20T00:00:00"/>
    <s v="CUST1133"/>
    <s v="PROD94"/>
    <s v="STORE17"/>
    <x v="1"/>
    <s v="Vitamin E Body Lotion"/>
    <x v="2"/>
    <x v="0"/>
    <s v="Hayley Pope"/>
    <n v="1"/>
    <n v="355.31"/>
    <n v="0.27"/>
    <x v="0"/>
    <x v="1942"/>
  </r>
  <r>
    <s v="SALE1946"/>
    <d v="2024-11-11T00:00:00"/>
    <s v="CUST1376"/>
    <s v="PROD9"/>
    <s v="STORE13"/>
    <x v="13"/>
    <s v="Adjustable Dumbbell Set"/>
    <x v="0"/>
    <x v="3"/>
    <s v="Michele Burke"/>
    <n v="4"/>
    <n v="243.13"/>
    <n v="0.25"/>
    <x v="2"/>
    <x v="1943"/>
  </r>
  <r>
    <s v="SALE1947"/>
    <d v="2024-11-18T00:00:00"/>
    <s v="CUST1229"/>
    <s v="PROD59"/>
    <s v="STORE11"/>
    <x v="19"/>
    <s v="Men's Hair Styling Gel"/>
    <x v="2"/>
    <x v="2"/>
    <s v="Tanner Thompson"/>
    <n v="2"/>
    <n v="410.63"/>
    <n v="0.28000000000000003"/>
    <x v="2"/>
    <x v="1944"/>
  </r>
  <r>
    <s v="SALE1948"/>
    <d v="2024-01-02T00:00:00"/>
    <s v="CUST1425"/>
    <s v="PROD94"/>
    <s v="STORE10"/>
    <x v="15"/>
    <s v="Vitamin E Body Lotion"/>
    <x v="2"/>
    <x v="3"/>
    <s v="Bryce Hawkins"/>
    <n v="4"/>
    <n v="101.25"/>
    <n v="0.16"/>
    <x v="1"/>
    <x v="1945"/>
  </r>
  <r>
    <s v="SALE1949"/>
    <d v="2024-01-10T00:00:00"/>
    <s v="CUST1226"/>
    <s v="PROD7"/>
    <s v="STORE17"/>
    <x v="1"/>
    <s v="LED Table Lamp"/>
    <x v="3"/>
    <x v="0"/>
    <s v="Alexis Castaneda"/>
    <n v="4"/>
    <n v="716.39"/>
    <n v="0.03"/>
    <x v="1"/>
    <x v="1946"/>
  </r>
  <r>
    <s v="SALE1950"/>
    <d v="2024-01-20T00:00:00"/>
    <s v="CUST1094"/>
    <s v="PROD73"/>
    <s v="STORE1"/>
    <x v="8"/>
    <s v="Shin Guards – Adult"/>
    <x v="0"/>
    <x v="0"/>
    <s v="David Patterson"/>
    <n v="1"/>
    <n v="721.74"/>
    <n v="0.24"/>
    <x v="1"/>
    <x v="1947"/>
  </r>
  <r>
    <s v="SALE1951"/>
    <d v="2025-02-14T00:00:00"/>
    <s v="CUST1054"/>
    <s v="PROD62"/>
    <s v="STORE11"/>
    <x v="19"/>
    <s v="Laptop Cooling Pad"/>
    <x v="1"/>
    <x v="2"/>
    <s v="Katherine Dorsey"/>
    <n v="2"/>
    <n v="527.91"/>
    <n v="0.02"/>
    <x v="0"/>
    <x v="1948"/>
  </r>
  <r>
    <s v="SALE1952"/>
    <d v="2024-08-21T00:00:00"/>
    <s v="CUST1319"/>
    <s v="PROD52"/>
    <s v="STORE13"/>
    <x v="13"/>
    <s v="Rugby Ball"/>
    <x v="0"/>
    <x v="3"/>
    <s v="Casey Simpson"/>
    <n v="2"/>
    <n v="945.92"/>
    <n v="0.19"/>
    <x v="2"/>
    <x v="1949"/>
  </r>
  <r>
    <s v="SALE1953"/>
    <d v="2025-05-03T00:00:00"/>
    <s v="CUST1081"/>
    <s v="PROD56"/>
    <s v="STORE17"/>
    <x v="1"/>
    <s v="Premium Blanket Throw"/>
    <x v="3"/>
    <x v="0"/>
    <s v="Krystal Ford"/>
    <n v="2"/>
    <n v="981.35"/>
    <n v="0.16"/>
    <x v="1"/>
    <x v="1950"/>
  </r>
  <r>
    <s v="SALE1954"/>
    <d v="2025-06-11T00:00:00"/>
    <s v="CUST1223"/>
    <s v="PROD59"/>
    <s v="STORE3"/>
    <x v="0"/>
    <s v="Men's Hair Styling Gel"/>
    <x v="2"/>
    <x v="0"/>
    <s v="Robert Harris"/>
    <n v="1"/>
    <n v="913.99"/>
    <n v="0.14000000000000001"/>
    <x v="0"/>
    <x v="1951"/>
  </r>
  <r>
    <s v="SALE1955"/>
    <d v="2025-07-25T00:00:00"/>
    <s v="CUST1011"/>
    <s v="PROD66"/>
    <s v="STORE8"/>
    <x v="2"/>
    <s v="Women's Hair Dryer Brush"/>
    <x v="2"/>
    <x v="1"/>
    <s v="Brian Lopez"/>
    <n v="4"/>
    <n v="270.69"/>
    <n v="0.18"/>
    <x v="1"/>
    <x v="1952"/>
  </r>
  <r>
    <s v="SALE1956"/>
    <d v="2025-01-30T00:00:00"/>
    <s v="CUST1161"/>
    <s v="PROD77"/>
    <s v="STORE6"/>
    <x v="16"/>
    <s v="WiFi Mesh Router"/>
    <x v="1"/>
    <x v="3"/>
    <s v="Cynthia Morris"/>
    <n v="3"/>
    <n v="998.58"/>
    <n v="0.02"/>
    <x v="0"/>
    <x v="1953"/>
  </r>
  <r>
    <s v="SALE1957"/>
    <d v="2025-05-29T00:00:00"/>
    <s v="CUST1456"/>
    <s v="PROD37"/>
    <s v="STORE9"/>
    <x v="11"/>
    <s v="Men's Casual Sneakers"/>
    <x v="4"/>
    <x v="2"/>
    <s v="Julie Powell"/>
    <n v="3"/>
    <n v="765.12"/>
    <n v="0.18"/>
    <x v="0"/>
    <x v="1954"/>
  </r>
  <r>
    <s v="SALE1958"/>
    <d v="2023-10-17T00:00:00"/>
    <s v="CUST1072"/>
    <s v="PROD64"/>
    <s v="STORE19"/>
    <x v="12"/>
    <s v="Matte Lipstick Set"/>
    <x v="2"/>
    <x v="3"/>
    <s v="Tonya Burch"/>
    <n v="3"/>
    <n v="449.99"/>
    <n v="0.17"/>
    <x v="2"/>
    <x v="1955"/>
  </r>
  <r>
    <s v="SALE1959"/>
    <d v="2024-12-13T00:00:00"/>
    <s v="CUST1252"/>
    <s v="PROD43"/>
    <s v="STORE11"/>
    <x v="19"/>
    <s v="USB External Hard Drive"/>
    <x v="1"/>
    <x v="2"/>
    <s v="John Mccoy"/>
    <n v="2"/>
    <n v="249.02"/>
    <n v="0.01"/>
    <x v="2"/>
    <x v="1956"/>
  </r>
  <r>
    <s v="SALE1960"/>
    <d v="2024-06-11T00:00:00"/>
    <s v="CUST1137"/>
    <s v="PROD57"/>
    <s v="STORE19"/>
    <x v="12"/>
    <s v="Foam Roller"/>
    <x v="0"/>
    <x v="3"/>
    <s v="Rick Dominguez"/>
    <n v="3"/>
    <n v="223.64"/>
    <n v="0.05"/>
    <x v="0"/>
    <x v="1957"/>
  </r>
  <r>
    <s v="SALE1961"/>
    <d v="2025-10-04T00:00:00"/>
    <s v="CUST1106"/>
    <s v="PROD24"/>
    <s v="STORE4"/>
    <x v="5"/>
    <s v="Foldable Camping Chair"/>
    <x v="0"/>
    <x v="2"/>
    <s v="Howard Summers"/>
    <n v="2"/>
    <n v="92.94"/>
    <n v="0.12"/>
    <x v="0"/>
    <x v="1958"/>
  </r>
  <r>
    <s v="SALE1962"/>
    <d v="2024-04-19T00:00:00"/>
    <s v="CUST1361"/>
    <s v="PROD16"/>
    <s v="STORE2"/>
    <x v="17"/>
    <s v="Not Found"/>
    <x v="5"/>
    <x v="2"/>
    <s v="Natalie Johnson"/>
    <n v="4"/>
    <n v="268.3"/>
    <n v="0.02"/>
    <x v="2"/>
    <x v="1959"/>
  </r>
  <r>
    <s v="SALE1963"/>
    <d v="2025-04-23T00:00:00"/>
    <s v="CUST1442"/>
    <s v="PROD59"/>
    <s v="STORE19"/>
    <x v="12"/>
    <s v="Men's Hair Styling Gel"/>
    <x v="2"/>
    <x v="3"/>
    <s v="Kelli Smith"/>
    <n v="4"/>
    <n v="835.61"/>
    <n v="0.03"/>
    <x v="0"/>
    <x v="1960"/>
  </r>
  <r>
    <s v="SALE1964"/>
    <d v="2024-04-23T00:00:00"/>
    <s v="CUST1382"/>
    <s v="PROD68"/>
    <s v="STORE5"/>
    <x v="3"/>
    <s v="Wooden Nightstand"/>
    <x v="3"/>
    <x v="0"/>
    <s v="Martha Brown"/>
    <n v="3"/>
    <n v="120.97"/>
    <n v="0.11"/>
    <x v="0"/>
    <x v="1961"/>
  </r>
  <r>
    <s v="SALE1965"/>
    <d v="2024-05-12T00:00:00"/>
    <s v="CUST1030"/>
    <s v="PROD40"/>
    <s v="STORE9"/>
    <x v="11"/>
    <s v="Noise-Canceling Headphones"/>
    <x v="1"/>
    <x v="2"/>
    <s v="Jessica Acevedo"/>
    <n v="2"/>
    <n v="26.36"/>
    <n v="0.03"/>
    <x v="2"/>
    <x v="1962"/>
  </r>
  <r>
    <s v="SALE1966"/>
    <d v="2025-08-12T00:00:00"/>
    <s v="CUST1033"/>
    <s v="PROD77"/>
    <s v="STORE6"/>
    <x v="16"/>
    <s v="WiFi Mesh Router"/>
    <x v="1"/>
    <x v="3"/>
    <s v="Robert Jones DDS"/>
    <n v="1"/>
    <n v="918.87"/>
    <n v="0.11"/>
    <x v="1"/>
    <x v="1963"/>
  </r>
  <r>
    <s v="SALE1967"/>
    <d v="2025-05-17T00:00:00"/>
    <s v="CUST1031"/>
    <s v="PROD67"/>
    <s v="STORE11"/>
    <x v="19"/>
    <s v="Smart LED Light Strip"/>
    <x v="1"/>
    <x v="2"/>
    <s v="Sarah Vance"/>
    <n v="2"/>
    <n v="924.73"/>
    <n v="0.28999999999999998"/>
    <x v="1"/>
    <x v="1964"/>
  </r>
  <r>
    <s v="SALE1968"/>
    <d v="2025-01-08T00:00:00"/>
    <s v="CUST1021"/>
    <s v="PROD12"/>
    <s v="STORE10"/>
    <x v="15"/>
    <s v="Hair Strengthening Shampoo"/>
    <x v="2"/>
    <x v="3"/>
    <s v="Jeff Martinez"/>
    <n v="3"/>
    <n v="195.31"/>
    <n v="0.13"/>
    <x v="2"/>
    <x v="1965"/>
  </r>
  <r>
    <s v="SALE1969"/>
    <d v="2025-05-16T00:00:00"/>
    <s v="CUST1142"/>
    <s v="PROD38"/>
    <s v="STORE8"/>
    <x v="2"/>
    <s v="Sports Water Hydration Pack"/>
    <x v="0"/>
    <x v="1"/>
    <s v="Maria Ramirez"/>
    <n v="1"/>
    <n v="91.38"/>
    <n v="0.14000000000000001"/>
    <x v="0"/>
    <x v="1966"/>
  </r>
  <r>
    <s v="SALE1970"/>
    <d v="2024-09-28T00:00:00"/>
    <s v="CUST1483"/>
    <s v="PROD86"/>
    <s v="STORE11"/>
    <x v="19"/>
    <s v="Kitchen Cutting Board"/>
    <x v="3"/>
    <x v="2"/>
    <s v="Sarah Smith"/>
    <n v="2"/>
    <n v="494.35"/>
    <n v="0.1"/>
    <x v="0"/>
    <x v="1967"/>
  </r>
  <r>
    <s v="SALE1971"/>
    <d v="2024-10-12T00:00:00"/>
    <s v="CUST1255"/>
    <s v="PROD24"/>
    <s v="STORE10"/>
    <x v="15"/>
    <s v="Foldable Camping Chair"/>
    <x v="0"/>
    <x v="3"/>
    <s v="Damon Perez"/>
    <n v="1"/>
    <n v="412.2"/>
    <n v="0.11"/>
    <x v="0"/>
    <x v="1968"/>
  </r>
  <r>
    <s v="SALE1972"/>
    <d v="2024-06-23T00:00:00"/>
    <s v="CUST1394"/>
    <s v="PROD79"/>
    <s v="STORE16"/>
    <x v="9"/>
    <s v="Decorative Lamp Shade"/>
    <x v="3"/>
    <x v="1"/>
    <s v="Alejandro Evans"/>
    <n v="1"/>
    <n v="650.47"/>
    <n v="0.13"/>
    <x v="1"/>
    <x v="1969"/>
  </r>
  <r>
    <s v="SALE1973"/>
    <d v="2023-11-26T00:00:00"/>
    <s v="CUST1155"/>
    <s v="PROD14"/>
    <s v="STORE12"/>
    <x v="18"/>
    <s v="Decorative Wall Mirror"/>
    <x v="3"/>
    <x v="0"/>
    <s v="Curtis Haynes"/>
    <n v="1"/>
    <n v="68.209999999999994"/>
    <n v="0.05"/>
    <x v="1"/>
    <x v="1970"/>
  </r>
  <r>
    <s v="SALE1974"/>
    <d v="2025-08-17T00:00:00"/>
    <s v="CUST1135"/>
    <s v="PROD53"/>
    <s v="STORE7"/>
    <x v="4"/>
    <s v="Men's Track Pants"/>
    <x v="4"/>
    <x v="2"/>
    <s v="Matthew Hanna"/>
    <n v="2"/>
    <n v="842.89"/>
    <n v="0.25"/>
    <x v="2"/>
    <x v="1971"/>
  </r>
  <r>
    <s v="SALE1975"/>
    <d v="2024-04-08T00:00:00"/>
    <s v="CUST1300"/>
    <s v="PROD5"/>
    <s v="STORE4"/>
    <x v="5"/>
    <s v="Men's Leather Belt"/>
    <x v="4"/>
    <x v="2"/>
    <s v="Matthew Avery"/>
    <n v="2"/>
    <n v="227.95"/>
    <n v="0.24"/>
    <x v="2"/>
    <x v="1972"/>
  </r>
  <r>
    <s v="SALE1976"/>
    <d v="2024-04-06T00:00:00"/>
    <s v="CUST1192"/>
    <s v="PROD66"/>
    <s v="STORE12"/>
    <x v="18"/>
    <s v="Women's Hair Dryer Brush"/>
    <x v="2"/>
    <x v="0"/>
    <s v="Jacob Wood"/>
    <n v="3"/>
    <n v="685.97"/>
    <n v="0.24"/>
    <x v="1"/>
    <x v="1973"/>
  </r>
  <r>
    <s v="SALE1977"/>
    <d v="2025-05-16T00:00:00"/>
    <s v="CUST1365"/>
    <s v="PROD29"/>
    <s v="STORE2"/>
    <x v="17"/>
    <s v="Fabric Sofa Throw Blanket"/>
    <x v="3"/>
    <x v="2"/>
    <s v="Brandon Mcbride"/>
    <n v="1"/>
    <n v="722.57"/>
    <n v="0.18"/>
    <x v="0"/>
    <x v="1974"/>
  </r>
  <r>
    <s v="SALE1978"/>
    <d v="2024-11-19T00:00:00"/>
    <s v="CUST1140"/>
    <s v="PROD35"/>
    <s v="STORE5"/>
    <x v="3"/>
    <s v="Bedroom Table Lamp"/>
    <x v="3"/>
    <x v="0"/>
    <s v="Patty Francis"/>
    <n v="3"/>
    <n v="585.54999999999995"/>
    <n v="0.14000000000000001"/>
    <x v="2"/>
    <x v="1975"/>
  </r>
  <r>
    <s v="SALE1979"/>
    <d v="2025-01-09T00:00:00"/>
    <s v="CUST1309"/>
    <s v="PROD46"/>
    <s v="STORE13"/>
    <x v="13"/>
    <s v="Men's Winter Jacket"/>
    <x v="4"/>
    <x v="3"/>
    <s v="Stacy Collins"/>
    <n v="2"/>
    <n v="635.80999999999995"/>
    <n v="0.13"/>
    <x v="1"/>
    <x v="1976"/>
  </r>
  <r>
    <s v="SALE1980"/>
    <d v="2024-12-18T00:00:00"/>
    <s v="CUST1277"/>
    <s v="PROD14"/>
    <s v="STORE4"/>
    <x v="5"/>
    <s v="Decorative Wall Mirror"/>
    <x v="3"/>
    <x v="2"/>
    <s v="Jeffrey Gomez"/>
    <n v="2"/>
    <n v="353.74"/>
    <n v="0.01"/>
    <x v="0"/>
    <x v="1977"/>
  </r>
  <r>
    <s v="SALE1981"/>
    <d v="2024-12-22T00:00:00"/>
    <s v="CUST1264"/>
    <s v="PROD36"/>
    <s v="STORE7"/>
    <x v="4"/>
    <s v="Women's Summer Dress"/>
    <x v="4"/>
    <x v="2"/>
    <s v="Matthew Payne"/>
    <n v="1"/>
    <n v="377.52"/>
    <n v="0.15"/>
    <x v="0"/>
    <x v="1978"/>
  </r>
  <r>
    <s v="SALE1982"/>
    <d v="2024-07-27T00:00:00"/>
    <s v="CUST1205"/>
    <s v="PROD68"/>
    <s v="STORE2"/>
    <x v="17"/>
    <s v="Wooden Nightstand"/>
    <x v="3"/>
    <x v="2"/>
    <s v="Michelle Carpenter"/>
    <n v="3"/>
    <n v="901.49"/>
    <n v="0"/>
    <x v="0"/>
    <x v="1979"/>
  </r>
  <r>
    <s v="SALE1983"/>
    <d v="2025-05-29T00:00:00"/>
    <s v="CUST1200"/>
    <s v="PROD30"/>
    <s v="STORE5"/>
    <x v="3"/>
    <s v="Stainless Steel Cutlery Set"/>
    <x v="3"/>
    <x v="0"/>
    <s v="Anna Perez"/>
    <n v="1"/>
    <n v="563.01"/>
    <n v="0.1"/>
    <x v="0"/>
    <x v="1980"/>
  </r>
  <r>
    <s v="SALE1984"/>
    <d v="2024-03-14T00:00:00"/>
    <s v="CUST1052"/>
    <s v="PROD70"/>
    <s v="STORE6"/>
    <x v="16"/>
    <s v="Kitchen Storage Rack"/>
    <x v="3"/>
    <x v="3"/>
    <s v="Debra Liu"/>
    <n v="4"/>
    <n v="167.25"/>
    <n v="0.11"/>
    <x v="0"/>
    <x v="1981"/>
  </r>
  <r>
    <s v="SALE1985"/>
    <d v="2023-10-30T00:00:00"/>
    <s v="CUST1454"/>
    <s v="PROD60"/>
    <s v="STORE18"/>
    <x v="14"/>
    <s v="Luxury Perfume Spray"/>
    <x v="2"/>
    <x v="3"/>
    <s v="John Berg"/>
    <n v="3"/>
    <n v="345.43"/>
    <n v="0.08"/>
    <x v="2"/>
    <x v="1982"/>
  </r>
  <r>
    <s v="SALE1986"/>
    <d v="2024-02-27T00:00:00"/>
    <s v="CUST1308"/>
    <s v="PROD82"/>
    <s v="STORE9"/>
    <x v="11"/>
    <s v="Fitness Resistance Bands"/>
    <x v="0"/>
    <x v="2"/>
    <s v="Jennifer Zamora"/>
    <n v="4"/>
    <n v="752.48"/>
    <n v="0.23"/>
    <x v="0"/>
    <x v="1983"/>
  </r>
  <r>
    <s v="SALE1987"/>
    <d v="2025-08-17T00:00:00"/>
    <s v="CUST1449"/>
    <s v="PROD57"/>
    <s v="STORE19"/>
    <x v="12"/>
    <s v="Foam Roller"/>
    <x v="0"/>
    <x v="3"/>
    <s v="William Cortez"/>
    <n v="1"/>
    <n v="120.02"/>
    <n v="0.26"/>
    <x v="0"/>
    <x v="1984"/>
  </r>
  <r>
    <s v="SALE1988"/>
    <d v="2024-03-08T00:00:00"/>
    <s v="CUST1323"/>
    <s v="PROD41"/>
    <s v="STORE8"/>
    <x v="2"/>
    <s v="Yoga Exercise Mat"/>
    <x v="0"/>
    <x v="1"/>
    <s v="Kristy Dunlap"/>
    <n v="3"/>
    <n v="146.71"/>
    <n v="0.28000000000000003"/>
    <x v="0"/>
    <x v="1985"/>
  </r>
  <r>
    <s v="SALE1989"/>
    <d v="2025-03-14T00:00:00"/>
    <s v="CUST1082"/>
    <s v="PROD64"/>
    <s v="STORE0"/>
    <x v="6"/>
    <s v="Matte Lipstick Set"/>
    <x v="2"/>
    <x v="3"/>
    <s v="George Rosario"/>
    <n v="2"/>
    <n v="358.87"/>
    <n v="0.24"/>
    <x v="0"/>
    <x v="1986"/>
  </r>
  <r>
    <s v="SALE1990"/>
    <d v="2024-06-13T00:00:00"/>
    <s v="CUST1241"/>
    <s v="PROD52"/>
    <s v="STORE3"/>
    <x v="0"/>
    <s v="Rugby Ball"/>
    <x v="0"/>
    <x v="0"/>
    <s v="Mr. William Horton"/>
    <n v="4"/>
    <n v="212.75"/>
    <n v="0.11"/>
    <x v="2"/>
    <x v="1987"/>
  </r>
  <r>
    <s v="SALE1991"/>
    <d v="2024-06-07T00:00:00"/>
    <s v="CUST1327"/>
    <s v="PROD45"/>
    <s v="STORE11"/>
    <x v="19"/>
    <s v="High-Grip Football"/>
    <x v="0"/>
    <x v="2"/>
    <s v="Reginald Willis"/>
    <n v="1"/>
    <n v="183.47"/>
    <n v="0.17"/>
    <x v="1"/>
    <x v="1988"/>
  </r>
  <r>
    <s v="SALE1992"/>
    <d v="2024-07-20T00:00:00"/>
    <s v="CUST1068"/>
    <s v="PROD89"/>
    <s v="STORE15"/>
    <x v="10"/>
    <s v="Face Foundation Kit"/>
    <x v="2"/>
    <x v="0"/>
    <s v="Mr. Mark Beasley"/>
    <n v="4"/>
    <n v="569.98"/>
    <n v="0.23"/>
    <x v="0"/>
    <x v="1989"/>
  </r>
  <r>
    <s v="SALE1993"/>
    <d v="2023-12-14T00:00:00"/>
    <s v="CUST1472"/>
    <s v="PROD21"/>
    <s v="STORE12"/>
    <x v="18"/>
    <s v="Multi-Purpose Storage Box"/>
    <x v="3"/>
    <x v="0"/>
    <s v="Philip Mendoza"/>
    <n v="3"/>
    <n v="984.12"/>
    <n v="0.27"/>
    <x v="0"/>
    <x v="1990"/>
  </r>
  <r>
    <s v="SALE1994"/>
    <d v="2025-07-06T00:00:00"/>
    <s v="CUST1473"/>
    <s v="PROD84"/>
    <s v="STORE8"/>
    <x v="2"/>
    <s v="Wooden Bookshelf"/>
    <x v="3"/>
    <x v="1"/>
    <s v="Laura Mathews"/>
    <n v="1"/>
    <n v="905.23"/>
    <n v="0"/>
    <x v="0"/>
    <x v="1991"/>
  </r>
  <r>
    <s v="SALE1995"/>
    <d v="2023-12-04T00:00:00"/>
    <s v="CUST1186"/>
    <s v="PROD99"/>
    <s v="STORE19"/>
    <x v="12"/>
    <s v="Stainless Steel Cookware Set"/>
    <x v="3"/>
    <x v="3"/>
    <s v="Jennifer Pruitt"/>
    <n v="3"/>
    <n v="112.77"/>
    <n v="0.19"/>
    <x v="0"/>
    <x v="1992"/>
  </r>
  <r>
    <s v="SALE1996"/>
    <d v="2025-04-26T00:00:00"/>
    <s v="CUST1161"/>
    <s v="PROD35"/>
    <s v="STORE8"/>
    <x v="2"/>
    <s v="Bedroom Table Lamp"/>
    <x v="3"/>
    <x v="1"/>
    <s v="Cynthia Morris"/>
    <n v="3"/>
    <n v="875.99"/>
    <n v="0.09"/>
    <x v="1"/>
    <x v="1993"/>
  </r>
  <r>
    <s v="SALE1997"/>
    <d v="2024-06-17T00:00:00"/>
    <s v="CUST1128"/>
    <s v="PROD89"/>
    <s v="STORE10"/>
    <x v="15"/>
    <s v="Face Foundation Kit"/>
    <x v="2"/>
    <x v="3"/>
    <s v="Susan Mcdonald"/>
    <n v="2"/>
    <n v="685.31"/>
    <n v="0.26"/>
    <x v="1"/>
    <x v="1994"/>
  </r>
  <r>
    <s v="SALE1998"/>
    <d v="2024-11-11T00:00:00"/>
    <s v="CUST1052"/>
    <s v="PROD61"/>
    <s v="STORE11"/>
    <x v="19"/>
    <s v="Tennis Ball 3-Pack"/>
    <x v="0"/>
    <x v="2"/>
    <s v="Debra Liu"/>
    <n v="3"/>
    <n v="945.37"/>
    <n v="0.05"/>
    <x v="0"/>
    <x v="1995"/>
  </r>
  <r>
    <s v="SALE1999"/>
    <d v="2023-12-07T00:00:00"/>
    <s v="CUST1023"/>
    <s v="PROD76"/>
    <s v="STORE19"/>
    <x v="12"/>
    <s v="Wireless Mouse"/>
    <x v="1"/>
    <x v="3"/>
    <s v="Jonathan Steele"/>
    <n v="3"/>
    <n v="68.45"/>
    <n v="0.17"/>
    <x v="1"/>
    <x v="1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7DE74B-A51A-4B72-8E35-85A2BA1A1E0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5" firstHeaderRow="1" firstDataRow="1" firstDataCol="1"/>
  <pivotFields count="15">
    <pivotField showAll="0"/>
    <pivotField numFmtId="167" showAll="0"/>
    <pivotField showAll="0"/>
    <pivotField showAll="0"/>
    <pivotField showAll="0"/>
    <pivotField showAll="0"/>
    <pivotField showAll="0"/>
    <pivotField showAll="0">
      <items count="7">
        <item x="2"/>
        <item x="4"/>
        <item x="1"/>
        <item x="3"/>
        <item x="5"/>
        <item x="0"/>
        <item t="default"/>
      </items>
    </pivotField>
    <pivotField axis="axisRow" showAll="0">
      <items count="5">
        <item x="3"/>
        <item x="0"/>
        <item x="2"/>
        <item x="1"/>
        <item t="default"/>
      </items>
    </pivotField>
    <pivotField showAll="0"/>
    <pivotField showAll="0"/>
    <pivotField showAll="0"/>
    <pivotField showAll="0"/>
    <pivotField showAll="0"/>
    <pivotField dataField="1" showAll="0"/>
  </pivotFields>
  <rowFields count="1">
    <field x="8"/>
  </rowFields>
  <rowItems count="5">
    <i>
      <x/>
    </i>
    <i>
      <x v="1"/>
    </i>
    <i>
      <x v="2"/>
    </i>
    <i>
      <x v="3"/>
    </i>
    <i t="grand">
      <x/>
    </i>
  </rowItems>
  <colItems count="1">
    <i/>
  </colItems>
  <dataFields count="1">
    <dataField name="Sum of Total_Amount" fld="14" baseField="0" baseItem="0"/>
  </dataFields>
  <formats count="2">
    <format dxfId="6">
      <pivotArea collapsedLevelsAreSubtotals="1" fieldPosition="0">
        <references count="1">
          <reference field="8" count="0"/>
        </references>
      </pivotArea>
    </format>
    <format dxfId="5">
      <pivotArea grandRow="1" outline="0" collapsedLevelsAreSubtotals="1" fieldPosition="0"/>
    </format>
  </formats>
  <conditionalFormats count="1">
    <conditionalFormat type="all" priority="2">
      <pivotAreas count="1">
        <pivotArea type="data" collapsedLevelsAreSubtotals="1" fieldPosition="0">
          <references count="2">
            <reference field="4294967294" count="1" selected="0">
              <x v="0"/>
            </reference>
            <reference field="8" count="4">
              <x v="0"/>
              <x v="1"/>
              <x v="2"/>
              <x v="3"/>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F39C9-5625-49D0-8523-9AA7B49106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24" firstHeaderRow="1" firstDataRow="1" firstDataCol="1"/>
  <pivotFields count="15">
    <pivotField showAll="0"/>
    <pivotField numFmtId="167" showAll="0"/>
    <pivotField showAll="0"/>
    <pivotField showAll="0"/>
    <pivotField showAll="0"/>
    <pivotField axis="axisRow" showAll="0">
      <items count="21">
        <item x="19"/>
        <item x="5"/>
        <item x="2"/>
        <item x="16"/>
        <item x="17"/>
        <item x="9"/>
        <item x="13"/>
        <item x="3"/>
        <item x="14"/>
        <item x="15"/>
        <item x="1"/>
        <item x="0"/>
        <item x="12"/>
        <item x="8"/>
        <item x="4"/>
        <item x="7"/>
        <item x="11"/>
        <item x="6"/>
        <item x="10"/>
        <item x="18"/>
        <item t="default"/>
      </items>
    </pivotField>
    <pivotField showAll="0"/>
    <pivotField showAll="0"/>
    <pivotField showAll="0"/>
    <pivotField showAll="0"/>
    <pivotField showAll="0"/>
    <pivotField showAll="0"/>
    <pivotField showAll="0"/>
    <pivotField showAll="0"/>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14" baseField="0" baseItem="0"/>
  </dataFields>
  <formats count="2">
    <format dxfId="8">
      <pivotArea collapsedLevelsAreSubtotals="1" fieldPosition="0">
        <references count="1">
          <reference field="5" count="0"/>
        </references>
      </pivotArea>
    </format>
    <format dxfId="7">
      <pivotArea grandRow="1" outline="0" collapsedLevelsAreSubtotals="1" fieldPosition="0"/>
    </format>
  </formats>
  <conditionalFormats count="1">
    <conditionalFormat type="all" priority="1">
      <pivotAreas count="1">
        <pivotArea type="data" collapsedLevelsAreSubtotals="1" fieldPosition="0">
          <references count="2">
            <reference field="4294967294" count="1" selected="0">
              <x v="0"/>
            </reference>
            <reference field="5" count="20">
              <x v="0"/>
              <x v="1"/>
              <x v="2"/>
              <x v="3"/>
              <x v="4"/>
              <x v="5"/>
              <x v="6"/>
              <x v="7"/>
              <x v="8"/>
              <x v="9"/>
              <x v="10"/>
              <x v="11"/>
              <x v="12"/>
              <x v="13"/>
              <x v="14"/>
              <x v="15"/>
              <x v="16"/>
              <x v="17"/>
              <x v="18"/>
              <x v="19"/>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C77A56-A4FD-4A94-97FC-964E1C5607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7" firstHeaderRow="1" firstDataRow="1" firstDataCol="1"/>
  <pivotFields count="15">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s>
  <rowFields count="1">
    <field x="13"/>
  </rowFields>
  <rowItems count="4">
    <i>
      <x/>
    </i>
    <i>
      <x v="1"/>
    </i>
    <i>
      <x v="2"/>
    </i>
    <i t="grand">
      <x/>
    </i>
  </rowItems>
  <colItems count="1">
    <i/>
  </colItems>
  <dataFields count="1">
    <dataField name="Sum of Total_Amount" fld="14" baseField="0" baseItem="0"/>
  </dataFields>
  <formats count="2">
    <format dxfId="10">
      <pivotArea collapsedLevelsAreSubtotals="1" fieldPosition="0">
        <references count="1">
          <reference field="13" count="0"/>
        </references>
      </pivotArea>
    </format>
    <format dxfId="9">
      <pivotArea grandRow="1"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95AA1B-0264-4392-8DED-9AF0616BC7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5">
    <pivotField showAll="0"/>
    <pivotField numFmtId="167" showAll="0"/>
    <pivotField showAll="0"/>
    <pivotField showAll="0"/>
    <pivotField showAll="0"/>
    <pivotField showAll="0"/>
    <pivotField showAll="0"/>
    <pivotField axis="axisRow" showAll="0">
      <items count="7">
        <item x="2"/>
        <item x="4"/>
        <item x="1"/>
        <item x="3"/>
        <item x="5"/>
        <item x="0"/>
        <item t="default"/>
      </items>
    </pivotField>
    <pivotField showAll="0"/>
    <pivotField showAll="0"/>
    <pivotField showAll="0"/>
    <pivotField showAll="0"/>
    <pivotField showAll="0"/>
    <pivotField showAll="0"/>
    <pivotField dataField="1" showAll="0">
      <items count="1998">
        <item x="921"/>
        <item x="826"/>
        <item x="1674"/>
        <item x="1739"/>
        <item x="470"/>
        <item x="719"/>
        <item x="892"/>
        <item x="824"/>
        <item x="581"/>
        <item x="1225"/>
        <item x="1028"/>
        <item x="1850"/>
        <item x="397"/>
        <item x="1152"/>
        <item x="1290"/>
        <item x="1548"/>
        <item x="1898"/>
        <item x="1828"/>
        <item x="1210"/>
        <item x="881"/>
        <item x="1819"/>
        <item x="1365"/>
        <item x="1915"/>
        <item x="1373"/>
        <item x="1745"/>
        <item x="525"/>
        <item x="1962"/>
        <item x="575"/>
        <item x="1161"/>
        <item x="1692"/>
        <item x="1685"/>
        <item x="503"/>
        <item x="1330"/>
        <item x="602"/>
        <item x="591"/>
        <item x="917"/>
        <item x="986"/>
        <item x="1614"/>
        <item x="953"/>
        <item x="674"/>
        <item x="1660"/>
        <item x="1876"/>
        <item x="1970"/>
        <item x="1289"/>
        <item x="1069"/>
        <item x="328"/>
        <item x="996"/>
        <item x="662"/>
        <item x="626"/>
        <item x="1117"/>
        <item x="519"/>
        <item x="1024"/>
        <item x="121"/>
        <item x="326"/>
        <item x="310"/>
        <item x="1734"/>
        <item x="174"/>
        <item x="1256"/>
        <item x="1564"/>
        <item x="678"/>
        <item x="1966"/>
        <item x="462"/>
        <item x="154"/>
        <item x="1465"/>
        <item x="1163"/>
        <item x="724"/>
        <item x="410"/>
        <item x="1247"/>
        <item x="723"/>
        <item x="1590"/>
        <item x="796"/>
        <item x="1182"/>
        <item x="894"/>
        <item x="1444"/>
        <item x="1637"/>
        <item x="1984"/>
        <item x="1459"/>
        <item x="1093"/>
        <item x="597"/>
        <item x="1124"/>
        <item x="1889"/>
        <item x="1770"/>
        <item x="155"/>
        <item x="1323"/>
        <item x="334"/>
        <item x="1859"/>
        <item x="1713"/>
        <item x="412"/>
        <item x="1758"/>
        <item x="747"/>
        <item x="1414"/>
        <item x="1742"/>
        <item x="1840"/>
        <item x="1664"/>
        <item x="1385"/>
        <item x="1304"/>
        <item x="1596"/>
        <item x="1592"/>
        <item x="379"/>
        <item x="1302"/>
        <item x="919"/>
        <item x="167"/>
        <item x="1680"/>
        <item x="1712"/>
        <item x="253"/>
        <item x="1243"/>
        <item x="972"/>
        <item x="1458"/>
        <item x="115"/>
        <item x="632"/>
        <item x="1045"/>
        <item x="47"/>
        <item x="92"/>
        <item x="744"/>
        <item x="1879"/>
        <item x="580"/>
        <item x="898"/>
        <item x="1240"/>
        <item x="932"/>
        <item x="1131"/>
        <item x="1606"/>
        <item x="204"/>
        <item x="1416"/>
        <item x="1512"/>
        <item x="1388"/>
        <item x="1837"/>
        <item x="1047"/>
        <item x="380"/>
        <item x="1804"/>
        <item x="1886"/>
        <item x="430"/>
        <item x="1557"/>
        <item x="1724"/>
        <item x="1140"/>
        <item x="28"/>
        <item x="512"/>
        <item x="1806"/>
        <item x="82"/>
        <item x="513"/>
        <item x="1928"/>
        <item x="1543"/>
        <item x="737"/>
        <item x="1060"/>
        <item x="178"/>
        <item x="1506"/>
        <item x="1310"/>
        <item x="897"/>
        <item x="866"/>
        <item x="505"/>
        <item x="1582"/>
        <item x="1327"/>
        <item x="1873"/>
        <item x="1064"/>
        <item x="1884"/>
        <item x="417"/>
        <item x="345"/>
        <item x="1508"/>
        <item x="1043"/>
        <item x="1296"/>
        <item x="1701"/>
        <item x="1988"/>
        <item x="1788"/>
        <item x="361"/>
        <item x="286"/>
        <item x="936"/>
        <item x="1097"/>
        <item x="1259"/>
        <item x="362"/>
        <item x="1011"/>
        <item x="1165"/>
        <item x="716"/>
        <item x="1958"/>
        <item x="641"/>
        <item x="487"/>
        <item x="1434"/>
        <item x="73"/>
        <item x="1831"/>
        <item x="1578"/>
        <item x="1547"/>
        <item x="51"/>
        <item x="1996"/>
        <item x="844"/>
        <item x="1429"/>
        <item x="1624"/>
        <item x="1610"/>
        <item x="419"/>
        <item x="755"/>
        <item x="278"/>
        <item x="1700"/>
        <item x="255"/>
        <item x="60"/>
        <item x="1527"/>
        <item x="1006"/>
        <item x="1833"/>
        <item x="1655"/>
        <item x="1501"/>
        <item x="1531"/>
        <item x="1211"/>
        <item x="324"/>
        <item x="1173"/>
        <item x="50"/>
        <item x="673"/>
        <item x="644"/>
        <item x="1354"/>
        <item x="156"/>
        <item x="1158"/>
        <item x="149"/>
        <item x="1263"/>
        <item x="1646"/>
        <item x="268"/>
        <item x="1076"/>
        <item x="0"/>
        <item x="664"/>
        <item x="1779"/>
        <item x="1111"/>
        <item x="315"/>
        <item x="1768"/>
        <item x="886"/>
        <item x="243"/>
        <item x="134"/>
        <item x="1224"/>
        <item x="68"/>
        <item x="718"/>
        <item x="295"/>
        <item x="1022"/>
        <item x="1018"/>
        <item x="906"/>
        <item x="1286"/>
        <item x="1249"/>
        <item x="666"/>
        <item x="116"/>
        <item x="640"/>
        <item x="441"/>
        <item x="24"/>
        <item x="499"/>
        <item x="1677"/>
        <item x="712"/>
        <item x="316"/>
        <item x="732"/>
        <item x="502"/>
        <item x="1587"/>
        <item x="1104"/>
        <item x="1694"/>
        <item x="1908"/>
        <item x="1277"/>
        <item x="388"/>
        <item x="110"/>
        <item x="1599"/>
        <item x="1"/>
        <item x="365"/>
        <item x="1409"/>
        <item x="1500"/>
        <item x="1238"/>
        <item x="1584"/>
        <item x="871"/>
        <item x="1546"/>
        <item x="63"/>
        <item x="765"/>
        <item x="667"/>
        <item x="1156"/>
        <item x="1894"/>
        <item x="657"/>
        <item x="472"/>
        <item x="1811"/>
        <item x="809"/>
        <item x="1676"/>
        <item x="629"/>
        <item x="1707"/>
        <item x="168"/>
        <item x="1393"/>
        <item x="1308"/>
        <item x="585"/>
        <item x="840"/>
        <item x="1009"/>
        <item x="910"/>
        <item x="630"/>
        <item x="1545"/>
        <item x="772"/>
        <item x="236"/>
        <item x="1356"/>
        <item x="579"/>
        <item x="1325"/>
        <item x="1138"/>
        <item x="10"/>
        <item x="1942"/>
        <item x="777"/>
        <item x="1258"/>
        <item x="838"/>
        <item x="1027"/>
        <item x="1691"/>
        <item x="190"/>
        <item x="1212"/>
        <item x="635"/>
        <item x="37"/>
        <item x="943"/>
        <item x="690"/>
        <item x="1538"/>
        <item x="311"/>
        <item x="1401"/>
        <item x="1939"/>
        <item x="1690"/>
        <item x="307"/>
        <item x="761"/>
        <item x="905"/>
        <item x="1446"/>
        <item x="80"/>
        <item x="131"/>
        <item x="1322"/>
        <item x="1992"/>
        <item x="1933"/>
        <item x="611"/>
        <item x="507"/>
        <item x="1021"/>
        <item x="1798"/>
        <item x="1185"/>
        <item x="214"/>
        <item x="1328"/>
        <item x="1555"/>
        <item x="1675"/>
        <item x="31"/>
        <item x="78"/>
        <item x="1380"/>
        <item x="216"/>
        <item x="1184"/>
        <item x="1435"/>
        <item x="1598"/>
        <item x="277"/>
        <item x="390"/>
        <item x="151"/>
        <item x="544"/>
        <item x="372"/>
        <item x="1731"/>
        <item x="1186"/>
        <item x="1632"/>
        <item x="548"/>
        <item x="1086"/>
        <item x="873"/>
        <item x="61"/>
        <item x="735"/>
        <item x="863"/>
        <item x="1625"/>
        <item x="1376"/>
        <item x="1478"/>
        <item x="779"/>
        <item x="1644"/>
        <item x="1618"/>
        <item x="265"/>
        <item x="915"/>
        <item x="1985"/>
        <item x="743"/>
        <item x="1785"/>
        <item x="675"/>
        <item x="1890"/>
        <item x="819"/>
        <item x="698"/>
        <item x="1978"/>
        <item x="44"/>
        <item x="1961"/>
        <item x="622"/>
        <item x="1427"/>
        <item x="494"/>
        <item x="1575"/>
        <item x="1460"/>
        <item x="969"/>
        <item x="304"/>
        <item x="1510"/>
        <item x="1826"/>
        <item x="314"/>
        <item x="1214"/>
        <item x="369"/>
        <item x="631"/>
        <item x="542"/>
        <item x="1251"/>
        <item x="1477"/>
        <item x="1220"/>
        <item x="1719"/>
        <item x="1782"/>
        <item x="89"/>
        <item x="338"/>
        <item x="1428"/>
        <item x="1421"/>
        <item x="1945"/>
        <item x="1801"/>
        <item x="497"/>
        <item x="1347"/>
        <item x="1303"/>
        <item x="1485"/>
        <item x="952"/>
        <item x="335"/>
        <item x="1972"/>
        <item x="280"/>
        <item x="795"/>
        <item x="1464"/>
        <item x="231"/>
        <item x="1559"/>
        <item x="1166"/>
        <item x="1101"/>
        <item x="888"/>
        <item x="35"/>
        <item x="1790"/>
        <item x="966"/>
        <item x="1923"/>
        <item x="793"/>
        <item x="1053"/>
        <item x="293"/>
        <item x="1030"/>
        <item x="5"/>
        <item x="239"/>
        <item x="1489"/>
        <item x="1382"/>
        <item x="1005"/>
        <item x="792"/>
        <item x="1442"/>
        <item x="1569"/>
        <item x="1231"/>
        <item x="1784"/>
        <item x="1572"/>
        <item x="774"/>
        <item x="1710"/>
        <item x="722"/>
        <item x="1968"/>
        <item x="756"/>
        <item x="868"/>
        <item x="778"/>
        <item x="642"/>
        <item x="925"/>
        <item x="1350"/>
        <item x="1392"/>
        <item x="48"/>
        <item x="138"/>
        <item x="30"/>
        <item x="808"/>
        <item x="1353"/>
        <item x="1020"/>
        <item x="202"/>
        <item x="86"/>
        <item x="1357"/>
        <item x="1498"/>
        <item x="291"/>
        <item x="119"/>
        <item x="539"/>
        <item x="1751"/>
        <item x="195"/>
        <item x="1877"/>
        <item x="891"/>
        <item x="1391"/>
        <item x="1593"/>
        <item x="1164"/>
        <item x="1523"/>
        <item x="83"/>
        <item x="483"/>
        <item x="262"/>
        <item x="607"/>
        <item x="889"/>
        <item x="213"/>
        <item x="1601"/>
        <item x="665"/>
        <item x="1518"/>
        <item x="727"/>
        <item x="738"/>
        <item x="46"/>
        <item x="271"/>
        <item x="1012"/>
        <item x="1345"/>
        <item x="1620"/>
        <item x="1130"/>
        <item x="250"/>
        <item x="1167"/>
        <item x="1145"/>
        <item x="753"/>
        <item x="467"/>
        <item x="1408"/>
        <item x="62"/>
        <item x="1717"/>
        <item x="1492"/>
        <item x="354"/>
        <item x="79"/>
        <item x="209"/>
        <item x="1897"/>
        <item x="1470"/>
        <item x="422"/>
        <item x="526"/>
        <item x="1179"/>
        <item x="319"/>
        <item x="687"/>
        <item x="645"/>
        <item x="290"/>
        <item x="468"/>
        <item x="1447"/>
        <item x="647"/>
        <item x="481"/>
        <item x="671"/>
        <item x="784"/>
        <item x="1730"/>
        <item x="1180"/>
        <item x="1077"/>
        <item x="817"/>
        <item x="460"/>
        <item x="1626"/>
        <item x="1134"/>
        <item x="1483"/>
        <item x="534"/>
        <item x="875"/>
        <item x="344"/>
        <item x="459"/>
        <item x="437"/>
        <item x="984"/>
        <item x="1816"/>
        <item x="281"/>
        <item x="963"/>
        <item x="13"/>
        <item x="1494"/>
        <item x="1274"/>
        <item x="404"/>
        <item x="704"/>
        <item x="1014"/>
        <item x="1390"/>
        <item x="1168"/>
        <item x="509"/>
        <item x="1315"/>
        <item x="1013"/>
        <item x="1649"/>
        <item x="541"/>
        <item x="158"/>
        <item x="1613"/>
        <item x="371"/>
        <item x="1386"/>
        <item x="1867"/>
        <item x="21"/>
        <item x="546"/>
        <item x="842"/>
        <item x="478"/>
        <item x="825"/>
        <item x="1868"/>
        <item x="1832"/>
        <item x="1037"/>
        <item x="1050"/>
        <item x="750"/>
        <item x="1522"/>
        <item x="1332"/>
        <item x="235"/>
        <item x="598"/>
        <item x="493"/>
        <item x="160"/>
        <item x="924"/>
        <item x="145"/>
        <item x="985"/>
        <item x="358"/>
        <item x="1091"/>
        <item x="729"/>
        <item x="288"/>
        <item x="794"/>
        <item x="1861"/>
        <item x="556"/>
        <item x="804"/>
        <item x="161"/>
        <item x="52"/>
        <item x="1363"/>
        <item x="1807"/>
        <item x="1556"/>
        <item x="1812"/>
        <item x="957"/>
        <item x="1034"/>
        <item x="1001"/>
        <item x="1805"/>
        <item x="289"/>
        <item x="1956"/>
        <item x="1766"/>
        <item x="900"/>
        <item x="395"/>
        <item x="799"/>
        <item x="249"/>
        <item x="709"/>
        <item x="130"/>
        <item x="1687"/>
        <item x="701"/>
        <item x="615"/>
        <item x="789"/>
        <item x="1537"/>
        <item x="76"/>
        <item x="1486"/>
        <item x="1708"/>
        <item x="1319"/>
        <item x="1901"/>
        <item x="913"/>
        <item x="71"/>
        <item x="1980"/>
        <item x="1761"/>
        <item x="1035"/>
        <item x="1965"/>
        <item x="1740"/>
        <item x="1605"/>
        <item x="438"/>
        <item x="1381"/>
        <item x="1252"/>
        <item x="1726"/>
        <item x="1123"/>
        <item x="1136"/>
        <item x="1487"/>
        <item x="1778"/>
        <item x="1432"/>
        <item x="914"/>
        <item x="186"/>
        <item x="920"/>
        <item x="879"/>
        <item x="1349"/>
        <item x="523"/>
        <item x="194"/>
        <item x="1133"/>
        <item x="708"/>
        <item x="1085"/>
        <item x="1741"/>
        <item x="1475"/>
        <item x="1279"/>
        <item x="219"/>
        <item x="1235"/>
        <item x="1229"/>
        <item x="822"/>
        <item x="1461"/>
        <item x="360"/>
        <item x="902"/>
        <item x="1854"/>
        <item x="1396"/>
        <item x="1672"/>
        <item x="141"/>
        <item x="938"/>
        <item x="180"/>
        <item x="1468"/>
        <item x="1407"/>
        <item x="916"/>
        <item x="1986"/>
        <item x="1757"/>
        <item x="1190"/>
        <item x="318"/>
        <item x="1371"/>
        <item x="1206"/>
        <item x="126"/>
        <item x="1947"/>
        <item x="1818"/>
        <item x="282"/>
        <item x="1791"/>
        <item x="816"/>
        <item x="91"/>
        <item x="634"/>
        <item x="210"/>
        <item x="402"/>
        <item x="1921"/>
        <item x="616"/>
        <item x="496"/>
        <item x="1643"/>
        <item x="144"/>
        <item x="1869"/>
        <item x="818"/>
        <item x="1969"/>
        <item x="439"/>
        <item x="1095"/>
        <item x="954"/>
        <item x="1764"/>
        <item x="492"/>
        <item x="1160"/>
        <item x="1360"/>
        <item x="693"/>
        <item x="1271"/>
        <item x="420"/>
        <item x="926"/>
        <item x="1706"/>
        <item x="731"/>
        <item x="1880"/>
        <item x="498"/>
        <item x="762"/>
        <item x="1278"/>
        <item x="211"/>
        <item x="1931"/>
        <item x="570"/>
        <item x="1519"/>
        <item x="1384"/>
        <item x="90"/>
        <item x="1579"/>
        <item x="1925"/>
        <item x="1651"/>
        <item x="272"/>
        <item x="1642"/>
        <item x="1631"/>
        <item x="367"/>
        <item x="1234"/>
        <item x="991"/>
        <item x="1366"/>
        <item x="1621"/>
        <item x="426"/>
        <item x="196"/>
        <item x="256"/>
        <item x="1299"/>
        <item x="1944"/>
        <item x="1094"/>
        <item x="1937"/>
        <item x="589"/>
        <item x="1974"/>
        <item x="421"/>
        <item x="1200"/>
        <item x="368"/>
        <item x="870"/>
        <item x="1981"/>
        <item x="206"/>
        <item x="385"/>
        <item x="1935"/>
        <item x="1413"/>
        <item x="26"/>
        <item x="1153"/>
        <item x="475"/>
        <item x="207"/>
        <item x="102"/>
        <item x="1080"/>
        <item x="944"/>
        <item x="166"/>
        <item x="646"/>
        <item x="1571"/>
        <item x="1688"/>
        <item x="1055"/>
        <item x="861"/>
        <item x="1617"/>
        <item x="1755"/>
        <item x="363"/>
        <item x="832"/>
        <item x="1121"/>
        <item x="742"/>
        <item x="350"/>
        <item x="760"/>
        <item x="461"/>
        <item x="834"/>
        <item x="1834"/>
        <item x="1669"/>
        <item x="1787"/>
        <item x="353"/>
        <item x="621"/>
        <item x="458"/>
        <item x="1313"/>
        <item x="833"/>
        <item x="1115"/>
        <item x="88"/>
        <item x="1135"/>
        <item x="686"/>
        <item x="173"/>
        <item x="480"/>
        <item x="1670"/>
        <item x="500"/>
        <item x="1497"/>
        <item x="511"/>
        <item x="605"/>
        <item x="903"/>
        <item x="912"/>
        <item x="769"/>
        <item x="1881"/>
        <item x="1926"/>
        <item x="1044"/>
        <item x="766"/>
        <item x="860"/>
        <item x="768"/>
        <item x="1922"/>
        <item x="538"/>
        <item x="477"/>
        <item x="1335"/>
        <item x="1639"/>
        <item x="1957"/>
        <item x="877"/>
        <item x="1666"/>
        <item x="242"/>
        <item x="135"/>
        <item x="1544"/>
        <item x="1609"/>
        <item x="522"/>
        <item x="474"/>
        <item x="1172"/>
        <item x="1075"/>
        <item x="1627"/>
        <item x="928"/>
        <item x="405"/>
        <item x="442"/>
        <item x="1753"/>
        <item x="1155"/>
        <item x="1648"/>
        <item x="1872"/>
        <item x="764"/>
        <item x="1630"/>
        <item x="1829"/>
        <item x="238"/>
        <item x="633"/>
        <item x="97"/>
        <item x="1404"/>
        <item x="1561"/>
        <item x="855"/>
        <item x="23"/>
        <item x="1197"/>
        <item x="1100"/>
        <item x="1237"/>
        <item x="530"/>
        <item x="853"/>
        <item x="955"/>
        <item x="1092"/>
        <item x="232"/>
        <item x="1276"/>
        <item x="1096"/>
        <item x="960"/>
        <item x="1122"/>
        <item x="16"/>
        <item x="1462"/>
        <item x="181"/>
        <item x="482"/>
        <item x="1218"/>
        <item x="540"/>
        <item x="531"/>
        <item x="1041"/>
        <item x="1008"/>
        <item x="1514"/>
        <item x="1480"/>
        <item x="1233"/>
        <item x="375"/>
        <item x="1002"/>
        <item x="1151"/>
        <item x="734"/>
        <item x="510"/>
        <item x="264"/>
        <item x="1502"/>
        <item x="408"/>
        <item x="895"/>
        <item x="688"/>
        <item x="1038"/>
        <item x="1977"/>
        <item x="1324"/>
        <item x="508"/>
        <item x="726"/>
        <item x="851"/>
        <item x="1622"/>
        <item x="87"/>
        <item x="1671"/>
        <item x="1551"/>
        <item x="813"/>
        <item x="49"/>
        <item x="1911"/>
        <item x="648"/>
        <item x="659"/>
        <item x="962"/>
        <item x="490"/>
        <item x="1283"/>
        <item x="1419"/>
        <item x="1473"/>
        <item x="1927"/>
        <item x="1505"/>
        <item x="99"/>
        <item x="1647"/>
        <item x="1025"/>
        <item x="1078"/>
        <item x="399"/>
        <item x="1870"/>
        <item x="1019"/>
        <item x="1405"/>
        <item x="1588"/>
        <item x="1716"/>
        <item x="1423"/>
        <item x="650"/>
        <item x="1943"/>
        <item x="1437"/>
        <item x="614"/>
        <item x="244"/>
        <item x="1369"/>
        <item x="660"/>
        <item x="532"/>
        <item x="1847"/>
        <item x="327"/>
        <item x="1786"/>
        <item x="899"/>
        <item x="198"/>
        <item x="740"/>
        <item x="1526"/>
        <item x="882"/>
        <item x="700"/>
        <item x="1125"/>
        <item x="1910"/>
        <item x="1987"/>
        <item x="1581"/>
        <item x="1855"/>
        <item x="1387"/>
        <item x="1007"/>
        <item x="1907"/>
        <item x="176"/>
        <item x="1797"/>
        <item x="1103"/>
        <item x="1282"/>
        <item x="562"/>
        <item x="465"/>
        <item x="59"/>
        <item x="1187"/>
        <item x="865"/>
        <item x="1623"/>
        <item x="1128"/>
        <item x="521"/>
        <item x="1856"/>
        <item x="449"/>
        <item x="3"/>
        <item x="17"/>
        <item x="1149"/>
        <item x="1849"/>
        <item x="374"/>
        <item x="703"/>
        <item x="1129"/>
        <item x="188"/>
        <item x="1615"/>
        <item x="1775"/>
        <item x="127"/>
        <item x="53"/>
        <item x="684"/>
        <item x="55"/>
        <item x="1951"/>
        <item x="1265"/>
        <item x="988"/>
        <item x="569"/>
        <item x="1793"/>
        <item x="67"/>
        <item x="1841"/>
        <item x="557"/>
        <item x="93"/>
        <item x="1902"/>
        <item x="1398"/>
        <item x="1845"/>
        <item x="559"/>
        <item x="600"/>
        <item x="491"/>
        <item x="515"/>
        <item x="165"/>
        <item x="1448"/>
        <item x="839"/>
        <item x="1250"/>
        <item x="1239"/>
        <item x="1269"/>
        <item x="1004"/>
        <item x="869"/>
        <item x="970"/>
        <item x="1120"/>
        <item x="122"/>
        <item x="1042"/>
        <item x="567"/>
        <item x="1063"/>
        <item x="1113"/>
        <item x="1912"/>
        <item x="445"/>
        <item x="699"/>
        <item x="270"/>
        <item x="1297"/>
        <item x="1372"/>
        <item x="1662"/>
        <item x="403"/>
        <item x="1142"/>
        <item x="341"/>
        <item x="1098"/>
        <item x="1963"/>
        <item x="1482"/>
        <item x="893"/>
        <item x="1221"/>
        <item x="973"/>
        <item x="1203"/>
        <item x="754"/>
        <item x="781"/>
        <item x="948"/>
        <item x="1663"/>
        <item x="1017"/>
        <item x="414"/>
        <item x="320"/>
        <item x="346"/>
        <item x="759"/>
        <item x="801"/>
        <item x="389"/>
        <item x="427"/>
        <item x="676"/>
        <item x="1678"/>
        <item x="1882"/>
        <item x="18"/>
        <item x="1693"/>
        <item x="1641"/>
        <item x="312"/>
        <item x="939"/>
        <item x="907"/>
        <item x="1909"/>
        <item x="780"/>
        <item x="1362"/>
        <item x="128"/>
        <item x="695"/>
        <item x="1640"/>
        <item x="1917"/>
        <item x="1490"/>
        <item x="200"/>
        <item x="1533"/>
        <item x="192"/>
        <item x="1577"/>
        <item x="1752"/>
        <item x="443"/>
        <item x="823"/>
        <item x="583"/>
        <item x="904"/>
        <item x="788"/>
        <item x="351"/>
        <item x="1484"/>
        <item x="1108"/>
        <item x="435"/>
        <item x="670"/>
        <item x="1553"/>
        <item x="1769"/>
        <item x="107"/>
        <item x="1736"/>
        <item x="1268"/>
        <item x="1127"/>
        <item x="1952"/>
        <item x="1399"/>
        <item x="1196"/>
        <item x="1967"/>
        <item x="835"/>
        <item x="1471"/>
        <item x="120"/>
        <item x="98"/>
        <item x="1905"/>
        <item x="1082"/>
        <item x="1364"/>
        <item x="849"/>
        <item x="1375"/>
        <item x="1305"/>
        <item x="545"/>
        <item x="1600"/>
        <item x="810"/>
        <item x="1709"/>
        <item x="1991"/>
        <item x="1540"/>
        <item x="1174"/>
        <item x="1504"/>
        <item x="212"/>
        <item x="847"/>
        <item x="1262"/>
        <item x="1844"/>
        <item x="1853"/>
        <item x="1242"/>
        <item x="572"/>
        <item x="830"/>
        <item x="189"/>
        <item x="573"/>
        <item x="1718"/>
        <item x="1402"/>
        <item x="805"/>
        <item x="1307"/>
        <item x="123"/>
        <item x="790"/>
        <item x="537"/>
        <item x="1280"/>
        <item x="495"/>
        <item x="739"/>
        <item x="927"/>
        <item x="275"/>
        <item x="230"/>
        <item x="1795"/>
        <item x="1194"/>
        <item x="1913"/>
        <item x="1511"/>
        <item x="1191"/>
        <item x="41"/>
        <item x="1083"/>
        <item x="137"/>
        <item x="1858"/>
        <item x="11"/>
        <item x="159"/>
        <item x="1982"/>
        <item x="1232"/>
        <item x="1520"/>
        <item x="1433"/>
        <item x="309"/>
        <item x="1207"/>
        <item x="1343"/>
        <item x="1058"/>
        <item x="720"/>
        <item x="1099"/>
        <item x="697"/>
        <item x="1554"/>
        <item x="625"/>
        <item x="378"/>
        <item x="506"/>
        <item x="568"/>
        <item x="995"/>
        <item x="183"/>
        <item x="72"/>
        <item x="1361"/>
        <item x="1431"/>
        <item x="392"/>
        <item x="1727"/>
        <item x="142"/>
        <item x="623"/>
        <item x="57"/>
        <item x="1542"/>
        <item x="983"/>
        <item x="1815"/>
        <item x="1777"/>
        <item x="1896"/>
        <item x="1817"/>
        <item x="1661"/>
        <item x="1071"/>
        <item x="883"/>
        <item x="1929"/>
        <item x="1036"/>
        <item x="751"/>
        <item x="366"/>
        <item x="1298"/>
        <item x="1377"/>
        <item x="564"/>
        <item x="638"/>
        <item x="114"/>
        <item x="81"/>
        <item x="685"/>
        <item x="1994"/>
        <item x="576"/>
        <item x="802"/>
        <item x="1653"/>
        <item x="322"/>
        <item x="1065"/>
        <item x="1370"/>
        <item x="1112"/>
        <item x="1563"/>
        <item x="1417"/>
        <item x="453"/>
        <item x="1759"/>
        <item x="234"/>
        <item x="106"/>
        <item x="75"/>
        <item x="1226"/>
        <item x="1479"/>
        <item x="336"/>
        <item x="504"/>
        <item x="1948"/>
        <item x="594"/>
        <item x="1300"/>
        <item x="429"/>
        <item x="331"/>
        <item x="554"/>
        <item x="694"/>
        <item x="798"/>
        <item x="619"/>
        <item x="1899"/>
        <item x="850"/>
        <item x="446"/>
        <item x="45"/>
        <item x="1959"/>
        <item x="1219"/>
        <item x="7"/>
        <item x="1750"/>
        <item x="1822"/>
        <item x="929"/>
        <item x="254"/>
        <item x="1883"/>
        <item x="1550"/>
        <item x="1052"/>
        <item x="170"/>
        <item x="949"/>
        <item x="1936"/>
        <item x="1281"/>
        <item x="1792"/>
        <item x="1150"/>
        <item x="1496"/>
        <item x="1562"/>
        <item x="941"/>
        <item x="342"/>
        <item x="157"/>
        <item x="1524"/>
        <item x="184"/>
        <item x="989"/>
        <item x="752"/>
        <item x="725"/>
        <item x="1874"/>
        <item x="876"/>
        <item x="323"/>
        <item x="1914"/>
        <item x="39"/>
        <item x="536"/>
        <item x="1976"/>
        <item x="553"/>
        <item x="425"/>
        <item x="543"/>
        <item x="1491"/>
        <item x="890"/>
        <item x="1722"/>
        <item x="484"/>
        <item x="1941"/>
        <item x="1139"/>
        <item x="1955"/>
        <item x="1789"/>
        <item x="1695"/>
        <item x="1266"/>
        <item x="306"/>
        <item x="1940"/>
        <item x="878"/>
        <item x="800"/>
        <item x="1715"/>
        <item x="1521"/>
        <item x="1411"/>
        <item x="1760"/>
        <item x="1636"/>
        <item x="1344"/>
        <item x="710"/>
        <item x="812"/>
        <item x="14"/>
        <item x="787"/>
        <item x="203"/>
        <item x="1288"/>
        <item x="1863"/>
        <item x="187"/>
        <item x="1188"/>
        <item x="831"/>
        <item x="1119"/>
        <item x="516"/>
        <item x="32"/>
        <item x="1604"/>
        <item x="1137"/>
        <item x="689"/>
        <item x="1400"/>
        <item x="1422"/>
        <item x="1355"/>
        <item x="617"/>
        <item x="1056"/>
        <item x="329"/>
        <item x="199"/>
        <item x="1170"/>
        <item x="418"/>
        <item x="1379"/>
        <item x="1583"/>
        <item x="1040"/>
        <item x="884"/>
        <item x="1762"/>
        <item x="454"/>
        <item x="1920"/>
        <item x="887"/>
        <item x="829"/>
        <item x="1169"/>
        <item x="1222"/>
        <item x="1057"/>
        <item x="680"/>
        <item x="381"/>
        <item x="259"/>
        <item x="1208"/>
        <item x="147"/>
        <item x="940"/>
        <item x="649"/>
        <item x="217"/>
        <item x="864"/>
        <item x="1576"/>
        <item x="411"/>
        <item x="339"/>
        <item x="947"/>
        <item x="1628"/>
        <item x="1765"/>
        <item x="456"/>
        <item x="1820"/>
        <item x="636"/>
        <item x="653"/>
        <item x="273"/>
        <item x="227"/>
        <item x="172"/>
        <item x="1177"/>
        <item x="33"/>
        <item x="1534"/>
        <item x="469"/>
        <item x="1088"/>
        <item x="1255"/>
        <item x="776"/>
        <item x="1031"/>
        <item x="1800"/>
        <item x="96"/>
        <item x="1109"/>
        <item x="117"/>
        <item x="867"/>
        <item x="169"/>
        <item x="70"/>
        <item x="1560"/>
        <item x="786"/>
        <item x="118"/>
        <item x="407"/>
        <item x="775"/>
        <item x="1420"/>
        <item x="8"/>
        <item x="1595"/>
        <item x="1081"/>
        <item x="1652"/>
        <item x="811"/>
        <item x="964"/>
        <item x="1535"/>
        <item x="846"/>
        <item x="1971"/>
        <item x="1070"/>
        <item x="550"/>
        <item x="1079"/>
        <item x="1814"/>
        <item x="1061"/>
        <item x="1406"/>
        <item x="1215"/>
        <item x="1746"/>
        <item x="691"/>
        <item x="140"/>
        <item x="856"/>
        <item x="1781"/>
        <item x="566"/>
        <item x="1295"/>
        <item x="992"/>
        <item x="300"/>
        <item x="1426"/>
        <item x="479"/>
        <item x="1825"/>
        <item x="1244"/>
        <item x="854"/>
        <item x="1516"/>
        <item x="1843"/>
        <item x="416"/>
        <item x="1023"/>
        <item x="182"/>
        <item x="1930"/>
        <item x="65"/>
        <item x="1565"/>
        <item x="1721"/>
        <item x="241"/>
        <item x="994"/>
        <item x="125"/>
        <item x="758"/>
        <item x="1892"/>
        <item x="359"/>
        <item x="1774"/>
        <item x="431"/>
        <item x="1351"/>
        <item x="1964"/>
        <item x="815"/>
        <item x="746"/>
        <item x="1016"/>
        <item x="396"/>
        <item x="1659"/>
        <item x="343"/>
        <item x="413"/>
        <item x="997"/>
        <item x="252"/>
        <item x="267"/>
        <item x="563"/>
        <item x="370"/>
        <item x="806"/>
        <item x="6"/>
        <item x="1597"/>
        <item x="246"/>
        <item x="1783"/>
        <item x="9"/>
        <item x="613"/>
        <item x="1507"/>
        <item x="1796"/>
        <item x="1728"/>
        <item x="1616"/>
        <item x="132"/>
        <item x="596"/>
        <item x="1159"/>
        <item x="1463"/>
        <item x="1633"/>
        <item x="330"/>
        <item x="1900"/>
        <item x="489"/>
        <item x="1317"/>
        <item x="1241"/>
        <item x="406"/>
        <item x="240"/>
        <item x="1704"/>
        <item x="1650"/>
        <item x="1213"/>
        <item x="1087"/>
        <item x="1217"/>
        <item x="1275"/>
        <item x="294"/>
        <item x="452"/>
        <item x="858"/>
        <item x="1318"/>
        <item x="748"/>
        <item x="909"/>
        <item x="599"/>
        <item x="981"/>
        <item x="770"/>
        <item x="1667"/>
        <item x="299"/>
        <item x="571"/>
        <item x="1090"/>
        <item x="111"/>
        <item x="1383"/>
        <item x="444"/>
        <item x="714"/>
        <item x="1450"/>
        <item x="677"/>
        <item x="488"/>
        <item x="1594"/>
        <item x="679"/>
        <item x="463"/>
        <item x="1162"/>
        <item x="1157"/>
        <item x="1558"/>
        <item x="36"/>
        <item x="1051"/>
        <item x="1248"/>
        <item x="1747"/>
        <item x="733"/>
        <item x="245"/>
        <item x="1608"/>
        <item x="1440"/>
        <item x="486"/>
        <item x="409"/>
        <item x="146"/>
        <item x="1285"/>
        <item x="1107"/>
        <item x="1116"/>
        <item x="1906"/>
        <item x="139"/>
        <item x="325"/>
        <item x="349"/>
        <item x="221"/>
        <item x="1331"/>
        <item x="1441"/>
        <item x="1341"/>
        <item x="574"/>
        <item x="565"/>
        <item x="627"/>
        <item x="1573"/>
        <item x="434"/>
        <item x="606"/>
        <item x="1457"/>
        <item x="1629"/>
        <item x="978"/>
        <item x="305"/>
        <item x="582"/>
        <item x="1312"/>
        <item x="260"/>
        <item x="1175"/>
        <item x="1334"/>
        <item x="951"/>
        <item x="455"/>
        <item x="1875"/>
        <item x="1032"/>
        <item x="208"/>
        <item x="150"/>
        <item x="352"/>
        <item x="1714"/>
        <item x="220"/>
        <item x="287"/>
        <item x="1634"/>
        <item x="1839"/>
        <item x="285"/>
        <item x="1916"/>
        <item x="1306"/>
        <item x="827"/>
        <item x="1975"/>
        <item x="1378"/>
        <item x="77"/>
        <item x="1074"/>
        <item x="269"/>
        <item x="228"/>
        <item x="233"/>
        <item x="1607"/>
        <item x="1436"/>
        <item x="558"/>
        <item x="1949"/>
        <item x="1495"/>
        <item x="29"/>
        <item x="296"/>
        <item x="1466"/>
        <item x="1291"/>
        <item x="42"/>
        <item x="1246"/>
        <item x="1261"/>
        <item x="1049"/>
        <item x="1657"/>
        <item x="652"/>
        <item x="654"/>
        <item x="551"/>
        <item x="1292"/>
        <item x="1891"/>
        <item x="874"/>
        <item x="317"/>
        <item x="555"/>
        <item x="1684"/>
        <item x="843"/>
        <item x="696"/>
        <item x="852"/>
        <item x="1857"/>
        <item x="896"/>
        <item x="251"/>
        <item x="1973"/>
        <item x="618"/>
        <item x="1763"/>
        <item x="56"/>
        <item x="279"/>
        <item x="1205"/>
        <item x="1144"/>
        <item x="956"/>
        <item x="717"/>
        <item x="1809"/>
        <item x="1580"/>
        <item x="471"/>
        <item x="1513"/>
        <item x="95"/>
        <item x="1451"/>
        <item x="965"/>
        <item x="148"/>
        <item x="1529"/>
        <item x="347"/>
        <item x="628"/>
        <item x="54"/>
        <item x="1772"/>
        <item x="428"/>
        <item x="1339"/>
        <item x="103"/>
        <item x="803"/>
        <item x="901"/>
        <item x="1738"/>
        <item x="1525"/>
        <item x="1696"/>
        <item x="164"/>
        <item x="692"/>
        <item x="1852"/>
        <item x="1729"/>
        <item x="303"/>
        <item x="40"/>
        <item x="1309"/>
        <item x="1195"/>
        <item x="1073"/>
        <item x="1737"/>
        <item x="225"/>
        <item x="1499"/>
        <item x="1517"/>
        <item x="1154"/>
        <item x="578"/>
        <item x="1810"/>
        <item x="101"/>
        <item x="1015"/>
        <item x="1181"/>
        <item x="450"/>
        <item x="918"/>
        <item x="683"/>
        <item x="820"/>
        <item x="782"/>
        <item x="1950"/>
        <item x="1673"/>
        <item x="1178"/>
        <item x="715"/>
        <item x="1836"/>
        <item x="1438"/>
        <item x="1294"/>
        <item x="707"/>
        <item x="946"/>
        <item x="197"/>
        <item x="1919"/>
        <item x="681"/>
        <item x="1835"/>
        <item x="1143"/>
        <item x="1654"/>
        <item x="94"/>
        <item x="108"/>
        <item x="1412"/>
        <item x="1403"/>
        <item x="841"/>
        <item x="1619"/>
        <item x="1059"/>
        <item x="980"/>
        <item x="1823"/>
        <item x="682"/>
        <item x="1683"/>
        <item x="69"/>
        <item x="1934"/>
        <item x="1267"/>
        <item x="797"/>
        <item x="524"/>
        <item x="1838"/>
        <item x="990"/>
        <item x="451"/>
        <item x="669"/>
        <item x="885"/>
        <item x="976"/>
        <item x="476"/>
        <item x="1918"/>
        <item x="1802"/>
        <item x="1472"/>
        <item x="1333"/>
        <item x="274"/>
        <item x="162"/>
        <item x="1072"/>
        <item x="1735"/>
        <item x="656"/>
        <item x="1227"/>
        <item x="1658"/>
        <item x="1754"/>
        <item x="911"/>
        <item x="143"/>
        <item x="930"/>
        <item x="1228"/>
        <item x="1989"/>
        <item x="401"/>
        <item x="1204"/>
        <item x="1570"/>
        <item x="1589"/>
        <item x="1697"/>
        <item x="783"/>
        <item x="1803"/>
        <item x="655"/>
        <item x="1311"/>
        <item x="1189"/>
        <item x="1455"/>
        <item x="19"/>
        <item x="185"/>
        <item x="1084"/>
        <item x="1342"/>
        <item x="386"/>
        <item x="588"/>
        <item x="376"/>
        <item x="1110"/>
        <item x="828"/>
        <item x="971"/>
        <item x="1586"/>
        <item x="1682"/>
        <item x="998"/>
        <item x="391"/>
        <item x="713"/>
        <item x="1744"/>
        <item x="1395"/>
        <item x="967"/>
        <item x="517"/>
        <item x="1780"/>
        <item x="1773"/>
        <item x="1033"/>
        <item x="1425"/>
        <item x="224"/>
        <item x="1539"/>
        <item x="552"/>
        <item x="223"/>
        <item x="1199"/>
        <item x="1394"/>
        <item x="4"/>
        <item x="153"/>
        <item x="1198"/>
        <item x="1467"/>
        <item x="1453"/>
        <item x="1320"/>
        <item x="43"/>
        <item x="945"/>
        <item x="1337"/>
        <item x="1029"/>
        <item x="931"/>
        <item x="1776"/>
        <item x="1515"/>
        <item x="292"/>
        <item x="1954"/>
        <item x="1503"/>
        <item x="1705"/>
        <item x="1699"/>
        <item x="1871"/>
        <item x="1089"/>
        <item x="1532"/>
        <item x="1201"/>
        <item x="763"/>
        <item x="959"/>
        <item x="1321"/>
        <item x="1456"/>
        <item x="201"/>
        <item x="848"/>
        <item x="836"/>
        <item x="1003"/>
        <item x="1287"/>
        <item x="1216"/>
        <item x="975"/>
        <item x="773"/>
        <item x="1611"/>
        <item x="84"/>
        <item x="745"/>
        <item x="298"/>
        <item x="1888"/>
        <item x="1827"/>
        <item x="974"/>
        <item x="950"/>
        <item x="1062"/>
        <item x="1293"/>
        <item x="1443"/>
        <item x="501"/>
        <item x="1430"/>
        <item x="1418"/>
        <item x="1039"/>
        <item x="1703"/>
        <item x="1493"/>
        <item x="603"/>
        <item x="1284"/>
        <item x="1254"/>
        <item x="549"/>
        <item x="355"/>
        <item x="1541"/>
        <item x="109"/>
        <item x="1449"/>
        <item x="27"/>
        <item x="1748"/>
        <item x="1367"/>
        <item x="1230"/>
        <item x="377"/>
        <item x="104"/>
        <item x="301"/>
        <item x="1767"/>
        <item x="961"/>
        <item x="1903"/>
        <item x="595"/>
        <item x="771"/>
        <item x="1681"/>
        <item x="321"/>
        <item x="1895"/>
        <item x="177"/>
        <item x="979"/>
        <item x="663"/>
        <item x="1223"/>
        <item x="658"/>
        <item x="364"/>
        <item x="999"/>
        <item x="1348"/>
        <item x="1488"/>
        <item x="1176"/>
        <item x="1585"/>
        <item x="1424"/>
        <item x="1148"/>
        <item x="518"/>
        <item x="1389"/>
        <item x="226"/>
        <item x="1105"/>
        <item x="1932"/>
        <item x="1824"/>
        <item x="934"/>
        <item x="1808"/>
        <item x="136"/>
        <item x="34"/>
        <item x="447"/>
        <item x="767"/>
        <item x="1990"/>
        <item x="1591"/>
        <item x="74"/>
        <item x="302"/>
        <item x="237"/>
        <item x="661"/>
        <item x="20"/>
        <item x="560"/>
        <item x="1397"/>
        <item x="837"/>
        <item x="1132"/>
        <item x="785"/>
        <item x="1141"/>
        <item x="284"/>
        <item x="257"/>
        <item x="283"/>
        <item x="1301"/>
        <item x="191"/>
        <item x="1698"/>
        <item x="466"/>
        <item x="356"/>
        <item x="587"/>
        <item x="1260"/>
        <item x="218"/>
        <item x="535"/>
        <item x="1848"/>
        <item x="440"/>
        <item x="1192"/>
        <item x="1410"/>
        <item x="1866"/>
        <item x="880"/>
        <item x="610"/>
        <item x="457"/>
        <item x="620"/>
        <item x="1733"/>
        <item x="1612"/>
        <item x="859"/>
        <item x="1118"/>
        <item x="398"/>
        <item x="1146"/>
        <item x="736"/>
        <item x="1067"/>
        <item x="604"/>
        <item x="1645"/>
        <item x="1602"/>
        <item x="1340"/>
        <item x="215"/>
        <item x="1702"/>
        <item x="1887"/>
        <item x="643"/>
        <item x="958"/>
        <item x="247"/>
        <item x="1068"/>
        <item x="1603"/>
        <item x="1253"/>
        <item x="791"/>
        <item x="340"/>
        <item x="977"/>
        <item x="1813"/>
        <item x="348"/>
        <item x="1983"/>
        <item x="1842"/>
        <item x="1574"/>
        <item x="1799"/>
        <item x="814"/>
        <item x="357"/>
        <item x="263"/>
        <item x="163"/>
        <item x="668"/>
        <item x="1885"/>
        <item x="1273"/>
        <item x="702"/>
        <item x="1359"/>
        <item x="105"/>
        <item x="1924"/>
        <item x="993"/>
        <item x="639"/>
        <item x="586"/>
        <item x="383"/>
        <item x="1993"/>
        <item x="1851"/>
        <item x="1183"/>
        <item x="1054"/>
        <item x="113"/>
        <item x="1749"/>
        <item x="261"/>
        <item x="987"/>
        <item x="1743"/>
        <item x="229"/>
        <item x="937"/>
        <item x="547"/>
        <item x="1567"/>
        <item x="1679"/>
        <item x="1846"/>
        <item x="1326"/>
        <item x="1794"/>
        <item x="1530"/>
        <item x="1469"/>
        <item x="1066"/>
        <item x="923"/>
        <item x="133"/>
        <item x="1549"/>
        <item x="1106"/>
        <item x="1272"/>
        <item x="1725"/>
        <item x="533"/>
        <item x="935"/>
        <item x="1352"/>
        <item x="706"/>
        <item x="862"/>
        <item x="333"/>
        <item x="1938"/>
        <item x="561"/>
        <item x="15"/>
        <item x="612"/>
        <item x="1904"/>
        <item x="857"/>
        <item x="222"/>
        <item x="1126"/>
        <item x="432"/>
        <item x="1316"/>
        <item x="58"/>
        <item x="12"/>
        <item x="175"/>
        <item x="436"/>
        <item x="1257"/>
        <item x="1264"/>
        <item x="749"/>
        <item x="757"/>
        <item x="1368"/>
        <item x="845"/>
        <item x="529"/>
        <item x="1358"/>
        <item x="528"/>
        <item x="601"/>
        <item x="968"/>
        <item x="266"/>
        <item x="193"/>
        <item x="373"/>
        <item x="1635"/>
        <item x="1865"/>
        <item x="609"/>
        <item x="66"/>
        <item x="1686"/>
        <item x="393"/>
        <item x="1566"/>
        <item x="741"/>
        <item x="637"/>
        <item x="276"/>
        <item x="1102"/>
        <item x="1995"/>
        <item x="308"/>
        <item x="1723"/>
        <item x="297"/>
        <item x="1979"/>
        <item x="433"/>
        <item x="705"/>
        <item x="337"/>
        <item x="1476"/>
        <item x="807"/>
        <item x="1568"/>
        <item x="2"/>
        <item x="933"/>
        <item x="1445"/>
        <item x="514"/>
        <item x="1329"/>
        <item x="124"/>
        <item x="38"/>
        <item x="1314"/>
        <item x="527"/>
        <item x="872"/>
        <item x="85"/>
        <item x="1946"/>
        <item x="394"/>
        <item x="1656"/>
        <item x="1720"/>
        <item x="332"/>
        <item x="1528"/>
        <item x="1452"/>
        <item x="1114"/>
        <item x="728"/>
        <item x="1864"/>
        <item x="1048"/>
        <item x="1893"/>
        <item x="608"/>
        <item x="1338"/>
        <item x="384"/>
        <item x="22"/>
        <item x="415"/>
        <item x="1270"/>
        <item x="473"/>
        <item x="1010"/>
        <item x="1860"/>
        <item x="171"/>
        <item x="313"/>
        <item x="730"/>
        <item x="1026"/>
        <item x="1374"/>
        <item x="179"/>
        <item x="1862"/>
        <item x="1756"/>
        <item x="1711"/>
        <item x="25"/>
        <item x="1953"/>
        <item x="1509"/>
        <item x="1821"/>
        <item x="1202"/>
        <item x="448"/>
        <item x="584"/>
        <item x="1193"/>
        <item x="1481"/>
        <item x="1665"/>
        <item x="400"/>
        <item x="100"/>
        <item x="1346"/>
        <item x="821"/>
        <item x="593"/>
        <item x="1000"/>
        <item x="721"/>
        <item x="1830"/>
        <item x="1336"/>
        <item x="464"/>
        <item x="152"/>
        <item x="1668"/>
        <item x="485"/>
        <item x="1638"/>
        <item x="424"/>
        <item x="982"/>
        <item x="908"/>
        <item x="711"/>
        <item x="248"/>
        <item x="258"/>
        <item x="520"/>
        <item x="672"/>
        <item x="1046"/>
        <item x="922"/>
        <item x="1209"/>
        <item x="387"/>
        <item x="1147"/>
        <item x="1439"/>
        <item x="1732"/>
        <item x="112"/>
        <item x="1960"/>
        <item x="382"/>
        <item x="590"/>
        <item x="1474"/>
        <item x="129"/>
        <item x="1415"/>
        <item x="1536"/>
        <item x="1878"/>
        <item x="1552"/>
        <item x="592"/>
        <item x="423"/>
        <item x="1171"/>
        <item x="1689"/>
        <item x="624"/>
        <item x="1771"/>
        <item x="205"/>
        <item x="1245"/>
        <item x="1236"/>
        <item x="1454"/>
        <item x="577"/>
        <item x="942"/>
        <item x="651"/>
        <item x="64"/>
        <item t="default"/>
      </items>
    </pivotField>
  </pivotFields>
  <rowFields count="1">
    <field x="7"/>
  </rowFields>
  <rowItems count="7">
    <i>
      <x/>
    </i>
    <i>
      <x v="1"/>
    </i>
    <i>
      <x v="2"/>
    </i>
    <i>
      <x v="3"/>
    </i>
    <i>
      <x v="4"/>
    </i>
    <i>
      <x v="5"/>
    </i>
    <i t="grand">
      <x/>
    </i>
  </rowItems>
  <colItems count="1">
    <i/>
  </colItems>
  <dataFields count="1">
    <dataField name="Sum of Total_Amount" fld="14" baseField="0" baseItem="0"/>
  </dataFields>
  <formats count="2">
    <format dxfId="12">
      <pivotArea collapsedLevelsAreSubtotals="1" fieldPosition="0">
        <references count="1">
          <reference field="7" count="0"/>
        </references>
      </pivotArea>
    </format>
    <format dxfId="1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06C96B-FCA8-4C26-BDC0-D5E5EE7E4E6D}" sourceName="Category">
  <pivotTables>
    <pivotTable tabId="16" name="PivotTable2"/>
  </pivotTables>
  <data>
    <tabular pivotCacheId="1845708274">
      <items count="6">
        <i x="2" s="1"/>
        <i x="4" s="1"/>
        <i x="1" s="1"/>
        <i x="3"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6D0ADA-6EBD-4C6F-9E58-4602C872569B}" sourceName="Region">
  <pivotTables>
    <pivotTable tabId="16" name="PivotTable11"/>
  </pivotTables>
  <data>
    <tabular pivotCacheId="1845708274">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BADD0FA0-99BB-41D9-BD4A-89DF4FF7AD6B}" sourceName="Store name">
  <pivotTables>
    <pivotTable tabId="16" name="PivotTable5"/>
  </pivotTables>
  <data>
    <tabular pivotCacheId="1845708274">
      <items count="20">
        <i x="19" s="1"/>
        <i x="5" s="1"/>
        <i x="2" s="1"/>
        <i x="16" s="1"/>
        <i x="17" s="1"/>
        <i x="9" s="1"/>
        <i x="13" s="1"/>
        <i x="3" s="1"/>
        <i x="14" s="1"/>
        <i x="15" s="1"/>
        <i x="1" s="1"/>
        <i x="0" s="1"/>
        <i x="12" s="1"/>
        <i x="8" s="1"/>
        <i x="4" s="1"/>
        <i x="7" s="1"/>
        <i x="11" s="1"/>
        <i x="6" s="1"/>
        <i x="10"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F2AC606-4AA1-4C8D-BDE9-AA3ACEFB4105}" cache="Slicer_Category" caption="Category" rowHeight="241300"/>
  <slicer name="Region 1" xr10:uid="{98C71430-1A6E-4706-BA1B-4BBCA9A5DCD0}" cache="Slicer_Region" caption="Region" rowHeight="241300"/>
  <slicer name="Store name 1" xr10:uid="{B4359313-1E34-490E-8EE0-F3BEEEBD5B06}" cache="Slicer_Store_name" caption="Store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450D75-4DA0-485F-A92F-B9000D8097A6}" name="Table2" displayName="Table2" ref="A1:I501" totalsRowShown="0" headerRowDxfId="38" headerRowBorderDxfId="37" tableBorderDxfId="36">
  <autoFilter ref="A1:I501" xr:uid="{8E450D75-4DA0-485F-A92F-B9000D8097A6}"/>
  <tableColumns count="9">
    <tableColumn id="1" xr3:uid="{64C18D04-97AF-46E6-8A6A-B63E6C951E72}" name="Customer_ID"/>
    <tableColumn id="2" xr3:uid="{2F660E48-41AF-46D2-94B3-A5DDA63AB729}" name="Name"/>
    <tableColumn id="9" xr3:uid="{C163D29F-67AE-467B-8823-A3BF3B289377}" name="Column1" dataDxfId="35">
      <calculatedColumnFormula>PROPER(TRIM(B2))</calculatedColumnFormula>
    </tableColumn>
    <tableColumn id="3" xr3:uid="{F972F5DE-0EC8-4CD6-AF52-91DA4CECBCA5}" name="Age"/>
    <tableColumn id="4" xr3:uid="{9318C3CA-0960-49FF-871B-EFE9172703C2}" name="Gender"/>
    <tableColumn id="5" xr3:uid="{2B627E1B-3D84-41A7-BE2B-321ADF588048}" name="State"/>
    <tableColumn id="6" xr3:uid="{BED6C9BC-2A78-4C41-B2BE-1BF286A4E08E}" name="Country"/>
    <tableColumn id="8" xr3:uid="{181EEA4A-3AA2-4C25-BD29-67C5F412B2A7}" name="Loyality level" dataDxfId="34">
      <calculatedColumnFormula>IF(ISBLANK(Table2[[#This Row],[Loyalty_Level]]),"Unknown",I2)</calculatedColumnFormula>
    </tableColumn>
    <tableColumn id="7" xr3:uid="{1D486E24-7D23-4C13-A6B5-B49305A9A2FF}"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247DDBC-47C9-4C09-B563-3D0BAAD633A6}" name="tblCustomer" displayName="tblCustomer" ref="A1:G501" totalsRowShown="0">
  <autoFilter ref="A1:G501" xr:uid="{4247DDBC-47C9-4C09-B563-3D0BAAD633A6}"/>
  <tableColumns count="7">
    <tableColumn id="1" xr3:uid="{C10A8747-754D-44F2-B495-391B71766BAF}" name="Customer_ID"/>
    <tableColumn id="2" xr3:uid="{A5D48CA5-0F92-4B5D-B344-7E72B0467483}" name="Name"/>
    <tableColumn id="3" xr3:uid="{38520C97-EF44-41B1-AA68-379B8FBF2C5A}" name="Age"/>
    <tableColumn id="4" xr3:uid="{59532BF4-20D3-49FD-987A-2841334479AE}" name="Gender"/>
    <tableColumn id="5" xr3:uid="{3EC38093-95D0-4098-BDD6-8F713D8907BC}" name="State"/>
    <tableColumn id="6" xr3:uid="{F35A9D65-D51F-4867-8074-E1B002A0B8A7}" name="Country"/>
    <tableColumn id="7" xr3:uid="{0D3322C9-5C01-4CCE-ABA4-48155EC27019}" name="Loyalty_Level"/>
  </tableColumns>
  <tableStyleInfo name="TableStyleMedium2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149F25-A1FB-42AE-A558-8F68F9F0086A}" name="Table3" displayName="Table3" ref="A1:H101" totalsRowShown="0" headerRowDxfId="33" headerRowBorderDxfId="32" tableBorderDxfId="31">
  <autoFilter ref="A1:H101" xr:uid="{57149F25-A1FB-42AE-A558-8F68F9F0086A}"/>
  <tableColumns count="8">
    <tableColumn id="1" xr3:uid="{EA052E45-EB08-4C6D-902C-BFC956EA8806}" name="Product_ID"/>
    <tableColumn id="2" xr3:uid="{AA4C4D44-D26B-453F-B888-AD5F415D631D}" name="Product_Name"/>
    <tableColumn id="3" xr3:uid="{416028BE-2B61-4F8A-8B93-EE1F10E2DBB3}" name="Category"/>
    <tableColumn id="5" xr3:uid="{6F80F04C-7299-4730-AEFA-F8E1527F2831}" name="Brand"/>
    <tableColumn id="9" xr3:uid="{58D51DD1-6562-46A4-BF02-A625C05E51BC}" name="Cost" dataDxfId="30">
      <calculatedColumnFormula>IF(ISBLANK(Table3[[#This Row],[Cost2]]),"Not Found",F2)</calculatedColumnFormula>
    </tableColumn>
    <tableColumn id="6" xr3:uid="{947E8366-FD64-4071-88E8-4D2BAF451AD8}" name="Cost2"/>
    <tableColumn id="8" xr3:uid="{7BB45544-37DC-43F1-A2ED-57EE2654B00E}" name="Stocks" dataDxfId="29">
      <calculatedColumnFormula>IF(ISBLANK(Table3[[#This Row],[Stock]]),"0",H2)</calculatedColumnFormula>
    </tableColumn>
    <tableColumn id="7" xr3:uid="{88EA2793-18DE-466A-BE6D-299FAAD2B0F8}" name="Stoc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333407-893E-412E-BFDA-45F45A47A127}" name="tblProduct" displayName="tblProduct" ref="A1:F101" totalsRowShown="0">
  <autoFilter ref="A1:F101" xr:uid="{3E333407-893E-412E-BFDA-45F45A47A127}"/>
  <tableColumns count="6">
    <tableColumn id="1" xr3:uid="{2ABAACB1-7D3B-4F64-84E6-A3232E63C6E9}" name="Product_ID"/>
    <tableColumn id="2" xr3:uid="{6FB2EB2B-1149-42E4-90E6-26456B160563}" name="Product_Name"/>
    <tableColumn id="3" xr3:uid="{0FB0BFBB-2FAA-4A05-A250-C5F3CF6A1F84}" name="Category"/>
    <tableColumn id="5" xr3:uid="{B5A67D6B-003A-41F9-93B6-AEF87320CC70}" name="Brand"/>
    <tableColumn id="6" xr3:uid="{C59B1D51-E68B-4C03-90B2-2AF310F3122B}" name="Cost" dataDxfId="4"/>
    <tableColumn id="7" xr3:uid="{0BBB2D15-EAA3-4BD9-B60A-357F6B7CF9A9}" name="Stock"/>
  </tableColumns>
  <tableStyleInfo name="TableStyleMedium2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882A44-D979-4993-97BD-32A62FE27D5D}" name="Table4" displayName="Table4" ref="A1:E21" totalsRowShown="0" headerRowDxfId="28" headerRowBorderDxfId="27" tableBorderDxfId="26">
  <autoFilter ref="A1:E21" xr:uid="{46882A44-D979-4993-97BD-32A62FE27D5D}"/>
  <tableColumns count="5">
    <tableColumn id="1" xr3:uid="{A9550E34-7A67-47A0-A0FC-D1786AD5A419}" name="Store_ID"/>
    <tableColumn id="2" xr3:uid="{FBBCDE37-0368-4B0E-9A93-CD7256EBD725}" name="Store_Name"/>
    <tableColumn id="3" xr3:uid="{3BEB44F2-F6F2-49B6-8895-79553A0777FB}" name="Region"/>
    <tableColumn id="4" xr3:uid="{5021CFAA-D3AA-4BF8-B01B-708BF8A9E3D5}" name="City"/>
    <tableColumn id="5" xr3:uid="{76FD2704-E4CB-465A-960F-5565CBD7845F}" name="Store_Typ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F4B9C7-8916-46AE-807C-8E2BD8758E86}" name="Table5" displayName="Table5" ref="A1:J2001" totalsRowShown="0" headerRowDxfId="42" headerRowBorderDxfId="41" tableBorderDxfId="40">
  <autoFilter ref="A1:J2001" xr:uid="{78F4B9C7-8916-46AE-807C-8E2BD8758E86}"/>
  <tableColumns count="10">
    <tableColumn id="1" xr3:uid="{0F7109ED-0971-48F1-BFBB-E955B114042C}" name="Sales_ID"/>
    <tableColumn id="11" xr3:uid="{666F85A9-6CC5-437C-9892-2055BF7B289D}" name="Order_Date" dataDxfId="39"/>
    <tableColumn id="3" xr3:uid="{3C1727DD-40A3-4BA2-83A1-5CB79DE616DD}" name="Customer_ID"/>
    <tableColumn id="4" xr3:uid="{DEF144AE-65B9-49DF-A414-1D8FADC2F51B}" name="Product_ID"/>
    <tableColumn id="5" xr3:uid="{4A5DEED9-7D31-45F2-B68C-B23183000750}" name="Store_ID"/>
    <tableColumn id="6" xr3:uid="{B48F89D7-89DB-4B13-8F99-31F483908763}" name="Quantity"/>
    <tableColumn id="7" xr3:uid="{8A5F6D52-14A3-48DD-A5DD-3FE16F9C418E}" name="Unit_Price" dataDxfId="0"/>
    <tableColumn id="8" xr3:uid="{9F4BEC9A-7FDF-47A4-8BF8-032D0DB478F9}" name="Discount"/>
    <tableColumn id="9" xr3:uid="{3C59B6F7-75F9-461E-B159-29D362FB1100}" name="Payment_Type"/>
    <tableColumn id="10" xr3:uid="{630EFB41-0A58-4F13-857E-AB99BB7A1868}" name="Total_Amount" dataDxfId="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147B72-C594-4307-BFFE-72A8C9296833}" name="Table511" displayName="Table511" ref="A1:O2001" totalsRowShown="0" headerRowDxfId="25" headerRowBorderDxfId="24" tableBorderDxfId="23">
  <autoFilter ref="A1:O2001" xr:uid="{78F4B9C7-8916-46AE-807C-8E2BD8758E86}"/>
  <tableColumns count="15">
    <tableColumn id="1" xr3:uid="{CD9A21E8-E64A-4E1E-A784-20AB3489C773}" name="Sales_ID"/>
    <tableColumn id="11" xr3:uid="{F8D96077-82D5-4AC9-B03F-594BB3D44270}" name="Order_Date" dataDxfId="22"/>
    <tableColumn id="3" xr3:uid="{04B70EE8-C3D2-4E08-B3CC-BE78D53B2284}" name="Customer_ID"/>
    <tableColumn id="4" xr3:uid="{7DFEAE53-D0EA-4157-B958-21AD7E82AA3D}" name="Product_ID"/>
    <tableColumn id="5" xr3:uid="{15714476-629D-4791-88BF-462D59892228}" name="Store_ID"/>
    <tableColumn id="15" xr3:uid="{6D73CF88-0E25-4D9A-9542-B2C17703CE49}" name="Store name" dataDxfId="21">
      <calculatedColumnFormula>[1]Raw_Customer_Dim!$A$2</calculatedColumnFormula>
    </tableColumn>
    <tableColumn id="13" xr3:uid="{114963F3-6D31-4B18-B335-3864F3E6758E}" name="Product name" dataDxfId="20">
      <calculatedColumnFormula>_xlfn.XLOOKUP(E2,Store_Dim!A:A,Store_Dim!B:B,"Not Found")</calculatedColumnFormula>
    </tableColumn>
    <tableColumn id="16" xr3:uid="{F653FEDD-687C-4BF4-B57E-63F59C7097D4}" name="Category" dataDxfId="19">
      <calculatedColumnFormula>_xlfn.XLOOKUP(D2,Product_Dim!A:A,Product_Dim!C:C,"Not Found")</calculatedColumnFormula>
    </tableColumn>
    <tableColumn id="19" xr3:uid="{CF4D10D0-B226-40DE-9D9C-94B049604242}" name="Region" dataDxfId="18">
      <calculatedColumnFormula>_xlfn.XLOOKUP(E2,Store_Dim!A:A,Store_Dim!C:C,"Not Found")</calculatedColumnFormula>
    </tableColumn>
    <tableColumn id="14" xr3:uid="{1632F16B-880F-4908-B1E1-633A32A26CCC}" name="Customer Name" dataDxfId="17">
      <calculatedColumnFormula>_xlfn.XLOOKUP(C2,Customer_Dim!A:A,Customer_Dim!B:B,"Not Found")</calculatedColumnFormula>
    </tableColumn>
    <tableColumn id="6" xr3:uid="{C83320DA-6B57-484F-9462-15F292046001}" name="Quantity"/>
    <tableColumn id="7" xr3:uid="{691B9085-A5E0-4B34-83F3-2010799118D1}" name="Unit_Price" dataDxfId="3"/>
    <tableColumn id="8" xr3:uid="{9CA01055-9195-4A78-B8C9-F9F8E3B6702C}" name="Discount"/>
    <tableColumn id="9" xr3:uid="{A74F8440-A1BA-40C7-AEF9-997801275641}" name="Payment_Type"/>
    <tableColumn id="10" xr3:uid="{9668C81E-98EC-4438-BE8C-767CA6994AB8}" name="Total_Amount" dataDxfId="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F9E9D4B-6E53-49B4-ABF8-1B12E20851BD}" name="Table12" displayName="Table12" ref="Q3:R11" totalsRowShown="0">
  <autoFilter ref="Q3:R11" xr:uid="{FF9E9D4B-6E53-49B4-ABF8-1B12E20851BD}"/>
  <tableColumns count="2">
    <tableColumn id="1" xr3:uid="{92ED5D1D-5DA1-485B-953A-E5692110A2B2}" name="tools" dataDxfId="16"/>
    <tableColumn id="2" xr3:uid="{21EF14D5-652A-4794-8927-B079A34E92B1}" name="result" dataDxf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DA0E-BF31-409D-95AD-D3F9F403E500}">
  <dimension ref="A1:H501"/>
  <sheetViews>
    <sheetView workbookViewId="0">
      <selection sqref="A1:H501"/>
    </sheetView>
  </sheetViews>
  <sheetFormatPr defaultRowHeight="14.5"/>
  <sheetData>
    <row r="1" spans="1:8">
      <c r="A1" s="16" t="s">
        <v>0</v>
      </c>
      <c r="B1" s="16" t="s">
        <v>1</v>
      </c>
      <c r="C1" s="16" t="s">
        <v>2</v>
      </c>
      <c r="D1" s="16" t="s">
        <v>3</v>
      </c>
      <c r="E1" s="16" t="s">
        <v>4</v>
      </c>
      <c r="F1" s="16" t="s">
        <v>5</v>
      </c>
      <c r="G1" s="16" t="s">
        <v>6</v>
      </c>
      <c r="H1" s="16" t="s">
        <v>7</v>
      </c>
    </row>
    <row r="2" spans="1:8">
      <c r="A2" t="s">
        <v>8</v>
      </c>
      <c r="B2" t="s">
        <v>3359</v>
      </c>
      <c r="C2">
        <v>55</v>
      </c>
      <c r="D2" t="s">
        <v>9</v>
      </c>
      <c r="E2" t="s">
        <v>3537</v>
      </c>
      <c r="F2" t="s">
        <v>10</v>
      </c>
      <c r="G2" t="s">
        <v>11</v>
      </c>
    </row>
    <row r="3" spans="1:8">
      <c r="A3" t="s">
        <v>13</v>
      </c>
      <c r="B3" t="s">
        <v>14</v>
      </c>
      <c r="C3">
        <v>26</v>
      </c>
      <c r="D3" t="s">
        <v>15</v>
      </c>
      <c r="E3" t="s">
        <v>3538</v>
      </c>
      <c r="F3" t="s">
        <v>16</v>
      </c>
      <c r="G3" t="s">
        <v>11</v>
      </c>
      <c r="H3" t="s">
        <v>17</v>
      </c>
    </row>
    <row r="4" spans="1:8">
      <c r="A4" t="s">
        <v>18</v>
      </c>
      <c r="B4" t="s">
        <v>3358</v>
      </c>
      <c r="C4">
        <v>29</v>
      </c>
      <c r="D4" t="s">
        <v>15</v>
      </c>
      <c r="E4" t="s">
        <v>3539</v>
      </c>
      <c r="F4" t="s">
        <v>19</v>
      </c>
      <c r="G4" t="s">
        <v>11</v>
      </c>
      <c r="H4" t="s">
        <v>17</v>
      </c>
    </row>
    <row r="5" spans="1:8">
      <c r="A5" t="s">
        <v>20</v>
      </c>
      <c r="B5" t="s">
        <v>3360</v>
      </c>
      <c r="C5">
        <v>59</v>
      </c>
      <c r="D5" t="s">
        <v>15</v>
      </c>
      <c r="E5" t="s">
        <v>3540</v>
      </c>
      <c r="F5" t="s">
        <v>21</v>
      </c>
      <c r="G5" t="s">
        <v>11</v>
      </c>
      <c r="H5" t="s">
        <v>22</v>
      </c>
    </row>
    <row r="6" spans="1:8">
      <c r="A6" t="s">
        <v>23</v>
      </c>
      <c r="B6" t="s">
        <v>24</v>
      </c>
      <c r="C6">
        <v>64</v>
      </c>
      <c r="D6" t="s">
        <v>15</v>
      </c>
      <c r="E6" t="s">
        <v>3541</v>
      </c>
      <c r="F6" t="s">
        <v>25</v>
      </c>
      <c r="G6" t="s">
        <v>11</v>
      </c>
      <c r="H6" t="s">
        <v>26</v>
      </c>
    </row>
    <row r="7" spans="1:8">
      <c r="A7" t="s">
        <v>27</v>
      </c>
      <c r="B7" t="s">
        <v>28</v>
      </c>
      <c r="C7">
        <v>24</v>
      </c>
      <c r="D7" t="s">
        <v>9</v>
      </c>
      <c r="E7" t="s">
        <v>3542</v>
      </c>
      <c r="F7" t="s">
        <v>29</v>
      </c>
      <c r="G7" t="s">
        <v>11</v>
      </c>
      <c r="H7" t="s">
        <v>22</v>
      </c>
    </row>
    <row r="8" spans="1:8">
      <c r="A8" t="s">
        <v>30</v>
      </c>
      <c r="B8" t="s">
        <v>31</v>
      </c>
      <c r="C8">
        <v>29</v>
      </c>
      <c r="D8" t="s">
        <v>15</v>
      </c>
      <c r="E8" t="s">
        <v>3543</v>
      </c>
      <c r="F8" t="s">
        <v>32</v>
      </c>
      <c r="G8" t="s">
        <v>11</v>
      </c>
      <c r="H8" t="s">
        <v>17</v>
      </c>
    </row>
    <row r="9" spans="1:8">
      <c r="A9" t="s">
        <v>33</v>
      </c>
      <c r="B9" t="s">
        <v>34</v>
      </c>
      <c r="C9">
        <v>29</v>
      </c>
      <c r="D9" t="s">
        <v>15</v>
      </c>
      <c r="E9" t="s">
        <v>3544</v>
      </c>
      <c r="F9" t="s">
        <v>35</v>
      </c>
      <c r="G9" t="s">
        <v>11</v>
      </c>
      <c r="H9" t="s">
        <v>22</v>
      </c>
    </row>
    <row r="10" spans="1:8">
      <c r="A10" t="s">
        <v>36</v>
      </c>
      <c r="B10" t="s">
        <v>37</v>
      </c>
      <c r="C10">
        <v>53</v>
      </c>
      <c r="D10" t="s">
        <v>15</v>
      </c>
      <c r="E10" t="s">
        <v>3545</v>
      </c>
      <c r="F10" t="s">
        <v>38</v>
      </c>
      <c r="G10" t="s">
        <v>11</v>
      </c>
      <c r="H10" t="s">
        <v>12</v>
      </c>
    </row>
    <row r="11" spans="1:8">
      <c r="A11" t="s">
        <v>39</v>
      </c>
      <c r="B11" t="s">
        <v>40</v>
      </c>
      <c r="C11">
        <v>64</v>
      </c>
      <c r="D11" t="s">
        <v>9</v>
      </c>
      <c r="E11" t="s">
        <v>3546</v>
      </c>
      <c r="F11" t="s">
        <v>41</v>
      </c>
      <c r="G11" t="s">
        <v>11</v>
      </c>
      <c r="H11" t="s">
        <v>17</v>
      </c>
    </row>
    <row r="12" spans="1:8">
      <c r="A12" t="s">
        <v>42</v>
      </c>
      <c r="B12" t="s">
        <v>43</v>
      </c>
      <c r="C12">
        <v>53</v>
      </c>
      <c r="D12" t="s">
        <v>9</v>
      </c>
      <c r="E12" t="s">
        <v>3547</v>
      </c>
      <c r="F12" t="s">
        <v>41</v>
      </c>
      <c r="G12" t="s">
        <v>11</v>
      </c>
      <c r="H12" t="s">
        <v>22</v>
      </c>
    </row>
    <row r="13" spans="1:8">
      <c r="A13" t="s">
        <v>44</v>
      </c>
      <c r="B13" t="s">
        <v>45</v>
      </c>
      <c r="C13">
        <v>28</v>
      </c>
      <c r="D13" t="s">
        <v>15</v>
      </c>
      <c r="E13" t="s">
        <v>3548</v>
      </c>
      <c r="F13" t="s">
        <v>46</v>
      </c>
      <c r="G13" t="s">
        <v>11</v>
      </c>
      <c r="H13" t="s">
        <v>12</v>
      </c>
    </row>
    <row r="14" spans="1:8">
      <c r="A14" t="s">
        <v>47</v>
      </c>
      <c r="B14" t="s">
        <v>48</v>
      </c>
      <c r="C14">
        <v>55</v>
      </c>
      <c r="D14" t="s">
        <v>15</v>
      </c>
      <c r="E14" t="s">
        <v>3549</v>
      </c>
      <c r="F14" t="s">
        <v>49</v>
      </c>
      <c r="G14" t="s">
        <v>11</v>
      </c>
      <c r="H14" t="s">
        <v>17</v>
      </c>
    </row>
    <row r="15" spans="1:8">
      <c r="A15" t="s">
        <v>50</v>
      </c>
      <c r="B15" t="s">
        <v>51</v>
      </c>
      <c r="C15">
        <v>32</v>
      </c>
      <c r="D15" t="s">
        <v>15</v>
      </c>
      <c r="E15" t="s">
        <v>3550</v>
      </c>
      <c r="F15" t="s">
        <v>52</v>
      </c>
      <c r="G15" t="s">
        <v>11</v>
      </c>
      <c r="H15" t="s">
        <v>26</v>
      </c>
    </row>
    <row r="16" spans="1:8">
      <c r="A16" t="s">
        <v>53</v>
      </c>
      <c r="B16" t="s">
        <v>54</v>
      </c>
      <c r="C16">
        <v>53</v>
      </c>
      <c r="D16" t="s">
        <v>15</v>
      </c>
      <c r="E16" t="s">
        <v>3551</v>
      </c>
      <c r="F16" t="s">
        <v>55</v>
      </c>
      <c r="G16" t="s">
        <v>11</v>
      </c>
      <c r="H16" t="s">
        <v>26</v>
      </c>
    </row>
    <row r="17" spans="1:8">
      <c r="A17" t="s">
        <v>56</v>
      </c>
      <c r="B17" t="s">
        <v>57</v>
      </c>
      <c r="C17">
        <v>49</v>
      </c>
      <c r="D17" t="s">
        <v>15</v>
      </c>
      <c r="E17" t="s">
        <v>3552</v>
      </c>
      <c r="F17" t="s">
        <v>58</v>
      </c>
      <c r="G17" t="s">
        <v>11</v>
      </c>
      <c r="H17" t="s">
        <v>17</v>
      </c>
    </row>
    <row r="18" spans="1:8">
      <c r="A18" t="s">
        <v>59</v>
      </c>
      <c r="B18" t="s">
        <v>60</v>
      </c>
      <c r="C18">
        <v>24</v>
      </c>
      <c r="D18" t="s">
        <v>15</v>
      </c>
      <c r="E18" t="s">
        <v>3553</v>
      </c>
      <c r="F18" t="s">
        <v>41</v>
      </c>
      <c r="G18" t="s">
        <v>11</v>
      </c>
      <c r="H18" t="s">
        <v>22</v>
      </c>
    </row>
    <row r="19" spans="1:8">
      <c r="A19" t="s">
        <v>61</v>
      </c>
      <c r="B19" t="s">
        <v>62</v>
      </c>
      <c r="C19">
        <v>60</v>
      </c>
      <c r="D19" t="s">
        <v>15</v>
      </c>
      <c r="E19" t="s">
        <v>3554</v>
      </c>
      <c r="F19" t="s">
        <v>63</v>
      </c>
      <c r="G19" t="s">
        <v>11</v>
      </c>
      <c r="H19" t="s">
        <v>17</v>
      </c>
    </row>
    <row r="20" spans="1:8">
      <c r="A20" t="s">
        <v>64</v>
      </c>
      <c r="B20" t="s">
        <v>65</v>
      </c>
      <c r="C20">
        <v>43</v>
      </c>
      <c r="D20" t="s">
        <v>9</v>
      </c>
      <c r="E20" t="s">
        <v>3555</v>
      </c>
      <c r="F20" t="s">
        <v>49</v>
      </c>
      <c r="G20" t="s">
        <v>11</v>
      </c>
    </row>
    <row r="21" spans="1:8">
      <c r="A21" t="s">
        <v>66</v>
      </c>
      <c r="B21" t="s">
        <v>67</v>
      </c>
      <c r="C21">
        <v>46</v>
      </c>
      <c r="D21" t="s">
        <v>15</v>
      </c>
      <c r="E21" t="s">
        <v>3556</v>
      </c>
      <c r="F21" t="s">
        <v>68</v>
      </c>
      <c r="G21" t="s">
        <v>11</v>
      </c>
      <c r="H21" t="s">
        <v>17</v>
      </c>
    </row>
    <row r="22" spans="1:8">
      <c r="A22" t="s">
        <v>69</v>
      </c>
      <c r="B22" t="s">
        <v>70</v>
      </c>
      <c r="C22">
        <v>59</v>
      </c>
      <c r="D22" t="s">
        <v>9</v>
      </c>
      <c r="E22" t="s">
        <v>3557</v>
      </c>
      <c r="F22" t="s">
        <v>71</v>
      </c>
      <c r="G22" t="s">
        <v>11</v>
      </c>
      <c r="H22" t="s">
        <v>26</v>
      </c>
    </row>
    <row r="23" spans="1:8">
      <c r="A23" t="s">
        <v>72</v>
      </c>
      <c r="B23" t="s">
        <v>73</v>
      </c>
      <c r="C23">
        <v>36</v>
      </c>
      <c r="D23" t="s">
        <v>15</v>
      </c>
      <c r="E23" t="s">
        <v>3558</v>
      </c>
      <c r="F23" t="s">
        <v>74</v>
      </c>
      <c r="G23" t="s">
        <v>11</v>
      </c>
      <c r="H23" t="s">
        <v>12</v>
      </c>
    </row>
    <row r="24" spans="1:8">
      <c r="A24" t="s">
        <v>75</v>
      </c>
      <c r="B24" t="s">
        <v>3361</v>
      </c>
      <c r="C24">
        <v>33</v>
      </c>
      <c r="D24" t="s">
        <v>15</v>
      </c>
      <c r="E24" t="s">
        <v>3559</v>
      </c>
      <c r="F24" t="s">
        <v>76</v>
      </c>
      <c r="G24" t="s">
        <v>11</v>
      </c>
      <c r="H24" t="s">
        <v>26</v>
      </c>
    </row>
    <row r="25" spans="1:8">
      <c r="A25" t="s">
        <v>77</v>
      </c>
      <c r="B25" t="s">
        <v>78</v>
      </c>
      <c r="C25">
        <v>52</v>
      </c>
      <c r="D25" t="s">
        <v>15</v>
      </c>
      <c r="E25" t="s">
        <v>3560</v>
      </c>
      <c r="F25" t="s">
        <v>29</v>
      </c>
      <c r="G25" t="s">
        <v>11</v>
      </c>
      <c r="H25" t="s">
        <v>26</v>
      </c>
    </row>
    <row r="26" spans="1:8">
      <c r="A26" t="s">
        <v>79</v>
      </c>
      <c r="B26" t="s">
        <v>80</v>
      </c>
      <c r="C26">
        <v>40</v>
      </c>
      <c r="D26" t="s">
        <v>9</v>
      </c>
      <c r="E26" t="s">
        <v>3561</v>
      </c>
      <c r="F26" t="s">
        <v>81</v>
      </c>
      <c r="G26" t="s">
        <v>11</v>
      </c>
      <c r="H26" t="s">
        <v>17</v>
      </c>
    </row>
    <row r="27" spans="1:8">
      <c r="A27" t="s">
        <v>82</v>
      </c>
      <c r="B27" t="s">
        <v>83</v>
      </c>
      <c r="C27">
        <v>59</v>
      </c>
      <c r="D27" t="s">
        <v>15</v>
      </c>
      <c r="E27" t="s">
        <v>3562</v>
      </c>
      <c r="F27" t="s">
        <v>25</v>
      </c>
      <c r="G27" t="s">
        <v>11</v>
      </c>
      <c r="H27" t="s">
        <v>22</v>
      </c>
    </row>
    <row r="28" spans="1:8">
      <c r="A28" t="s">
        <v>84</v>
      </c>
      <c r="B28" t="s">
        <v>85</v>
      </c>
      <c r="C28">
        <v>18</v>
      </c>
      <c r="D28" t="s">
        <v>15</v>
      </c>
      <c r="E28" t="s">
        <v>3563</v>
      </c>
      <c r="F28" t="s">
        <v>86</v>
      </c>
      <c r="G28" t="s">
        <v>11</v>
      </c>
      <c r="H28" t="s">
        <v>12</v>
      </c>
    </row>
    <row r="29" spans="1:8">
      <c r="A29" t="s">
        <v>87</v>
      </c>
      <c r="B29" t="s">
        <v>88</v>
      </c>
      <c r="C29">
        <v>31</v>
      </c>
      <c r="D29" t="s">
        <v>9</v>
      </c>
      <c r="E29" t="s">
        <v>3564</v>
      </c>
      <c r="F29" t="s">
        <v>89</v>
      </c>
      <c r="G29" t="s">
        <v>11</v>
      </c>
    </row>
    <row r="30" spans="1:8">
      <c r="A30" t="s">
        <v>90</v>
      </c>
      <c r="B30" t="s">
        <v>91</v>
      </c>
      <c r="C30">
        <v>27</v>
      </c>
      <c r="D30" t="s">
        <v>15</v>
      </c>
      <c r="E30" t="s">
        <v>3565</v>
      </c>
      <c r="F30" t="s">
        <v>68</v>
      </c>
      <c r="G30" t="s">
        <v>11</v>
      </c>
      <c r="H30" t="s">
        <v>17</v>
      </c>
    </row>
    <row r="31" spans="1:8">
      <c r="A31" t="s">
        <v>92</v>
      </c>
      <c r="B31" t="s">
        <v>93</v>
      </c>
      <c r="C31">
        <v>54</v>
      </c>
      <c r="D31" t="s">
        <v>15</v>
      </c>
      <c r="E31" t="s">
        <v>3566</v>
      </c>
      <c r="F31" t="s">
        <v>25</v>
      </c>
      <c r="G31" t="s">
        <v>11</v>
      </c>
      <c r="H31" t="s">
        <v>26</v>
      </c>
    </row>
    <row r="32" spans="1:8">
      <c r="A32" t="s">
        <v>94</v>
      </c>
      <c r="B32" t="s">
        <v>95</v>
      </c>
      <c r="C32">
        <v>64</v>
      </c>
      <c r="D32" t="s">
        <v>15</v>
      </c>
      <c r="E32" t="s">
        <v>3567</v>
      </c>
      <c r="F32" t="s">
        <v>41</v>
      </c>
      <c r="G32" t="s">
        <v>11</v>
      </c>
      <c r="H32" t="s">
        <v>22</v>
      </c>
    </row>
    <row r="33" spans="1:8">
      <c r="A33" t="s">
        <v>96</v>
      </c>
      <c r="B33" t="s">
        <v>97</v>
      </c>
      <c r="C33">
        <v>41</v>
      </c>
      <c r="D33" t="s">
        <v>9</v>
      </c>
      <c r="E33" t="s">
        <v>98</v>
      </c>
      <c r="F33" t="s">
        <v>29</v>
      </c>
      <c r="G33" t="s">
        <v>11</v>
      </c>
      <c r="H33" t="s">
        <v>26</v>
      </c>
    </row>
    <row r="34" spans="1:8">
      <c r="A34" t="s">
        <v>99</v>
      </c>
      <c r="B34" t="s">
        <v>100</v>
      </c>
      <c r="C34">
        <v>48</v>
      </c>
      <c r="D34" t="s">
        <v>15</v>
      </c>
      <c r="E34" t="s">
        <v>3568</v>
      </c>
      <c r="F34" t="s">
        <v>101</v>
      </c>
      <c r="G34" t="s">
        <v>11</v>
      </c>
      <c r="H34" t="s">
        <v>12</v>
      </c>
    </row>
    <row r="35" spans="1:8">
      <c r="A35" t="s">
        <v>102</v>
      </c>
      <c r="B35" t="s">
        <v>103</v>
      </c>
      <c r="C35">
        <v>25</v>
      </c>
      <c r="D35" t="s">
        <v>9</v>
      </c>
      <c r="E35" t="s">
        <v>3569</v>
      </c>
      <c r="F35" t="s">
        <v>74</v>
      </c>
      <c r="G35" t="s">
        <v>11</v>
      </c>
      <c r="H35" t="s">
        <v>17</v>
      </c>
    </row>
    <row r="36" spans="1:8">
      <c r="A36" t="s">
        <v>104</v>
      </c>
      <c r="B36" t="s">
        <v>105</v>
      </c>
      <c r="C36">
        <v>27</v>
      </c>
      <c r="D36" t="s">
        <v>15</v>
      </c>
      <c r="E36" t="s">
        <v>3570</v>
      </c>
      <c r="F36" t="s">
        <v>106</v>
      </c>
      <c r="G36" t="s">
        <v>11</v>
      </c>
      <c r="H36" t="s">
        <v>17</v>
      </c>
    </row>
    <row r="37" spans="1:8">
      <c r="A37" t="s">
        <v>107</v>
      </c>
      <c r="B37" t="s">
        <v>108</v>
      </c>
      <c r="C37">
        <v>52</v>
      </c>
      <c r="D37" t="s">
        <v>9</v>
      </c>
      <c r="E37" t="s">
        <v>3571</v>
      </c>
      <c r="F37" t="s">
        <v>16</v>
      </c>
      <c r="G37" t="s">
        <v>11</v>
      </c>
      <c r="H37" t="s">
        <v>26</v>
      </c>
    </row>
    <row r="38" spans="1:8">
      <c r="A38" t="s">
        <v>109</v>
      </c>
      <c r="B38" t="s">
        <v>110</v>
      </c>
      <c r="C38">
        <v>20</v>
      </c>
      <c r="D38" t="s">
        <v>15</v>
      </c>
      <c r="E38" t="s">
        <v>3572</v>
      </c>
      <c r="F38" t="s">
        <v>63</v>
      </c>
      <c r="G38" t="s">
        <v>11</v>
      </c>
      <c r="H38" t="s">
        <v>12</v>
      </c>
    </row>
    <row r="39" spans="1:8">
      <c r="A39" t="s">
        <v>111</v>
      </c>
      <c r="B39" t="s">
        <v>112</v>
      </c>
      <c r="C39">
        <v>27</v>
      </c>
      <c r="D39" t="s">
        <v>15</v>
      </c>
      <c r="E39" t="s">
        <v>3573</v>
      </c>
      <c r="F39" t="s">
        <v>32</v>
      </c>
      <c r="G39" t="s">
        <v>11</v>
      </c>
    </row>
    <row r="40" spans="1:8">
      <c r="A40" t="s">
        <v>113</v>
      </c>
      <c r="B40" t="s">
        <v>114</v>
      </c>
      <c r="C40">
        <v>35</v>
      </c>
      <c r="D40" t="s">
        <v>15</v>
      </c>
      <c r="E40" t="s">
        <v>3574</v>
      </c>
      <c r="F40" t="s">
        <v>16</v>
      </c>
      <c r="G40" t="s">
        <v>11</v>
      </c>
      <c r="H40" t="s">
        <v>22</v>
      </c>
    </row>
    <row r="41" spans="1:8">
      <c r="A41" t="s">
        <v>115</v>
      </c>
      <c r="B41" t="s">
        <v>116</v>
      </c>
      <c r="C41">
        <v>55</v>
      </c>
      <c r="D41" t="s">
        <v>15</v>
      </c>
      <c r="E41" t="s">
        <v>3575</v>
      </c>
      <c r="F41" t="s">
        <v>117</v>
      </c>
      <c r="G41" t="s">
        <v>11</v>
      </c>
      <c r="H41" t="s">
        <v>12</v>
      </c>
    </row>
    <row r="42" spans="1:8">
      <c r="A42" t="s">
        <v>118</v>
      </c>
      <c r="B42" t="s">
        <v>119</v>
      </c>
      <c r="C42">
        <v>50</v>
      </c>
      <c r="D42" t="s">
        <v>9</v>
      </c>
      <c r="E42" t="s">
        <v>3576</v>
      </c>
      <c r="F42" t="s">
        <v>49</v>
      </c>
      <c r="G42" t="s">
        <v>11</v>
      </c>
      <c r="H42" t="s">
        <v>12</v>
      </c>
    </row>
    <row r="43" spans="1:8">
      <c r="A43" t="s">
        <v>120</v>
      </c>
      <c r="B43" t="s">
        <v>121</v>
      </c>
      <c r="C43">
        <v>21</v>
      </c>
      <c r="D43" t="s">
        <v>9</v>
      </c>
      <c r="E43" t="s">
        <v>3577</v>
      </c>
      <c r="F43" t="s">
        <v>122</v>
      </c>
      <c r="G43" t="s">
        <v>11</v>
      </c>
      <c r="H43" t="s">
        <v>17</v>
      </c>
    </row>
    <row r="44" spans="1:8">
      <c r="A44" t="s">
        <v>123</v>
      </c>
      <c r="B44" t="s">
        <v>124</v>
      </c>
      <c r="C44">
        <v>19</v>
      </c>
      <c r="D44" t="s">
        <v>9</v>
      </c>
      <c r="E44" t="s">
        <v>3578</v>
      </c>
      <c r="F44" t="s">
        <v>125</v>
      </c>
      <c r="G44" t="s">
        <v>11</v>
      </c>
      <c r="H44" t="s">
        <v>17</v>
      </c>
    </row>
    <row r="45" spans="1:8">
      <c r="A45" t="s">
        <v>126</v>
      </c>
      <c r="B45" t="s">
        <v>127</v>
      </c>
      <c r="C45">
        <v>45</v>
      </c>
      <c r="D45" t="s">
        <v>9</v>
      </c>
      <c r="E45" t="s">
        <v>3579</v>
      </c>
      <c r="F45" t="s">
        <v>128</v>
      </c>
      <c r="G45" t="s">
        <v>11</v>
      </c>
      <c r="H45" t="s">
        <v>12</v>
      </c>
    </row>
    <row r="46" spans="1:8">
      <c r="A46" t="s">
        <v>129</v>
      </c>
      <c r="B46" t="s">
        <v>130</v>
      </c>
      <c r="C46">
        <v>34</v>
      </c>
      <c r="D46" t="s">
        <v>9</v>
      </c>
      <c r="E46" t="s">
        <v>3580</v>
      </c>
      <c r="F46" t="s">
        <v>76</v>
      </c>
      <c r="G46" t="s">
        <v>11</v>
      </c>
      <c r="H46" t="s">
        <v>22</v>
      </c>
    </row>
    <row r="47" spans="1:8">
      <c r="A47" t="s">
        <v>131</v>
      </c>
      <c r="B47" t="s">
        <v>132</v>
      </c>
      <c r="C47">
        <v>54</v>
      </c>
      <c r="D47" t="s">
        <v>9</v>
      </c>
      <c r="E47" t="s">
        <v>3581</v>
      </c>
      <c r="F47" t="s">
        <v>101</v>
      </c>
      <c r="G47" t="s">
        <v>11</v>
      </c>
      <c r="H47" t="s">
        <v>12</v>
      </c>
    </row>
    <row r="48" spans="1:8">
      <c r="A48" t="s">
        <v>133</v>
      </c>
      <c r="B48" t="s">
        <v>134</v>
      </c>
      <c r="C48">
        <v>55</v>
      </c>
      <c r="D48" t="s">
        <v>15</v>
      </c>
      <c r="E48" t="s">
        <v>3582</v>
      </c>
      <c r="F48" t="s">
        <v>21</v>
      </c>
      <c r="G48" t="s">
        <v>11</v>
      </c>
      <c r="H48" t="s">
        <v>17</v>
      </c>
    </row>
    <row r="49" spans="1:8">
      <c r="A49" t="s">
        <v>135</v>
      </c>
      <c r="B49" t="s">
        <v>136</v>
      </c>
      <c r="C49">
        <v>54</v>
      </c>
      <c r="D49" t="s">
        <v>15</v>
      </c>
      <c r="E49" t="s">
        <v>3583</v>
      </c>
      <c r="F49" t="s">
        <v>137</v>
      </c>
      <c r="G49" t="s">
        <v>11</v>
      </c>
      <c r="H49" t="s">
        <v>26</v>
      </c>
    </row>
    <row r="50" spans="1:8">
      <c r="A50" t="s">
        <v>138</v>
      </c>
      <c r="B50" t="s">
        <v>139</v>
      </c>
      <c r="C50">
        <v>54</v>
      </c>
      <c r="D50" t="s">
        <v>9</v>
      </c>
      <c r="E50" t="s">
        <v>3584</v>
      </c>
      <c r="F50" t="s">
        <v>10</v>
      </c>
      <c r="G50" t="s">
        <v>11</v>
      </c>
      <c r="H50" t="s">
        <v>17</v>
      </c>
    </row>
    <row r="51" spans="1:8">
      <c r="A51" t="s">
        <v>140</v>
      </c>
      <c r="B51" t="s">
        <v>141</v>
      </c>
      <c r="C51">
        <v>45</v>
      </c>
      <c r="D51" t="s">
        <v>15</v>
      </c>
      <c r="E51" t="s">
        <v>3585</v>
      </c>
      <c r="F51" t="s">
        <v>21</v>
      </c>
      <c r="G51" t="s">
        <v>11</v>
      </c>
      <c r="H51" t="s">
        <v>12</v>
      </c>
    </row>
    <row r="52" spans="1:8">
      <c r="A52" t="s">
        <v>142</v>
      </c>
      <c r="B52" t="s">
        <v>143</v>
      </c>
      <c r="C52">
        <v>61</v>
      </c>
      <c r="D52" t="s">
        <v>15</v>
      </c>
      <c r="E52" t="s">
        <v>3586</v>
      </c>
      <c r="F52" t="s">
        <v>144</v>
      </c>
      <c r="G52" t="s">
        <v>11</v>
      </c>
      <c r="H52" t="s">
        <v>12</v>
      </c>
    </row>
    <row r="53" spans="1:8">
      <c r="A53" t="s">
        <v>145</v>
      </c>
      <c r="B53" t="s">
        <v>146</v>
      </c>
      <c r="C53">
        <v>23</v>
      </c>
      <c r="D53" t="s">
        <v>15</v>
      </c>
      <c r="E53" t="s">
        <v>3587</v>
      </c>
      <c r="F53" t="s">
        <v>35</v>
      </c>
      <c r="G53" t="s">
        <v>11</v>
      </c>
      <c r="H53" t="s">
        <v>12</v>
      </c>
    </row>
    <row r="54" spans="1:8">
      <c r="A54" t="s">
        <v>147</v>
      </c>
      <c r="B54" t="s">
        <v>148</v>
      </c>
      <c r="C54">
        <v>55</v>
      </c>
      <c r="D54" t="s">
        <v>9</v>
      </c>
      <c r="E54" t="s">
        <v>3588</v>
      </c>
      <c r="F54" t="s">
        <v>149</v>
      </c>
      <c r="G54" t="s">
        <v>11</v>
      </c>
      <c r="H54" t="s">
        <v>22</v>
      </c>
    </row>
    <row r="55" spans="1:8">
      <c r="A55" t="s">
        <v>150</v>
      </c>
      <c r="B55" t="s">
        <v>151</v>
      </c>
      <c r="C55">
        <v>37</v>
      </c>
      <c r="D55" t="s">
        <v>15</v>
      </c>
      <c r="E55" t="s">
        <v>3589</v>
      </c>
      <c r="F55" t="s">
        <v>117</v>
      </c>
      <c r="G55" t="s">
        <v>11</v>
      </c>
      <c r="H55" t="s">
        <v>12</v>
      </c>
    </row>
    <row r="56" spans="1:8">
      <c r="A56" t="s">
        <v>152</v>
      </c>
      <c r="B56" t="s">
        <v>153</v>
      </c>
      <c r="C56">
        <v>24</v>
      </c>
      <c r="D56" t="s">
        <v>9</v>
      </c>
      <c r="E56" t="s">
        <v>154</v>
      </c>
      <c r="F56" t="s">
        <v>74</v>
      </c>
      <c r="G56" t="s">
        <v>11</v>
      </c>
      <c r="H56" t="s">
        <v>17</v>
      </c>
    </row>
    <row r="57" spans="1:8">
      <c r="A57" t="s">
        <v>155</v>
      </c>
      <c r="B57" t="s">
        <v>156</v>
      </c>
      <c r="C57">
        <v>56</v>
      </c>
      <c r="D57" t="s">
        <v>15</v>
      </c>
      <c r="E57" t="s">
        <v>3590</v>
      </c>
      <c r="F57" t="s">
        <v>149</v>
      </c>
      <c r="G57" t="s">
        <v>11</v>
      </c>
      <c r="H57" t="s">
        <v>22</v>
      </c>
    </row>
    <row r="58" spans="1:8">
      <c r="A58" t="s">
        <v>157</v>
      </c>
      <c r="B58" t="s">
        <v>158</v>
      </c>
      <c r="C58">
        <v>49</v>
      </c>
      <c r="D58" t="s">
        <v>15</v>
      </c>
      <c r="E58" t="s">
        <v>3591</v>
      </c>
      <c r="F58" t="s">
        <v>41</v>
      </c>
      <c r="G58" t="s">
        <v>11</v>
      </c>
      <c r="H58" t="s">
        <v>12</v>
      </c>
    </row>
    <row r="59" spans="1:8">
      <c r="A59" t="s">
        <v>159</v>
      </c>
      <c r="B59" t="s">
        <v>160</v>
      </c>
      <c r="C59">
        <v>43</v>
      </c>
      <c r="D59" t="s">
        <v>15</v>
      </c>
      <c r="E59" t="s">
        <v>3592</v>
      </c>
      <c r="F59" t="s">
        <v>161</v>
      </c>
      <c r="G59" t="s">
        <v>11</v>
      </c>
      <c r="H59" t="s">
        <v>17</v>
      </c>
    </row>
    <row r="60" spans="1:8">
      <c r="A60" t="s">
        <v>162</v>
      </c>
      <c r="B60" t="s">
        <v>163</v>
      </c>
      <c r="C60">
        <v>51</v>
      </c>
      <c r="D60" t="s">
        <v>9</v>
      </c>
      <c r="E60" t="s">
        <v>3593</v>
      </c>
      <c r="F60" t="s">
        <v>106</v>
      </c>
      <c r="G60" t="s">
        <v>11</v>
      </c>
      <c r="H60" t="s">
        <v>17</v>
      </c>
    </row>
    <row r="61" spans="1:8">
      <c r="A61" t="s">
        <v>164</v>
      </c>
      <c r="B61" t="s">
        <v>165</v>
      </c>
      <c r="C61">
        <v>53</v>
      </c>
      <c r="D61" t="s">
        <v>9</v>
      </c>
      <c r="E61" t="s">
        <v>3594</v>
      </c>
      <c r="F61" t="s">
        <v>52</v>
      </c>
      <c r="G61" t="s">
        <v>11</v>
      </c>
      <c r="H61" t="s">
        <v>17</v>
      </c>
    </row>
    <row r="62" spans="1:8">
      <c r="A62" t="s">
        <v>166</v>
      </c>
      <c r="B62" t="s">
        <v>167</v>
      </c>
      <c r="C62">
        <v>22</v>
      </c>
      <c r="D62" t="s">
        <v>15</v>
      </c>
      <c r="E62" t="s">
        <v>3595</v>
      </c>
      <c r="F62" t="s">
        <v>122</v>
      </c>
      <c r="G62" t="s">
        <v>11</v>
      </c>
      <c r="H62" t="s">
        <v>26</v>
      </c>
    </row>
    <row r="63" spans="1:8">
      <c r="A63" t="s">
        <v>168</v>
      </c>
      <c r="B63" t="s">
        <v>169</v>
      </c>
      <c r="C63">
        <v>23</v>
      </c>
      <c r="D63" t="s">
        <v>9</v>
      </c>
      <c r="E63" t="s">
        <v>3596</v>
      </c>
      <c r="F63" t="s">
        <v>86</v>
      </c>
      <c r="G63" t="s">
        <v>11</v>
      </c>
      <c r="H63" t="s">
        <v>26</v>
      </c>
    </row>
    <row r="64" spans="1:8">
      <c r="A64" t="s">
        <v>170</v>
      </c>
      <c r="B64" t="s">
        <v>171</v>
      </c>
      <c r="C64">
        <v>50</v>
      </c>
      <c r="D64" t="s">
        <v>9</v>
      </c>
      <c r="E64" t="s">
        <v>3597</v>
      </c>
      <c r="F64" t="s">
        <v>172</v>
      </c>
      <c r="G64" t="s">
        <v>11</v>
      </c>
      <c r="H64" t="s">
        <v>22</v>
      </c>
    </row>
    <row r="65" spans="1:8">
      <c r="A65" t="s">
        <v>173</v>
      </c>
      <c r="B65" t="s">
        <v>174</v>
      </c>
      <c r="C65">
        <v>51</v>
      </c>
      <c r="D65" t="s">
        <v>9</v>
      </c>
      <c r="E65" t="s">
        <v>3598</v>
      </c>
      <c r="F65" t="s">
        <v>175</v>
      </c>
      <c r="G65" t="s">
        <v>11</v>
      </c>
      <c r="H65" t="s">
        <v>17</v>
      </c>
    </row>
    <row r="66" spans="1:8">
      <c r="A66" t="s">
        <v>176</v>
      </c>
      <c r="B66" t="s">
        <v>177</v>
      </c>
      <c r="C66">
        <v>33</v>
      </c>
      <c r="D66" t="s">
        <v>9</v>
      </c>
      <c r="E66" t="s">
        <v>3599</v>
      </c>
      <c r="F66" t="s">
        <v>101</v>
      </c>
      <c r="G66" t="s">
        <v>11</v>
      </c>
      <c r="H66" t="s">
        <v>12</v>
      </c>
    </row>
    <row r="67" spans="1:8">
      <c r="A67" t="s">
        <v>178</v>
      </c>
      <c r="B67" t="s">
        <v>179</v>
      </c>
      <c r="C67">
        <v>21</v>
      </c>
      <c r="D67" t="s">
        <v>15</v>
      </c>
      <c r="E67" t="s">
        <v>3600</v>
      </c>
      <c r="F67" t="s">
        <v>137</v>
      </c>
      <c r="G67" t="s">
        <v>11</v>
      </c>
      <c r="H67" t="s">
        <v>26</v>
      </c>
    </row>
    <row r="68" spans="1:8">
      <c r="A68" t="s">
        <v>180</v>
      </c>
      <c r="B68" t="s">
        <v>181</v>
      </c>
      <c r="C68">
        <v>27</v>
      </c>
      <c r="D68" t="s">
        <v>15</v>
      </c>
      <c r="E68" t="s">
        <v>3601</v>
      </c>
      <c r="F68" t="s">
        <v>38</v>
      </c>
      <c r="G68" t="s">
        <v>11</v>
      </c>
      <c r="H68" t="s">
        <v>26</v>
      </c>
    </row>
    <row r="69" spans="1:8">
      <c r="A69" t="s">
        <v>182</v>
      </c>
      <c r="B69" t="s">
        <v>183</v>
      </c>
      <c r="C69">
        <v>58</v>
      </c>
      <c r="D69" t="s">
        <v>9</v>
      </c>
      <c r="E69" t="s">
        <v>3602</v>
      </c>
      <c r="F69" t="s">
        <v>184</v>
      </c>
      <c r="G69" t="s">
        <v>11</v>
      </c>
      <c r="H69" t="s">
        <v>26</v>
      </c>
    </row>
    <row r="70" spans="1:8">
      <c r="A70" t="s">
        <v>185</v>
      </c>
      <c r="B70" t="s">
        <v>186</v>
      </c>
      <c r="C70">
        <v>24</v>
      </c>
      <c r="D70" t="s">
        <v>15</v>
      </c>
      <c r="E70" t="s">
        <v>3603</v>
      </c>
      <c r="F70" t="s">
        <v>187</v>
      </c>
      <c r="G70" t="s">
        <v>11</v>
      </c>
      <c r="H70" t="s">
        <v>26</v>
      </c>
    </row>
    <row r="71" spans="1:8">
      <c r="A71" t="s">
        <v>188</v>
      </c>
      <c r="B71" t="s">
        <v>189</v>
      </c>
      <c r="C71">
        <v>24</v>
      </c>
      <c r="D71" t="s">
        <v>15</v>
      </c>
      <c r="E71" t="s">
        <v>3604</v>
      </c>
      <c r="F71" t="s">
        <v>68</v>
      </c>
      <c r="G71" t="s">
        <v>11</v>
      </c>
      <c r="H71" t="s">
        <v>17</v>
      </c>
    </row>
    <row r="72" spans="1:8">
      <c r="A72" t="s">
        <v>190</v>
      </c>
      <c r="B72" t="s">
        <v>191</v>
      </c>
      <c r="C72">
        <v>29</v>
      </c>
      <c r="D72" t="s">
        <v>15</v>
      </c>
      <c r="E72" t="s">
        <v>3605</v>
      </c>
      <c r="F72" t="s">
        <v>172</v>
      </c>
      <c r="G72" t="s">
        <v>11</v>
      </c>
      <c r="H72" t="s">
        <v>12</v>
      </c>
    </row>
    <row r="73" spans="1:8">
      <c r="A73" t="s">
        <v>192</v>
      </c>
      <c r="B73" t="s">
        <v>193</v>
      </c>
      <c r="C73">
        <v>61</v>
      </c>
      <c r="D73" t="s">
        <v>15</v>
      </c>
      <c r="E73" t="s">
        <v>3606</v>
      </c>
      <c r="F73" t="s">
        <v>172</v>
      </c>
      <c r="G73" t="s">
        <v>11</v>
      </c>
      <c r="H73" t="s">
        <v>12</v>
      </c>
    </row>
    <row r="74" spans="1:8">
      <c r="A74" t="s">
        <v>194</v>
      </c>
      <c r="B74" t="s">
        <v>195</v>
      </c>
      <c r="C74">
        <v>39</v>
      </c>
      <c r="D74" t="s">
        <v>15</v>
      </c>
      <c r="E74" t="s">
        <v>3607</v>
      </c>
      <c r="F74" t="s">
        <v>196</v>
      </c>
      <c r="G74" t="s">
        <v>11</v>
      </c>
      <c r="H74" t="s">
        <v>12</v>
      </c>
    </row>
    <row r="75" spans="1:8">
      <c r="A75" t="s">
        <v>197</v>
      </c>
      <c r="B75" t="s">
        <v>198</v>
      </c>
      <c r="C75">
        <v>56</v>
      </c>
      <c r="D75" t="s">
        <v>15</v>
      </c>
      <c r="E75" t="s">
        <v>3608</v>
      </c>
      <c r="F75" t="s">
        <v>35</v>
      </c>
      <c r="G75" t="s">
        <v>11</v>
      </c>
      <c r="H75" t="s">
        <v>26</v>
      </c>
    </row>
    <row r="76" spans="1:8">
      <c r="A76" t="s">
        <v>199</v>
      </c>
      <c r="B76" t="s">
        <v>200</v>
      </c>
      <c r="C76">
        <v>58</v>
      </c>
      <c r="D76" t="s">
        <v>9</v>
      </c>
      <c r="E76" t="s">
        <v>3609</v>
      </c>
      <c r="F76" t="s">
        <v>201</v>
      </c>
      <c r="G76" t="s">
        <v>11</v>
      </c>
      <c r="H76" t="s">
        <v>22</v>
      </c>
    </row>
    <row r="77" spans="1:8">
      <c r="A77" t="s">
        <v>202</v>
      </c>
      <c r="B77" t="s">
        <v>203</v>
      </c>
      <c r="C77">
        <v>61</v>
      </c>
      <c r="D77" t="s">
        <v>15</v>
      </c>
      <c r="E77" t="s">
        <v>3610</v>
      </c>
      <c r="F77" t="s">
        <v>25</v>
      </c>
      <c r="G77" t="s">
        <v>11</v>
      </c>
      <c r="H77" t="s">
        <v>12</v>
      </c>
    </row>
    <row r="78" spans="1:8">
      <c r="A78" t="s">
        <v>204</v>
      </c>
      <c r="B78" t="s">
        <v>205</v>
      </c>
      <c r="C78">
        <v>37</v>
      </c>
      <c r="D78" t="s">
        <v>9</v>
      </c>
      <c r="E78" t="s">
        <v>3611</v>
      </c>
      <c r="F78" t="s">
        <v>74</v>
      </c>
      <c r="G78" t="s">
        <v>11</v>
      </c>
      <c r="H78" t="s">
        <v>12</v>
      </c>
    </row>
    <row r="79" spans="1:8">
      <c r="A79" t="s">
        <v>206</v>
      </c>
      <c r="B79" t="s">
        <v>207</v>
      </c>
      <c r="C79">
        <v>29</v>
      </c>
      <c r="D79" t="s">
        <v>9</v>
      </c>
      <c r="E79" t="s">
        <v>3612</v>
      </c>
      <c r="F79" t="s">
        <v>128</v>
      </c>
      <c r="G79" t="s">
        <v>11</v>
      </c>
      <c r="H79" t="s">
        <v>12</v>
      </c>
    </row>
    <row r="80" spans="1:8">
      <c r="A80" t="s">
        <v>208</v>
      </c>
      <c r="B80" t="s">
        <v>209</v>
      </c>
      <c r="C80">
        <v>21</v>
      </c>
      <c r="D80" t="s">
        <v>9</v>
      </c>
      <c r="E80" t="s">
        <v>3613</v>
      </c>
      <c r="F80" t="s">
        <v>210</v>
      </c>
      <c r="G80" t="s">
        <v>11</v>
      </c>
      <c r="H80" t="s">
        <v>12</v>
      </c>
    </row>
    <row r="81" spans="1:8">
      <c r="A81" t="s">
        <v>211</v>
      </c>
      <c r="B81" t="s">
        <v>212</v>
      </c>
      <c r="C81">
        <v>22</v>
      </c>
      <c r="D81" t="s">
        <v>15</v>
      </c>
      <c r="E81" t="s">
        <v>3614</v>
      </c>
      <c r="F81" t="s">
        <v>213</v>
      </c>
      <c r="G81" t="s">
        <v>11</v>
      </c>
      <c r="H81" t="s">
        <v>17</v>
      </c>
    </row>
    <row r="82" spans="1:8">
      <c r="A82" t="s">
        <v>214</v>
      </c>
      <c r="B82" t="s">
        <v>215</v>
      </c>
      <c r="C82">
        <v>61</v>
      </c>
      <c r="D82" t="s">
        <v>15</v>
      </c>
      <c r="E82" t="s">
        <v>3615</v>
      </c>
      <c r="F82" t="s">
        <v>172</v>
      </c>
      <c r="G82" t="s">
        <v>11</v>
      </c>
      <c r="H82" t="s">
        <v>22</v>
      </c>
    </row>
    <row r="83" spans="1:8">
      <c r="A83" t="s">
        <v>216</v>
      </c>
      <c r="B83" t="s">
        <v>217</v>
      </c>
      <c r="C83">
        <v>34</v>
      </c>
      <c r="D83" t="s">
        <v>15</v>
      </c>
      <c r="E83" t="s">
        <v>3616</v>
      </c>
      <c r="F83" t="s">
        <v>101</v>
      </c>
      <c r="G83" t="s">
        <v>11</v>
      </c>
      <c r="H83" t="s">
        <v>17</v>
      </c>
    </row>
    <row r="84" spans="1:8">
      <c r="A84" t="s">
        <v>218</v>
      </c>
      <c r="B84" t="s">
        <v>219</v>
      </c>
      <c r="C84">
        <v>53</v>
      </c>
      <c r="D84" t="s">
        <v>9</v>
      </c>
      <c r="E84" t="s">
        <v>3617</v>
      </c>
      <c r="F84" t="s">
        <v>184</v>
      </c>
      <c r="G84" t="s">
        <v>11</v>
      </c>
      <c r="H84" t="s">
        <v>22</v>
      </c>
    </row>
    <row r="85" spans="1:8">
      <c r="A85" t="s">
        <v>220</v>
      </c>
      <c r="B85" t="s">
        <v>221</v>
      </c>
      <c r="C85">
        <v>48</v>
      </c>
      <c r="D85" t="s">
        <v>15</v>
      </c>
      <c r="E85" t="s">
        <v>3618</v>
      </c>
      <c r="F85" t="s">
        <v>63</v>
      </c>
      <c r="G85" t="s">
        <v>11</v>
      </c>
      <c r="H85" t="s">
        <v>22</v>
      </c>
    </row>
    <row r="86" spans="1:8">
      <c r="A86" t="s">
        <v>222</v>
      </c>
      <c r="B86" t="s">
        <v>223</v>
      </c>
      <c r="C86">
        <v>26</v>
      </c>
      <c r="D86" t="s">
        <v>15</v>
      </c>
      <c r="E86" t="s">
        <v>3619</v>
      </c>
      <c r="F86" t="s">
        <v>187</v>
      </c>
      <c r="G86" t="s">
        <v>11</v>
      </c>
      <c r="H86" t="s">
        <v>17</v>
      </c>
    </row>
    <row r="87" spans="1:8">
      <c r="A87" t="s">
        <v>224</v>
      </c>
      <c r="B87" t="s">
        <v>225</v>
      </c>
      <c r="C87">
        <v>36</v>
      </c>
      <c r="D87" t="s">
        <v>9</v>
      </c>
      <c r="E87" t="s">
        <v>3620</v>
      </c>
      <c r="F87" t="s">
        <v>41</v>
      </c>
      <c r="G87" t="s">
        <v>11</v>
      </c>
      <c r="H87" t="s">
        <v>26</v>
      </c>
    </row>
    <row r="88" spans="1:8">
      <c r="A88" t="s">
        <v>226</v>
      </c>
      <c r="B88" t="s">
        <v>227</v>
      </c>
      <c r="C88">
        <v>19</v>
      </c>
      <c r="D88" t="s">
        <v>15</v>
      </c>
      <c r="E88" t="s">
        <v>3621</v>
      </c>
      <c r="F88" t="s">
        <v>228</v>
      </c>
      <c r="G88" t="s">
        <v>11</v>
      </c>
      <c r="H88" t="s">
        <v>12</v>
      </c>
    </row>
    <row r="89" spans="1:8">
      <c r="A89" t="s">
        <v>229</v>
      </c>
      <c r="B89" t="s">
        <v>230</v>
      </c>
      <c r="C89">
        <v>58</v>
      </c>
      <c r="D89" t="s">
        <v>15</v>
      </c>
      <c r="E89" t="s">
        <v>3622</v>
      </c>
      <c r="F89" t="s">
        <v>231</v>
      </c>
      <c r="G89" t="s">
        <v>11</v>
      </c>
      <c r="H89" t="s">
        <v>22</v>
      </c>
    </row>
    <row r="90" spans="1:8">
      <c r="A90" t="s">
        <v>232</v>
      </c>
      <c r="B90" t="s">
        <v>233</v>
      </c>
      <c r="C90">
        <v>58</v>
      </c>
      <c r="D90" t="s">
        <v>9</v>
      </c>
      <c r="E90" t="s">
        <v>3623</v>
      </c>
      <c r="F90" t="s">
        <v>213</v>
      </c>
      <c r="G90" t="s">
        <v>11</v>
      </c>
      <c r="H90" t="s">
        <v>26</v>
      </c>
    </row>
    <row r="91" spans="1:8">
      <c r="A91" t="s">
        <v>234</v>
      </c>
      <c r="B91" t="s">
        <v>235</v>
      </c>
      <c r="C91">
        <v>43</v>
      </c>
      <c r="D91" t="s">
        <v>9</v>
      </c>
      <c r="E91" t="s">
        <v>3624</v>
      </c>
      <c r="F91" t="s">
        <v>236</v>
      </c>
      <c r="G91" t="s">
        <v>11</v>
      </c>
      <c r="H91" t="s">
        <v>17</v>
      </c>
    </row>
    <row r="92" spans="1:8">
      <c r="A92" t="s">
        <v>237</v>
      </c>
      <c r="B92" t="s">
        <v>238</v>
      </c>
      <c r="C92">
        <v>58</v>
      </c>
      <c r="D92" t="s">
        <v>15</v>
      </c>
      <c r="E92" t="s">
        <v>3625</v>
      </c>
      <c r="F92" t="s">
        <v>239</v>
      </c>
      <c r="G92" t="s">
        <v>11</v>
      </c>
      <c r="H92" t="s">
        <v>17</v>
      </c>
    </row>
    <row r="93" spans="1:8">
      <c r="A93" t="s">
        <v>240</v>
      </c>
      <c r="B93" t="s">
        <v>241</v>
      </c>
      <c r="C93">
        <v>29</v>
      </c>
      <c r="D93" t="s">
        <v>15</v>
      </c>
      <c r="E93" t="s">
        <v>3626</v>
      </c>
      <c r="F93" t="s">
        <v>101</v>
      </c>
      <c r="G93" t="s">
        <v>11</v>
      </c>
      <c r="H93" t="s">
        <v>26</v>
      </c>
    </row>
    <row r="94" spans="1:8">
      <c r="A94" t="s">
        <v>242</v>
      </c>
      <c r="B94" t="s">
        <v>243</v>
      </c>
      <c r="C94">
        <v>44</v>
      </c>
      <c r="D94" t="s">
        <v>15</v>
      </c>
      <c r="E94" t="s">
        <v>3627</v>
      </c>
      <c r="F94" t="s">
        <v>175</v>
      </c>
      <c r="G94" t="s">
        <v>11</v>
      </c>
      <c r="H94" t="s">
        <v>17</v>
      </c>
    </row>
    <row r="95" spans="1:8">
      <c r="A95" t="s">
        <v>244</v>
      </c>
      <c r="B95" t="s">
        <v>245</v>
      </c>
      <c r="C95">
        <v>28</v>
      </c>
      <c r="D95" t="s">
        <v>15</v>
      </c>
      <c r="E95" t="s">
        <v>3628</v>
      </c>
      <c r="F95" t="s">
        <v>231</v>
      </c>
      <c r="G95" t="s">
        <v>11</v>
      </c>
      <c r="H95" t="s">
        <v>12</v>
      </c>
    </row>
    <row r="96" spans="1:8">
      <c r="A96" t="s">
        <v>246</v>
      </c>
      <c r="B96" t="s">
        <v>247</v>
      </c>
      <c r="C96">
        <v>43</v>
      </c>
      <c r="D96" t="s">
        <v>15</v>
      </c>
      <c r="E96" t="s">
        <v>3629</v>
      </c>
      <c r="F96" t="s">
        <v>137</v>
      </c>
      <c r="G96" t="s">
        <v>11</v>
      </c>
      <c r="H96" t="s">
        <v>12</v>
      </c>
    </row>
    <row r="97" spans="1:8">
      <c r="A97" t="s">
        <v>248</v>
      </c>
      <c r="B97" t="s">
        <v>249</v>
      </c>
      <c r="C97">
        <v>62</v>
      </c>
      <c r="D97" t="s">
        <v>15</v>
      </c>
      <c r="E97" t="s">
        <v>3630</v>
      </c>
      <c r="F97" t="s">
        <v>46</v>
      </c>
      <c r="G97" t="s">
        <v>11</v>
      </c>
      <c r="H97" t="s">
        <v>17</v>
      </c>
    </row>
    <row r="98" spans="1:8">
      <c r="A98" t="s">
        <v>250</v>
      </c>
      <c r="B98" t="s">
        <v>251</v>
      </c>
      <c r="C98">
        <v>30</v>
      </c>
      <c r="D98" t="s">
        <v>15</v>
      </c>
      <c r="E98" t="s">
        <v>3631</v>
      </c>
      <c r="F98" t="s">
        <v>239</v>
      </c>
      <c r="G98" t="s">
        <v>11</v>
      </c>
      <c r="H98" t="s">
        <v>17</v>
      </c>
    </row>
    <row r="99" spans="1:8">
      <c r="A99" t="s">
        <v>252</v>
      </c>
      <c r="B99" t="s">
        <v>253</v>
      </c>
      <c r="C99">
        <v>36</v>
      </c>
      <c r="D99" t="s">
        <v>9</v>
      </c>
      <c r="E99" t="s">
        <v>3632</v>
      </c>
      <c r="F99" t="s">
        <v>32</v>
      </c>
      <c r="G99" t="s">
        <v>11</v>
      </c>
      <c r="H99" t="s">
        <v>26</v>
      </c>
    </row>
    <row r="100" spans="1:8">
      <c r="A100" t="s">
        <v>254</v>
      </c>
      <c r="B100" t="s">
        <v>255</v>
      </c>
      <c r="C100">
        <v>24</v>
      </c>
      <c r="D100" t="s">
        <v>9</v>
      </c>
      <c r="E100" t="s">
        <v>3633</v>
      </c>
      <c r="F100" t="s">
        <v>122</v>
      </c>
      <c r="G100" t="s">
        <v>11</v>
      </c>
      <c r="H100" t="s">
        <v>12</v>
      </c>
    </row>
    <row r="101" spans="1:8">
      <c r="A101" t="s">
        <v>256</v>
      </c>
      <c r="B101" t="s">
        <v>257</v>
      </c>
      <c r="C101">
        <v>35</v>
      </c>
      <c r="D101" t="s">
        <v>9</v>
      </c>
      <c r="E101" t="s">
        <v>3634</v>
      </c>
      <c r="F101" t="s">
        <v>175</v>
      </c>
      <c r="G101" t="s">
        <v>11</v>
      </c>
      <c r="H101" t="s">
        <v>26</v>
      </c>
    </row>
    <row r="102" spans="1:8">
      <c r="A102" t="s">
        <v>258</v>
      </c>
      <c r="B102" t="s">
        <v>259</v>
      </c>
      <c r="C102">
        <v>53</v>
      </c>
      <c r="D102" t="s">
        <v>15</v>
      </c>
      <c r="E102" t="s">
        <v>3635</v>
      </c>
      <c r="F102" t="s">
        <v>260</v>
      </c>
      <c r="G102" t="s">
        <v>11</v>
      </c>
      <c r="H102" t="s">
        <v>17</v>
      </c>
    </row>
    <row r="103" spans="1:8">
      <c r="A103" t="s">
        <v>261</v>
      </c>
      <c r="B103" t="s">
        <v>262</v>
      </c>
      <c r="C103">
        <v>29</v>
      </c>
      <c r="D103" t="s">
        <v>9</v>
      </c>
      <c r="E103" t="s">
        <v>3636</v>
      </c>
      <c r="F103" t="s">
        <v>89</v>
      </c>
      <c r="G103" t="s">
        <v>11</v>
      </c>
      <c r="H103" t="s">
        <v>12</v>
      </c>
    </row>
    <row r="104" spans="1:8">
      <c r="A104" t="s">
        <v>263</v>
      </c>
      <c r="B104" t="s">
        <v>264</v>
      </c>
      <c r="C104">
        <v>34</v>
      </c>
      <c r="D104" t="s">
        <v>15</v>
      </c>
      <c r="E104" t="s">
        <v>3637</v>
      </c>
      <c r="F104" t="s">
        <v>41</v>
      </c>
      <c r="G104" t="s">
        <v>11</v>
      </c>
      <c r="H104" t="s">
        <v>22</v>
      </c>
    </row>
    <row r="105" spans="1:8">
      <c r="A105" t="s">
        <v>265</v>
      </c>
      <c r="B105" t="s">
        <v>266</v>
      </c>
      <c r="C105">
        <v>21</v>
      </c>
      <c r="D105" t="s">
        <v>9</v>
      </c>
      <c r="E105" t="s">
        <v>3638</v>
      </c>
      <c r="F105" t="s">
        <v>125</v>
      </c>
      <c r="G105" t="s">
        <v>11</v>
      </c>
      <c r="H105" t="s">
        <v>22</v>
      </c>
    </row>
    <row r="106" spans="1:8">
      <c r="A106" t="s">
        <v>267</v>
      </c>
      <c r="B106" t="s">
        <v>268</v>
      </c>
      <c r="C106">
        <v>64</v>
      </c>
      <c r="D106" t="s">
        <v>9</v>
      </c>
      <c r="E106" t="s">
        <v>3639</v>
      </c>
      <c r="F106" t="s">
        <v>63</v>
      </c>
      <c r="G106" t="s">
        <v>11</v>
      </c>
      <c r="H106" t="s">
        <v>26</v>
      </c>
    </row>
    <row r="107" spans="1:8">
      <c r="A107" t="s">
        <v>269</v>
      </c>
      <c r="B107" t="s">
        <v>270</v>
      </c>
      <c r="C107">
        <v>50</v>
      </c>
      <c r="D107" t="s">
        <v>15</v>
      </c>
      <c r="E107" t="s">
        <v>3640</v>
      </c>
      <c r="F107" t="s">
        <v>184</v>
      </c>
      <c r="G107" t="s">
        <v>11</v>
      </c>
      <c r="H107" t="s">
        <v>12</v>
      </c>
    </row>
    <row r="108" spans="1:8">
      <c r="A108" t="s">
        <v>271</v>
      </c>
      <c r="B108" t="s">
        <v>272</v>
      </c>
      <c r="C108">
        <v>53</v>
      </c>
      <c r="D108" t="s">
        <v>15</v>
      </c>
      <c r="E108" t="s">
        <v>3641</v>
      </c>
      <c r="F108" t="s">
        <v>161</v>
      </c>
      <c r="G108" t="s">
        <v>11</v>
      </c>
      <c r="H108" t="s">
        <v>22</v>
      </c>
    </row>
    <row r="109" spans="1:8">
      <c r="A109" t="s">
        <v>273</v>
      </c>
      <c r="B109" t="s">
        <v>274</v>
      </c>
      <c r="C109">
        <v>62</v>
      </c>
      <c r="D109" t="s">
        <v>15</v>
      </c>
      <c r="E109" t="s">
        <v>3642</v>
      </c>
      <c r="F109" t="s">
        <v>16</v>
      </c>
      <c r="G109" t="s">
        <v>11</v>
      </c>
      <c r="H109" t="s">
        <v>17</v>
      </c>
    </row>
    <row r="110" spans="1:8">
      <c r="A110" t="s">
        <v>275</v>
      </c>
      <c r="B110" t="s">
        <v>276</v>
      </c>
      <c r="C110">
        <v>38</v>
      </c>
      <c r="D110" t="s">
        <v>9</v>
      </c>
      <c r="E110" t="s">
        <v>3643</v>
      </c>
      <c r="F110" t="s">
        <v>38</v>
      </c>
      <c r="G110" t="s">
        <v>11</v>
      </c>
      <c r="H110" t="s">
        <v>22</v>
      </c>
    </row>
    <row r="111" spans="1:8">
      <c r="A111" t="s">
        <v>277</v>
      </c>
      <c r="B111" t="s">
        <v>278</v>
      </c>
      <c r="C111">
        <v>27</v>
      </c>
      <c r="D111" t="s">
        <v>9</v>
      </c>
      <c r="E111" t="s">
        <v>3644</v>
      </c>
      <c r="F111" t="s">
        <v>35</v>
      </c>
      <c r="G111" t="s">
        <v>11</v>
      </c>
      <c r="H111" t="s">
        <v>26</v>
      </c>
    </row>
    <row r="112" spans="1:8">
      <c r="A112" t="s">
        <v>279</v>
      </c>
      <c r="B112" t="s">
        <v>280</v>
      </c>
      <c r="C112">
        <v>40</v>
      </c>
      <c r="D112" t="s">
        <v>15</v>
      </c>
      <c r="E112" t="s">
        <v>3645</v>
      </c>
      <c r="F112" t="s">
        <v>106</v>
      </c>
      <c r="G112" t="s">
        <v>11</v>
      </c>
      <c r="H112" t="s">
        <v>12</v>
      </c>
    </row>
    <row r="113" spans="1:8">
      <c r="A113" t="s">
        <v>281</v>
      </c>
      <c r="B113" t="s">
        <v>282</v>
      </c>
      <c r="C113">
        <v>18</v>
      </c>
      <c r="D113" t="s">
        <v>15</v>
      </c>
      <c r="E113" t="s">
        <v>3646</v>
      </c>
      <c r="F113" t="s">
        <v>101</v>
      </c>
      <c r="G113" t="s">
        <v>11</v>
      </c>
      <c r="H113" t="s">
        <v>17</v>
      </c>
    </row>
    <row r="114" spans="1:8">
      <c r="A114" t="s">
        <v>283</v>
      </c>
      <c r="B114" t="s">
        <v>284</v>
      </c>
      <c r="C114">
        <v>27</v>
      </c>
      <c r="D114" t="s">
        <v>15</v>
      </c>
      <c r="E114" t="s">
        <v>285</v>
      </c>
      <c r="F114" t="s">
        <v>117</v>
      </c>
      <c r="G114" t="s">
        <v>11</v>
      </c>
      <c r="H114" t="s">
        <v>26</v>
      </c>
    </row>
    <row r="115" spans="1:8">
      <c r="A115" t="s">
        <v>286</v>
      </c>
      <c r="B115" t="s">
        <v>287</v>
      </c>
      <c r="C115">
        <v>51</v>
      </c>
      <c r="D115" t="s">
        <v>9</v>
      </c>
      <c r="E115" t="s">
        <v>3647</v>
      </c>
      <c r="F115" t="s">
        <v>172</v>
      </c>
      <c r="G115" t="s">
        <v>11</v>
      </c>
      <c r="H115" t="s">
        <v>12</v>
      </c>
    </row>
    <row r="116" spans="1:8">
      <c r="A116" t="s">
        <v>288</v>
      </c>
      <c r="B116" t="s">
        <v>289</v>
      </c>
      <c r="C116">
        <v>30</v>
      </c>
      <c r="D116" t="s">
        <v>9</v>
      </c>
      <c r="E116" t="s">
        <v>3648</v>
      </c>
      <c r="F116" t="s">
        <v>137</v>
      </c>
      <c r="G116" t="s">
        <v>11</v>
      </c>
      <c r="H116" t="s">
        <v>22</v>
      </c>
    </row>
    <row r="117" spans="1:8">
      <c r="A117" t="s">
        <v>290</v>
      </c>
      <c r="B117" t="s">
        <v>291</v>
      </c>
      <c r="C117">
        <v>53</v>
      </c>
      <c r="D117" t="s">
        <v>15</v>
      </c>
      <c r="E117" t="s">
        <v>3649</v>
      </c>
      <c r="F117" t="s">
        <v>16</v>
      </c>
      <c r="G117" t="s">
        <v>11</v>
      </c>
      <c r="H117" t="s">
        <v>17</v>
      </c>
    </row>
    <row r="118" spans="1:8">
      <c r="A118" t="s">
        <v>292</v>
      </c>
      <c r="B118" t="s">
        <v>293</v>
      </c>
      <c r="C118">
        <v>18</v>
      </c>
      <c r="D118" t="s">
        <v>15</v>
      </c>
      <c r="E118" t="s">
        <v>3650</v>
      </c>
      <c r="F118" t="s">
        <v>161</v>
      </c>
      <c r="G118" t="s">
        <v>11</v>
      </c>
      <c r="H118" t="s">
        <v>17</v>
      </c>
    </row>
    <row r="119" spans="1:8">
      <c r="A119" t="s">
        <v>294</v>
      </c>
      <c r="B119" t="s">
        <v>295</v>
      </c>
      <c r="C119">
        <v>21</v>
      </c>
      <c r="D119" t="s">
        <v>15</v>
      </c>
      <c r="E119" t="s">
        <v>3651</v>
      </c>
      <c r="F119" t="s">
        <v>58</v>
      </c>
      <c r="G119" t="s">
        <v>11</v>
      </c>
      <c r="H119" t="s">
        <v>17</v>
      </c>
    </row>
    <row r="120" spans="1:8">
      <c r="A120" t="s">
        <v>296</v>
      </c>
      <c r="B120" t="s">
        <v>297</v>
      </c>
      <c r="C120">
        <v>36</v>
      </c>
      <c r="D120" t="s">
        <v>9</v>
      </c>
      <c r="E120" t="s">
        <v>3652</v>
      </c>
      <c r="F120" t="s">
        <v>55</v>
      </c>
      <c r="G120" t="s">
        <v>11</v>
      </c>
      <c r="H120" t="s">
        <v>17</v>
      </c>
    </row>
    <row r="121" spans="1:8">
      <c r="A121" t="s">
        <v>298</v>
      </c>
      <c r="B121" t="s">
        <v>299</v>
      </c>
      <c r="C121">
        <v>40</v>
      </c>
      <c r="D121" t="s">
        <v>9</v>
      </c>
      <c r="E121" t="s">
        <v>3653</v>
      </c>
      <c r="F121" t="s">
        <v>175</v>
      </c>
      <c r="G121" t="s">
        <v>11</v>
      </c>
      <c r="H121" t="s">
        <v>22</v>
      </c>
    </row>
    <row r="122" spans="1:8">
      <c r="A122" t="s">
        <v>300</v>
      </c>
      <c r="B122" t="s">
        <v>301</v>
      </c>
      <c r="C122">
        <v>44</v>
      </c>
      <c r="D122" t="s">
        <v>15</v>
      </c>
      <c r="E122" t="s">
        <v>3654</v>
      </c>
      <c r="F122" t="s">
        <v>41</v>
      </c>
      <c r="G122" t="s">
        <v>11</v>
      </c>
      <c r="H122" t="s">
        <v>17</v>
      </c>
    </row>
    <row r="123" spans="1:8">
      <c r="A123" t="s">
        <v>302</v>
      </c>
      <c r="B123" t="s">
        <v>303</v>
      </c>
      <c r="C123">
        <v>62</v>
      </c>
      <c r="D123" t="s">
        <v>9</v>
      </c>
      <c r="E123" t="s">
        <v>3655</v>
      </c>
      <c r="F123" t="s">
        <v>76</v>
      </c>
      <c r="G123" t="s">
        <v>11</v>
      </c>
      <c r="H123" t="s">
        <v>17</v>
      </c>
    </row>
    <row r="124" spans="1:8">
      <c r="A124" t="s">
        <v>304</v>
      </c>
      <c r="B124" t="s">
        <v>305</v>
      </c>
      <c r="C124">
        <v>50</v>
      </c>
      <c r="D124" t="s">
        <v>9</v>
      </c>
      <c r="E124" t="s">
        <v>3656</v>
      </c>
      <c r="F124" t="s">
        <v>10</v>
      </c>
      <c r="G124" t="s">
        <v>11</v>
      </c>
      <c r="H124" t="s">
        <v>17</v>
      </c>
    </row>
    <row r="125" spans="1:8">
      <c r="A125" t="s">
        <v>306</v>
      </c>
      <c r="B125" t="s">
        <v>307</v>
      </c>
      <c r="C125">
        <v>40</v>
      </c>
      <c r="D125" t="s">
        <v>9</v>
      </c>
      <c r="E125" t="s">
        <v>3657</v>
      </c>
      <c r="F125" t="s">
        <v>196</v>
      </c>
      <c r="G125" t="s">
        <v>11</v>
      </c>
      <c r="H125" t="s">
        <v>26</v>
      </c>
    </row>
    <row r="126" spans="1:8">
      <c r="A126" t="s">
        <v>308</v>
      </c>
      <c r="B126" t="s">
        <v>309</v>
      </c>
      <c r="C126">
        <v>26</v>
      </c>
      <c r="D126" t="s">
        <v>9</v>
      </c>
      <c r="E126" t="s">
        <v>3658</v>
      </c>
      <c r="F126" t="s">
        <v>144</v>
      </c>
      <c r="G126" t="s">
        <v>11</v>
      </c>
      <c r="H126" t="s">
        <v>22</v>
      </c>
    </row>
    <row r="127" spans="1:8">
      <c r="A127" t="s">
        <v>310</v>
      </c>
      <c r="B127" t="s">
        <v>311</v>
      </c>
      <c r="C127">
        <v>64</v>
      </c>
      <c r="D127" t="s">
        <v>15</v>
      </c>
      <c r="E127" t="s">
        <v>3659</v>
      </c>
      <c r="F127" t="s">
        <v>312</v>
      </c>
      <c r="G127" t="s">
        <v>11</v>
      </c>
      <c r="H127" t="s">
        <v>17</v>
      </c>
    </row>
    <row r="128" spans="1:8">
      <c r="A128" t="s">
        <v>313</v>
      </c>
      <c r="B128" t="s">
        <v>314</v>
      </c>
      <c r="C128">
        <v>62</v>
      </c>
      <c r="D128" t="s">
        <v>15</v>
      </c>
      <c r="E128" t="s">
        <v>3660</v>
      </c>
      <c r="F128" t="s">
        <v>101</v>
      </c>
      <c r="G128" t="s">
        <v>11</v>
      </c>
      <c r="H128" t="s">
        <v>12</v>
      </c>
    </row>
    <row r="129" spans="1:8">
      <c r="A129" t="s">
        <v>315</v>
      </c>
      <c r="B129" t="s">
        <v>316</v>
      </c>
      <c r="C129">
        <v>39</v>
      </c>
      <c r="D129" t="s">
        <v>9</v>
      </c>
      <c r="E129" t="s">
        <v>3661</v>
      </c>
      <c r="F129" t="s">
        <v>128</v>
      </c>
      <c r="G129" t="s">
        <v>11</v>
      </c>
      <c r="H129" t="s">
        <v>17</v>
      </c>
    </row>
    <row r="130" spans="1:8">
      <c r="A130" t="s">
        <v>317</v>
      </c>
      <c r="B130" t="s">
        <v>318</v>
      </c>
      <c r="C130">
        <v>45</v>
      </c>
      <c r="D130" t="s">
        <v>9</v>
      </c>
      <c r="E130" t="s">
        <v>3662</v>
      </c>
      <c r="F130" t="s">
        <v>213</v>
      </c>
      <c r="G130" t="s">
        <v>11</v>
      </c>
      <c r="H130" t="s">
        <v>26</v>
      </c>
    </row>
    <row r="131" spans="1:8">
      <c r="A131" t="s">
        <v>319</v>
      </c>
      <c r="B131" t="s">
        <v>320</v>
      </c>
      <c r="C131">
        <v>43</v>
      </c>
      <c r="D131" t="s">
        <v>15</v>
      </c>
      <c r="E131" t="s">
        <v>3663</v>
      </c>
      <c r="F131" t="s">
        <v>32</v>
      </c>
      <c r="G131" t="s">
        <v>11</v>
      </c>
      <c r="H131" t="s">
        <v>26</v>
      </c>
    </row>
    <row r="132" spans="1:8">
      <c r="A132" t="s">
        <v>321</v>
      </c>
      <c r="B132" t="s">
        <v>322</v>
      </c>
      <c r="C132">
        <v>29</v>
      </c>
      <c r="D132" t="s">
        <v>9</v>
      </c>
      <c r="E132" t="s">
        <v>3664</v>
      </c>
      <c r="F132" t="s">
        <v>125</v>
      </c>
      <c r="G132" t="s">
        <v>3351</v>
      </c>
      <c r="H132" t="s">
        <v>17</v>
      </c>
    </row>
    <row r="133" spans="1:8">
      <c r="A133" t="s">
        <v>323</v>
      </c>
      <c r="B133" t="s">
        <v>324</v>
      </c>
      <c r="C133">
        <v>34</v>
      </c>
      <c r="D133" t="s">
        <v>15</v>
      </c>
      <c r="E133" t="s">
        <v>3665</v>
      </c>
      <c r="F133" t="s">
        <v>19</v>
      </c>
      <c r="G133" t="s">
        <v>11</v>
      </c>
      <c r="H133" t="s">
        <v>22</v>
      </c>
    </row>
    <row r="134" spans="1:8">
      <c r="A134" t="s">
        <v>325</v>
      </c>
      <c r="B134" t="s">
        <v>326</v>
      </c>
      <c r="C134">
        <v>57</v>
      </c>
      <c r="D134" t="s">
        <v>15</v>
      </c>
      <c r="E134" t="s">
        <v>3666</v>
      </c>
      <c r="F134" t="s">
        <v>21</v>
      </c>
      <c r="G134" t="s">
        <v>11</v>
      </c>
      <c r="H134" t="s">
        <v>12</v>
      </c>
    </row>
    <row r="135" spans="1:8">
      <c r="A135" t="s">
        <v>327</v>
      </c>
      <c r="B135" t="s">
        <v>328</v>
      </c>
      <c r="C135">
        <v>62</v>
      </c>
      <c r="D135" t="s">
        <v>15</v>
      </c>
      <c r="E135" t="s">
        <v>3667</v>
      </c>
      <c r="F135" t="s">
        <v>184</v>
      </c>
      <c r="G135" t="s">
        <v>11</v>
      </c>
      <c r="H135" t="s">
        <v>22</v>
      </c>
    </row>
    <row r="136" spans="1:8">
      <c r="A136" t="s">
        <v>329</v>
      </c>
      <c r="B136" t="s">
        <v>330</v>
      </c>
      <c r="C136">
        <v>54</v>
      </c>
      <c r="D136" t="s">
        <v>9</v>
      </c>
      <c r="E136" t="s">
        <v>3668</v>
      </c>
      <c r="F136" t="s">
        <v>58</v>
      </c>
      <c r="G136" t="s">
        <v>11</v>
      </c>
      <c r="H136" t="s">
        <v>12</v>
      </c>
    </row>
    <row r="137" spans="1:8">
      <c r="A137" t="s">
        <v>331</v>
      </c>
      <c r="B137" t="s">
        <v>332</v>
      </c>
      <c r="C137">
        <v>33</v>
      </c>
      <c r="D137" t="s">
        <v>15</v>
      </c>
      <c r="E137" t="s">
        <v>3669</v>
      </c>
      <c r="F137" t="s">
        <v>117</v>
      </c>
      <c r="G137" t="s">
        <v>11</v>
      </c>
      <c r="H137" t="s">
        <v>17</v>
      </c>
    </row>
    <row r="138" spans="1:8">
      <c r="A138" t="s">
        <v>333</v>
      </c>
      <c r="B138" t="s">
        <v>334</v>
      </c>
      <c r="C138">
        <v>29</v>
      </c>
      <c r="D138" t="s">
        <v>9</v>
      </c>
      <c r="E138" t="s">
        <v>3670</v>
      </c>
      <c r="F138" t="s">
        <v>55</v>
      </c>
      <c r="G138" t="s">
        <v>11</v>
      </c>
      <c r="H138" t="s">
        <v>26</v>
      </c>
    </row>
    <row r="139" spans="1:8">
      <c r="A139" t="s">
        <v>335</v>
      </c>
      <c r="B139" t="s">
        <v>336</v>
      </c>
      <c r="C139">
        <v>55</v>
      </c>
      <c r="D139" t="s">
        <v>15</v>
      </c>
      <c r="E139" t="s">
        <v>3671</v>
      </c>
      <c r="F139" t="s">
        <v>21</v>
      </c>
      <c r="G139" t="s">
        <v>11</v>
      </c>
      <c r="H139" t="s">
        <v>17</v>
      </c>
    </row>
    <row r="140" spans="1:8">
      <c r="A140" t="s">
        <v>337</v>
      </c>
      <c r="B140" t="s">
        <v>338</v>
      </c>
      <c r="C140">
        <v>43</v>
      </c>
      <c r="D140" t="s">
        <v>9</v>
      </c>
      <c r="E140" t="s">
        <v>285</v>
      </c>
      <c r="F140" t="s">
        <v>210</v>
      </c>
      <c r="G140" t="s">
        <v>11</v>
      </c>
      <c r="H140" t="s">
        <v>12</v>
      </c>
    </row>
    <row r="141" spans="1:8">
      <c r="A141" t="s">
        <v>339</v>
      </c>
      <c r="B141" t="s">
        <v>340</v>
      </c>
      <c r="C141">
        <v>32</v>
      </c>
      <c r="D141" t="s">
        <v>9</v>
      </c>
      <c r="E141" t="s">
        <v>3672</v>
      </c>
      <c r="F141" t="s">
        <v>89</v>
      </c>
      <c r="G141" t="s">
        <v>11</v>
      </c>
      <c r="H141" t="s">
        <v>22</v>
      </c>
    </row>
    <row r="142" spans="1:8">
      <c r="A142" t="s">
        <v>341</v>
      </c>
      <c r="B142" t="s">
        <v>342</v>
      </c>
      <c r="C142">
        <v>63</v>
      </c>
      <c r="D142" t="s">
        <v>15</v>
      </c>
      <c r="E142" t="s">
        <v>3673</v>
      </c>
      <c r="F142" t="s">
        <v>41</v>
      </c>
      <c r="G142" t="s">
        <v>11</v>
      </c>
      <c r="H142" t="s">
        <v>12</v>
      </c>
    </row>
    <row r="143" spans="1:8">
      <c r="A143" t="s">
        <v>343</v>
      </c>
      <c r="B143" t="s">
        <v>344</v>
      </c>
      <c r="C143">
        <v>30</v>
      </c>
      <c r="D143" t="s">
        <v>9</v>
      </c>
      <c r="E143" t="s">
        <v>3674</v>
      </c>
      <c r="F143" t="s">
        <v>25</v>
      </c>
      <c r="G143" t="s">
        <v>3351</v>
      </c>
      <c r="H143" t="s">
        <v>22</v>
      </c>
    </row>
    <row r="144" spans="1:8">
      <c r="A144" t="s">
        <v>345</v>
      </c>
      <c r="B144" t="s">
        <v>346</v>
      </c>
      <c r="C144">
        <v>37</v>
      </c>
      <c r="D144" t="s">
        <v>9</v>
      </c>
      <c r="E144" t="s">
        <v>3675</v>
      </c>
      <c r="F144" t="s">
        <v>52</v>
      </c>
      <c r="G144" t="s">
        <v>11</v>
      </c>
      <c r="H144" t="s">
        <v>22</v>
      </c>
    </row>
    <row r="145" spans="1:8">
      <c r="A145" t="s">
        <v>347</v>
      </c>
      <c r="B145" t="s">
        <v>348</v>
      </c>
      <c r="C145">
        <v>46</v>
      </c>
      <c r="D145" t="s">
        <v>9</v>
      </c>
      <c r="E145" t="s">
        <v>3676</v>
      </c>
      <c r="F145" t="s">
        <v>19</v>
      </c>
      <c r="G145" t="s">
        <v>11</v>
      </c>
      <c r="H145" t="s">
        <v>22</v>
      </c>
    </row>
    <row r="146" spans="1:8">
      <c r="A146" t="s">
        <v>349</v>
      </c>
      <c r="B146" t="s">
        <v>350</v>
      </c>
      <c r="C146">
        <v>62</v>
      </c>
      <c r="D146" t="s">
        <v>15</v>
      </c>
      <c r="E146" t="s">
        <v>3677</v>
      </c>
      <c r="F146" t="s">
        <v>137</v>
      </c>
      <c r="G146" t="s">
        <v>11</v>
      </c>
      <c r="H146" t="s">
        <v>22</v>
      </c>
    </row>
    <row r="147" spans="1:8">
      <c r="A147" t="s">
        <v>351</v>
      </c>
      <c r="B147" t="s">
        <v>352</v>
      </c>
      <c r="C147">
        <v>46</v>
      </c>
      <c r="D147" t="s">
        <v>9</v>
      </c>
      <c r="E147" t="s">
        <v>3678</v>
      </c>
      <c r="F147" t="s">
        <v>187</v>
      </c>
      <c r="G147" t="s">
        <v>11</v>
      </c>
      <c r="H147" t="s">
        <v>17</v>
      </c>
    </row>
    <row r="148" spans="1:8">
      <c r="A148" t="s">
        <v>353</v>
      </c>
      <c r="B148" t="s">
        <v>354</v>
      </c>
      <c r="C148">
        <v>32</v>
      </c>
      <c r="D148" t="s">
        <v>15</v>
      </c>
      <c r="E148" t="s">
        <v>3679</v>
      </c>
      <c r="F148" t="s">
        <v>231</v>
      </c>
      <c r="G148" t="s">
        <v>11</v>
      </c>
      <c r="H148" t="s">
        <v>12</v>
      </c>
    </row>
    <row r="149" spans="1:8">
      <c r="A149" t="s">
        <v>355</v>
      </c>
      <c r="B149" t="s">
        <v>356</v>
      </c>
      <c r="C149">
        <v>49</v>
      </c>
      <c r="D149" t="s">
        <v>15</v>
      </c>
      <c r="E149" t="s">
        <v>3680</v>
      </c>
      <c r="F149" t="s">
        <v>122</v>
      </c>
      <c r="G149" t="s">
        <v>11</v>
      </c>
      <c r="H149" t="s">
        <v>17</v>
      </c>
    </row>
    <row r="150" spans="1:8">
      <c r="A150" t="s">
        <v>357</v>
      </c>
      <c r="B150" t="s">
        <v>358</v>
      </c>
      <c r="C150">
        <v>42</v>
      </c>
      <c r="D150" t="s">
        <v>15</v>
      </c>
      <c r="E150" t="s">
        <v>3681</v>
      </c>
      <c r="F150" t="s">
        <v>236</v>
      </c>
      <c r="G150" t="s">
        <v>11</v>
      </c>
      <c r="H150" t="s">
        <v>22</v>
      </c>
    </row>
    <row r="151" spans="1:8">
      <c r="A151" t="s">
        <v>359</v>
      </c>
      <c r="B151" t="s">
        <v>360</v>
      </c>
      <c r="C151">
        <v>33</v>
      </c>
      <c r="D151" t="s">
        <v>9</v>
      </c>
      <c r="E151" t="s">
        <v>3682</v>
      </c>
      <c r="F151" t="s">
        <v>184</v>
      </c>
      <c r="G151" t="s">
        <v>11</v>
      </c>
      <c r="H151" t="s">
        <v>17</v>
      </c>
    </row>
    <row r="152" spans="1:8">
      <c r="A152" t="s">
        <v>361</v>
      </c>
      <c r="B152" t="s">
        <v>362</v>
      </c>
      <c r="C152">
        <v>24</v>
      </c>
      <c r="D152" t="s">
        <v>9</v>
      </c>
      <c r="E152" t="s">
        <v>3683</v>
      </c>
      <c r="F152" t="s">
        <v>228</v>
      </c>
      <c r="G152" t="s">
        <v>11</v>
      </c>
      <c r="H152" t="s">
        <v>12</v>
      </c>
    </row>
    <row r="153" spans="1:8">
      <c r="A153" t="s">
        <v>363</v>
      </c>
      <c r="B153" t="s">
        <v>364</v>
      </c>
      <c r="C153">
        <v>25</v>
      </c>
      <c r="D153" t="s">
        <v>15</v>
      </c>
      <c r="E153" t="s">
        <v>3684</v>
      </c>
      <c r="F153" t="s">
        <v>29</v>
      </c>
      <c r="G153" t="s">
        <v>11</v>
      </c>
      <c r="H153" t="s">
        <v>12</v>
      </c>
    </row>
    <row r="154" spans="1:8">
      <c r="A154" t="s">
        <v>365</v>
      </c>
      <c r="B154" t="s">
        <v>366</v>
      </c>
      <c r="C154">
        <v>41</v>
      </c>
      <c r="D154" t="s">
        <v>15</v>
      </c>
      <c r="E154" t="s">
        <v>3685</v>
      </c>
      <c r="F154" t="s">
        <v>86</v>
      </c>
      <c r="G154" t="s">
        <v>11</v>
      </c>
      <c r="H154" t="s">
        <v>17</v>
      </c>
    </row>
    <row r="155" spans="1:8">
      <c r="A155" t="s">
        <v>367</v>
      </c>
      <c r="B155" t="s">
        <v>368</v>
      </c>
      <c r="C155">
        <v>31</v>
      </c>
      <c r="D155" t="s">
        <v>9</v>
      </c>
      <c r="E155" t="s">
        <v>3686</v>
      </c>
      <c r="F155" t="s">
        <v>16</v>
      </c>
      <c r="G155" t="s">
        <v>11</v>
      </c>
      <c r="H155" t="s">
        <v>22</v>
      </c>
    </row>
    <row r="156" spans="1:8">
      <c r="A156" t="s">
        <v>369</v>
      </c>
      <c r="B156" t="s">
        <v>370</v>
      </c>
      <c r="C156">
        <v>35</v>
      </c>
      <c r="D156" t="s">
        <v>15</v>
      </c>
      <c r="E156" t="s">
        <v>3687</v>
      </c>
      <c r="F156" t="s">
        <v>128</v>
      </c>
      <c r="G156" t="s">
        <v>11</v>
      </c>
      <c r="H156" t="s">
        <v>12</v>
      </c>
    </row>
    <row r="157" spans="1:8">
      <c r="A157" t="s">
        <v>371</v>
      </c>
      <c r="B157" t="s">
        <v>372</v>
      </c>
      <c r="C157">
        <v>60</v>
      </c>
      <c r="D157" t="s">
        <v>15</v>
      </c>
      <c r="E157" t="s">
        <v>3688</v>
      </c>
      <c r="F157" t="s">
        <v>196</v>
      </c>
      <c r="G157" t="s">
        <v>11</v>
      </c>
      <c r="H157" t="s">
        <v>12</v>
      </c>
    </row>
    <row r="158" spans="1:8">
      <c r="A158" t="s">
        <v>373</v>
      </c>
      <c r="B158" t="s">
        <v>374</v>
      </c>
      <c r="C158">
        <v>46</v>
      </c>
      <c r="D158" t="s">
        <v>9</v>
      </c>
      <c r="E158" t="s">
        <v>3689</v>
      </c>
      <c r="F158" t="s">
        <v>16</v>
      </c>
      <c r="G158" t="s">
        <v>11</v>
      </c>
      <c r="H158" t="s">
        <v>22</v>
      </c>
    </row>
    <row r="159" spans="1:8">
      <c r="A159" t="s">
        <v>375</v>
      </c>
      <c r="B159" t="s">
        <v>376</v>
      </c>
      <c r="C159">
        <v>59</v>
      </c>
      <c r="D159" t="s">
        <v>9</v>
      </c>
      <c r="E159" t="s">
        <v>3690</v>
      </c>
      <c r="F159" t="s">
        <v>16</v>
      </c>
      <c r="G159" t="s">
        <v>11</v>
      </c>
      <c r="H159" t="s">
        <v>17</v>
      </c>
    </row>
    <row r="160" spans="1:8">
      <c r="A160" t="s">
        <v>377</v>
      </c>
      <c r="B160" t="s">
        <v>378</v>
      </c>
      <c r="C160">
        <v>43</v>
      </c>
      <c r="D160" t="s">
        <v>9</v>
      </c>
      <c r="E160" t="s">
        <v>3691</v>
      </c>
      <c r="F160" t="s">
        <v>128</v>
      </c>
      <c r="G160" t="s">
        <v>11</v>
      </c>
      <c r="H160" t="s">
        <v>22</v>
      </c>
    </row>
    <row r="161" spans="1:8">
      <c r="A161" t="s">
        <v>379</v>
      </c>
      <c r="B161" t="s">
        <v>380</v>
      </c>
      <c r="C161">
        <v>46</v>
      </c>
      <c r="D161" t="s">
        <v>15</v>
      </c>
      <c r="E161" t="s">
        <v>3692</v>
      </c>
      <c r="F161" t="s">
        <v>68</v>
      </c>
      <c r="G161" t="s">
        <v>11</v>
      </c>
      <c r="H161" t="s">
        <v>12</v>
      </c>
    </row>
    <row r="162" spans="1:8">
      <c r="A162" t="s">
        <v>381</v>
      </c>
      <c r="B162" t="s">
        <v>382</v>
      </c>
      <c r="C162">
        <v>41</v>
      </c>
      <c r="D162" t="s">
        <v>15</v>
      </c>
      <c r="E162" t="s">
        <v>3693</v>
      </c>
      <c r="F162" t="s">
        <v>10</v>
      </c>
      <c r="G162" t="s">
        <v>11</v>
      </c>
      <c r="H162" t="s">
        <v>17</v>
      </c>
    </row>
    <row r="163" spans="1:8">
      <c r="A163" t="s">
        <v>383</v>
      </c>
      <c r="B163" t="s">
        <v>384</v>
      </c>
      <c r="C163">
        <v>18</v>
      </c>
      <c r="D163" t="s">
        <v>15</v>
      </c>
      <c r="E163" t="s">
        <v>3694</v>
      </c>
      <c r="F163" t="s">
        <v>101</v>
      </c>
      <c r="G163" t="s">
        <v>11</v>
      </c>
      <c r="H163" t="s">
        <v>26</v>
      </c>
    </row>
    <row r="164" spans="1:8">
      <c r="A164" t="s">
        <v>385</v>
      </c>
      <c r="B164" t="s">
        <v>386</v>
      </c>
      <c r="C164">
        <v>37</v>
      </c>
      <c r="D164" t="s">
        <v>9</v>
      </c>
      <c r="E164" t="s">
        <v>3695</v>
      </c>
      <c r="F164" t="s">
        <v>175</v>
      </c>
      <c r="G164" t="s">
        <v>3351</v>
      </c>
      <c r="H164" t="s">
        <v>26</v>
      </c>
    </row>
    <row r="165" spans="1:8">
      <c r="A165" t="s">
        <v>387</v>
      </c>
      <c r="B165" t="s">
        <v>388</v>
      </c>
      <c r="C165">
        <v>21</v>
      </c>
      <c r="D165" t="s">
        <v>9</v>
      </c>
      <c r="E165" t="s">
        <v>3696</v>
      </c>
      <c r="F165" t="s">
        <v>144</v>
      </c>
      <c r="G165" t="s">
        <v>11</v>
      </c>
      <c r="H165" t="s">
        <v>22</v>
      </c>
    </row>
    <row r="166" spans="1:8">
      <c r="A166" t="s">
        <v>389</v>
      </c>
      <c r="B166" t="s">
        <v>390</v>
      </c>
      <c r="C166">
        <v>39</v>
      </c>
      <c r="D166" t="s">
        <v>15</v>
      </c>
      <c r="E166" t="s">
        <v>3697</v>
      </c>
      <c r="F166" t="s">
        <v>63</v>
      </c>
      <c r="G166" t="s">
        <v>11</v>
      </c>
      <c r="H166" t="s">
        <v>26</v>
      </c>
    </row>
    <row r="167" spans="1:8">
      <c r="A167" t="s">
        <v>391</v>
      </c>
      <c r="B167" t="s">
        <v>392</v>
      </c>
      <c r="C167">
        <v>47</v>
      </c>
      <c r="D167" t="s">
        <v>15</v>
      </c>
      <c r="E167" t="s">
        <v>3698</v>
      </c>
      <c r="F167" t="s">
        <v>144</v>
      </c>
      <c r="G167" t="s">
        <v>11</v>
      </c>
      <c r="H167" t="s">
        <v>17</v>
      </c>
    </row>
    <row r="168" spans="1:8">
      <c r="A168" t="s">
        <v>393</v>
      </c>
      <c r="B168" t="s">
        <v>394</v>
      </c>
      <c r="C168">
        <v>25</v>
      </c>
      <c r="D168" t="s">
        <v>15</v>
      </c>
      <c r="E168" t="s">
        <v>3699</v>
      </c>
      <c r="F168" t="s">
        <v>117</v>
      </c>
      <c r="G168" t="s">
        <v>11</v>
      </c>
      <c r="H168" t="s">
        <v>26</v>
      </c>
    </row>
    <row r="169" spans="1:8">
      <c r="A169" t="s">
        <v>395</v>
      </c>
      <c r="B169" t="s">
        <v>396</v>
      </c>
      <c r="C169">
        <v>36</v>
      </c>
      <c r="D169" t="s">
        <v>15</v>
      </c>
      <c r="E169" t="s">
        <v>3700</v>
      </c>
      <c r="F169" t="s">
        <v>175</v>
      </c>
      <c r="G169" t="s">
        <v>11</v>
      </c>
      <c r="H169" t="s">
        <v>12</v>
      </c>
    </row>
    <row r="170" spans="1:8">
      <c r="A170" t="s">
        <v>397</v>
      </c>
      <c r="B170" t="s">
        <v>398</v>
      </c>
      <c r="C170">
        <v>36</v>
      </c>
      <c r="D170" t="s">
        <v>15</v>
      </c>
      <c r="E170" t="s">
        <v>3701</v>
      </c>
      <c r="F170" t="s">
        <v>184</v>
      </c>
      <c r="G170" t="s">
        <v>11</v>
      </c>
      <c r="H170" t="s">
        <v>17</v>
      </c>
    </row>
    <row r="171" spans="1:8">
      <c r="A171" t="s">
        <v>399</v>
      </c>
      <c r="B171" t="s">
        <v>400</v>
      </c>
      <c r="C171">
        <v>64</v>
      </c>
      <c r="D171" t="s">
        <v>9</v>
      </c>
      <c r="E171" t="s">
        <v>3702</v>
      </c>
      <c r="F171" t="s">
        <v>38</v>
      </c>
      <c r="G171" t="s">
        <v>11</v>
      </c>
      <c r="H171" t="s">
        <v>22</v>
      </c>
    </row>
    <row r="172" spans="1:8">
      <c r="A172" t="s">
        <v>401</v>
      </c>
      <c r="B172" t="s">
        <v>402</v>
      </c>
      <c r="C172">
        <v>18</v>
      </c>
      <c r="D172" t="s">
        <v>9</v>
      </c>
      <c r="E172" t="s">
        <v>3703</v>
      </c>
      <c r="F172" t="s">
        <v>86</v>
      </c>
      <c r="G172" t="s">
        <v>11</v>
      </c>
      <c r="H172" t="s">
        <v>12</v>
      </c>
    </row>
    <row r="173" spans="1:8">
      <c r="A173" t="s">
        <v>403</v>
      </c>
      <c r="B173" t="s">
        <v>404</v>
      </c>
      <c r="C173">
        <v>44</v>
      </c>
      <c r="D173" t="s">
        <v>15</v>
      </c>
      <c r="E173" t="s">
        <v>3704</v>
      </c>
      <c r="F173" t="s">
        <v>187</v>
      </c>
      <c r="G173" t="s">
        <v>11</v>
      </c>
      <c r="H173" t="s">
        <v>17</v>
      </c>
    </row>
    <row r="174" spans="1:8">
      <c r="A174" t="s">
        <v>405</v>
      </c>
      <c r="B174" t="s">
        <v>406</v>
      </c>
      <c r="C174">
        <v>41</v>
      </c>
      <c r="D174" t="s">
        <v>15</v>
      </c>
      <c r="E174" t="s">
        <v>3705</v>
      </c>
      <c r="F174" t="s">
        <v>35</v>
      </c>
      <c r="G174" t="s">
        <v>11</v>
      </c>
      <c r="H174" t="s">
        <v>22</v>
      </c>
    </row>
    <row r="175" spans="1:8">
      <c r="A175" t="s">
        <v>407</v>
      </c>
      <c r="B175" t="s">
        <v>408</v>
      </c>
      <c r="C175">
        <v>41</v>
      </c>
      <c r="D175" t="s">
        <v>15</v>
      </c>
      <c r="E175" t="s">
        <v>3647</v>
      </c>
      <c r="F175" t="s">
        <v>196</v>
      </c>
      <c r="G175" t="s">
        <v>3352</v>
      </c>
      <c r="H175" t="s">
        <v>17</v>
      </c>
    </row>
    <row r="176" spans="1:8">
      <c r="A176" t="s">
        <v>409</v>
      </c>
      <c r="B176" t="s">
        <v>410</v>
      </c>
      <c r="C176">
        <v>26</v>
      </c>
      <c r="D176" t="s">
        <v>15</v>
      </c>
      <c r="E176" t="s">
        <v>3706</v>
      </c>
      <c r="F176" t="s">
        <v>128</v>
      </c>
      <c r="G176" t="s">
        <v>11</v>
      </c>
      <c r="H176" t="s">
        <v>12</v>
      </c>
    </row>
    <row r="177" spans="1:8">
      <c r="A177" t="s">
        <v>411</v>
      </c>
      <c r="B177" t="s">
        <v>412</v>
      </c>
      <c r="C177">
        <v>56</v>
      </c>
      <c r="D177" t="s">
        <v>9</v>
      </c>
      <c r="E177" t="s">
        <v>3707</v>
      </c>
      <c r="F177" t="s">
        <v>76</v>
      </c>
      <c r="G177" t="s">
        <v>11</v>
      </c>
      <c r="H177" t="s">
        <v>17</v>
      </c>
    </row>
    <row r="178" spans="1:8">
      <c r="A178" t="s">
        <v>413</v>
      </c>
      <c r="B178" t="s">
        <v>414</v>
      </c>
      <c r="C178">
        <v>48</v>
      </c>
      <c r="D178" t="s">
        <v>9</v>
      </c>
      <c r="E178" t="s">
        <v>3708</v>
      </c>
      <c r="F178" t="s">
        <v>128</v>
      </c>
      <c r="G178" t="s">
        <v>11</v>
      </c>
      <c r="H178" t="s">
        <v>26</v>
      </c>
    </row>
    <row r="179" spans="1:8">
      <c r="A179" t="s">
        <v>415</v>
      </c>
      <c r="B179" t="s">
        <v>416</v>
      </c>
      <c r="C179">
        <v>55</v>
      </c>
      <c r="D179" t="s">
        <v>9</v>
      </c>
      <c r="E179" t="s">
        <v>3709</v>
      </c>
      <c r="F179" t="s">
        <v>417</v>
      </c>
      <c r="G179" t="s">
        <v>11</v>
      </c>
      <c r="H179" t="s">
        <v>17</v>
      </c>
    </row>
    <row r="180" spans="1:8">
      <c r="A180" t="s">
        <v>418</v>
      </c>
      <c r="B180" t="s">
        <v>419</v>
      </c>
      <c r="C180">
        <v>33</v>
      </c>
      <c r="D180" t="s">
        <v>15</v>
      </c>
      <c r="E180" t="s">
        <v>3710</v>
      </c>
      <c r="F180" t="s">
        <v>231</v>
      </c>
      <c r="G180" t="s">
        <v>11</v>
      </c>
      <c r="H180" t="s">
        <v>22</v>
      </c>
    </row>
    <row r="181" spans="1:8">
      <c r="A181" t="s">
        <v>420</v>
      </c>
      <c r="B181" t="s">
        <v>421</v>
      </c>
      <c r="C181">
        <v>43</v>
      </c>
      <c r="D181" t="s">
        <v>15</v>
      </c>
      <c r="E181" t="s">
        <v>3711</v>
      </c>
      <c r="F181" t="s">
        <v>89</v>
      </c>
      <c r="G181" t="s">
        <v>11</v>
      </c>
      <c r="H181" t="s">
        <v>26</v>
      </c>
    </row>
    <row r="182" spans="1:8">
      <c r="A182" t="s">
        <v>422</v>
      </c>
      <c r="B182" t="s">
        <v>423</v>
      </c>
      <c r="C182">
        <v>38</v>
      </c>
      <c r="D182" t="s">
        <v>9</v>
      </c>
      <c r="E182" t="s">
        <v>3712</v>
      </c>
      <c r="F182" t="s">
        <v>312</v>
      </c>
      <c r="G182" t="s">
        <v>11</v>
      </c>
      <c r="H182" t="s">
        <v>22</v>
      </c>
    </row>
    <row r="183" spans="1:8">
      <c r="A183" t="s">
        <v>424</v>
      </c>
      <c r="B183" t="s">
        <v>425</v>
      </c>
      <c r="C183">
        <v>60</v>
      </c>
      <c r="D183" t="s">
        <v>9</v>
      </c>
      <c r="E183" t="s">
        <v>3713</v>
      </c>
      <c r="F183" t="s">
        <v>46</v>
      </c>
      <c r="G183" t="s">
        <v>11</v>
      </c>
      <c r="H183" t="s">
        <v>22</v>
      </c>
    </row>
    <row r="184" spans="1:8">
      <c r="A184" t="s">
        <v>426</v>
      </c>
      <c r="B184" t="s">
        <v>427</v>
      </c>
      <c r="C184">
        <v>23</v>
      </c>
      <c r="D184" t="s">
        <v>15</v>
      </c>
      <c r="E184" t="s">
        <v>3714</v>
      </c>
      <c r="F184" t="s">
        <v>74</v>
      </c>
      <c r="G184" t="s">
        <v>11</v>
      </c>
      <c r="H184" t="s">
        <v>26</v>
      </c>
    </row>
    <row r="185" spans="1:8">
      <c r="A185" t="s">
        <v>428</v>
      </c>
      <c r="B185" t="s">
        <v>429</v>
      </c>
      <c r="C185">
        <v>18</v>
      </c>
      <c r="D185" t="s">
        <v>9</v>
      </c>
      <c r="E185" t="s">
        <v>3715</v>
      </c>
      <c r="F185" t="s">
        <v>46</v>
      </c>
      <c r="G185" t="s">
        <v>11</v>
      </c>
      <c r="H185" t="s">
        <v>17</v>
      </c>
    </row>
    <row r="186" spans="1:8">
      <c r="A186" t="s">
        <v>430</v>
      </c>
      <c r="B186" t="s">
        <v>431</v>
      </c>
      <c r="C186">
        <v>46</v>
      </c>
      <c r="D186" t="s">
        <v>15</v>
      </c>
      <c r="E186" t="s">
        <v>3716</v>
      </c>
      <c r="F186" t="s">
        <v>16</v>
      </c>
      <c r="G186" t="s">
        <v>11</v>
      </c>
      <c r="H186" t="s">
        <v>26</v>
      </c>
    </row>
    <row r="187" spans="1:8">
      <c r="A187" t="s">
        <v>432</v>
      </c>
      <c r="B187" t="s">
        <v>433</v>
      </c>
      <c r="C187">
        <v>54</v>
      </c>
      <c r="D187" t="s">
        <v>15</v>
      </c>
      <c r="E187" t="s">
        <v>3717</v>
      </c>
      <c r="F187" t="s">
        <v>68</v>
      </c>
      <c r="G187" t="s">
        <v>11</v>
      </c>
      <c r="H187" t="s">
        <v>17</v>
      </c>
    </row>
    <row r="188" spans="1:8">
      <c r="A188" t="s">
        <v>434</v>
      </c>
      <c r="B188" t="s">
        <v>435</v>
      </c>
      <c r="C188">
        <v>53</v>
      </c>
      <c r="D188" t="s">
        <v>9</v>
      </c>
      <c r="E188" t="s">
        <v>3718</v>
      </c>
      <c r="F188" t="s">
        <v>86</v>
      </c>
      <c r="G188" t="s">
        <v>11</v>
      </c>
      <c r="H188" t="s">
        <v>26</v>
      </c>
    </row>
    <row r="189" spans="1:8">
      <c r="A189" t="s">
        <v>436</v>
      </c>
      <c r="B189" t="s">
        <v>437</v>
      </c>
      <c r="C189">
        <v>60</v>
      </c>
      <c r="D189" t="s">
        <v>15</v>
      </c>
      <c r="E189" t="s">
        <v>3719</v>
      </c>
      <c r="F189" t="s">
        <v>19</v>
      </c>
      <c r="G189" t="s">
        <v>11</v>
      </c>
      <c r="H189" t="s">
        <v>17</v>
      </c>
    </row>
    <row r="190" spans="1:8">
      <c r="A190" t="s">
        <v>438</v>
      </c>
      <c r="B190" t="s">
        <v>439</v>
      </c>
      <c r="C190">
        <v>42</v>
      </c>
      <c r="D190" t="s">
        <v>9</v>
      </c>
      <c r="E190" t="s">
        <v>3720</v>
      </c>
      <c r="F190" t="s">
        <v>172</v>
      </c>
      <c r="G190" t="s">
        <v>11</v>
      </c>
      <c r="H190" t="s">
        <v>26</v>
      </c>
    </row>
    <row r="191" spans="1:8">
      <c r="A191" t="s">
        <v>440</v>
      </c>
      <c r="B191" t="s">
        <v>441</v>
      </c>
      <c r="C191">
        <v>29</v>
      </c>
      <c r="D191" t="s">
        <v>9</v>
      </c>
      <c r="E191" t="s">
        <v>3721</v>
      </c>
      <c r="F191" t="s">
        <v>417</v>
      </c>
      <c r="G191" t="s">
        <v>11</v>
      </c>
      <c r="H191" t="s">
        <v>12</v>
      </c>
    </row>
    <row r="192" spans="1:8">
      <c r="A192" t="s">
        <v>442</v>
      </c>
      <c r="B192" t="s">
        <v>443</v>
      </c>
      <c r="C192">
        <v>21</v>
      </c>
      <c r="D192" t="s">
        <v>9</v>
      </c>
      <c r="E192" t="s">
        <v>3722</v>
      </c>
      <c r="F192" t="s">
        <v>46</v>
      </c>
      <c r="G192" t="s">
        <v>11</v>
      </c>
      <c r="H192" t="s">
        <v>22</v>
      </c>
    </row>
    <row r="193" spans="1:8">
      <c r="A193" t="s">
        <v>444</v>
      </c>
      <c r="B193" t="s">
        <v>445</v>
      </c>
      <c r="C193">
        <v>29</v>
      </c>
      <c r="D193" t="s">
        <v>15</v>
      </c>
      <c r="E193" t="s">
        <v>3723</v>
      </c>
      <c r="F193" t="s">
        <v>21</v>
      </c>
      <c r="G193" t="s">
        <v>11</v>
      </c>
      <c r="H193" t="s">
        <v>22</v>
      </c>
    </row>
    <row r="194" spans="1:8">
      <c r="A194" t="s">
        <v>446</v>
      </c>
      <c r="B194" t="s">
        <v>447</v>
      </c>
      <c r="C194">
        <v>26</v>
      </c>
      <c r="D194" t="s">
        <v>9</v>
      </c>
      <c r="E194" t="s">
        <v>3724</v>
      </c>
      <c r="F194" t="s">
        <v>81</v>
      </c>
      <c r="G194" t="s">
        <v>11</v>
      </c>
      <c r="H194" t="s">
        <v>12</v>
      </c>
    </row>
    <row r="195" spans="1:8">
      <c r="A195" t="s">
        <v>448</v>
      </c>
      <c r="B195" t="s">
        <v>449</v>
      </c>
      <c r="C195">
        <v>38</v>
      </c>
      <c r="D195" t="s">
        <v>9</v>
      </c>
      <c r="E195" t="s">
        <v>3725</v>
      </c>
      <c r="F195" t="s">
        <v>63</v>
      </c>
      <c r="G195" t="s">
        <v>11</v>
      </c>
      <c r="H195" t="s">
        <v>12</v>
      </c>
    </row>
    <row r="196" spans="1:8">
      <c r="A196" t="s">
        <v>450</v>
      </c>
      <c r="B196" t="s">
        <v>451</v>
      </c>
      <c r="C196">
        <v>46</v>
      </c>
      <c r="D196" t="s">
        <v>9</v>
      </c>
      <c r="E196" t="s">
        <v>3726</v>
      </c>
      <c r="F196" t="s">
        <v>41</v>
      </c>
      <c r="G196" t="s">
        <v>11</v>
      </c>
      <c r="H196" t="s">
        <v>12</v>
      </c>
    </row>
    <row r="197" spans="1:8">
      <c r="A197" t="s">
        <v>452</v>
      </c>
      <c r="B197" t="s">
        <v>453</v>
      </c>
      <c r="C197">
        <v>60</v>
      </c>
      <c r="D197" t="s">
        <v>9</v>
      </c>
      <c r="E197" t="s">
        <v>3727</v>
      </c>
      <c r="F197" t="s">
        <v>101</v>
      </c>
      <c r="G197" t="s">
        <v>11</v>
      </c>
      <c r="H197" t="s">
        <v>26</v>
      </c>
    </row>
    <row r="198" spans="1:8">
      <c r="A198" t="s">
        <v>454</v>
      </c>
      <c r="B198" t="s">
        <v>455</v>
      </c>
      <c r="C198">
        <v>18</v>
      </c>
      <c r="D198" t="s">
        <v>15</v>
      </c>
      <c r="E198" t="s">
        <v>3728</v>
      </c>
      <c r="F198" t="s">
        <v>122</v>
      </c>
      <c r="G198" t="s">
        <v>11</v>
      </c>
      <c r="H198" t="s">
        <v>17</v>
      </c>
    </row>
    <row r="199" spans="1:8">
      <c r="A199" t="s">
        <v>456</v>
      </c>
      <c r="B199" t="s">
        <v>457</v>
      </c>
      <c r="C199">
        <v>45</v>
      </c>
      <c r="D199" t="s">
        <v>15</v>
      </c>
      <c r="E199" t="s">
        <v>154</v>
      </c>
      <c r="F199" t="s">
        <v>149</v>
      </c>
      <c r="G199" t="s">
        <v>11</v>
      </c>
      <c r="H199" t="s">
        <v>17</v>
      </c>
    </row>
    <row r="200" spans="1:8">
      <c r="A200" t="s">
        <v>458</v>
      </c>
      <c r="B200" t="s">
        <v>459</v>
      </c>
      <c r="C200">
        <v>54</v>
      </c>
      <c r="D200" t="s">
        <v>9</v>
      </c>
      <c r="E200" t="s">
        <v>3729</v>
      </c>
      <c r="F200" t="s">
        <v>128</v>
      </c>
      <c r="G200" t="s">
        <v>11</v>
      </c>
      <c r="H200" t="s">
        <v>22</v>
      </c>
    </row>
    <row r="201" spans="1:8">
      <c r="A201" t="s">
        <v>460</v>
      </c>
      <c r="B201" t="s">
        <v>461</v>
      </c>
      <c r="C201">
        <v>46</v>
      </c>
      <c r="D201" t="s">
        <v>9</v>
      </c>
      <c r="E201" t="s">
        <v>3730</v>
      </c>
      <c r="F201" t="s">
        <v>175</v>
      </c>
      <c r="G201" t="s">
        <v>11</v>
      </c>
      <c r="H201" t="s">
        <v>22</v>
      </c>
    </row>
    <row r="202" spans="1:8">
      <c r="A202" t="s">
        <v>462</v>
      </c>
      <c r="B202" t="s">
        <v>463</v>
      </c>
      <c r="C202">
        <v>30</v>
      </c>
      <c r="D202" t="s">
        <v>9</v>
      </c>
      <c r="E202" t="s">
        <v>3731</v>
      </c>
      <c r="F202" t="s">
        <v>312</v>
      </c>
      <c r="G202" t="s">
        <v>11</v>
      </c>
      <c r="H202" t="s">
        <v>17</v>
      </c>
    </row>
    <row r="203" spans="1:8">
      <c r="A203" t="s">
        <v>464</v>
      </c>
      <c r="B203" t="s">
        <v>465</v>
      </c>
      <c r="C203">
        <v>25</v>
      </c>
      <c r="D203" t="s">
        <v>15</v>
      </c>
      <c r="E203" t="s">
        <v>3732</v>
      </c>
      <c r="F203" t="s">
        <v>117</v>
      </c>
      <c r="G203" t="s">
        <v>11</v>
      </c>
      <c r="H203" t="s">
        <v>22</v>
      </c>
    </row>
    <row r="204" spans="1:8">
      <c r="A204" t="s">
        <v>466</v>
      </c>
      <c r="B204" t="s">
        <v>467</v>
      </c>
      <c r="C204">
        <v>37</v>
      </c>
      <c r="D204" t="s">
        <v>15</v>
      </c>
      <c r="E204" t="s">
        <v>3733</v>
      </c>
      <c r="F204" t="s">
        <v>49</v>
      </c>
      <c r="G204" t="s">
        <v>11</v>
      </c>
      <c r="H204" t="s">
        <v>17</v>
      </c>
    </row>
    <row r="205" spans="1:8">
      <c r="A205" t="s">
        <v>468</v>
      </c>
      <c r="B205" t="s">
        <v>469</v>
      </c>
      <c r="C205">
        <v>47</v>
      </c>
      <c r="D205" t="s">
        <v>9</v>
      </c>
      <c r="E205" t="s">
        <v>3734</v>
      </c>
      <c r="F205" t="s">
        <v>196</v>
      </c>
      <c r="G205" t="s">
        <v>11</v>
      </c>
      <c r="H205" t="s">
        <v>17</v>
      </c>
    </row>
    <row r="206" spans="1:8">
      <c r="A206" t="s">
        <v>470</v>
      </c>
      <c r="B206" t="s">
        <v>471</v>
      </c>
      <c r="C206">
        <v>52</v>
      </c>
      <c r="D206" t="s">
        <v>9</v>
      </c>
      <c r="E206" t="s">
        <v>3735</v>
      </c>
      <c r="F206" t="s">
        <v>210</v>
      </c>
      <c r="G206" t="s">
        <v>11</v>
      </c>
      <c r="H206" t="s">
        <v>17</v>
      </c>
    </row>
    <row r="207" spans="1:8">
      <c r="A207" t="s">
        <v>472</v>
      </c>
      <c r="B207" t="s">
        <v>473</v>
      </c>
      <c r="C207">
        <v>44</v>
      </c>
      <c r="D207" t="s">
        <v>15</v>
      </c>
      <c r="E207" t="s">
        <v>3736</v>
      </c>
      <c r="F207" t="s">
        <v>68</v>
      </c>
      <c r="G207" t="s">
        <v>11</v>
      </c>
      <c r="H207" t="s">
        <v>12</v>
      </c>
    </row>
    <row r="208" spans="1:8">
      <c r="A208" t="s">
        <v>474</v>
      </c>
      <c r="B208" t="s">
        <v>475</v>
      </c>
      <c r="C208">
        <v>26</v>
      </c>
      <c r="D208" t="s">
        <v>15</v>
      </c>
      <c r="E208" t="s">
        <v>3737</v>
      </c>
      <c r="F208" t="s">
        <v>175</v>
      </c>
      <c r="G208" t="s">
        <v>11</v>
      </c>
      <c r="H208" t="s">
        <v>26</v>
      </c>
    </row>
    <row r="209" spans="1:8">
      <c r="A209" t="s">
        <v>476</v>
      </c>
      <c r="B209" t="s">
        <v>477</v>
      </c>
      <c r="C209">
        <v>28</v>
      </c>
      <c r="D209" t="s">
        <v>15</v>
      </c>
      <c r="E209" t="s">
        <v>3738</v>
      </c>
      <c r="F209" t="s">
        <v>68</v>
      </c>
      <c r="G209" t="s">
        <v>11</v>
      </c>
      <c r="H209" t="s">
        <v>22</v>
      </c>
    </row>
    <row r="210" spans="1:8">
      <c r="A210" t="s">
        <v>478</v>
      </c>
      <c r="B210" t="s">
        <v>479</v>
      </c>
      <c r="C210">
        <v>54</v>
      </c>
      <c r="D210" t="s">
        <v>9</v>
      </c>
      <c r="E210" t="s">
        <v>3739</v>
      </c>
      <c r="F210" t="s">
        <v>239</v>
      </c>
      <c r="G210" t="s">
        <v>11</v>
      </c>
      <c r="H210" t="s">
        <v>17</v>
      </c>
    </row>
    <row r="211" spans="1:8">
      <c r="A211" t="s">
        <v>480</v>
      </c>
      <c r="B211" t="s">
        <v>481</v>
      </c>
      <c r="C211">
        <v>50</v>
      </c>
      <c r="D211" t="s">
        <v>15</v>
      </c>
      <c r="E211" t="s">
        <v>3740</v>
      </c>
      <c r="F211" t="s">
        <v>312</v>
      </c>
      <c r="G211" t="s">
        <v>11</v>
      </c>
      <c r="H211" t="s">
        <v>17</v>
      </c>
    </row>
    <row r="212" spans="1:8">
      <c r="A212" t="s">
        <v>482</v>
      </c>
      <c r="B212" t="s">
        <v>483</v>
      </c>
      <c r="C212">
        <v>48</v>
      </c>
      <c r="D212" t="s">
        <v>9</v>
      </c>
      <c r="E212" t="s">
        <v>3741</v>
      </c>
      <c r="F212" t="s">
        <v>63</v>
      </c>
      <c r="G212" t="s">
        <v>11</v>
      </c>
      <c r="H212" t="s">
        <v>26</v>
      </c>
    </row>
    <row r="213" spans="1:8">
      <c r="A213" t="s">
        <v>484</v>
      </c>
      <c r="B213" t="s">
        <v>485</v>
      </c>
      <c r="C213">
        <v>20</v>
      </c>
      <c r="D213" t="s">
        <v>15</v>
      </c>
      <c r="E213" t="s">
        <v>3742</v>
      </c>
      <c r="F213" t="s">
        <v>71</v>
      </c>
      <c r="G213" t="s">
        <v>11</v>
      </c>
      <c r="H213" t="s">
        <v>26</v>
      </c>
    </row>
    <row r="214" spans="1:8">
      <c r="A214" t="s">
        <v>486</v>
      </c>
      <c r="B214" t="s">
        <v>487</v>
      </c>
      <c r="C214">
        <v>63</v>
      </c>
      <c r="D214" t="s">
        <v>15</v>
      </c>
      <c r="E214" t="s">
        <v>3743</v>
      </c>
      <c r="F214" t="s">
        <v>58</v>
      </c>
      <c r="G214" t="s">
        <v>11</v>
      </c>
      <c r="H214" t="s">
        <v>17</v>
      </c>
    </row>
    <row r="215" spans="1:8">
      <c r="A215" t="s">
        <v>488</v>
      </c>
      <c r="B215" t="s">
        <v>489</v>
      </c>
      <c r="C215">
        <v>42</v>
      </c>
      <c r="D215" t="s">
        <v>15</v>
      </c>
      <c r="E215" t="s">
        <v>3744</v>
      </c>
      <c r="F215" t="s">
        <v>16</v>
      </c>
      <c r="G215" t="s">
        <v>11</v>
      </c>
      <c r="H215" t="s">
        <v>17</v>
      </c>
    </row>
    <row r="216" spans="1:8">
      <c r="A216" t="s">
        <v>490</v>
      </c>
      <c r="B216" t="s">
        <v>491</v>
      </c>
      <c r="C216">
        <v>61</v>
      </c>
      <c r="D216" t="s">
        <v>9</v>
      </c>
      <c r="E216" t="s">
        <v>3745</v>
      </c>
      <c r="F216" t="s">
        <v>52</v>
      </c>
      <c r="G216" t="s">
        <v>11</v>
      </c>
      <c r="H216" t="s">
        <v>12</v>
      </c>
    </row>
    <row r="217" spans="1:8">
      <c r="A217" t="s">
        <v>492</v>
      </c>
      <c r="B217" t="s">
        <v>493</v>
      </c>
      <c r="C217">
        <v>50</v>
      </c>
      <c r="D217" t="s">
        <v>15</v>
      </c>
      <c r="E217" t="s">
        <v>3746</v>
      </c>
      <c r="F217" t="s">
        <v>29</v>
      </c>
      <c r="G217" t="s">
        <v>11</v>
      </c>
      <c r="H217" t="s">
        <v>12</v>
      </c>
    </row>
    <row r="218" spans="1:8">
      <c r="A218" t="s">
        <v>494</v>
      </c>
      <c r="B218" t="s">
        <v>495</v>
      </c>
      <c r="C218">
        <v>44</v>
      </c>
      <c r="D218" t="s">
        <v>9</v>
      </c>
      <c r="E218" t="s">
        <v>3747</v>
      </c>
      <c r="F218" t="s">
        <v>25</v>
      </c>
      <c r="G218" t="s">
        <v>11</v>
      </c>
      <c r="H218" t="s">
        <v>17</v>
      </c>
    </row>
    <row r="219" spans="1:8">
      <c r="A219" t="s">
        <v>496</v>
      </c>
      <c r="B219" t="s">
        <v>497</v>
      </c>
      <c r="C219">
        <v>42</v>
      </c>
      <c r="D219" t="s">
        <v>9</v>
      </c>
      <c r="E219" t="s">
        <v>3748</v>
      </c>
      <c r="F219" t="s">
        <v>86</v>
      </c>
      <c r="G219" t="s">
        <v>11</v>
      </c>
      <c r="H219" t="s">
        <v>26</v>
      </c>
    </row>
    <row r="220" spans="1:8">
      <c r="A220" t="s">
        <v>498</v>
      </c>
      <c r="B220" t="s">
        <v>499</v>
      </c>
      <c r="C220">
        <v>46</v>
      </c>
      <c r="D220" t="s">
        <v>9</v>
      </c>
      <c r="E220" t="s">
        <v>3749</v>
      </c>
      <c r="F220" t="s">
        <v>25</v>
      </c>
      <c r="G220" t="s">
        <v>11</v>
      </c>
      <c r="H220" t="s">
        <v>17</v>
      </c>
    </row>
    <row r="221" spans="1:8">
      <c r="A221" t="s">
        <v>500</v>
      </c>
      <c r="B221" t="s">
        <v>501</v>
      </c>
      <c r="C221">
        <v>47</v>
      </c>
      <c r="D221" t="s">
        <v>15</v>
      </c>
      <c r="E221" t="s">
        <v>3750</v>
      </c>
      <c r="F221" t="s">
        <v>68</v>
      </c>
      <c r="G221" t="s">
        <v>11</v>
      </c>
      <c r="H221" t="s">
        <v>12</v>
      </c>
    </row>
    <row r="222" spans="1:8">
      <c r="A222" t="s">
        <v>502</v>
      </c>
      <c r="B222" t="s">
        <v>503</v>
      </c>
      <c r="C222">
        <v>50</v>
      </c>
      <c r="D222" t="s">
        <v>15</v>
      </c>
      <c r="E222" t="s">
        <v>3751</v>
      </c>
      <c r="F222" t="s">
        <v>504</v>
      </c>
      <c r="G222" t="s">
        <v>3352</v>
      </c>
      <c r="H222" t="s">
        <v>22</v>
      </c>
    </row>
    <row r="223" spans="1:8">
      <c r="A223" t="s">
        <v>505</v>
      </c>
      <c r="B223" t="s">
        <v>506</v>
      </c>
      <c r="C223">
        <v>38</v>
      </c>
      <c r="D223" t="s">
        <v>9</v>
      </c>
      <c r="E223" t="s">
        <v>3752</v>
      </c>
      <c r="F223" t="s">
        <v>63</v>
      </c>
      <c r="G223" t="s">
        <v>11</v>
      </c>
      <c r="H223" t="s">
        <v>17</v>
      </c>
    </row>
    <row r="224" spans="1:8">
      <c r="A224" t="s">
        <v>507</v>
      </c>
      <c r="B224" t="s">
        <v>508</v>
      </c>
      <c r="C224">
        <v>35</v>
      </c>
      <c r="D224" t="s">
        <v>9</v>
      </c>
      <c r="E224" t="s">
        <v>3753</v>
      </c>
      <c r="F224" t="s">
        <v>172</v>
      </c>
      <c r="G224" t="s">
        <v>11</v>
      </c>
      <c r="H224" t="s">
        <v>17</v>
      </c>
    </row>
    <row r="225" spans="1:8">
      <c r="A225" t="s">
        <v>509</v>
      </c>
      <c r="B225" t="s">
        <v>510</v>
      </c>
      <c r="C225">
        <v>50</v>
      </c>
      <c r="D225" t="s">
        <v>9</v>
      </c>
      <c r="E225" t="s">
        <v>3754</v>
      </c>
      <c r="F225" t="s">
        <v>196</v>
      </c>
      <c r="G225" t="s">
        <v>11</v>
      </c>
      <c r="H225" t="s">
        <v>17</v>
      </c>
    </row>
    <row r="226" spans="1:8">
      <c r="A226" t="s">
        <v>511</v>
      </c>
      <c r="B226" t="s">
        <v>512</v>
      </c>
      <c r="C226">
        <v>29</v>
      </c>
      <c r="D226" t="s">
        <v>9</v>
      </c>
      <c r="E226" t="s">
        <v>3755</v>
      </c>
      <c r="F226" t="s">
        <v>86</v>
      </c>
      <c r="G226" t="s">
        <v>11</v>
      </c>
      <c r="H226" t="s">
        <v>26</v>
      </c>
    </row>
    <row r="227" spans="1:8">
      <c r="A227" t="s">
        <v>513</v>
      </c>
      <c r="B227" t="s">
        <v>514</v>
      </c>
      <c r="C227">
        <v>46</v>
      </c>
      <c r="D227" t="s">
        <v>15</v>
      </c>
      <c r="E227" t="s">
        <v>3756</v>
      </c>
      <c r="F227" t="s">
        <v>89</v>
      </c>
      <c r="G227" t="s">
        <v>11</v>
      </c>
      <c r="H227" t="s">
        <v>17</v>
      </c>
    </row>
    <row r="228" spans="1:8">
      <c r="A228" t="s">
        <v>515</v>
      </c>
      <c r="B228" t="s">
        <v>516</v>
      </c>
      <c r="C228">
        <v>54</v>
      </c>
      <c r="D228" t="s">
        <v>9</v>
      </c>
      <c r="E228" t="s">
        <v>3592</v>
      </c>
      <c r="F228" t="s">
        <v>122</v>
      </c>
      <c r="G228" t="s">
        <v>11</v>
      </c>
      <c r="H228" t="s">
        <v>12</v>
      </c>
    </row>
    <row r="229" spans="1:8">
      <c r="A229" t="s">
        <v>517</v>
      </c>
      <c r="B229" t="s">
        <v>518</v>
      </c>
      <c r="C229">
        <v>63</v>
      </c>
      <c r="D229" t="s">
        <v>15</v>
      </c>
      <c r="E229" t="s">
        <v>3757</v>
      </c>
      <c r="F229" t="s">
        <v>49</v>
      </c>
      <c r="G229" t="s">
        <v>11</v>
      </c>
      <c r="H229" t="s">
        <v>12</v>
      </c>
    </row>
    <row r="230" spans="1:8">
      <c r="A230" t="s">
        <v>519</v>
      </c>
      <c r="B230" t="s">
        <v>520</v>
      </c>
      <c r="C230">
        <v>52</v>
      </c>
      <c r="D230" t="s">
        <v>15</v>
      </c>
      <c r="E230" t="s">
        <v>285</v>
      </c>
      <c r="F230" t="s">
        <v>89</v>
      </c>
      <c r="G230" t="s">
        <v>11</v>
      </c>
      <c r="H230" t="s">
        <v>12</v>
      </c>
    </row>
    <row r="231" spans="1:8">
      <c r="A231" t="s">
        <v>521</v>
      </c>
      <c r="B231" t="s">
        <v>522</v>
      </c>
      <c r="C231">
        <v>32</v>
      </c>
      <c r="D231" t="s">
        <v>15</v>
      </c>
      <c r="E231" t="s">
        <v>3758</v>
      </c>
      <c r="F231" t="s">
        <v>106</v>
      </c>
      <c r="G231" t="s">
        <v>11</v>
      </c>
      <c r="H231" t="s">
        <v>22</v>
      </c>
    </row>
    <row r="232" spans="1:8">
      <c r="A232" t="s">
        <v>523</v>
      </c>
      <c r="B232" t="s">
        <v>524</v>
      </c>
      <c r="C232">
        <v>29</v>
      </c>
      <c r="D232" t="s">
        <v>9</v>
      </c>
      <c r="E232" t="s">
        <v>3759</v>
      </c>
      <c r="F232" t="s">
        <v>184</v>
      </c>
      <c r="G232" t="s">
        <v>11</v>
      </c>
      <c r="H232" t="s">
        <v>22</v>
      </c>
    </row>
    <row r="233" spans="1:8">
      <c r="A233" t="s">
        <v>525</v>
      </c>
      <c r="B233" t="s">
        <v>526</v>
      </c>
      <c r="C233">
        <v>22</v>
      </c>
      <c r="D233" t="s">
        <v>15</v>
      </c>
      <c r="E233" t="s">
        <v>3760</v>
      </c>
      <c r="F233" t="s">
        <v>231</v>
      </c>
      <c r="G233" t="s">
        <v>11</v>
      </c>
      <c r="H233" t="s">
        <v>22</v>
      </c>
    </row>
    <row r="234" spans="1:8">
      <c r="A234" t="s">
        <v>527</v>
      </c>
      <c r="B234" t="s">
        <v>528</v>
      </c>
      <c r="C234">
        <v>27</v>
      </c>
      <c r="D234" t="s">
        <v>15</v>
      </c>
      <c r="E234" t="s">
        <v>3761</v>
      </c>
      <c r="F234" t="s">
        <v>68</v>
      </c>
      <c r="G234" t="s">
        <v>11</v>
      </c>
      <c r="H234" t="s">
        <v>17</v>
      </c>
    </row>
    <row r="235" spans="1:8">
      <c r="A235" t="s">
        <v>529</v>
      </c>
      <c r="B235" t="s">
        <v>530</v>
      </c>
      <c r="C235">
        <v>59</v>
      </c>
      <c r="D235" t="s">
        <v>9</v>
      </c>
      <c r="E235" t="s">
        <v>3762</v>
      </c>
      <c r="F235" t="s">
        <v>35</v>
      </c>
      <c r="G235" t="s">
        <v>11</v>
      </c>
      <c r="H235" t="s">
        <v>26</v>
      </c>
    </row>
    <row r="236" spans="1:8">
      <c r="A236" t="s">
        <v>531</v>
      </c>
      <c r="B236" t="s">
        <v>532</v>
      </c>
      <c r="C236">
        <v>43</v>
      </c>
      <c r="D236" t="s">
        <v>15</v>
      </c>
      <c r="E236" t="s">
        <v>3763</v>
      </c>
      <c r="F236" t="s">
        <v>49</v>
      </c>
      <c r="G236" t="s">
        <v>11</v>
      </c>
      <c r="H236" t="s">
        <v>12</v>
      </c>
    </row>
    <row r="237" spans="1:8">
      <c r="A237" t="s">
        <v>533</v>
      </c>
      <c r="B237" t="s">
        <v>534</v>
      </c>
      <c r="C237">
        <v>28</v>
      </c>
      <c r="D237" t="s">
        <v>15</v>
      </c>
      <c r="E237" t="s">
        <v>3764</v>
      </c>
      <c r="F237" t="s">
        <v>71</v>
      </c>
      <c r="G237" t="s">
        <v>11</v>
      </c>
      <c r="H237" t="s">
        <v>22</v>
      </c>
    </row>
    <row r="238" spans="1:8">
      <c r="A238" t="s">
        <v>535</v>
      </c>
      <c r="B238" t="s">
        <v>536</v>
      </c>
      <c r="C238">
        <v>42</v>
      </c>
      <c r="D238" t="s">
        <v>15</v>
      </c>
      <c r="E238" t="s">
        <v>3765</v>
      </c>
      <c r="F238" t="s">
        <v>210</v>
      </c>
      <c r="G238" t="s">
        <v>11</v>
      </c>
      <c r="H238" t="s">
        <v>22</v>
      </c>
    </row>
    <row r="239" spans="1:8">
      <c r="A239" t="s">
        <v>537</v>
      </c>
      <c r="B239" t="s">
        <v>538</v>
      </c>
      <c r="C239">
        <v>41</v>
      </c>
      <c r="D239" t="s">
        <v>15</v>
      </c>
      <c r="E239" t="s">
        <v>3766</v>
      </c>
      <c r="F239" t="s">
        <v>52</v>
      </c>
      <c r="G239" t="s">
        <v>11</v>
      </c>
      <c r="H239" t="s">
        <v>12</v>
      </c>
    </row>
    <row r="240" spans="1:8">
      <c r="A240" t="s">
        <v>539</v>
      </c>
      <c r="B240" t="s">
        <v>540</v>
      </c>
      <c r="C240">
        <v>40</v>
      </c>
      <c r="D240" t="s">
        <v>9</v>
      </c>
      <c r="E240" t="s">
        <v>3767</v>
      </c>
      <c r="F240" t="s">
        <v>35</v>
      </c>
      <c r="G240" t="s">
        <v>11</v>
      </c>
      <c r="H240" t="s">
        <v>17</v>
      </c>
    </row>
    <row r="241" spans="1:8">
      <c r="A241" t="s">
        <v>541</v>
      </c>
      <c r="B241" t="s">
        <v>542</v>
      </c>
      <c r="C241">
        <v>58</v>
      </c>
      <c r="D241" t="s">
        <v>15</v>
      </c>
      <c r="E241" t="s">
        <v>3768</v>
      </c>
      <c r="F241" t="s">
        <v>137</v>
      </c>
      <c r="G241" t="s">
        <v>11</v>
      </c>
      <c r="H241" t="s">
        <v>17</v>
      </c>
    </row>
    <row r="242" spans="1:8">
      <c r="A242" t="s">
        <v>543</v>
      </c>
      <c r="B242" t="s">
        <v>544</v>
      </c>
      <c r="C242">
        <v>59</v>
      </c>
      <c r="D242" t="s">
        <v>15</v>
      </c>
      <c r="E242" t="s">
        <v>3769</v>
      </c>
      <c r="F242" t="s">
        <v>117</v>
      </c>
      <c r="G242" t="s">
        <v>11</v>
      </c>
      <c r="H242" t="s">
        <v>17</v>
      </c>
    </row>
    <row r="243" spans="1:8">
      <c r="A243" t="s">
        <v>545</v>
      </c>
      <c r="B243" t="s">
        <v>546</v>
      </c>
      <c r="C243">
        <v>31</v>
      </c>
      <c r="D243" t="s">
        <v>9</v>
      </c>
      <c r="E243" t="s">
        <v>3770</v>
      </c>
      <c r="F243" t="s">
        <v>210</v>
      </c>
      <c r="G243" t="s">
        <v>11</v>
      </c>
      <c r="H243" t="s">
        <v>17</v>
      </c>
    </row>
    <row r="244" spans="1:8">
      <c r="A244" t="s">
        <v>547</v>
      </c>
      <c r="B244" t="s">
        <v>548</v>
      </c>
      <c r="C244">
        <v>58</v>
      </c>
      <c r="D244" t="s">
        <v>15</v>
      </c>
      <c r="E244" t="s">
        <v>3771</v>
      </c>
      <c r="F244" t="s">
        <v>125</v>
      </c>
      <c r="G244" t="s">
        <v>11</v>
      </c>
      <c r="H244" t="s">
        <v>26</v>
      </c>
    </row>
    <row r="245" spans="1:8">
      <c r="A245" t="s">
        <v>549</v>
      </c>
      <c r="B245" t="s">
        <v>550</v>
      </c>
      <c r="C245">
        <v>56</v>
      </c>
      <c r="D245" t="s">
        <v>15</v>
      </c>
      <c r="E245" t="s">
        <v>3772</v>
      </c>
      <c r="F245" t="s">
        <v>260</v>
      </c>
      <c r="G245" t="s">
        <v>11</v>
      </c>
      <c r="H245" t="s">
        <v>12</v>
      </c>
    </row>
    <row r="246" spans="1:8">
      <c r="A246" t="s">
        <v>551</v>
      </c>
      <c r="B246" t="s">
        <v>552</v>
      </c>
      <c r="C246">
        <v>19</v>
      </c>
      <c r="D246" t="s">
        <v>9</v>
      </c>
      <c r="E246" t="s">
        <v>3773</v>
      </c>
      <c r="F246" t="s">
        <v>89</v>
      </c>
      <c r="G246" t="s">
        <v>11</v>
      </c>
      <c r="H246" t="s">
        <v>22</v>
      </c>
    </row>
    <row r="247" spans="1:8">
      <c r="A247" t="s">
        <v>553</v>
      </c>
      <c r="B247" t="s">
        <v>554</v>
      </c>
      <c r="C247">
        <v>57</v>
      </c>
      <c r="D247" t="s">
        <v>15</v>
      </c>
      <c r="E247" t="s">
        <v>3774</v>
      </c>
      <c r="F247" t="s">
        <v>117</v>
      </c>
      <c r="G247" t="s">
        <v>11</v>
      </c>
      <c r="H247" t="s">
        <v>17</v>
      </c>
    </row>
    <row r="248" spans="1:8">
      <c r="A248" t="s">
        <v>555</v>
      </c>
      <c r="B248" t="s">
        <v>556</v>
      </c>
      <c r="C248">
        <v>58</v>
      </c>
      <c r="D248" t="s">
        <v>9</v>
      </c>
      <c r="E248" t="s">
        <v>3775</v>
      </c>
      <c r="F248" t="s">
        <v>213</v>
      </c>
      <c r="G248" t="s">
        <v>11</v>
      </c>
      <c r="H248" t="s">
        <v>22</v>
      </c>
    </row>
    <row r="249" spans="1:8">
      <c r="A249" t="s">
        <v>557</v>
      </c>
      <c r="B249" t="s">
        <v>558</v>
      </c>
      <c r="C249">
        <v>32</v>
      </c>
      <c r="D249" t="s">
        <v>9</v>
      </c>
      <c r="E249" t="s">
        <v>3776</v>
      </c>
      <c r="F249" t="s">
        <v>38</v>
      </c>
      <c r="G249" t="s">
        <v>11</v>
      </c>
      <c r="H249" t="s">
        <v>17</v>
      </c>
    </row>
    <row r="250" spans="1:8">
      <c r="A250" t="s">
        <v>559</v>
      </c>
      <c r="B250" t="s">
        <v>560</v>
      </c>
      <c r="C250">
        <v>19</v>
      </c>
      <c r="D250" t="s">
        <v>9</v>
      </c>
      <c r="E250" t="s">
        <v>3777</v>
      </c>
      <c r="F250" t="s">
        <v>137</v>
      </c>
      <c r="G250" t="s">
        <v>11</v>
      </c>
      <c r="H250" t="s">
        <v>12</v>
      </c>
    </row>
    <row r="251" spans="1:8">
      <c r="A251" t="s">
        <v>561</v>
      </c>
      <c r="B251" t="s">
        <v>562</v>
      </c>
      <c r="C251">
        <v>41</v>
      </c>
      <c r="D251" t="s">
        <v>15</v>
      </c>
      <c r="E251" t="s">
        <v>3778</v>
      </c>
      <c r="F251" t="s">
        <v>46</v>
      </c>
      <c r="G251" t="s">
        <v>11</v>
      </c>
      <c r="H251" t="s">
        <v>12</v>
      </c>
    </row>
    <row r="252" spans="1:8">
      <c r="A252" t="s">
        <v>563</v>
      </c>
      <c r="B252" t="s">
        <v>564</v>
      </c>
      <c r="C252">
        <v>48</v>
      </c>
      <c r="D252" t="s">
        <v>9</v>
      </c>
      <c r="E252" t="s">
        <v>3779</v>
      </c>
      <c r="F252" t="s">
        <v>71</v>
      </c>
      <c r="G252" t="s">
        <v>11</v>
      </c>
      <c r="H252" t="s">
        <v>17</v>
      </c>
    </row>
    <row r="253" spans="1:8">
      <c r="A253" t="s">
        <v>565</v>
      </c>
      <c r="B253" t="s">
        <v>566</v>
      </c>
      <c r="C253">
        <v>64</v>
      </c>
      <c r="D253" t="s">
        <v>9</v>
      </c>
      <c r="E253" t="s">
        <v>3780</v>
      </c>
      <c r="F253" t="s">
        <v>19</v>
      </c>
      <c r="G253" t="s">
        <v>11</v>
      </c>
      <c r="H253" t="s">
        <v>26</v>
      </c>
    </row>
    <row r="254" spans="1:8">
      <c r="A254" t="s">
        <v>567</v>
      </c>
      <c r="B254" t="s">
        <v>568</v>
      </c>
      <c r="C254">
        <v>26</v>
      </c>
      <c r="D254" t="s">
        <v>9</v>
      </c>
      <c r="E254" t="s">
        <v>3781</v>
      </c>
      <c r="F254" t="s">
        <v>32</v>
      </c>
      <c r="G254" t="s">
        <v>11</v>
      </c>
      <c r="H254" t="s">
        <v>26</v>
      </c>
    </row>
    <row r="255" spans="1:8">
      <c r="A255" t="s">
        <v>569</v>
      </c>
      <c r="B255" t="s">
        <v>570</v>
      </c>
      <c r="C255">
        <v>32</v>
      </c>
      <c r="D255" t="s">
        <v>9</v>
      </c>
      <c r="E255" t="s">
        <v>3782</v>
      </c>
      <c r="F255" t="s">
        <v>236</v>
      </c>
      <c r="G255" t="s">
        <v>11</v>
      </c>
      <c r="H255" t="s">
        <v>22</v>
      </c>
    </row>
    <row r="256" spans="1:8">
      <c r="A256" t="s">
        <v>571</v>
      </c>
      <c r="B256" t="s">
        <v>572</v>
      </c>
      <c r="C256">
        <v>34</v>
      </c>
      <c r="D256" t="s">
        <v>9</v>
      </c>
      <c r="E256" t="s">
        <v>3783</v>
      </c>
      <c r="F256" t="s">
        <v>122</v>
      </c>
      <c r="G256" t="s">
        <v>11</v>
      </c>
      <c r="H256" t="s">
        <v>26</v>
      </c>
    </row>
    <row r="257" spans="1:8">
      <c r="A257" t="s">
        <v>573</v>
      </c>
      <c r="B257" t="s">
        <v>574</v>
      </c>
      <c r="C257">
        <v>21</v>
      </c>
      <c r="D257" t="s">
        <v>9</v>
      </c>
      <c r="E257" t="s">
        <v>3784</v>
      </c>
      <c r="F257" t="s">
        <v>21</v>
      </c>
      <c r="G257" t="s">
        <v>11</v>
      </c>
      <c r="H257" t="s">
        <v>12</v>
      </c>
    </row>
    <row r="258" spans="1:8">
      <c r="A258" t="s">
        <v>575</v>
      </c>
      <c r="B258" t="s">
        <v>576</v>
      </c>
      <c r="C258">
        <v>57</v>
      </c>
      <c r="D258" t="s">
        <v>9</v>
      </c>
      <c r="E258" t="s">
        <v>3785</v>
      </c>
      <c r="F258" t="s">
        <v>213</v>
      </c>
      <c r="G258" t="s">
        <v>11</v>
      </c>
      <c r="H258" t="s">
        <v>17</v>
      </c>
    </row>
    <row r="259" spans="1:8">
      <c r="A259" t="s">
        <v>577</v>
      </c>
      <c r="B259" t="s">
        <v>578</v>
      </c>
      <c r="C259">
        <v>42</v>
      </c>
      <c r="D259" t="s">
        <v>9</v>
      </c>
      <c r="E259" t="s">
        <v>3786</v>
      </c>
      <c r="F259" t="s">
        <v>504</v>
      </c>
      <c r="G259" t="s">
        <v>11</v>
      </c>
      <c r="H259" t="s">
        <v>26</v>
      </c>
    </row>
    <row r="260" spans="1:8">
      <c r="A260" t="s">
        <v>579</v>
      </c>
      <c r="B260" t="s">
        <v>580</v>
      </c>
      <c r="C260">
        <v>24</v>
      </c>
      <c r="D260" t="s">
        <v>15</v>
      </c>
      <c r="E260" t="s">
        <v>3787</v>
      </c>
      <c r="F260" t="s">
        <v>260</v>
      </c>
      <c r="G260" t="s">
        <v>11</v>
      </c>
      <c r="H260" t="s">
        <v>17</v>
      </c>
    </row>
    <row r="261" spans="1:8">
      <c r="A261" t="s">
        <v>581</v>
      </c>
      <c r="B261" t="s">
        <v>582</v>
      </c>
      <c r="C261">
        <v>32</v>
      </c>
      <c r="D261" t="s">
        <v>15</v>
      </c>
      <c r="E261" t="s">
        <v>3788</v>
      </c>
      <c r="F261" t="s">
        <v>74</v>
      </c>
      <c r="G261" t="s">
        <v>11</v>
      </c>
      <c r="H261" t="s">
        <v>26</v>
      </c>
    </row>
    <row r="262" spans="1:8">
      <c r="A262" t="s">
        <v>583</v>
      </c>
      <c r="B262" t="s">
        <v>584</v>
      </c>
      <c r="C262">
        <v>63</v>
      </c>
      <c r="D262" t="s">
        <v>15</v>
      </c>
      <c r="E262" t="s">
        <v>3789</v>
      </c>
      <c r="F262" t="s">
        <v>101</v>
      </c>
      <c r="G262" t="s">
        <v>11</v>
      </c>
      <c r="H262" t="s">
        <v>17</v>
      </c>
    </row>
    <row r="263" spans="1:8">
      <c r="A263" t="s">
        <v>585</v>
      </c>
      <c r="B263" t="s">
        <v>586</v>
      </c>
      <c r="C263">
        <v>27</v>
      </c>
      <c r="D263" t="s">
        <v>15</v>
      </c>
      <c r="E263" t="s">
        <v>3790</v>
      </c>
      <c r="F263" t="s">
        <v>29</v>
      </c>
      <c r="G263" t="s">
        <v>11</v>
      </c>
      <c r="H263" t="s">
        <v>26</v>
      </c>
    </row>
    <row r="264" spans="1:8">
      <c r="A264" t="s">
        <v>587</v>
      </c>
      <c r="B264" t="s">
        <v>588</v>
      </c>
      <c r="C264">
        <v>60</v>
      </c>
      <c r="D264" t="s">
        <v>15</v>
      </c>
      <c r="E264" t="s">
        <v>3791</v>
      </c>
      <c r="F264" t="s">
        <v>52</v>
      </c>
      <c r="G264" t="s">
        <v>11</v>
      </c>
      <c r="H264" t="s">
        <v>26</v>
      </c>
    </row>
    <row r="265" spans="1:8">
      <c r="A265" t="s">
        <v>589</v>
      </c>
      <c r="B265" t="s">
        <v>590</v>
      </c>
      <c r="C265">
        <v>50</v>
      </c>
      <c r="D265" t="s">
        <v>9</v>
      </c>
      <c r="E265" t="s">
        <v>3792</v>
      </c>
      <c r="F265" t="s">
        <v>239</v>
      </c>
      <c r="G265" t="s">
        <v>11</v>
      </c>
      <c r="H265" t="s">
        <v>22</v>
      </c>
    </row>
    <row r="266" spans="1:8">
      <c r="A266" t="s">
        <v>591</v>
      </c>
      <c r="B266" t="s">
        <v>592</v>
      </c>
      <c r="C266">
        <v>25</v>
      </c>
      <c r="D266" t="s">
        <v>9</v>
      </c>
      <c r="E266" t="s">
        <v>3793</v>
      </c>
      <c r="F266" t="s">
        <v>593</v>
      </c>
      <c r="G266" t="s">
        <v>11</v>
      </c>
      <c r="H266" t="s">
        <v>12</v>
      </c>
    </row>
    <row r="267" spans="1:8">
      <c r="A267" t="s">
        <v>594</v>
      </c>
      <c r="B267" t="s">
        <v>595</v>
      </c>
      <c r="C267">
        <v>38</v>
      </c>
      <c r="D267" t="s">
        <v>9</v>
      </c>
      <c r="E267" t="s">
        <v>3794</v>
      </c>
      <c r="F267" t="s">
        <v>175</v>
      </c>
      <c r="G267" t="s">
        <v>11</v>
      </c>
      <c r="H267" t="s">
        <v>26</v>
      </c>
    </row>
    <row r="268" spans="1:8">
      <c r="A268" t="s">
        <v>596</v>
      </c>
      <c r="B268" t="s">
        <v>597</v>
      </c>
      <c r="C268">
        <v>32</v>
      </c>
      <c r="D268" t="s">
        <v>15</v>
      </c>
      <c r="E268" t="s">
        <v>3795</v>
      </c>
      <c r="F268" t="s">
        <v>417</v>
      </c>
      <c r="G268" t="s">
        <v>11</v>
      </c>
      <c r="H268" t="s">
        <v>22</v>
      </c>
    </row>
    <row r="269" spans="1:8">
      <c r="A269" t="s">
        <v>598</v>
      </c>
      <c r="B269" t="s">
        <v>599</v>
      </c>
      <c r="C269">
        <v>18</v>
      </c>
      <c r="D269" t="s">
        <v>9</v>
      </c>
      <c r="E269" t="s">
        <v>3772</v>
      </c>
      <c r="F269" t="s">
        <v>52</v>
      </c>
      <c r="G269" t="s">
        <v>11</v>
      </c>
      <c r="H269" t="s">
        <v>22</v>
      </c>
    </row>
    <row r="270" spans="1:8">
      <c r="A270" t="s">
        <v>600</v>
      </c>
      <c r="B270" t="s">
        <v>601</v>
      </c>
      <c r="C270">
        <v>53</v>
      </c>
      <c r="D270" t="s">
        <v>15</v>
      </c>
      <c r="E270" t="s">
        <v>3796</v>
      </c>
      <c r="F270" t="s">
        <v>149</v>
      </c>
      <c r="G270" t="s">
        <v>11</v>
      </c>
      <c r="H270" t="s">
        <v>22</v>
      </c>
    </row>
    <row r="271" spans="1:8">
      <c r="A271" t="s">
        <v>602</v>
      </c>
      <c r="B271" t="s">
        <v>603</v>
      </c>
      <c r="C271">
        <v>45</v>
      </c>
      <c r="D271" t="s">
        <v>15</v>
      </c>
      <c r="E271" t="s">
        <v>3797</v>
      </c>
      <c r="F271" t="s">
        <v>25</v>
      </c>
      <c r="G271" t="s">
        <v>11</v>
      </c>
      <c r="H271" t="s">
        <v>26</v>
      </c>
    </row>
    <row r="272" spans="1:8">
      <c r="A272" t="s">
        <v>604</v>
      </c>
      <c r="B272" t="s">
        <v>605</v>
      </c>
      <c r="C272">
        <v>31</v>
      </c>
      <c r="D272" t="s">
        <v>15</v>
      </c>
      <c r="E272" t="s">
        <v>3798</v>
      </c>
      <c r="F272" t="s">
        <v>239</v>
      </c>
      <c r="G272" t="s">
        <v>11</v>
      </c>
      <c r="H272" t="s">
        <v>12</v>
      </c>
    </row>
    <row r="273" spans="1:8">
      <c r="A273" t="s">
        <v>606</v>
      </c>
      <c r="B273" t="s">
        <v>607</v>
      </c>
      <c r="C273">
        <v>64</v>
      </c>
      <c r="D273" t="s">
        <v>9</v>
      </c>
      <c r="E273" t="s">
        <v>3799</v>
      </c>
      <c r="F273" t="s">
        <v>55</v>
      </c>
      <c r="G273" t="s">
        <v>11</v>
      </c>
      <c r="H273" t="s">
        <v>17</v>
      </c>
    </row>
    <row r="274" spans="1:8">
      <c r="A274" t="s">
        <v>608</v>
      </c>
      <c r="B274" t="s">
        <v>609</v>
      </c>
      <c r="C274">
        <v>48</v>
      </c>
      <c r="D274" t="s">
        <v>15</v>
      </c>
      <c r="E274" t="s">
        <v>3800</v>
      </c>
      <c r="F274" t="s">
        <v>25</v>
      </c>
      <c r="G274" t="s">
        <v>11</v>
      </c>
      <c r="H274" t="s">
        <v>12</v>
      </c>
    </row>
    <row r="275" spans="1:8">
      <c r="A275" t="s">
        <v>610</v>
      </c>
      <c r="B275" t="s">
        <v>611</v>
      </c>
      <c r="C275">
        <v>23</v>
      </c>
      <c r="D275" t="s">
        <v>9</v>
      </c>
      <c r="E275" t="s">
        <v>3801</v>
      </c>
      <c r="F275" t="s">
        <v>228</v>
      </c>
      <c r="G275" t="s">
        <v>11</v>
      </c>
      <c r="H275" t="s">
        <v>22</v>
      </c>
    </row>
    <row r="276" spans="1:8">
      <c r="A276" t="s">
        <v>612</v>
      </c>
      <c r="B276" t="s">
        <v>613</v>
      </c>
      <c r="C276">
        <v>38</v>
      </c>
      <c r="D276" t="s">
        <v>9</v>
      </c>
      <c r="E276" t="s">
        <v>3802</v>
      </c>
      <c r="F276" t="s">
        <v>128</v>
      </c>
      <c r="G276" t="s">
        <v>11</v>
      </c>
      <c r="H276" t="s">
        <v>26</v>
      </c>
    </row>
    <row r="277" spans="1:8">
      <c r="A277" t="s">
        <v>614</v>
      </c>
      <c r="B277" t="s">
        <v>615</v>
      </c>
      <c r="C277">
        <v>22</v>
      </c>
      <c r="D277" t="s">
        <v>9</v>
      </c>
      <c r="E277" t="s">
        <v>3803</v>
      </c>
      <c r="F277" t="s">
        <v>417</v>
      </c>
      <c r="G277" t="s">
        <v>11</v>
      </c>
      <c r="H277" t="s">
        <v>12</v>
      </c>
    </row>
    <row r="278" spans="1:8">
      <c r="A278" t="s">
        <v>616</v>
      </c>
      <c r="B278" t="s">
        <v>617</v>
      </c>
      <c r="C278">
        <v>38</v>
      </c>
      <c r="D278" t="s">
        <v>9</v>
      </c>
      <c r="E278" t="s">
        <v>3804</v>
      </c>
      <c r="F278" t="s">
        <v>137</v>
      </c>
      <c r="G278" t="s">
        <v>11</v>
      </c>
      <c r="H278" t="s">
        <v>12</v>
      </c>
    </row>
    <row r="279" spans="1:8">
      <c r="A279" t="s">
        <v>618</v>
      </c>
      <c r="B279" t="s">
        <v>619</v>
      </c>
      <c r="C279">
        <v>22</v>
      </c>
      <c r="D279" t="s">
        <v>15</v>
      </c>
      <c r="E279" t="s">
        <v>3805</v>
      </c>
      <c r="F279" t="s">
        <v>201</v>
      </c>
      <c r="G279" t="s">
        <v>11</v>
      </c>
      <c r="H279" t="s">
        <v>17</v>
      </c>
    </row>
    <row r="280" spans="1:8">
      <c r="A280" t="s">
        <v>620</v>
      </c>
      <c r="B280" t="s">
        <v>621</v>
      </c>
      <c r="C280">
        <v>42</v>
      </c>
      <c r="D280" t="s">
        <v>15</v>
      </c>
      <c r="E280" t="s">
        <v>3806</v>
      </c>
      <c r="F280" t="s">
        <v>161</v>
      </c>
      <c r="G280" t="s">
        <v>11</v>
      </c>
      <c r="H280" t="s">
        <v>17</v>
      </c>
    </row>
    <row r="281" spans="1:8">
      <c r="A281" t="s">
        <v>622</v>
      </c>
      <c r="B281" t="s">
        <v>623</v>
      </c>
      <c r="C281">
        <v>21</v>
      </c>
      <c r="D281" t="s">
        <v>15</v>
      </c>
      <c r="E281" t="s">
        <v>3807</v>
      </c>
      <c r="F281" t="s">
        <v>21</v>
      </c>
      <c r="G281" t="s">
        <v>11</v>
      </c>
      <c r="H281" t="s">
        <v>22</v>
      </c>
    </row>
    <row r="282" spans="1:8">
      <c r="A282" t="s">
        <v>624</v>
      </c>
      <c r="B282" t="s">
        <v>625</v>
      </c>
      <c r="C282">
        <v>48</v>
      </c>
      <c r="D282" t="s">
        <v>9</v>
      </c>
      <c r="E282" t="s">
        <v>3808</v>
      </c>
      <c r="F282" t="s">
        <v>76</v>
      </c>
      <c r="G282" t="s">
        <v>11</v>
      </c>
      <c r="H282" t="s">
        <v>22</v>
      </c>
    </row>
    <row r="283" spans="1:8">
      <c r="A283" t="s">
        <v>626</v>
      </c>
      <c r="B283" t="s">
        <v>627</v>
      </c>
      <c r="C283">
        <v>59</v>
      </c>
      <c r="D283" t="s">
        <v>9</v>
      </c>
      <c r="E283" t="s">
        <v>3809</v>
      </c>
      <c r="F283" t="s">
        <v>125</v>
      </c>
      <c r="G283" t="s">
        <v>11</v>
      </c>
      <c r="H283" t="s">
        <v>17</v>
      </c>
    </row>
    <row r="284" spans="1:8">
      <c r="A284" t="s">
        <v>628</v>
      </c>
      <c r="B284" t="s">
        <v>629</v>
      </c>
      <c r="C284">
        <v>46</v>
      </c>
      <c r="D284" t="s">
        <v>15</v>
      </c>
      <c r="E284" t="s">
        <v>3810</v>
      </c>
      <c r="F284" t="s">
        <v>68</v>
      </c>
      <c r="G284" t="s">
        <v>11</v>
      </c>
      <c r="H284" t="s">
        <v>12</v>
      </c>
    </row>
    <row r="285" spans="1:8">
      <c r="A285" t="s">
        <v>630</v>
      </c>
      <c r="B285" t="s">
        <v>631</v>
      </c>
      <c r="C285">
        <v>54</v>
      </c>
      <c r="D285" t="s">
        <v>15</v>
      </c>
      <c r="E285" t="s">
        <v>3811</v>
      </c>
      <c r="F285" t="s">
        <v>593</v>
      </c>
      <c r="G285" t="s">
        <v>11</v>
      </c>
      <c r="H285" t="s">
        <v>26</v>
      </c>
    </row>
    <row r="286" spans="1:8">
      <c r="A286" t="s">
        <v>632</v>
      </c>
      <c r="B286" t="s">
        <v>633</v>
      </c>
      <c r="C286">
        <v>54</v>
      </c>
      <c r="D286" t="s">
        <v>9</v>
      </c>
      <c r="E286" t="s">
        <v>3812</v>
      </c>
      <c r="F286" t="s">
        <v>125</v>
      </c>
      <c r="G286" t="s">
        <v>11</v>
      </c>
      <c r="H286" t="s">
        <v>12</v>
      </c>
    </row>
    <row r="287" spans="1:8">
      <c r="A287" t="s">
        <v>634</v>
      </c>
      <c r="B287" t="s">
        <v>635</v>
      </c>
      <c r="C287">
        <v>46</v>
      </c>
      <c r="D287" t="s">
        <v>15</v>
      </c>
      <c r="E287" t="s">
        <v>3813</v>
      </c>
      <c r="F287" t="s">
        <v>504</v>
      </c>
      <c r="G287" t="s">
        <v>11</v>
      </c>
      <c r="H287" t="s">
        <v>26</v>
      </c>
    </row>
    <row r="288" spans="1:8">
      <c r="A288" t="s">
        <v>636</v>
      </c>
      <c r="B288" t="s">
        <v>637</v>
      </c>
      <c r="C288">
        <v>22</v>
      </c>
      <c r="D288" t="s">
        <v>9</v>
      </c>
      <c r="E288" t="s">
        <v>3814</v>
      </c>
      <c r="F288" t="s">
        <v>32</v>
      </c>
      <c r="G288" t="s">
        <v>11</v>
      </c>
      <c r="H288" t="s">
        <v>26</v>
      </c>
    </row>
    <row r="289" spans="1:8">
      <c r="A289" t="s">
        <v>638</v>
      </c>
      <c r="B289" t="s">
        <v>639</v>
      </c>
      <c r="C289">
        <v>22</v>
      </c>
      <c r="D289" t="s">
        <v>15</v>
      </c>
      <c r="E289" t="s">
        <v>3815</v>
      </c>
      <c r="F289" t="s">
        <v>128</v>
      </c>
      <c r="G289" t="s">
        <v>11</v>
      </c>
      <c r="H289" t="s">
        <v>12</v>
      </c>
    </row>
    <row r="290" spans="1:8">
      <c r="A290" t="s">
        <v>640</v>
      </c>
      <c r="B290" t="s">
        <v>641</v>
      </c>
      <c r="C290">
        <v>58</v>
      </c>
      <c r="D290" t="s">
        <v>9</v>
      </c>
      <c r="E290" t="s">
        <v>3816</v>
      </c>
      <c r="F290" t="s">
        <v>125</v>
      </c>
      <c r="G290" t="s">
        <v>11</v>
      </c>
      <c r="H290" t="s">
        <v>12</v>
      </c>
    </row>
    <row r="291" spans="1:8">
      <c r="A291" t="s">
        <v>642</v>
      </c>
      <c r="B291" t="s">
        <v>643</v>
      </c>
      <c r="C291">
        <v>45</v>
      </c>
      <c r="D291" t="s">
        <v>9</v>
      </c>
      <c r="E291" t="s">
        <v>3817</v>
      </c>
      <c r="F291" t="s">
        <v>21</v>
      </c>
      <c r="G291" t="s">
        <v>11</v>
      </c>
      <c r="H291" t="s">
        <v>22</v>
      </c>
    </row>
    <row r="292" spans="1:8">
      <c r="A292" t="s">
        <v>644</v>
      </c>
      <c r="B292" t="s">
        <v>645</v>
      </c>
      <c r="C292">
        <v>52</v>
      </c>
      <c r="D292" t="s">
        <v>15</v>
      </c>
      <c r="E292" t="s">
        <v>3818</v>
      </c>
      <c r="F292" t="s">
        <v>210</v>
      </c>
      <c r="G292" t="s">
        <v>11</v>
      </c>
      <c r="H292" t="s">
        <v>26</v>
      </c>
    </row>
    <row r="293" spans="1:8">
      <c r="A293" t="s">
        <v>646</v>
      </c>
      <c r="B293" t="s">
        <v>647</v>
      </c>
      <c r="C293">
        <v>40</v>
      </c>
      <c r="D293" t="s">
        <v>15</v>
      </c>
      <c r="E293" t="s">
        <v>3819</v>
      </c>
      <c r="F293" t="s">
        <v>86</v>
      </c>
      <c r="G293" t="s">
        <v>11</v>
      </c>
      <c r="H293" t="s">
        <v>22</v>
      </c>
    </row>
    <row r="294" spans="1:8">
      <c r="A294" t="s">
        <v>648</v>
      </c>
      <c r="B294" t="s">
        <v>649</v>
      </c>
      <c r="C294">
        <v>30</v>
      </c>
      <c r="D294" t="s">
        <v>9</v>
      </c>
      <c r="E294" t="s">
        <v>3820</v>
      </c>
      <c r="F294" t="s">
        <v>149</v>
      </c>
      <c r="G294" t="s">
        <v>11</v>
      </c>
      <c r="H294" t="s">
        <v>26</v>
      </c>
    </row>
    <row r="295" spans="1:8">
      <c r="A295" t="s">
        <v>650</v>
      </c>
      <c r="B295" t="s">
        <v>651</v>
      </c>
      <c r="C295">
        <v>56</v>
      </c>
      <c r="D295" t="s">
        <v>15</v>
      </c>
      <c r="E295" t="s">
        <v>3821</v>
      </c>
      <c r="F295" t="s">
        <v>239</v>
      </c>
      <c r="G295" t="s">
        <v>11</v>
      </c>
      <c r="H295" t="s">
        <v>17</v>
      </c>
    </row>
    <row r="296" spans="1:8">
      <c r="A296" t="s">
        <v>652</v>
      </c>
      <c r="B296" t="s">
        <v>653</v>
      </c>
      <c r="C296">
        <v>29</v>
      </c>
      <c r="D296" t="s">
        <v>9</v>
      </c>
      <c r="E296" t="s">
        <v>3705</v>
      </c>
      <c r="F296" t="s">
        <v>52</v>
      </c>
      <c r="G296" t="s">
        <v>11</v>
      </c>
      <c r="H296" t="s">
        <v>17</v>
      </c>
    </row>
    <row r="297" spans="1:8">
      <c r="A297" t="s">
        <v>654</v>
      </c>
      <c r="B297" t="s">
        <v>655</v>
      </c>
      <c r="C297">
        <v>19</v>
      </c>
      <c r="D297" t="s">
        <v>15</v>
      </c>
      <c r="E297" t="s">
        <v>3822</v>
      </c>
      <c r="F297" t="s">
        <v>49</v>
      </c>
      <c r="G297" t="s">
        <v>11</v>
      </c>
      <c r="H297" t="s">
        <v>22</v>
      </c>
    </row>
    <row r="298" spans="1:8">
      <c r="A298" t="s">
        <v>656</v>
      </c>
      <c r="B298" t="s">
        <v>657</v>
      </c>
      <c r="C298">
        <v>28</v>
      </c>
      <c r="D298" t="s">
        <v>15</v>
      </c>
      <c r="E298" t="s">
        <v>3616</v>
      </c>
      <c r="F298" t="s">
        <v>35</v>
      </c>
      <c r="G298" t="s">
        <v>11</v>
      </c>
      <c r="H298" t="s">
        <v>22</v>
      </c>
    </row>
    <row r="299" spans="1:8">
      <c r="A299" t="s">
        <v>658</v>
      </c>
      <c r="B299" t="s">
        <v>659</v>
      </c>
      <c r="C299">
        <v>47</v>
      </c>
      <c r="D299" t="s">
        <v>15</v>
      </c>
      <c r="E299" t="s">
        <v>3823</v>
      </c>
      <c r="F299" t="s">
        <v>86</v>
      </c>
      <c r="G299" t="s">
        <v>11</v>
      </c>
      <c r="H299" t="s">
        <v>26</v>
      </c>
    </row>
    <row r="300" spans="1:8">
      <c r="A300" t="s">
        <v>660</v>
      </c>
      <c r="B300" t="s">
        <v>661</v>
      </c>
      <c r="C300">
        <v>64</v>
      </c>
      <c r="D300" t="s">
        <v>9</v>
      </c>
      <c r="E300" t="s">
        <v>3824</v>
      </c>
      <c r="F300" t="s">
        <v>312</v>
      </c>
      <c r="G300" t="s">
        <v>11</v>
      </c>
      <c r="H300" t="s">
        <v>17</v>
      </c>
    </row>
    <row r="301" spans="1:8">
      <c r="A301" t="s">
        <v>662</v>
      </c>
      <c r="B301" t="s">
        <v>663</v>
      </c>
      <c r="C301">
        <v>48</v>
      </c>
      <c r="D301" t="s">
        <v>15</v>
      </c>
      <c r="E301" t="s">
        <v>3825</v>
      </c>
      <c r="F301" t="s">
        <v>239</v>
      </c>
      <c r="G301" t="s">
        <v>11</v>
      </c>
      <c r="H301" t="s">
        <v>17</v>
      </c>
    </row>
    <row r="302" spans="1:8">
      <c r="A302" t="s">
        <v>664</v>
      </c>
      <c r="B302" t="s">
        <v>665</v>
      </c>
      <c r="C302">
        <v>29</v>
      </c>
      <c r="D302" t="s">
        <v>9</v>
      </c>
      <c r="E302" t="s">
        <v>3826</v>
      </c>
      <c r="F302" t="s">
        <v>29</v>
      </c>
      <c r="G302" t="s">
        <v>11</v>
      </c>
      <c r="H302" t="s">
        <v>26</v>
      </c>
    </row>
    <row r="303" spans="1:8">
      <c r="A303" t="s">
        <v>666</v>
      </c>
      <c r="B303" t="s">
        <v>667</v>
      </c>
      <c r="C303">
        <v>50</v>
      </c>
      <c r="D303" t="s">
        <v>9</v>
      </c>
      <c r="E303" t="s">
        <v>3827</v>
      </c>
      <c r="F303" t="s">
        <v>210</v>
      </c>
      <c r="G303" t="s">
        <v>11</v>
      </c>
      <c r="H303" t="s">
        <v>12</v>
      </c>
    </row>
    <row r="304" spans="1:8">
      <c r="A304" t="s">
        <v>668</v>
      </c>
      <c r="B304" t="s">
        <v>669</v>
      </c>
      <c r="C304">
        <v>36</v>
      </c>
      <c r="D304" t="s">
        <v>9</v>
      </c>
      <c r="E304" t="s">
        <v>3828</v>
      </c>
      <c r="F304" t="s">
        <v>101</v>
      </c>
      <c r="G304" t="s">
        <v>11</v>
      </c>
      <c r="H304" t="s">
        <v>12</v>
      </c>
    </row>
    <row r="305" spans="1:8">
      <c r="A305" t="s">
        <v>670</v>
      </c>
      <c r="B305" t="s">
        <v>671</v>
      </c>
      <c r="C305">
        <v>23</v>
      </c>
      <c r="D305" t="s">
        <v>15</v>
      </c>
      <c r="E305" t="s">
        <v>3829</v>
      </c>
      <c r="F305" t="s">
        <v>71</v>
      </c>
      <c r="G305" t="s">
        <v>11</v>
      </c>
      <c r="H305" t="s">
        <v>17</v>
      </c>
    </row>
    <row r="306" spans="1:8">
      <c r="A306" t="s">
        <v>672</v>
      </c>
      <c r="B306" t="s">
        <v>673</v>
      </c>
      <c r="C306">
        <v>41</v>
      </c>
      <c r="D306" t="s">
        <v>9</v>
      </c>
      <c r="E306" t="s">
        <v>3830</v>
      </c>
      <c r="F306" t="s">
        <v>49</v>
      </c>
      <c r="G306" t="s">
        <v>11</v>
      </c>
      <c r="H306" t="s">
        <v>26</v>
      </c>
    </row>
    <row r="307" spans="1:8">
      <c r="A307" t="s">
        <v>674</v>
      </c>
      <c r="B307" t="s">
        <v>675</v>
      </c>
      <c r="C307">
        <v>64</v>
      </c>
      <c r="D307" t="s">
        <v>9</v>
      </c>
      <c r="E307" t="s">
        <v>3831</v>
      </c>
      <c r="F307" t="s">
        <v>58</v>
      </c>
      <c r="G307" t="s">
        <v>11</v>
      </c>
      <c r="H307" t="s">
        <v>17</v>
      </c>
    </row>
    <row r="308" spans="1:8">
      <c r="A308" t="s">
        <v>676</v>
      </c>
      <c r="B308" t="s">
        <v>677</v>
      </c>
      <c r="C308">
        <v>44</v>
      </c>
      <c r="D308" t="s">
        <v>9</v>
      </c>
      <c r="E308" t="s">
        <v>3832</v>
      </c>
      <c r="F308" t="s">
        <v>175</v>
      </c>
      <c r="G308" t="s">
        <v>11</v>
      </c>
      <c r="H308" t="s">
        <v>17</v>
      </c>
    </row>
    <row r="309" spans="1:8">
      <c r="A309" t="s">
        <v>678</v>
      </c>
      <c r="B309" t="s">
        <v>679</v>
      </c>
      <c r="C309">
        <v>56</v>
      </c>
      <c r="D309" t="s">
        <v>15</v>
      </c>
      <c r="E309" t="s">
        <v>3833</v>
      </c>
      <c r="F309" t="s">
        <v>19</v>
      </c>
      <c r="G309" t="s">
        <v>11</v>
      </c>
      <c r="H309" t="s">
        <v>22</v>
      </c>
    </row>
    <row r="310" spans="1:8">
      <c r="A310" t="s">
        <v>680</v>
      </c>
      <c r="B310" t="s">
        <v>681</v>
      </c>
      <c r="C310">
        <v>60</v>
      </c>
      <c r="D310" t="s">
        <v>15</v>
      </c>
      <c r="E310" t="s">
        <v>3834</v>
      </c>
      <c r="F310" t="s">
        <v>196</v>
      </c>
      <c r="G310" t="s">
        <v>11</v>
      </c>
      <c r="H310" t="s">
        <v>12</v>
      </c>
    </row>
    <row r="311" spans="1:8">
      <c r="A311" t="s">
        <v>682</v>
      </c>
      <c r="B311" t="s">
        <v>683</v>
      </c>
      <c r="C311">
        <v>41</v>
      </c>
      <c r="D311" t="s">
        <v>15</v>
      </c>
      <c r="E311" t="s">
        <v>3835</v>
      </c>
      <c r="F311" t="s">
        <v>25</v>
      </c>
      <c r="G311" t="s">
        <v>11</v>
      </c>
      <c r="H311" t="s">
        <v>22</v>
      </c>
    </row>
    <row r="312" spans="1:8">
      <c r="A312" t="s">
        <v>684</v>
      </c>
      <c r="B312" t="s">
        <v>685</v>
      </c>
      <c r="C312">
        <v>20</v>
      </c>
      <c r="D312" t="s">
        <v>9</v>
      </c>
      <c r="E312" t="s">
        <v>3836</v>
      </c>
      <c r="F312" t="s">
        <v>128</v>
      </c>
      <c r="G312" t="s">
        <v>11</v>
      </c>
      <c r="H312" t="s">
        <v>26</v>
      </c>
    </row>
    <row r="313" spans="1:8">
      <c r="A313" t="s">
        <v>686</v>
      </c>
      <c r="B313" t="s">
        <v>687</v>
      </c>
      <c r="C313">
        <v>35</v>
      </c>
      <c r="D313" t="s">
        <v>9</v>
      </c>
      <c r="E313" t="s">
        <v>3837</v>
      </c>
      <c r="F313" t="s">
        <v>29</v>
      </c>
      <c r="G313" t="s">
        <v>11</v>
      </c>
      <c r="H313" t="s">
        <v>17</v>
      </c>
    </row>
    <row r="314" spans="1:8">
      <c r="A314" t="s">
        <v>688</v>
      </c>
      <c r="B314" t="s">
        <v>689</v>
      </c>
      <c r="C314">
        <v>47</v>
      </c>
      <c r="D314" t="s">
        <v>15</v>
      </c>
      <c r="E314" t="s">
        <v>3838</v>
      </c>
      <c r="F314" t="s">
        <v>71</v>
      </c>
      <c r="G314" t="s">
        <v>11</v>
      </c>
      <c r="H314" t="s">
        <v>26</v>
      </c>
    </row>
    <row r="315" spans="1:8">
      <c r="A315" t="s">
        <v>690</v>
      </c>
      <c r="B315" t="s">
        <v>691</v>
      </c>
      <c r="C315">
        <v>62</v>
      </c>
      <c r="D315" t="s">
        <v>9</v>
      </c>
      <c r="E315" t="s">
        <v>3839</v>
      </c>
      <c r="F315" t="s">
        <v>106</v>
      </c>
      <c r="G315" t="s">
        <v>11</v>
      </c>
      <c r="H315" t="s">
        <v>17</v>
      </c>
    </row>
    <row r="316" spans="1:8">
      <c r="A316" t="s">
        <v>692</v>
      </c>
      <c r="B316" t="s">
        <v>693</v>
      </c>
      <c r="C316">
        <v>53</v>
      </c>
      <c r="D316" t="s">
        <v>15</v>
      </c>
      <c r="E316" t="s">
        <v>3840</v>
      </c>
      <c r="F316" t="s">
        <v>58</v>
      </c>
      <c r="G316" t="s">
        <v>11</v>
      </c>
      <c r="H316" t="s">
        <v>26</v>
      </c>
    </row>
    <row r="317" spans="1:8">
      <c r="A317" t="s">
        <v>694</v>
      </c>
      <c r="B317" t="s">
        <v>695</v>
      </c>
      <c r="C317">
        <v>49</v>
      </c>
      <c r="D317" t="s">
        <v>9</v>
      </c>
      <c r="E317" t="s">
        <v>3841</v>
      </c>
      <c r="F317" t="s">
        <v>504</v>
      </c>
      <c r="G317" t="s">
        <v>11</v>
      </c>
      <c r="H317" t="s">
        <v>26</v>
      </c>
    </row>
    <row r="318" spans="1:8">
      <c r="A318" t="s">
        <v>696</v>
      </c>
      <c r="B318" t="s">
        <v>697</v>
      </c>
      <c r="C318">
        <v>34</v>
      </c>
      <c r="D318" t="s">
        <v>9</v>
      </c>
      <c r="E318" t="s">
        <v>3842</v>
      </c>
      <c r="F318" t="s">
        <v>106</v>
      </c>
      <c r="G318" t="s">
        <v>11</v>
      </c>
      <c r="H318" t="s">
        <v>12</v>
      </c>
    </row>
    <row r="319" spans="1:8">
      <c r="A319" t="s">
        <v>698</v>
      </c>
      <c r="B319" t="s">
        <v>699</v>
      </c>
      <c r="C319">
        <v>64</v>
      </c>
      <c r="D319" t="s">
        <v>15</v>
      </c>
      <c r="E319" t="s">
        <v>3843</v>
      </c>
      <c r="F319" t="s">
        <v>38</v>
      </c>
      <c r="G319" t="s">
        <v>11</v>
      </c>
      <c r="H319" t="s">
        <v>12</v>
      </c>
    </row>
    <row r="320" spans="1:8">
      <c r="A320" t="s">
        <v>700</v>
      </c>
      <c r="B320" t="s">
        <v>701</v>
      </c>
      <c r="C320">
        <v>25</v>
      </c>
      <c r="D320" t="s">
        <v>9</v>
      </c>
      <c r="E320" t="s">
        <v>3844</v>
      </c>
      <c r="F320" t="s">
        <v>49</v>
      </c>
      <c r="G320" t="s">
        <v>11</v>
      </c>
      <c r="H320" t="s">
        <v>17</v>
      </c>
    </row>
    <row r="321" spans="1:8">
      <c r="A321" t="s">
        <v>702</v>
      </c>
      <c r="B321" t="s">
        <v>703</v>
      </c>
      <c r="C321">
        <v>54</v>
      </c>
      <c r="D321" t="s">
        <v>9</v>
      </c>
      <c r="E321" t="s">
        <v>3845</v>
      </c>
      <c r="F321" t="s">
        <v>228</v>
      </c>
      <c r="G321" t="s">
        <v>11</v>
      </c>
      <c r="H321" t="s">
        <v>17</v>
      </c>
    </row>
    <row r="322" spans="1:8">
      <c r="A322" t="s">
        <v>704</v>
      </c>
      <c r="B322" t="s">
        <v>705</v>
      </c>
      <c r="C322">
        <v>34</v>
      </c>
      <c r="D322" t="s">
        <v>15</v>
      </c>
      <c r="E322" t="s">
        <v>3846</v>
      </c>
      <c r="F322" t="s">
        <v>196</v>
      </c>
      <c r="G322" t="s">
        <v>11</v>
      </c>
      <c r="H322" t="s">
        <v>22</v>
      </c>
    </row>
    <row r="323" spans="1:8">
      <c r="A323" t="s">
        <v>706</v>
      </c>
      <c r="B323" t="s">
        <v>707</v>
      </c>
      <c r="C323">
        <v>21</v>
      </c>
      <c r="D323" t="s">
        <v>15</v>
      </c>
      <c r="E323" t="s">
        <v>3847</v>
      </c>
      <c r="F323" t="s">
        <v>175</v>
      </c>
      <c r="G323" t="s">
        <v>11</v>
      </c>
      <c r="H323" t="s">
        <v>22</v>
      </c>
    </row>
    <row r="324" spans="1:8">
      <c r="A324" t="s">
        <v>708</v>
      </c>
      <c r="B324" t="s">
        <v>709</v>
      </c>
      <c r="C324">
        <v>54</v>
      </c>
      <c r="D324" t="s">
        <v>9</v>
      </c>
      <c r="E324" t="s">
        <v>3848</v>
      </c>
      <c r="F324" t="s">
        <v>593</v>
      </c>
      <c r="G324" t="s">
        <v>11</v>
      </c>
      <c r="H324" t="s">
        <v>22</v>
      </c>
    </row>
    <row r="325" spans="1:8">
      <c r="A325" t="s">
        <v>710</v>
      </c>
      <c r="B325" t="s">
        <v>711</v>
      </c>
      <c r="C325">
        <v>64</v>
      </c>
      <c r="D325" t="s">
        <v>15</v>
      </c>
      <c r="E325" t="s">
        <v>3849</v>
      </c>
      <c r="F325" t="s">
        <v>10</v>
      </c>
      <c r="G325" t="s">
        <v>11</v>
      </c>
      <c r="H325" t="s">
        <v>17</v>
      </c>
    </row>
    <row r="326" spans="1:8">
      <c r="A326" t="s">
        <v>712</v>
      </c>
      <c r="B326" t="s">
        <v>713</v>
      </c>
      <c r="C326">
        <v>58</v>
      </c>
      <c r="D326" t="s">
        <v>9</v>
      </c>
      <c r="E326" t="s">
        <v>3850</v>
      </c>
      <c r="F326" t="s">
        <v>74</v>
      </c>
      <c r="G326" t="s">
        <v>11</v>
      </c>
      <c r="H326" t="s">
        <v>22</v>
      </c>
    </row>
    <row r="327" spans="1:8">
      <c r="A327" t="s">
        <v>714</v>
      </c>
      <c r="B327" t="s">
        <v>715</v>
      </c>
      <c r="C327">
        <v>60</v>
      </c>
      <c r="D327" t="s">
        <v>9</v>
      </c>
      <c r="E327" t="s">
        <v>3851</v>
      </c>
      <c r="F327" t="s">
        <v>236</v>
      </c>
      <c r="G327" t="s">
        <v>11</v>
      </c>
      <c r="H327" t="s">
        <v>22</v>
      </c>
    </row>
    <row r="328" spans="1:8">
      <c r="A328" t="s">
        <v>716</v>
      </c>
      <c r="B328" t="s">
        <v>717</v>
      </c>
      <c r="C328">
        <v>58</v>
      </c>
      <c r="D328" t="s">
        <v>15</v>
      </c>
      <c r="E328" t="s">
        <v>3852</v>
      </c>
      <c r="F328" t="s">
        <v>161</v>
      </c>
      <c r="G328" t="s">
        <v>11</v>
      </c>
      <c r="H328" t="s">
        <v>12</v>
      </c>
    </row>
    <row r="329" spans="1:8">
      <c r="A329" t="s">
        <v>718</v>
      </c>
      <c r="B329" t="s">
        <v>719</v>
      </c>
      <c r="C329">
        <v>62</v>
      </c>
      <c r="D329" t="s">
        <v>15</v>
      </c>
      <c r="E329" t="s">
        <v>3853</v>
      </c>
      <c r="F329" t="s">
        <v>46</v>
      </c>
      <c r="G329" t="s">
        <v>11</v>
      </c>
      <c r="H329" t="s">
        <v>22</v>
      </c>
    </row>
    <row r="330" spans="1:8">
      <c r="A330" t="s">
        <v>720</v>
      </c>
      <c r="B330" t="s">
        <v>721</v>
      </c>
      <c r="C330">
        <v>46</v>
      </c>
      <c r="D330" t="s">
        <v>9</v>
      </c>
      <c r="E330" t="s">
        <v>3854</v>
      </c>
      <c r="F330" t="s">
        <v>149</v>
      </c>
      <c r="G330" t="s">
        <v>11</v>
      </c>
      <c r="H330" t="s">
        <v>17</v>
      </c>
    </row>
    <row r="331" spans="1:8">
      <c r="A331" t="s">
        <v>722</v>
      </c>
      <c r="B331" t="s">
        <v>723</v>
      </c>
      <c r="C331">
        <v>62</v>
      </c>
      <c r="D331" t="s">
        <v>15</v>
      </c>
      <c r="E331" t="s">
        <v>3855</v>
      </c>
      <c r="F331" t="s">
        <v>149</v>
      </c>
      <c r="G331" t="s">
        <v>11</v>
      </c>
      <c r="H331" t="s">
        <v>22</v>
      </c>
    </row>
    <row r="332" spans="1:8">
      <c r="A332" t="s">
        <v>724</v>
      </c>
      <c r="B332" t="s">
        <v>725</v>
      </c>
      <c r="C332">
        <v>54</v>
      </c>
      <c r="D332" t="s">
        <v>9</v>
      </c>
      <c r="E332" t="s">
        <v>3856</v>
      </c>
      <c r="F332" t="s">
        <v>144</v>
      </c>
      <c r="G332" t="s">
        <v>11</v>
      </c>
      <c r="H332" t="s">
        <v>17</v>
      </c>
    </row>
    <row r="333" spans="1:8">
      <c r="A333" t="s">
        <v>726</v>
      </c>
      <c r="B333" t="s">
        <v>727</v>
      </c>
      <c r="C333">
        <v>38</v>
      </c>
      <c r="D333" t="s">
        <v>15</v>
      </c>
      <c r="E333" t="s">
        <v>3857</v>
      </c>
      <c r="F333" t="s">
        <v>52</v>
      </c>
      <c r="G333" t="s">
        <v>11</v>
      </c>
      <c r="H333" t="s">
        <v>22</v>
      </c>
    </row>
    <row r="334" spans="1:8">
      <c r="A334" t="s">
        <v>728</v>
      </c>
      <c r="B334" t="s">
        <v>729</v>
      </c>
      <c r="C334">
        <v>34</v>
      </c>
      <c r="D334" t="s">
        <v>15</v>
      </c>
      <c r="E334" t="s">
        <v>3858</v>
      </c>
      <c r="F334" t="s">
        <v>76</v>
      </c>
      <c r="G334" t="s">
        <v>11</v>
      </c>
      <c r="H334" t="s">
        <v>22</v>
      </c>
    </row>
    <row r="335" spans="1:8">
      <c r="A335" t="s">
        <v>730</v>
      </c>
      <c r="B335" t="s">
        <v>731</v>
      </c>
      <c r="C335">
        <v>64</v>
      </c>
      <c r="D335" t="s">
        <v>15</v>
      </c>
      <c r="E335" t="s">
        <v>3859</v>
      </c>
      <c r="F335" t="s">
        <v>63</v>
      </c>
      <c r="G335" t="s">
        <v>11</v>
      </c>
      <c r="H335" t="s">
        <v>12</v>
      </c>
    </row>
    <row r="336" spans="1:8">
      <c r="A336" t="s">
        <v>732</v>
      </c>
      <c r="B336" t="s">
        <v>733</v>
      </c>
      <c r="C336">
        <v>50</v>
      </c>
      <c r="D336" t="s">
        <v>15</v>
      </c>
      <c r="E336" t="s">
        <v>3860</v>
      </c>
      <c r="F336" t="s">
        <v>125</v>
      </c>
      <c r="G336" t="s">
        <v>11</v>
      </c>
      <c r="H336" t="s">
        <v>26</v>
      </c>
    </row>
    <row r="337" spans="1:8">
      <c r="A337" t="s">
        <v>734</v>
      </c>
      <c r="B337" t="s">
        <v>735</v>
      </c>
      <c r="C337">
        <v>37</v>
      </c>
      <c r="D337" t="s">
        <v>9</v>
      </c>
      <c r="E337" t="s">
        <v>3861</v>
      </c>
      <c r="F337" t="s">
        <v>10</v>
      </c>
      <c r="G337" t="s">
        <v>11</v>
      </c>
      <c r="H337" t="s">
        <v>17</v>
      </c>
    </row>
    <row r="338" spans="1:8">
      <c r="A338" t="s">
        <v>736</v>
      </c>
      <c r="B338" t="s">
        <v>737</v>
      </c>
      <c r="C338">
        <v>58</v>
      </c>
      <c r="D338" t="s">
        <v>15</v>
      </c>
      <c r="E338" t="s">
        <v>3862</v>
      </c>
      <c r="F338" t="s">
        <v>29</v>
      </c>
      <c r="G338" t="s">
        <v>11</v>
      </c>
      <c r="H338" t="s">
        <v>26</v>
      </c>
    </row>
    <row r="339" spans="1:8">
      <c r="A339" t="s">
        <v>738</v>
      </c>
      <c r="B339" t="s">
        <v>739</v>
      </c>
      <c r="C339">
        <v>40</v>
      </c>
      <c r="D339" t="s">
        <v>15</v>
      </c>
      <c r="E339" t="s">
        <v>3863</v>
      </c>
      <c r="F339" t="s">
        <v>10</v>
      </c>
      <c r="G339" t="s">
        <v>11</v>
      </c>
      <c r="H339" t="s">
        <v>22</v>
      </c>
    </row>
    <row r="340" spans="1:8">
      <c r="A340" t="s">
        <v>740</v>
      </c>
      <c r="B340" t="s">
        <v>741</v>
      </c>
      <c r="C340">
        <v>46</v>
      </c>
      <c r="D340" t="s">
        <v>15</v>
      </c>
      <c r="E340" t="s">
        <v>3864</v>
      </c>
      <c r="F340" t="s">
        <v>125</v>
      </c>
      <c r="G340" t="s">
        <v>11</v>
      </c>
      <c r="H340" t="s">
        <v>26</v>
      </c>
    </row>
    <row r="341" spans="1:8">
      <c r="A341" t="s">
        <v>742</v>
      </c>
      <c r="B341" t="s">
        <v>743</v>
      </c>
      <c r="C341">
        <v>52</v>
      </c>
      <c r="D341" t="s">
        <v>15</v>
      </c>
      <c r="E341" t="s">
        <v>3865</v>
      </c>
      <c r="F341" t="s">
        <v>101</v>
      </c>
      <c r="G341" t="s">
        <v>11</v>
      </c>
      <c r="H341" t="s">
        <v>17</v>
      </c>
    </row>
    <row r="342" spans="1:8">
      <c r="A342" t="s">
        <v>744</v>
      </c>
      <c r="B342" t="s">
        <v>745</v>
      </c>
      <c r="C342">
        <v>27</v>
      </c>
      <c r="D342" t="s">
        <v>9</v>
      </c>
      <c r="E342" t="s">
        <v>3866</v>
      </c>
      <c r="F342" t="s">
        <v>201</v>
      </c>
      <c r="G342" t="s">
        <v>11</v>
      </c>
      <c r="H342" t="s">
        <v>22</v>
      </c>
    </row>
    <row r="343" spans="1:8">
      <c r="A343" t="s">
        <v>746</v>
      </c>
      <c r="B343" t="s">
        <v>747</v>
      </c>
      <c r="C343">
        <v>56</v>
      </c>
      <c r="D343" t="s">
        <v>15</v>
      </c>
      <c r="E343" t="s">
        <v>3867</v>
      </c>
      <c r="F343" t="s">
        <v>144</v>
      </c>
      <c r="G343" t="s">
        <v>11</v>
      </c>
      <c r="H343" t="s">
        <v>22</v>
      </c>
    </row>
    <row r="344" spans="1:8">
      <c r="A344" t="s">
        <v>748</v>
      </c>
      <c r="B344" t="s">
        <v>749</v>
      </c>
      <c r="C344">
        <v>30</v>
      </c>
      <c r="D344" t="s">
        <v>15</v>
      </c>
      <c r="E344" t="s">
        <v>3868</v>
      </c>
      <c r="F344" t="s">
        <v>125</v>
      </c>
      <c r="G344" t="s">
        <v>11</v>
      </c>
      <c r="H344" t="s">
        <v>22</v>
      </c>
    </row>
    <row r="345" spans="1:8">
      <c r="A345" t="s">
        <v>750</v>
      </c>
      <c r="B345" t="s">
        <v>751</v>
      </c>
      <c r="C345">
        <v>38</v>
      </c>
      <c r="D345" t="s">
        <v>9</v>
      </c>
      <c r="E345" t="s">
        <v>3869</v>
      </c>
      <c r="F345" t="s">
        <v>210</v>
      </c>
      <c r="G345" t="s">
        <v>11</v>
      </c>
      <c r="H345" t="s">
        <v>22</v>
      </c>
    </row>
    <row r="346" spans="1:8">
      <c r="A346" t="s">
        <v>752</v>
      </c>
      <c r="B346" t="s">
        <v>753</v>
      </c>
      <c r="C346">
        <v>39</v>
      </c>
      <c r="D346" t="s">
        <v>9</v>
      </c>
      <c r="E346" t="s">
        <v>3870</v>
      </c>
      <c r="F346" t="s">
        <v>172</v>
      </c>
      <c r="G346" t="s">
        <v>11</v>
      </c>
      <c r="H346" t="s">
        <v>12</v>
      </c>
    </row>
    <row r="347" spans="1:8">
      <c r="A347" t="s">
        <v>754</v>
      </c>
      <c r="B347" t="s">
        <v>755</v>
      </c>
      <c r="C347">
        <v>33</v>
      </c>
      <c r="D347" t="s">
        <v>9</v>
      </c>
      <c r="E347" t="s">
        <v>3871</v>
      </c>
      <c r="F347" t="s">
        <v>74</v>
      </c>
      <c r="G347" t="s">
        <v>11</v>
      </c>
      <c r="H347" t="s">
        <v>22</v>
      </c>
    </row>
    <row r="348" spans="1:8">
      <c r="A348" t="s">
        <v>756</v>
      </c>
      <c r="B348" t="s">
        <v>757</v>
      </c>
      <c r="C348">
        <v>58</v>
      </c>
      <c r="D348" t="s">
        <v>15</v>
      </c>
      <c r="E348" t="s">
        <v>3872</v>
      </c>
      <c r="F348" t="s">
        <v>175</v>
      </c>
      <c r="G348" t="s">
        <v>11</v>
      </c>
      <c r="H348" t="s">
        <v>17</v>
      </c>
    </row>
    <row r="349" spans="1:8">
      <c r="A349" t="s">
        <v>758</v>
      </c>
      <c r="B349" t="s">
        <v>759</v>
      </c>
      <c r="C349">
        <v>39</v>
      </c>
      <c r="D349" t="s">
        <v>15</v>
      </c>
      <c r="E349" t="s">
        <v>3873</v>
      </c>
      <c r="F349" t="s">
        <v>125</v>
      </c>
      <c r="G349" t="s">
        <v>11</v>
      </c>
      <c r="H349" t="s">
        <v>12</v>
      </c>
    </row>
    <row r="350" spans="1:8">
      <c r="A350" t="s">
        <v>760</v>
      </c>
      <c r="B350" t="s">
        <v>761</v>
      </c>
      <c r="C350">
        <v>55</v>
      </c>
      <c r="D350" t="s">
        <v>9</v>
      </c>
      <c r="E350" t="s">
        <v>3874</v>
      </c>
      <c r="F350" t="s">
        <v>41</v>
      </c>
      <c r="G350" t="s">
        <v>11</v>
      </c>
      <c r="H350" t="s">
        <v>26</v>
      </c>
    </row>
    <row r="351" spans="1:8">
      <c r="A351" t="s">
        <v>762</v>
      </c>
      <c r="B351" t="s">
        <v>763</v>
      </c>
      <c r="C351">
        <v>31</v>
      </c>
      <c r="D351" t="s">
        <v>9</v>
      </c>
      <c r="E351" t="s">
        <v>3875</v>
      </c>
      <c r="F351" t="s">
        <v>122</v>
      </c>
      <c r="G351" t="s">
        <v>11</v>
      </c>
      <c r="H351" t="s">
        <v>22</v>
      </c>
    </row>
    <row r="352" spans="1:8">
      <c r="A352" t="s">
        <v>764</v>
      </c>
      <c r="B352" t="s">
        <v>765</v>
      </c>
      <c r="C352">
        <v>26</v>
      </c>
      <c r="D352" t="s">
        <v>9</v>
      </c>
      <c r="E352" t="s">
        <v>3876</v>
      </c>
      <c r="F352" t="s">
        <v>196</v>
      </c>
      <c r="G352" t="s">
        <v>11</v>
      </c>
      <c r="H352" t="s">
        <v>26</v>
      </c>
    </row>
    <row r="353" spans="1:8">
      <c r="A353" t="s">
        <v>766</v>
      </c>
      <c r="B353" t="s">
        <v>767</v>
      </c>
      <c r="C353">
        <v>25</v>
      </c>
      <c r="D353" t="s">
        <v>15</v>
      </c>
      <c r="E353" t="s">
        <v>3877</v>
      </c>
      <c r="F353" t="s">
        <v>55</v>
      </c>
      <c r="G353" t="s">
        <v>11</v>
      </c>
      <c r="H353" t="s">
        <v>22</v>
      </c>
    </row>
    <row r="354" spans="1:8">
      <c r="A354" t="s">
        <v>768</v>
      </c>
      <c r="B354" t="s">
        <v>769</v>
      </c>
      <c r="C354">
        <v>52</v>
      </c>
      <c r="D354" t="s">
        <v>15</v>
      </c>
      <c r="E354" t="s">
        <v>3878</v>
      </c>
      <c r="F354" t="s">
        <v>236</v>
      </c>
      <c r="G354" t="s">
        <v>11</v>
      </c>
      <c r="H354" t="s">
        <v>26</v>
      </c>
    </row>
    <row r="355" spans="1:8">
      <c r="A355" t="s">
        <v>770</v>
      </c>
      <c r="B355" t="s">
        <v>3357</v>
      </c>
      <c r="C355">
        <v>56</v>
      </c>
      <c r="D355" t="s">
        <v>15</v>
      </c>
      <c r="E355" t="s">
        <v>3879</v>
      </c>
      <c r="F355" t="s">
        <v>29</v>
      </c>
      <c r="G355" t="s">
        <v>11</v>
      </c>
      <c r="H355" t="s">
        <v>17</v>
      </c>
    </row>
    <row r="356" spans="1:8">
      <c r="A356" t="s">
        <v>771</v>
      </c>
      <c r="B356" t="s">
        <v>772</v>
      </c>
      <c r="C356">
        <v>38</v>
      </c>
      <c r="D356" t="s">
        <v>9</v>
      </c>
      <c r="E356" t="s">
        <v>3880</v>
      </c>
      <c r="F356" t="s">
        <v>125</v>
      </c>
      <c r="G356" t="s">
        <v>11</v>
      </c>
      <c r="H356" t="s">
        <v>26</v>
      </c>
    </row>
    <row r="357" spans="1:8">
      <c r="A357" t="s">
        <v>773</v>
      </c>
      <c r="B357" t="s">
        <v>774</v>
      </c>
      <c r="C357">
        <v>20</v>
      </c>
      <c r="D357" t="s">
        <v>9</v>
      </c>
      <c r="E357" t="s">
        <v>3881</v>
      </c>
      <c r="F357" t="s">
        <v>58</v>
      </c>
      <c r="G357" t="s">
        <v>11</v>
      </c>
      <c r="H357" t="s">
        <v>12</v>
      </c>
    </row>
    <row r="358" spans="1:8">
      <c r="A358" t="s">
        <v>775</v>
      </c>
      <c r="B358" t="s">
        <v>776</v>
      </c>
      <c r="C358">
        <v>54</v>
      </c>
      <c r="D358" t="s">
        <v>9</v>
      </c>
      <c r="E358" t="s">
        <v>3882</v>
      </c>
      <c r="F358" t="s">
        <v>210</v>
      </c>
      <c r="G358" t="s">
        <v>11</v>
      </c>
      <c r="H358" t="s">
        <v>22</v>
      </c>
    </row>
    <row r="359" spans="1:8">
      <c r="A359" t="s">
        <v>777</v>
      </c>
      <c r="B359" t="s">
        <v>778</v>
      </c>
      <c r="C359">
        <v>41</v>
      </c>
      <c r="D359" t="s">
        <v>9</v>
      </c>
      <c r="E359" t="s">
        <v>3883</v>
      </c>
      <c r="F359" t="s">
        <v>175</v>
      </c>
      <c r="G359" t="s">
        <v>11</v>
      </c>
      <c r="H359" t="s">
        <v>12</v>
      </c>
    </row>
    <row r="360" spans="1:8">
      <c r="A360" t="s">
        <v>779</v>
      </c>
      <c r="B360" t="s">
        <v>780</v>
      </c>
      <c r="C360">
        <v>60</v>
      </c>
      <c r="D360" t="s">
        <v>15</v>
      </c>
      <c r="E360" t="s">
        <v>3884</v>
      </c>
      <c r="F360" t="s">
        <v>228</v>
      </c>
      <c r="G360" t="s">
        <v>11</v>
      </c>
      <c r="H360" t="s">
        <v>12</v>
      </c>
    </row>
    <row r="361" spans="1:8">
      <c r="A361" t="s">
        <v>781</v>
      </c>
      <c r="B361" t="s">
        <v>782</v>
      </c>
      <c r="C361">
        <v>32</v>
      </c>
      <c r="D361" t="s">
        <v>9</v>
      </c>
      <c r="E361" t="s">
        <v>3885</v>
      </c>
      <c r="F361" t="s">
        <v>49</v>
      </c>
      <c r="G361" t="s">
        <v>11</v>
      </c>
      <c r="H361" t="s">
        <v>26</v>
      </c>
    </row>
    <row r="362" spans="1:8">
      <c r="A362" t="s">
        <v>783</v>
      </c>
      <c r="B362" t="s">
        <v>784</v>
      </c>
      <c r="C362">
        <v>34</v>
      </c>
      <c r="D362" t="s">
        <v>9</v>
      </c>
      <c r="E362" t="s">
        <v>3886</v>
      </c>
      <c r="F362" t="s">
        <v>213</v>
      </c>
      <c r="G362" t="s">
        <v>11</v>
      </c>
      <c r="H362" t="s">
        <v>17</v>
      </c>
    </row>
    <row r="363" spans="1:8">
      <c r="A363" t="s">
        <v>785</v>
      </c>
      <c r="B363" t="s">
        <v>786</v>
      </c>
      <c r="C363">
        <v>64</v>
      </c>
      <c r="D363" t="s">
        <v>9</v>
      </c>
      <c r="E363" t="s">
        <v>3887</v>
      </c>
      <c r="F363" t="s">
        <v>187</v>
      </c>
      <c r="G363" t="s">
        <v>11</v>
      </c>
      <c r="H363" t="s">
        <v>17</v>
      </c>
    </row>
    <row r="364" spans="1:8">
      <c r="A364" t="s">
        <v>787</v>
      </c>
      <c r="B364" t="s">
        <v>788</v>
      </c>
      <c r="C364">
        <v>60</v>
      </c>
      <c r="D364" t="s">
        <v>9</v>
      </c>
      <c r="E364" t="s">
        <v>3888</v>
      </c>
      <c r="F364" t="s">
        <v>122</v>
      </c>
      <c r="G364" t="s">
        <v>11</v>
      </c>
      <c r="H364" t="s">
        <v>12</v>
      </c>
    </row>
    <row r="365" spans="1:8">
      <c r="A365" t="s">
        <v>789</v>
      </c>
      <c r="B365" t="s">
        <v>790</v>
      </c>
      <c r="C365">
        <v>23</v>
      </c>
      <c r="D365" t="s">
        <v>9</v>
      </c>
      <c r="E365" t="s">
        <v>3889</v>
      </c>
      <c r="F365" t="s">
        <v>21</v>
      </c>
      <c r="G365" t="s">
        <v>11</v>
      </c>
      <c r="H365" t="s">
        <v>22</v>
      </c>
    </row>
    <row r="366" spans="1:8">
      <c r="A366" t="s">
        <v>791</v>
      </c>
      <c r="B366" t="s">
        <v>792</v>
      </c>
      <c r="C366">
        <v>58</v>
      </c>
      <c r="D366" t="s">
        <v>9</v>
      </c>
      <c r="E366" t="s">
        <v>3890</v>
      </c>
      <c r="F366" t="s">
        <v>101</v>
      </c>
      <c r="G366" t="s">
        <v>11</v>
      </c>
      <c r="H366" t="s">
        <v>22</v>
      </c>
    </row>
    <row r="367" spans="1:8">
      <c r="A367" t="s">
        <v>793</v>
      </c>
      <c r="B367" t="s">
        <v>794</v>
      </c>
      <c r="C367">
        <v>63</v>
      </c>
      <c r="D367" t="s">
        <v>15</v>
      </c>
      <c r="E367" t="s">
        <v>3891</v>
      </c>
      <c r="F367" t="s">
        <v>122</v>
      </c>
      <c r="G367" t="s">
        <v>11</v>
      </c>
      <c r="H367" t="s">
        <v>17</v>
      </c>
    </row>
    <row r="368" spans="1:8">
      <c r="A368" t="s">
        <v>795</v>
      </c>
      <c r="B368" t="s">
        <v>796</v>
      </c>
      <c r="C368">
        <v>40</v>
      </c>
      <c r="D368" t="s">
        <v>15</v>
      </c>
      <c r="E368" t="s">
        <v>3892</v>
      </c>
      <c r="F368" t="s">
        <v>19</v>
      </c>
      <c r="G368" t="s">
        <v>11</v>
      </c>
      <c r="H368" t="s">
        <v>17</v>
      </c>
    </row>
    <row r="369" spans="1:8">
      <c r="A369" t="s">
        <v>797</v>
      </c>
      <c r="B369" t="s">
        <v>798</v>
      </c>
      <c r="C369">
        <v>51</v>
      </c>
      <c r="D369" t="s">
        <v>9</v>
      </c>
      <c r="E369" t="s">
        <v>3893</v>
      </c>
      <c r="F369" t="s">
        <v>21</v>
      </c>
      <c r="G369" t="s">
        <v>11</v>
      </c>
      <c r="H369" t="s">
        <v>22</v>
      </c>
    </row>
    <row r="370" spans="1:8">
      <c r="A370" t="s">
        <v>799</v>
      </c>
      <c r="B370" t="s">
        <v>800</v>
      </c>
      <c r="C370">
        <v>34</v>
      </c>
      <c r="D370" t="s">
        <v>15</v>
      </c>
      <c r="E370" t="s">
        <v>3894</v>
      </c>
      <c r="F370" t="s">
        <v>46</v>
      </c>
      <c r="G370" t="s">
        <v>11</v>
      </c>
      <c r="H370" t="s">
        <v>17</v>
      </c>
    </row>
    <row r="371" spans="1:8">
      <c r="A371" t="s">
        <v>801</v>
      </c>
      <c r="B371" t="s">
        <v>802</v>
      </c>
      <c r="C371">
        <v>20</v>
      </c>
      <c r="D371" t="s">
        <v>15</v>
      </c>
      <c r="E371" t="s">
        <v>3895</v>
      </c>
      <c r="F371" t="s">
        <v>128</v>
      </c>
      <c r="G371" t="s">
        <v>11</v>
      </c>
      <c r="H371" t="s">
        <v>17</v>
      </c>
    </row>
    <row r="372" spans="1:8">
      <c r="A372" t="s">
        <v>803</v>
      </c>
      <c r="B372" t="s">
        <v>804</v>
      </c>
      <c r="C372">
        <v>45</v>
      </c>
      <c r="D372" t="s">
        <v>9</v>
      </c>
      <c r="E372" t="s">
        <v>3896</v>
      </c>
      <c r="F372" t="s">
        <v>187</v>
      </c>
      <c r="G372" t="s">
        <v>11</v>
      </c>
      <c r="H372" t="s">
        <v>26</v>
      </c>
    </row>
    <row r="373" spans="1:8">
      <c r="A373" t="s">
        <v>805</v>
      </c>
      <c r="B373" t="s">
        <v>806</v>
      </c>
      <c r="C373">
        <v>21</v>
      </c>
      <c r="D373" t="s">
        <v>15</v>
      </c>
      <c r="E373" t="s">
        <v>3897</v>
      </c>
      <c r="F373" t="s">
        <v>38</v>
      </c>
      <c r="G373" t="s">
        <v>11</v>
      </c>
      <c r="H373" t="s">
        <v>17</v>
      </c>
    </row>
    <row r="374" spans="1:8">
      <c r="A374" t="s">
        <v>807</v>
      </c>
      <c r="B374" t="s">
        <v>808</v>
      </c>
      <c r="C374">
        <v>28</v>
      </c>
      <c r="D374" t="s">
        <v>9</v>
      </c>
      <c r="E374" t="s">
        <v>3898</v>
      </c>
      <c r="F374" t="s">
        <v>21</v>
      </c>
      <c r="G374" t="s">
        <v>11</v>
      </c>
      <c r="H374" t="s">
        <v>22</v>
      </c>
    </row>
    <row r="375" spans="1:8">
      <c r="A375" t="s">
        <v>809</v>
      </c>
      <c r="B375" t="s">
        <v>810</v>
      </c>
      <c r="C375">
        <v>37</v>
      </c>
      <c r="D375" t="s">
        <v>15</v>
      </c>
      <c r="E375" t="s">
        <v>3899</v>
      </c>
      <c r="F375" t="s">
        <v>312</v>
      </c>
      <c r="G375" t="s">
        <v>11</v>
      </c>
      <c r="H375" t="s">
        <v>12</v>
      </c>
    </row>
    <row r="376" spans="1:8">
      <c r="A376" t="s">
        <v>811</v>
      </c>
      <c r="B376" t="s">
        <v>812</v>
      </c>
      <c r="C376">
        <v>60</v>
      </c>
      <c r="D376" t="s">
        <v>9</v>
      </c>
      <c r="E376" t="s">
        <v>3900</v>
      </c>
      <c r="F376" t="s">
        <v>76</v>
      </c>
      <c r="G376" t="s">
        <v>11</v>
      </c>
      <c r="H376" t="s">
        <v>17</v>
      </c>
    </row>
    <row r="377" spans="1:8">
      <c r="A377" t="s">
        <v>813</v>
      </c>
      <c r="B377" t="s">
        <v>814</v>
      </c>
      <c r="C377">
        <v>26</v>
      </c>
      <c r="D377" t="s">
        <v>9</v>
      </c>
      <c r="E377" t="s">
        <v>3901</v>
      </c>
      <c r="F377" t="s">
        <v>149</v>
      </c>
      <c r="G377" t="s">
        <v>11</v>
      </c>
      <c r="H377" t="s">
        <v>17</v>
      </c>
    </row>
    <row r="378" spans="1:8">
      <c r="A378" t="s">
        <v>815</v>
      </c>
      <c r="B378" t="s">
        <v>816</v>
      </c>
      <c r="C378">
        <v>30</v>
      </c>
      <c r="D378" t="s">
        <v>9</v>
      </c>
      <c r="E378" t="s">
        <v>3902</v>
      </c>
      <c r="F378" t="s">
        <v>125</v>
      </c>
      <c r="G378" t="s">
        <v>11</v>
      </c>
      <c r="H378" t="s">
        <v>22</v>
      </c>
    </row>
    <row r="379" spans="1:8">
      <c r="A379" t="s">
        <v>817</v>
      </c>
      <c r="B379" t="s">
        <v>818</v>
      </c>
      <c r="C379">
        <v>39</v>
      </c>
      <c r="D379" t="s">
        <v>15</v>
      </c>
      <c r="E379" t="s">
        <v>3903</v>
      </c>
      <c r="F379" t="s">
        <v>312</v>
      </c>
      <c r="G379" t="s">
        <v>11</v>
      </c>
      <c r="H379" t="s">
        <v>12</v>
      </c>
    </row>
    <row r="380" spans="1:8">
      <c r="A380" t="s">
        <v>819</v>
      </c>
      <c r="B380" t="s">
        <v>820</v>
      </c>
      <c r="C380">
        <v>44</v>
      </c>
      <c r="D380" t="s">
        <v>15</v>
      </c>
      <c r="E380" t="s">
        <v>3904</v>
      </c>
      <c r="F380" t="s">
        <v>71</v>
      </c>
      <c r="G380" t="s">
        <v>11</v>
      </c>
      <c r="H380" t="s">
        <v>22</v>
      </c>
    </row>
    <row r="381" spans="1:8">
      <c r="A381" t="s">
        <v>821</v>
      </c>
      <c r="B381" t="s">
        <v>822</v>
      </c>
      <c r="C381">
        <v>34</v>
      </c>
      <c r="D381" t="s">
        <v>15</v>
      </c>
      <c r="E381" t="s">
        <v>3905</v>
      </c>
      <c r="F381" t="s">
        <v>196</v>
      </c>
      <c r="G381" t="s">
        <v>11</v>
      </c>
      <c r="H381" t="s">
        <v>12</v>
      </c>
    </row>
    <row r="382" spans="1:8">
      <c r="A382" t="s">
        <v>823</v>
      </c>
      <c r="B382" t="s">
        <v>824</v>
      </c>
      <c r="C382">
        <v>23</v>
      </c>
      <c r="D382" t="s">
        <v>9</v>
      </c>
      <c r="E382" t="s">
        <v>3906</v>
      </c>
      <c r="F382" t="s">
        <v>161</v>
      </c>
      <c r="G382" t="s">
        <v>11</v>
      </c>
      <c r="H382" t="s">
        <v>12</v>
      </c>
    </row>
    <row r="383" spans="1:8">
      <c r="A383" t="s">
        <v>825</v>
      </c>
      <c r="B383" t="s">
        <v>826</v>
      </c>
      <c r="C383">
        <v>50</v>
      </c>
      <c r="D383" t="s">
        <v>9</v>
      </c>
      <c r="E383" t="s">
        <v>3907</v>
      </c>
      <c r="F383" t="s">
        <v>19</v>
      </c>
      <c r="G383" t="s">
        <v>11</v>
      </c>
      <c r="H383" t="s">
        <v>26</v>
      </c>
    </row>
    <row r="384" spans="1:8">
      <c r="A384" t="s">
        <v>827</v>
      </c>
      <c r="B384" t="s">
        <v>828</v>
      </c>
      <c r="C384">
        <v>20</v>
      </c>
      <c r="D384" t="s">
        <v>15</v>
      </c>
      <c r="E384" t="s">
        <v>3908</v>
      </c>
      <c r="F384" t="s">
        <v>25</v>
      </c>
      <c r="G384" t="s">
        <v>11</v>
      </c>
      <c r="H384" t="s">
        <v>12</v>
      </c>
    </row>
    <row r="385" spans="1:8">
      <c r="A385" t="s">
        <v>829</v>
      </c>
      <c r="B385" t="s">
        <v>830</v>
      </c>
      <c r="C385">
        <v>27</v>
      </c>
      <c r="D385" t="s">
        <v>15</v>
      </c>
      <c r="E385" t="s">
        <v>3909</v>
      </c>
      <c r="F385" t="s">
        <v>231</v>
      </c>
      <c r="G385" t="s">
        <v>11</v>
      </c>
      <c r="H385" t="s">
        <v>26</v>
      </c>
    </row>
    <row r="386" spans="1:8">
      <c r="A386" t="s">
        <v>831</v>
      </c>
      <c r="B386" t="s">
        <v>832</v>
      </c>
      <c r="C386">
        <v>52</v>
      </c>
      <c r="D386" t="s">
        <v>15</v>
      </c>
      <c r="E386" t="s">
        <v>3910</v>
      </c>
      <c r="F386" t="s">
        <v>196</v>
      </c>
      <c r="G386" t="s">
        <v>11</v>
      </c>
      <c r="H386" t="s">
        <v>22</v>
      </c>
    </row>
    <row r="387" spans="1:8">
      <c r="A387" t="s">
        <v>833</v>
      </c>
      <c r="B387" t="s">
        <v>834</v>
      </c>
      <c r="C387">
        <v>60</v>
      </c>
      <c r="D387" t="s">
        <v>9</v>
      </c>
      <c r="E387" t="s">
        <v>3911</v>
      </c>
      <c r="F387" t="s">
        <v>231</v>
      </c>
      <c r="G387" t="s">
        <v>11</v>
      </c>
      <c r="H387" t="s">
        <v>12</v>
      </c>
    </row>
    <row r="388" spans="1:8">
      <c r="A388" t="s">
        <v>835</v>
      </c>
      <c r="B388" t="s">
        <v>836</v>
      </c>
      <c r="C388">
        <v>18</v>
      </c>
      <c r="D388" t="s">
        <v>15</v>
      </c>
      <c r="E388" t="s">
        <v>3912</v>
      </c>
      <c r="F388" t="s">
        <v>106</v>
      </c>
      <c r="G388" t="s">
        <v>11</v>
      </c>
      <c r="H388" t="s">
        <v>22</v>
      </c>
    </row>
    <row r="389" spans="1:8">
      <c r="A389" t="s">
        <v>837</v>
      </c>
      <c r="B389" t="s">
        <v>838</v>
      </c>
      <c r="C389">
        <v>28</v>
      </c>
      <c r="D389" t="s">
        <v>15</v>
      </c>
      <c r="E389" t="s">
        <v>3913</v>
      </c>
      <c r="F389" t="s">
        <v>68</v>
      </c>
      <c r="G389" t="s">
        <v>11</v>
      </c>
      <c r="H389" t="s">
        <v>26</v>
      </c>
    </row>
    <row r="390" spans="1:8">
      <c r="A390" t="s">
        <v>839</v>
      </c>
      <c r="B390" t="s">
        <v>840</v>
      </c>
      <c r="C390">
        <v>53</v>
      </c>
      <c r="D390" t="s">
        <v>9</v>
      </c>
      <c r="E390" t="s">
        <v>3914</v>
      </c>
      <c r="F390" t="s">
        <v>86</v>
      </c>
      <c r="G390" t="s">
        <v>11</v>
      </c>
      <c r="H390" t="s">
        <v>17</v>
      </c>
    </row>
    <row r="391" spans="1:8">
      <c r="A391" t="s">
        <v>841</v>
      </c>
      <c r="B391" t="s">
        <v>842</v>
      </c>
      <c r="C391">
        <v>50</v>
      </c>
      <c r="D391" t="s">
        <v>9</v>
      </c>
      <c r="E391" t="s">
        <v>3915</v>
      </c>
      <c r="F391" t="s">
        <v>55</v>
      </c>
      <c r="G391" t="s">
        <v>11</v>
      </c>
      <c r="H391" t="s">
        <v>17</v>
      </c>
    </row>
    <row r="392" spans="1:8">
      <c r="A392" t="s">
        <v>843</v>
      </c>
      <c r="B392" t="s">
        <v>844</v>
      </c>
      <c r="C392">
        <v>56</v>
      </c>
      <c r="D392" t="s">
        <v>9</v>
      </c>
      <c r="E392" t="s">
        <v>3916</v>
      </c>
      <c r="F392" t="s">
        <v>213</v>
      </c>
      <c r="G392" t="s">
        <v>11</v>
      </c>
      <c r="H392" t="s">
        <v>26</v>
      </c>
    </row>
    <row r="393" spans="1:8">
      <c r="A393" t="s">
        <v>845</v>
      </c>
      <c r="B393" t="s">
        <v>846</v>
      </c>
      <c r="C393">
        <v>40</v>
      </c>
      <c r="D393" t="s">
        <v>15</v>
      </c>
      <c r="E393" t="s">
        <v>3917</v>
      </c>
      <c r="F393" t="s">
        <v>29</v>
      </c>
      <c r="G393" t="s">
        <v>11</v>
      </c>
      <c r="H393" t="s">
        <v>22</v>
      </c>
    </row>
    <row r="394" spans="1:8">
      <c r="A394" t="s">
        <v>847</v>
      </c>
      <c r="B394" t="s">
        <v>848</v>
      </c>
      <c r="C394">
        <v>46</v>
      </c>
      <c r="D394" t="s">
        <v>9</v>
      </c>
      <c r="E394" t="s">
        <v>3918</v>
      </c>
      <c r="F394" t="s">
        <v>86</v>
      </c>
      <c r="G394" t="s">
        <v>11</v>
      </c>
      <c r="H394" t="s">
        <v>12</v>
      </c>
    </row>
    <row r="395" spans="1:8">
      <c r="A395" t="s">
        <v>849</v>
      </c>
      <c r="B395" t="s">
        <v>850</v>
      </c>
      <c r="C395">
        <v>46</v>
      </c>
      <c r="D395" t="s">
        <v>9</v>
      </c>
      <c r="E395" t="s">
        <v>3919</v>
      </c>
      <c r="F395" t="s">
        <v>89</v>
      </c>
      <c r="G395" t="s">
        <v>11</v>
      </c>
      <c r="H395" t="s">
        <v>22</v>
      </c>
    </row>
    <row r="396" spans="1:8">
      <c r="A396" t="s">
        <v>851</v>
      </c>
      <c r="B396" t="s">
        <v>852</v>
      </c>
      <c r="C396">
        <v>43</v>
      </c>
      <c r="D396" t="s">
        <v>15</v>
      </c>
      <c r="E396" t="s">
        <v>3920</v>
      </c>
      <c r="F396" t="s">
        <v>125</v>
      </c>
      <c r="G396" t="s">
        <v>11</v>
      </c>
      <c r="H396" t="s">
        <v>22</v>
      </c>
    </row>
    <row r="397" spans="1:8">
      <c r="A397" t="s">
        <v>853</v>
      </c>
      <c r="B397" t="s">
        <v>854</v>
      </c>
      <c r="C397">
        <v>50</v>
      </c>
      <c r="D397" t="s">
        <v>9</v>
      </c>
      <c r="E397" t="s">
        <v>3921</v>
      </c>
      <c r="F397" t="s">
        <v>49</v>
      </c>
      <c r="G397" t="s">
        <v>11</v>
      </c>
      <c r="H397" t="s">
        <v>12</v>
      </c>
    </row>
    <row r="398" spans="1:8">
      <c r="A398" t="s">
        <v>855</v>
      </c>
      <c r="B398" t="s">
        <v>856</v>
      </c>
      <c r="C398">
        <v>25</v>
      </c>
      <c r="D398" t="s">
        <v>15</v>
      </c>
      <c r="E398" t="s">
        <v>3922</v>
      </c>
      <c r="F398" t="s">
        <v>46</v>
      </c>
      <c r="G398" t="s">
        <v>11</v>
      </c>
      <c r="H398" t="s">
        <v>26</v>
      </c>
    </row>
    <row r="399" spans="1:8">
      <c r="A399" t="s">
        <v>857</v>
      </c>
      <c r="B399" t="s">
        <v>858</v>
      </c>
      <c r="C399">
        <v>62</v>
      </c>
      <c r="D399" t="s">
        <v>15</v>
      </c>
      <c r="E399" t="s">
        <v>3566</v>
      </c>
      <c r="F399" t="s">
        <v>49</v>
      </c>
      <c r="G399" t="s">
        <v>11</v>
      </c>
      <c r="H399" t="s">
        <v>17</v>
      </c>
    </row>
    <row r="400" spans="1:8">
      <c r="A400" t="s">
        <v>859</v>
      </c>
      <c r="B400" t="s">
        <v>860</v>
      </c>
      <c r="C400">
        <v>54</v>
      </c>
      <c r="D400" t="s">
        <v>9</v>
      </c>
      <c r="E400" t="s">
        <v>3923</v>
      </c>
      <c r="F400" t="s">
        <v>38</v>
      </c>
      <c r="G400" t="s">
        <v>11</v>
      </c>
      <c r="H400" t="s">
        <v>22</v>
      </c>
    </row>
    <row r="401" spans="1:8">
      <c r="A401" t="s">
        <v>861</v>
      </c>
      <c r="B401" t="s">
        <v>862</v>
      </c>
      <c r="C401">
        <v>27</v>
      </c>
      <c r="D401" t="s">
        <v>9</v>
      </c>
      <c r="E401" t="s">
        <v>3924</v>
      </c>
      <c r="F401" t="s">
        <v>312</v>
      </c>
      <c r="G401" t="s">
        <v>11</v>
      </c>
      <c r="H401" t="s">
        <v>22</v>
      </c>
    </row>
    <row r="402" spans="1:8">
      <c r="A402" t="s">
        <v>863</v>
      </c>
      <c r="B402" t="s">
        <v>864</v>
      </c>
      <c r="C402">
        <v>57</v>
      </c>
      <c r="D402" t="s">
        <v>15</v>
      </c>
      <c r="E402" t="s">
        <v>3925</v>
      </c>
      <c r="F402" t="s">
        <v>74</v>
      </c>
      <c r="G402" t="s">
        <v>11</v>
      </c>
      <c r="H402" t="s">
        <v>17</v>
      </c>
    </row>
    <row r="403" spans="1:8">
      <c r="A403" t="s">
        <v>865</v>
      </c>
      <c r="B403" t="s">
        <v>866</v>
      </c>
      <c r="C403">
        <v>51</v>
      </c>
      <c r="D403" t="s">
        <v>15</v>
      </c>
      <c r="E403" t="s">
        <v>3926</v>
      </c>
      <c r="F403" t="s">
        <v>137</v>
      </c>
      <c r="G403" t="s">
        <v>11</v>
      </c>
      <c r="H403" t="s">
        <v>17</v>
      </c>
    </row>
    <row r="404" spans="1:8">
      <c r="A404" t="s">
        <v>867</v>
      </c>
      <c r="B404" t="s">
        <v>868</v>
      </c>
      <c r="C404">
        <v>31</v>
      </c>
      <c r="D404" t="s">
        <v>9</v>
      </c>
      <c r="E404" t="s">
        <v>3554</v>
      </c>
      <c r="F404" t="s">
        <v>228</v>
      </c>
      <c r="G404" t="s">
        <v>11</v>
      </c>
      <c r="H404" t="s">
        <v>22</v>
      </c>
    </row>
    <row r="405" spans="1:8">
      <c r="A405" t="s">
        <v>869</v>
      </c>
      <c r="B405" t="s">
        <v>870</v>
      </c>
      <c r="C405">
        <v>34</v>
      </c>
      <c r="D405" t="s">
        <v>9</v>
      </c>
      <c r="E405" t="s">
        <v>3927</v>
      </c>
      <c r="F405" t="s">
        <v>239</v>
      </c>
      <c r="G405" t="s">
        <v>11</v>
      </c>
      <c r="H405" t="s">
        <v>22</v>
      </c>
    </row>
    <row r="406" spans="1:8">
      <c r="A406" t="s">
        <v>871</v>
      </c>
      <c r="B406" t="s">
        <v>872</v>
      </c>
      <c r="C406">
        <v>22</v>
      </c>
      <c r="D406" t="s">
        <v>15</v>
      </c>
      <c r="E406" t="s">
        <v>3928</v>
      </c>
      <c r="F406" t="s">
        <v>213</v>
      </c>
      <c r="G406" t="s">
        <v>11</v>
      </c>
      <c r="H406" t="s">
        <v>26</v>
      </c>
    </row>
    <row r="407" spans="1:8">
      <c r="A407" t="s">
        <v>873</v>
      </c>
      <c r="B407" t="s">
        <v>874</v>
      </c>
      <c r="C407">
        <v>18</v>
      </c>
      <c r="D407" t="s">
        <v>15</v>
      </c>
      <c r="E407" t="s">
        <v>3929</v>
      </c>
      <c r="F407" t="s">
        <v>239</v>
      </c>
      <c r="G407" t="s">
        <v>11</v>
      </c>
      <c r="H407" t="s">
        <v>12</v>
      </c>
    </row>
    <row r="408" spans="1:8">
      <c r="A408" t="s">
        <v>875</v>
      </c>
      <c r="B408" t="s">
        <v>876</v>
      </c>
      <c r="C408">
        <v>23</v>
      </c>
      <c r="D408" t="s">
        <v>15</v>
      </c>
      <c r="E408" t="s">
        <v>3930</v>
      </c>
      <c r="F408" t="s">
        <v>236</v>
      </c>
      <c r="G408" t="s">
        <v>11</v>
      </c>
      <c r="H408" t="s">
        <v>12</v>
      </c>
    </row>
    <row r="409" spans="1:8">
      <c r="A409" t="s">
        <v>877</v>
      </c>
      <c r="B409" t="s">
        <v>878</v>
      </c>
      <c r="C409">
        <v>33</v>
      </c>
      <c r="D409" t="s">
        <v>9</v>
      </c>
      <c r="E409" t="s">
        <v>3931</v>
      </c>
      <c r="F409" t="s">
        <v>106</v>
      </c>
      <c r="G409" t="s">
        <v>11</v>
      </c>
      <c r="H409" t="s">
        <v>12</v>
      </c>
    </row>
    <row r="410" spans="1:8">
      <c r="A410" t="s">
        <v>879</v>
      </c>
      <c r="B410" t="s">
        <v>880</v>
      </c>
      <c r="C410">
        <v>36</v>
      </c>
      <c r="D410" t="s">
        <v>9</v>
      </c>
      <c r="E410" t="s">
        <v>3932</v>
      </c>
      <c r="F410" t="s">
        <v>68</v>
      </c>
      <c r="G410" t="s">
        <v>11</v>
      </c>
      <c r="H410" t="s">
        <v>12</v>
      </c>
    </row>
    <row r="411" spans="1:8">
      <c r="A411" t="s">
        <v>881</v>
      </c>
      <c r="B411" t="s">
        <v>882</v>
      </c>
      <c r="C411">
        <v>55</v>
      </c>
      <c r="D411" t="s">
        <v>9</v>
      </c>
      <c r="E411" t="s">
        <v>3933</v>
      </c>
      <c r="F411" t="s">
        <v>593</v>
      </c>
      <c r="G411" t="s">
        <v>11</v>
      </c>
      <c r="H411" t="s">
        <v>12</v>
      </c>
    </row>
    <row r="412" spans="1:8">
      <c r="A412" t="s">
        <v>883</v>
      </c>
      <c r="B412" t="s">
        <v>884</v>
      </c>
      <c r="C412">
        <v>48</v>
      </c>
      <c r="D412" t="s">
        <v>15</v>
      </c>
      <c r="E412" t="s">
        <v>3934</v>
      </c>
      <c r="F412" t="s">
        <v>68</v>
      </c>
      <c r="G412" t="s">
        <v>11</v>
      </c>
      <c r="H412" t="s">
        <v>22</v>
      </c>
    </row>
    <row r="413" spans="1:8">
      <c r="A413" t="s">
        <v>885</v>
      </c>
      <c r="B413" t="s">
        <v>886</v>
      </c>
      <c r="C413">
        <v>63</v>
      </c>
      <c r="D413" t="s">
        <v>9</v>
      </c>
      <c r="E413" t="s">
        <v>3935</v>
      </c>
      <c r="F413" t="s">
        <v>21</v>
      </c>
      <c r="G413" t="s">
        <v>11</v>
      </c>
      <c r="H413" t="s">
        <v>26</v>
      </c>
    </row>
    <row r="414" spans="1:8">
      <c r="A414" t="s">
        <v>887</v>
      </c>
      <c r="B414" t="s">
        <v>888</v>
      </c>
      <c r="C414">
        <v>23</v>
      </c>
      <c r="D414" t="s">
        <v>15</v>
      </c>
      <c r="E414" t="s">
        <v>3589</v>
      </c>
      <c r="F414" t="s">
        <v>117</v>
      </c>
      <c r="G414" t="s">
        <v>11</v>
      </c>
      <c r="H414" t="s">
        <v>12</v>
      </c>
    </row>
    <row r="415" spans="1:8">
      <c r="A415" t="s">
        <v>889</v>
      </c>
      <c r="B415" t="s">
        <v>890</v>
      </c>
      <c r="C415">
        <v>59</v>
      </c>
      <c r="D415" t="s">
        <v>15</v>
      </c>
      <c r="E415" t="s">
        <v>3936</v>
      </c>
      <c r="F415" t="s">
        <v>81</v>
      </c>
      <c r="G415" t="s">
        <v>11</v>
      </c>
      <c r="H415" t="s">
        <v>22</v>
      </c>
    </row>
    <row r="416" spans="1:8">
      <c r="A416" t="s">
        <v>891</v>
      </c>
      <c r="B416" t="s">
        <v>892</v>
      </c>
      <c r="C416">
        <v>35</v>
      </c>
      <c r="D416" t="s">
        <v>15</v>
      </c>
      <c r="E416" t="s">
        <v>3937</v>
      </c>
      <c r="F416" t="s">
        <v>86</v>
      </c>
      <c r="G416" t="s">
        <v>11</v>
      </c>
      <c r="H416" t="s">
        <v>12</v>
      </c>
    </row>
    <row r="417" spans="1:8">
      <c r="A417" t="s">
        <v>893</v>
      </c>
      <c r="B417" t="s">
        <v>894</v>
      </c>
      <c r="C417">
        <v>26</v>
      </c>
      <c r="D417" t="s">
        <v>15</v>
      </c>
      <c r="E417" t="s">
        <v>3938</v>
      </c>
      <c r="F417" t="s">
        <v>122</v>
      </c>
      <c r="G417" t="s">
        <v>11</v>
      </c>
      <c r="H417" t="s">
        <v>26</v>
      </c>
    </row>
    <row r="418" spans="1:8">
      <c r="A418" t="s">
        <v>895</v>
      </c>
      <c r="B418" t="s">
        <v>896</v>
      </c>
      <c r="C418">
        <v>46</v>
      </c>
      <c r="D418" t="s">
        <v>9</v>
      </c>
      <c r="E418" t="s">
        <v>3939</v>
      </c>
      <c r="F418" t="s">
        <v>236</v>
      </c>
      <c r="G418" t="s">
        <v>11</v>
      </c>
      <c r="H418" t="s">
        <v>17</v>
      </c>
    </row>
    <row r="419" spans="1:8">
      <c r="A419" t="s">
        <v>897</v>
      </c>
      <c r="B419" t="s">
        <v>898</v>
      </c>
      <c r="C419">
        <v>64</v>
      </c>
      <c r="D419" t="s">
        <v>15</v>
      </c>
      <c r="E419" t="s">
        <v>3940</v>
      </c>
      <c r="F419" t="s">
        <v>10</v>
      </c>
      <c r="G419" t="s">
        <v>11</v>
      </c>
      <c r="H419" t="s">
        <v>22</v>
      </c>
    </row>
    <row r="420" spans="1:8">
      <c r="A420" t="s">
        <v>899</v>
      </c>
      <c r="B420" t="s">
        <v>900</v>
      </c>
      <c r="C420">
        <v>60</v>
      </c>
      <c r="D420" t="s">
        <v>15</v>
      </c>
      <c r="E420" t="s">
        <v>3941</v>
      </c>
      <c r="F420" t="s">
        <v>38</v>
      </c>
      <c r="G420" t="s">
        <v>11</v>
      </c>
      <c r="H420" t="s">
        <v>26</v>
      </c>
    </row>
    <row r="421" spans="1:8">
      <c r="A421" t="s">
        <v>901</v>
      </c>
      <c r="B421" t="s">
        <v>902</v>
      </c>
      <c r="C421">
        <v>33</v>
      </c>
      <c r="D421" t="s">
        <v>9</v>
      </c>
      <c r="E421" t="s">
        <v>3942</v>
      </c>
      <c r="F421" t="s">
        <v>228</v>
      </c>
      <c r="G421" t="s">
        <v>11</v>
      </c>
      <c r="H421" t="s">
        <v>12</v>
      </c>
    </row>
    <row r="422" spans="1:8">
      <c r="A422" t="s">
        <v>903</v>
      </c>
      <c r="B422" t="s">
        <v>904</v>
      </c>
      <c r="C422">
        <v>60</v>
      </c>
      <c r="D422" t="s">
        <v>9</v>
      </c>
      <c r="E422" t="s">
        <v>3943</v>
      </c>
      <c r="F422" t="s">
        <v>10</v>
      </c>
      <c r="G422" t="s">
        <v>11</v>
      </c>
      <c r="H422" t="s">
        <v>22</v>
      </c>
    </row>
    <row r="423" spans="1:8">
      <c r="A423" t="s">
        <v>905</v>
      </c>
      <c r="B423" t="s">
        <v>906</v>
      </c>
      <c r="C423">
        <v>45</v>
      </c>
      <c r="D423" t="s">
        <v>15</v>
      </c>
      <c r="E423" t="s">
        <v>3944</v>
      </c>
      <c r="F423" t="s">
        <v>58</v>
      </c>
      <c r="G423" t="s">
        <v>11</v>
      </c>
      <c r="H423" t="s">
        <v>17</v>
      </c>
    </row>
    <row r="424" spans="1:8">
      <c r="A424" t="s">
        <v>907</v>
      </c>
      <c r="B424" t="s">
        <v>908</v>
      </c>
      <c r="C424">
        <v>42</v>
      </c>
      <c r="D424" t="s">
        <v>15</v>
      </c>
      <c r="E424" t="s">
        <v>3945</v>
      </c>
      <c r="F424" t="s">
        <v>49</v>
      </c>
      <c r="G424" t="s">
        <v>11</v>
      </c>
      <c r="H424" t="s">
        <v>17</v>
      </c>
    </row>
    <row r="425" spans="1:8">
      <c r="A425" t="s">
        <v>909</v>
      </c>
      <c r="B425" t="s">
        <v>910</v>
      </c>
      <c r="C425">
        <v>35</v>
      </c>
      <c r="D425" t="s">
        <v>9</v>
      </c>
      <c r="E425" t="s">
        <v>3946</v>
      </c>
      <c r="F425" t="s">
        <v>49</v>
      </c>
      <c r="G425" t="s">
        <v>11</v>
      </c>
      <c r="H425" t="s">
        <v>26</v>
      </c>
    </row>
    <row r="426" spans="1:8">
      <c r="A426" t="s">
        <v>911</v>
      </c>
      <c r="B426" t="s">
        <v>912</v>
      </c>
      <c r="C426">
        <v>53</v>
      </c>
      <c r="D426" t="s">
        <v>9</v>
      </c>
      <c r="E426" t="s">
        <v>3947</v>
      </c>
      <c r="F426" t="s">
        <v>10</v>
      </c>
      <c r="G426" t="s">
        <v>11</v>
      </c>
      <c r="H426" t="s">
        <v>22</v>
      </c>
    </row>
    <row r="427" spans="1:8">
      <c r="A427" t="s">
        <v>913</v>
      </c>
      <c r="B427" t="s">
        <v>914</v>
      </c>
      <c r="C427">
        <v>40</v>
      </c>
      <c r="D427" t="s">
        <v>9</v>
      </c>
      <c r="E427" t="s">
        <v>3948</v>
      </c>
      <c r="F427" t="s">
        <v>89</v>
      </c>
      <c r="G427" t="s">
        <v>11</v>
      </c>
      <c r="H427" t="s">
        <v>22</v>
      </c>
    </row>
    <row r="428" spans="1:8">
      <c r="A428" t="s">
        <v>915</v>
      </c>
      <c r="B428" t="s">
        <v>916</v>
      </c>
      <c r="C428">
        <v>28</v>
      </c>
      <c r="D428" t="s">
        <v>9</v>
      </c>
      <c r="E428" t="s">
        <v>3949</v>
      </c>
      <c r="F428" t="s">
        <v>10</v>
      </c>
      <c r="G428" t="s">
        <v>11</v>
      </c>
      <c r="H428" t="s">
        <v>17</v>
      </c>
    </row>
    <row r="429" spans="1:8">
      <c r="A429" t="s">
        <v>917</v>
      </c>
      <c r="B429" t="s">
        <v>918</v>
      </c>
      <c r="C429">
        <v>18</v>
      </c>
      <c r="D429" t="s">
        <v>15</v>
      </c>
      <c r="E429" t="s">
        <v>3950</v>
      </c>
      <c r="F429" t="s">
        <v>312</v>
      </c>
      <c r="G429" t="s">
        <v>11</v>
      </c>
      <c r="H429" t="s">
        <v>12</v>
      </c>
    </row>
    <row r="430" spans="1:8">
      <c r="A430" t="s">
        <v>919</v>
      </c>
      <c r="B430" t="s">
        <v>920</v>
      </c>
      <c r="C430">
        <v>27</v>
      </c>
      <c r="D430" t="s">
        <v>15</v>
      </c>
      <c r="E430" t="s">
        <v>3951</v>
      </c>
      <c r="F430" t="s">
        <v>239</v>
      </c>
      <c r="G430" t="s">
        <v>11</v>
      </c>
      <c r="H430" t="s">
        <v>22</v>
      </c>
    </row>
    <row r="431" spans="1:8">
      <c r="A431" t="s">
        <v>921</v>
      </c>
      <c r="B431" t="s">
        <v>922</v>
      </c>
      <c r="C431">
        <v>43</v>
      </c>
      <c r="D431" t="s">
        <v>9</v>
      </c>
      <c r="E431" t="s">
        <v>3952</v>
      </c>
      <c r="F431" t="s">
        <v>81</v>
      </c>
      <c r="G431" t="s">
        <v>11</v>
      </c>
      <c r="H431" t="s">
        <v>17</v>
      </c>
    </row>
    <row r="432" spans="1:8">
      <c r="A432" t="s">
        <v>923</v>
      </c>
      <c r="B432" t="s">
        <v>924</v>
      </c>
      <c r="C432">
        <v>36</v>
      </c>
      <c r="D432" t="s">
        <v>15</v>
      </c>
      <c r="E432" t="s">
        <v>3953</v>
      </c>
      <c r="F432" t="s">
        <v>68</v>
      </c>
      <c r="G432" t="s">
        <v>11</v>
      </c>
      <c r="H432" t="s">
        <v>12</v>
      </c>
    </row>
    <row r="433" spans="1:8">
      <c r="A433" t="s">
        <v>925</v>
      </c>
      <c r="B433" t="s">
        <v>926</v>
      </c>
      <c r="C433">
        <v>27</v>
      </c>
      <c r="D433" t="s">
        <v>9</v>
      </c>
      <c r="E433" t="s">
        <v>3954</v>
      </c>
      <c r="F433" t="s">
        <v>25</v>
      </c>
      <c r="G433" t="s">
        <v>11</v>
      </c>
      <c r="H433" t="s">
        <v>17</v>
      </c>
    </row>
    <row r="434" spans="1:8">
      <c r="A434" t="s">
        <v>927</v>
      </c>
      <c r="B434" t="s">
        <v>928</v>
      </c>
      <c r="C434">
        <v>37</v>
      </c>
      <c r="D434" t="s">
        <v>9</v>
      </c>
      <c r="E434" t="s">
        <v>3955</v>
      </c>
      <c r="F434" t="s">
        <v>68</v>
      </c>
      <c r="G434" t="s">
        <v>11</v>
      </c>
      <c r="H434" t="s">
        <v>22</v>
      </c>
    </row>
    <row r="435" spans="1:8">
      <c r="A435" t="s">
        <v>929</v>
      </c>
      <c r="B435" t="s">
        <v>930</v>
      </c>
      <c r="C435">
        <v>51</v>
      </c>
      <c r="D435" t="s">
        <v>15</v>
      </c>
      <c r="E435" t="s">
        <v>3956</v>
      </c>
      <c r="F435" t="s">
        <v>46</v>
      </c>
      <c r="G435" t="s">
        <v>11</v>
      </c>
      <c r="H435" t="s">
        <v>26</v>
      </c>
    </row>
    <row r="436" spans="1:8">
      <c r="A436" t="s">
        <v>931</v>
      </c>
      <c r="B436" t="s">
        <v>932</v>
      </c>
      <c r="C436">
        <v>48</v>
      </c>
      <c r="D436" t="s">
        <v>15</v>
      </c>
      <c r="E436" t="s">
        <v>3957</v>
      </c>
      <c r="F436" t="s">
        <v>187</v>
      </c>
      <c r="G436" t="s">
        <v>11</v>
      </c>
      <c r="H436" t="s">
        <v>12</v>
      </c>
    </row>
    <row r="437" spans="1:8">
      <c r="A437" t="s">
        <v>933</v>
      </c>
      <c r="B437" t="s">
        <v>934</v>
      </c>
      <c r="C437">
        <v>37</v>
      </c>
      <c r="D437" t="s">
        <v>15</v>
      </c>
      <c r="E437" t="s">
        <v>3958</v>
      </c>
      <c r="F437" t="s">
        <v>81</v>
      </c>
      <c r="G437" t="s">
        <v>11</v>
      </c>
      <c r="H437" t="s">
        <v>26</v>
      </c>
    </row>
    <row r="438" spans="1:8">
      <c r="A438" t="s">
        <v>935</v>
      </c>
      <c r="B438" t="s">
        <v>936</v>
      </c>
      <c r="C438">
        <v>61</v>
      </c>
      <c r="D438" t="s">
        <v>9</v>
      </c>
      <c r="E438" t="s">
        <v>3959</v>
      </c>
      <c r="F438" t="s">
        <v>32</v>
      </c>
      <c r="G438" t="s">
        <v>11</v>
      </c>
      <c r="H438" t="s">
        <v>12</v>
      </c>
    </row>
    <row r="439" spans="1:8">
      <c r="A439" t="s">
        <v>937</v>
      </c>
      <c r="B439" t="s">
        <v>938</v>
      </c>
      <c r="C439">
        <v>47</v>
      </c>
      <c r="D439" t="s">
        <v>15</v>
      </c>
      <c r="E439" t="s">
        <v>3712</v>
      </c>
      <c r="F439" t="s">
        <v>38</v>
      </c>
      <c r="G439" t="s">
        <v>11</v>
      </c>
      <c r="H439" t="s">
        <v>17</v>
      </c>
    </row>
    <row r="440" spans="1:8">
      <c r="A440" t="s">
        <v>939</v>
      </c>
      <c r="B440" t="s">
        <v>940</v>
      </c>
      <c r="C440">
        <v>59</v>
      </c>
      <c r="D440" t="s">
        <v>15</v>
      </c>
      <c r="E440" t="s">
        <v>3960</v>
      </c>
      <c r="F440" t="s">
        <v>175</v>
      </c>
      <c r="G440" t="s">
        <v>11</v>
      </c>
      <c r="H440" t="s">
        <v>17</v>
      </c>
    </row>
    <row r="441" spans="1:8">
      <c r="A441" t="s">
        <v>941</v>
      </c>
      <c r="B441" t="s">
        <v>942</v>
      </c>
      <c r="C441">
        <v>53</v>
      </c>
      <c r="D441" t="s">
        <v>9</v>
      </c>
      <c r="E441" t="s">
        <v>3821</v>
      </c>
      <c r="F441" t="s">
        <v>117</v>
      </c>
      <c r="G441" t="s">
        <v>11</v>
      </c>
      <c r="H441" t="s">
        <v>26</v>
      </c>
    </row>
    <row r="442" spans="1:8">
      <c r="A442" t="s">
        <v>943</v>
      </c>
      <c r="B442" t="s">
        <v>944</v>
      </c>
      <c r="C442">
        <v>60</v>
      </c>
      <c r="D442" t="s">
        <v>9</v>
      </c>
      <c r="E442" t="s">
        <v>3961</v>
      </c>
      <c r="F442" t="s">
        <v>16</v>
      </c>
      <c r="G442" t="s">
        <v>11</v>
      </c>
      <c r="H442" t="s">
        <v>26</v>
      </c>
    </row>
    <row r="443" spans="1:8">
      <c r="A443" t="s">
        <v>945</v>
      </c>
      <c r="B443" t="s">
        <v>946</v>
      </c>
      <c r="C443">
        <v>31</v>
      </c>
      <c r="D443" t="s">
        <v>9</v>
      </c>
      <c r="E443" t="s">
        <v>3962</v>
      </c>
      <c r="F443" t="s">
        <v>236</v>
      </c>
      <c r="G443" t="s">
        <v>11</v>
      </c>
      <c r="H443" t="s">
        <v>26</v>
      </c>
    </row>
    <row r="444" spans="1:8">
      <c r="A444" t="s">
        <v>947</v>
      </c>
      <c r="B444" t="s">
        <v>948</v>
      </c>
      <c r="C444">
        <v>42</v>
      </c>
      <c r="D444" t="s">
        <v>15</v>
      </c>
      <c r="E444" t="s">
        <v>3963</v>
      </c>
      <c r="F444" t="s">
        <v>29</v>
      </c>
      <c r="G444" t="s">
        <v>11</v>
      </c>
      <c r="H444" t="s">
        <v>22</v>
      </c>
    </row>
    <row r="445" spans="1:8">
      <c r="A445" t="s">
        <v>949</v>
      </c>
      <c r="B445" t="s">
        <v>950</v>
      </c>
      <c r="C445">
        <v>51</v>
      </c>
      <c r="D445" t="s">
        <v>9</v>
      </c>
      <c r="E445" t="s">
        <v>3964</v>
      </c>
      <c r="F445" t="s">
        <v>260</v>
      </c>
      <c r="G445" t="s">
        <v>11</v>
      </c>
      <c r="H445" t="s">
        <v>26</v>
      </c>
    </row>
    <row r="446" spans="1:8">
      <c r="A446" t="s">
        <v>951</v>
      </c>
      <c r="B446" t="s">
        <v>952</v>
      </c>
      <c r="C446">
        <v>19</v>
      </c>
      <c r="D446" t="s">
        <v>9</v>
      </c>
      <c r="E446" t="s">
        <v>3965</v>
      </c>
      <c r="F446" t="s">
        <v>593</v>
      </c>
      <c r="G446" t="s">
        <v>11</v>
      </c>
      <c r="H446" t="s">
        <v>12</v>
      </c>
    </row>
    <row r="447" spans="1:8">
      <c r="A447" t="s">
        <v>953</v>
      </c>
      <c r="B447" t="s">
        <v>954</v>
      </c>
      <c r="C447">
        <v>41</v>
      </c>
      <c r="D447" t="s">
        <v>15</v>
      </c>
      <c r="E447" t="s">
        <v>3966</v>
      </c>
      <c r="F447" t="s">
        <v>210</v>
      </c>
      <c r="G447" t="s">
        <v>11</v>
      </c>
      <c r="H447" t="s">
        <v>17</v>
      </c>
    </row>
    <row r="448" spans="1:8">
      <c r="A448" t="s">
        <v>955</v>
      </c>
      <c r="B448" t="s">
        <v>956</v>
      </c>
      <c r="C448">
        <v>35</v>
      </c>
      <c r="D448" t="s">
        <v>9</v>
      </c>
      <c r="E448" t="s">
        <v>3967</v>
      </c>
      <c r="F448" t="s">
        <v>74</v>
      </c>
      <c r="G448" t="s">
        <v>11</v>
      </c>
      <c r="H448" t="s">
        <v>26</v>
      </c>
    </row>
    <row r="449" spans="1:8">
      <c r="A449" t="s">
        <v>957</v>
      </c>
      <c r="B449" t="s">
        <v>958</v>
      </c>
      <c r="C449">
        <v>45</v>
      </c>
      <c r="D449" t="s">
        <v>9</v>
      </c>
      <c r="E449" t="s">
        <v>3968</v>
      </c>
      <c r="F449" t="s">
        <v>10</v>
      </c>
      <c r="G449" t="s">
        <v>11</v>
      </c>
      <c r="H449" t="s">
        <v>12</v>
      </c>
    </row>
    <row r="450" spans="1:8">
      <c r="A450" t="s">
        <v>959</v>
      </c>
      <c r="B450" t="s">
        <v>960</v>
      </c>
      <c r="C450">
        <v>64</v>
      </c>
      <c r="D450" t="s">
        <v>15</v>
      </c>
      <c r="E450" t="s">
        <v>3969</v>
      </c>
      <c r="F450" t="s">
        <v>593</v>
      </c>
      <c r="G450" t="s">
        <v>11</v>
      </c>
      <c r="H450" t="s">
        <v>22</v>
      </c>
    </row>
    <row r="451" spans="1:8">
      <c r="A451" t="s">
        <v>961</v>
      </c>
      <c r="B451" t="s">
        <v>962</v>
      </c>
      <c r="C451">
        <v>29</v>
      </c>
      <c r="D451" t="s">
        <v>9</v>
      </c>
      <c r="E451" t="s">
        <v>3970</v>
      </c>
      <c r="F451" t="s">
        <v>21</v>
      </c>
      <c r="G451" t="s">
        <v>11</v>
      </c>
      <c r="H451" t="s">
        <v>22</v>
      </c>
    </row>
    <row r="452" spans="1:8">
      <c r="A452" t="s">
        <v>963</v>
      </c>
      <c r="B452" t="s">
        <v>964</v>
      </c>
      <c r="C452">
        <v>59</v>
      </c>
      <c r="D452" t="s">
        <v>9</v>
      </c>
      <c r="E452" t="s">
        <v>3971</v>
      </c>
      <c r="F452" t="s">
        <v>55</v>
      </c>
      <c r="G452" t="s">
        <v>11</v>
      </c>
      <c r="H452" t="s">
        <v>22</v>
      </c>
    </row>
    <row r="453" spans="1:8">
      <c r="A453" t="s">
        <v>965</v>
      </c>
      <c r="B453" t="s">
        <v>966</v>
      </c>
      <c r="C453">
        <v>46</v>
      </c>
      <c r="D453" t="s">
        <v>9</v>
      </c>
      <c r="E453" t="s">
        <v>3702</v>
      </c>
      <c r="F453" t="s">
        <v>172</v>
      </c>
      <c r="G453" t="s">
        <v>11</v>
      </c>
      <c r="H453" t="s">
        <v>12</v>
      </c>
    </row>
    <row r="454" spans="1:8">
      <c r="A454" t="s">
        <v>967</v>
      </c>
      <c r="B454" t="s">
        <v>968</v>
      </c>
      <c r="C454">
        <v>60</v>
      </c>
      <c r="D454" t="s">
        <v>15</v>
      </c>
      <c r="E454" t="s">
        <v>3972</v>
      </c>
      <c r="F454" t="s">
        <v>228</v>
      </c>
      <c r="G454" t="s">
        <v>11</v>
      </c>
      <c r="H454" t="s">
        <v>22</v>
      </c>
    </row>
    <row r="455" spans="1:8">
      <c r="A455" t="s">
        <v>969</v>
      </c>
      <c r="B455" t="s">
        <v>970</v>
      </c>
      <c r="C455">
        <v>62</v>
      </c>
      <c r="D455" t="s">
        <v>15</v>
      </c>
      <c r="E455" t="s">
        <v>3973</v>
      </c>
      <c r="F455" t="s">
        <v>76</v>
      </c>
      <c r="G455" t="s">
        <v>11</v>
      </c>
      <c r="H455" t="s">
        <v>17</v>
      </c>
    </row>
    <row r="456" spans="1:8">
      <c r="A456" t="s">
        <v>971</v>
      </c>
      <c r="B456" t="s">
        <v>972</v>
      </c>
      <c r="C456">
        <v>60</v>
      </c>
      <c r="D456" t="s">
        <v>9</v>
      </c>
      <c r="E456" t="s">
        <v>98</v>
      </c>
      <c r="F456" t="s">
        <v>74</v>
      </c>
      <c r="G456" t="s">
        <v>11</v>
      </c>
      <c r="H456" t="s">
        <v>12</v>
      </c>
    </row>
    <row r="457" spans="1:8">
      <c r="A457" t="s">
        <v>973</v>
      </c>
      <c r="B457" t="s">
        <v>974</v>
      </c>
      <c r="C457">
        <v>54</v>
      </c>
      <c r="D457" t="s">
        <v>9</v>
      </c>
      <c r="E457" t="s">
        <v>3974</v>
      </c>
      <c r="F457" t="s">
        <v>144</v>
      </c>
      <c r="G457" t="s">
        <v>11</v>
      </c>
      <c r="H457" t="s">
        <v>12</v>
      </c>
    </row>
    <row r="458" spans="1:8">
      <c r="A458" t="s">
        <v>975</v>
      </c>
      <c r="B458" t="s">
        <v>976</v>
      </c>
      <c r="C458">
        <v>59</v>
      </c>
      <c r="D458" t="s">
        <v>15</v>
      </c>
      <c r="E458" t="s">
        <v>3975</v>
      </c>
      <c r="F458" t="s">
        <v>213</v>
      </c>
      <c r="G458" t="s">
        <v>11</v>
      </c>
      <c r="H458" t="s">
        <v>12</v>
      </c>
    </row>
    <row r="459" spans="1:8">
      <c r="A459" t="s">
        <v>977</v>
      </c>
      <c r="B459" t="s">
        <v>978</v>
      </c>
      <c r="C459">
        <v>59</v>
      </c>
      <c r="D459" t="s">
        <v>9</v>
      </c>
      <c r="E459" t="s">
        <v>3976</v>
      </c>
      <c r="F459" t="s">
        <v>417</v>
      </c>
      <c r="G459" t="s">
        <v>11</v>
      </c>
      <c r="H459" t="s">
        <v>17</v>
      </c>
    </row>
    <row r="460" spans="1:8">
      <c r="A460" t="s">
        <v>979</v>
      </c>
      <c r="B460" t="s">
        <v>980</v>
      </c>
      <c r="C460">
        <v>62</v>
      </c>
      <c r="D460" t="s">
        <v>15</v>
      </c>
      <c r="E460" t="s">
        <v>3977</v>
      </c>
      <c r="F460" t="s">
        <v>41</v>
      </c>
      <c r="G460" t="s">
        <v>11</v>
      </c>
      <c r="H460" t="s">
        <v>26</v>
      </c>
    </row>
    <row r="461" spans="1:8">
      <c r="A461" t="s">
        <v>981</v>
      </c>
      <c r="B461" t="s">
        <v>479</v>
      </c>
      <c r="C461">
        <v>29</v>
      </c>
      <c r="D461" t="s">
        <v>15</v>
      </c>
      <c r="E461" t="s">
        <v>3978</v>
      </c>
      <c r="F461" t="s">
        <v>231</v>
      </c>
      <c r="G461" t="s">
        <v>11</v>
      </c>
      <c r="H461" t="s">
        <v>12</v>
      </c>
    </row>
    <row r="462" spans="1:8">
      <c r="A462" t="s">
        <v>982</v>
      </c>
      <c r="B462" t="s">
        <v>983</v>
      </c>
      <c r="C462">
        <v>35</v>
      </c>
      <c r="D462" t="s">
        <v>9</v>
      </c>
      <c r="E462" t="s">
        <v>3979</v>
      </c>
      <c r="F462" t="s">
        <v>196</v>
      </c>
      <c r="G462" t="s">
        <v>11</v>
      </c>
      <c r="H462" t="s">
        <v>12</v>
      </c>
    </row>
    <row r="463" spans="1:8">
      <c r="A463" t="s">
        <v>984</v>
      </c>
      <c r="B463" t="s">
        <v>985</v>
      </c>
      <c r="C463">
        <v>60</v>
      </c>
      <c r="D463" t="s">
        <v>15</v>
      </c>
      <c r="E463" t="s">
        <v>3980</v>
      </c>
      <c r="F463" t="s">
        <v>49</v>
      </c>
      <c r="G463" t="s">
        <v>11</v>
      </c>
      <c r="H463" t="s">
        <v>26</v>
      </c>
    </row>
    <row r="464" spans="1:8">
      <c r="A464" t="s">
        <v>986</v>
      </c>
      <c r="B464" t="s">
        <v>987</v>
      </c>
      <c r="C464">
        <v>34</v>
      </c>
      <c r="D464" t="s">
        <v>15</v>
      </c>
      <c r="E464" t="s">
        <v>3981</v>
      </c>
      <c r="F464" t="s">
        <v>35</v>
      </c>
      <c r="G464" t="s">
        <v>11</v>
      </c>
      <c r="H464" t="s">
        <v>26</v>
      </c>
    </row>
    <row r="465" spans="1:8">
      <c r="A465" t="s">
        <v>988</v>
      </c>
      <c r="B465" t="s">
        <v>989</v>
      </c>
      <c r="C465">
        <v>36</v>
      </c>
      <c r="D465" t="s">
        <v>15</v>
      </c>
      <c r="E465" t="s">
        <v>3982</v>
      </c>
      <c r="F465" t="s">
        <v>125</v>
      </c>
      <c r="G465" t="s">
        <v>11</v>
      </c>
      <c r="H465" t="s">
        <v>22</v>
      </c>
    </row>
    <row r="466" spans="1:8">
      <c r="A466" t="s">
        <v>3356</v>
      </c>
      <c r="B466" t="s">
        <v>991</v>
      </c>
      <c r="C466">
        <v>45</v>
      </c>
      <c r="D466" t="s">
        <v>15</v>
      </c>
      <c r="E466" t="s">
        <v>3983</v>
      </c>
      <c r="F466" t="s">
        <v>58</v>
      </c>
      <c r="G466" t="s">
        <v>11</v>
      </c>
      <c r="H466" t="s">
        <v>17</v>
      </c>
    </row>
    <row r="467" spans="1:8">
      <c r="A467" t="s">
        <v>992</v>
      </c>
      <c r="B467" t="s">
        <v>993</v>
      </c>
      <c r="C467">
        <v>28</v>
      </c>
      <c r="D467" t="s">
        <v>15</v>
      </c>
      <c r="E467" t="s">
        <v>3984</v>
      </c>
      <c r="F467" t="s">
        <v>10</v>
      </c>
      <c r="G467" t="s">
        <v>11</v>
      </c>
      <c r="H467" t="s">
        <v>26</v>
      </c>
    </row>
    <row r="468" spans="1:8">
      <c r="A468" t="s">
        <v>994</v>
      </c>
      <c r="B468" t="s">
        <v>995</v>
      </c>
      <c r="C468">
        <v>18</v>
      </c>
      <c r="D468" t="s">
        <v>9</v>
      </c>
      <c r="E468" t="s">
        <v>3985</v>
      </c>
      <c r="F468" t="s">
        <v>149</v>
      </c>
      <c r="G468" t="s">
        <v>11</v>
      </c>
      <c r="H468" t="s">
        <v>26</v>
      </c>
    </row>
    <row r="469" spans="1:8">
      <c r="A469" t="s">
        <v>996</v>
      </c>
      <c r="B469" t="s">
        <v>997</v>
      </c>
      <c r="C469">
        <v>63</v>
      </c>
      <c r="D469" t="s">
        <v>15</v>
      </c>
      <c r="E469" t="s">
        <v>3986</v>
      </c>
      <c r="F469" t="s">
        <v>128</v>
      </c>
      <c r="G469" t="s">
        <v>11</v>
      </c>
      <c r="H469" t="s">
        <v>12</v>
      </c>
    </row>
    <row r="470" spans="1:8">
      <c r="A470" t="s">
        <v>998</v>
      </c>
      <c r="B470" t="s">
        <v>999</v>
      </c>
      <c r="C470">
        <v>45</v>
      </c>
      <c r="D470" t="s">
        <v>9</v>
      </c>
      <c r="E470" t="s">
        <v>3987</v>
      </c>
      <c r="F470" t="s">
        <v>128</v>
      </c>
      <c r="G470" t="s">
        <v>11</v>
      </c>
      <c r="H470" t="s">
        <v>22</v>
      </c>
    </row>
    <row r="471" spans="1:8">
      <c r="A471" t="s">
        <v>1000</v>
      </c>
      <c r="B471" t="s">
        <v>1001</v>
      </c>
      <c r="C471">
        <v>19</v>
      </c>
      <c r="D471" t="s">
        <v>9</v>
      </c>
      <c r="E471" t="s">
        <v>3988</v>
      </c>
      <c r="F471" t="s">
        <v>89</v>
      </c>
      <c r="G471" t="s">
        <v>11</v>
      </c>
      <c r="H471" t="s">
        <v>12</v>
      </c>
    </row>
    <row r="472" spans="1:8">
      <c r="A472" t="s">
        <v>1002</v>
      </c>
      <c r="B472" t="s">
        <v>1003</v>
      </c>
      <c r="C472">
        <v>21</v>
      </c>
      <c r="D472" t="s">
        <v>15</v>
      </c>
      <c r="E472" t="s">
        <v>3989</v>
      </c>
      <c r="F472" t="s">
        <v>38</v>
      </c>
      <c r="G472" t="s">
        <v>11</v>
      </c>
      <c r="H472" t="s">
        <v>12</v>
      </c>
    </row>
    <row r="473" spans="1:8">
      <c r="A473" t="s">
        <v>1004</v>
      </c>
      <c r="B473" t="s">
        <v>1005</v>
      </c>
      <c r="C473">
        <v>42</v>
      </c>
      <c r="D473" t="s">
        <v>9</v>
      </c>
      <c r="E473" t="s">
        <v>3990</v>
      </c>
      <c r="F473" t="s">
        <v>52</v>
      </c>
      <c r="G473" t="s">
        <v>11</v>
      </c>
      <c r="H473" t="s">
        <v>17</v>
      </c>
    </row>
    <row r="474" spans="1:8">
      <c r="A474" t="s">
        <v>1006</v>
      </c>
      <c r="B474" t="s">
        <v>1007</v>
      </c>
      <c r="C474">
        <v>42</v>
      </c>
      <c r="D474" t="s">
        <v>9</v>
      </c>
      <c r="E474" t="s">
        <v>3991</v>
      </c>
      <c r="F474" t="s">
        <v>504</v>
      </c>
      <c r="G474" t="s">
        <v>11</v>
      </c>
      <c r="H474" t="s">
        <v>26</v>
      </c>
    </row>
    <row r="475" spans="1:8">
      <c r="A475" t="s">
        <v>1008</v>
      </c>
      <c r="B475" t="s">
        <v>1009</v>
      </c>
      <c r="C475">
        <v>53</v>
      </c>
      <c r="D475" t="s">
        <v>9</v>
      </c>
      <c r="E475" t="s">
        <v>3992</v>
      </c>
      <c r="F475" t="s">
        <v>236</v>
      </c>
      <c r="G475" t="s">
        <v>11</v>
      </c>
      <c r="H475" t="s">
        <v>22</v>
      </c>
    </row>
    <row r="476" spans="1:8">
      <c r="A476" t="s">
        <v>1010</v>
      </c>
      <c r="B476" t="s">
        <v>1011</v>
      </c>
      <c r="C476">
        <v>32</v>
      </c>
      <c r="D476" t="s">
        <v>15</v>
      </c>
      <c r="E476" t="s">
        <v>3993</v>
      </c>
      <c r="F476" t="s">
        <v>32</v>
      </c>
      <c r="G476" t="s">
        <v>11</v>
      </c>
      <c r="H476" t="s">
        <v>17</v>
      </c>
    </row>
    <row r="477" spans="1:8">
      <c r="A477" t="s">
        <v>1012</v>
      </c>
      <c r="B477" t="s">
        <v>1013</v>
      </c>
      <c r="C477">
        <v>18</v>
      </c>
      <c r="D477" t="s">
        <v>15</v>
      </c>
      <c r="E477" t="s">
        <v>285</v>
      </c>
      <c r="F477" t="s">
        <v>128</v>
      </c>
      <c r="G477" t="s">
        <v>11</v>
      </c>
      <c r="H477" t="s">
        <v>17</v>
      </c>
    </row>
    <row r="478" spans="1:8">
      <c r="A478" t="s">
        <v>1014</v>
      </c>
      <c r="B478" t="s">
        <v>1015</v>
      </c>
      <c r="C478">
        <v>33</v>
      </c>
      <c r="D478" t="s">
        <v>15</v>
      </c>
      <c r="E478" t="s">
        <v>3994</v>
      </c>
      <c r="F478" t="s">
        <v>74</v>
      </c>
      <c r="G478" t="s">
        <v>11</v>
      </c>
      <c r="H478" t="s">
        <v>12</v>
      </c>
    </row>
    <row r="479" spans="1:8">
      <c r="A479" t="s">
        <v>1016</v>
      </c>
      <c r="B479" t="s">
        <v>1017</v>
      </c>
      <c r="C479">
        <v>41</v>
      </c>
      <c r="D479" t="s">
        <v>15</v>
      </c>
      <c r="E479" t="s">
        <v>3995</v>
      </c>
      <c r="F479" t="s">
        <v>49</v>
      </c>
      <c r="G479" t="s">
        <v>11</v>
      </c>
      <c r="H479" t="s">
        <v>17</v>
      </c>
    </row>
    <row r="480" spans="1:8">
      <c r="A480" t="s">
        <v>1018</v>
      </c>
      <c r="B480" t="s">
        <v>1019</v>
      </c>
      <c r="C480">
        <v>59</v>
      </c>
      <c r="D480" t="s">
        <v>9</v>
      </c>
      <c r="E480" t="s">
        <v>3996</v>
      </c>
      <c r="F480" t="s">
        <v>32</v>
      </c>
      <c r="G480" t="s">
        <v>11</v>
      </c>
      <c r="H480" t="s">
        <v>12</v>
      </c>
    </row>
    <row r="481" spans="1:8">
      <c r="A481" t="s">
        <v>1020</v>
      </c>
      <c r="B481" t="s">
        <v>1021</v>
      </c>
      <c r="C481">
        <v>40</v>
      </c>
      <c r="D481" t="s">
        <v>9</v>
      </c>
      <c r="E481" t="s">
        <v>3997</v>
      </c>
      <c r="F481" t="s">
        <v>35</v>
      </c>
      <c r="G481" t="s">
        <v>11</v>
      </c>
      <c r="H481" t="s">
        <v>22</v>
      </c>
    </row>
    <row r="482" spans="1:8">
      <c r="A482" t="s">
        <v>1022</v>
      </c>
      <c r="B482" t="s">
        <v>1023</v>
      </c>
      <c r="C482">
        <v>33</v>
      </c>
      <c r="D482" t="s">
        <v>9</v>
      </c>
      <c r="E482" t="s">
        <v>3998</v>
      </c>
      <c r="F482" t="s">
        <v>184</v>
      </c>
      <c r="G482" t="s">
        <v>11</v>
      </c>
      <c r="H482" t="s">
        <v>22</v>
      </c>
    </row>
    <row r="483" spans="1:8">
      <c r="A483" t="s">
        <v>1024</v>
      </c>
      <c r="B483" t="s">
        <v>1025</v>
      </c>
      <c r="C483">
        <v>21</v>
      </c>
      <c r="D483" t="s">
        <v>9</v>
      </c>
      <c r="E483" t="s">
        <v>3999</v>
      </c>
      <c r="F483" t="s">
        <v>63</v>
      </c>
      <c r="G483" t="s">
        <v>11</v>
      </c>
      <c r="H483" t="s">
        <v>12</v>
      </c>
    </row>
    <row r="484" spans="1:8">
      <c r="A484" t="s">
        <v>1026</v>
      </c>
      <c r="B484" t="s">
        <v>1027</v>
      </c>
      <c r="C484">
        <v>26</v>
      </c>
      <c r="D484" t="s">
        <v>9</v>
      </c>
      <c r="E484" t="s">
        <v>4000</v>
      </c>
      <c r="F484" t="s">
        <v>417</v>
      </c>
      <c r="G484" t="s">
        <v>11</v>
      </c>
      <c r="H484" t="s">
        <v>17</v>
      </c>
    </row>
    <row r="485" spans="1:8">
      <c r="A485" t="s">
        <v>1028</v>
      </c>
      <c r="B485" t="s">
        <v>882</v>
      </c>
      <c r="C485">
        <v>48</v>
      </c>
      <c r="D485" t="s">
        <v>9</v>
      </c>
      <c r="E485" t="s">
        <v>4001</v>
      </c>
      <c r="F485" t="s">
        <v>137</v>
      </c>
      <c r="G485" t="s">
        <v>11</v>
      </c>
      <c r="H485" t="s">
        <v>12</v>
      </c>
    </row>
    <row r="486" spans="1:8">
      <c r="A486" t="s">
        <v>1029</v>
      </c>
      <c r="B486" t="s">
        <v>1030</v>
      </c>
      <c r="C486">
        <v>32</v>
      </c>
      <c r="D486" t="s">
        <v>9</v>
      </c>
      <c r="E486" t="s">
        <v>4002</v>
      </c>
      <c r="F486" t="s">
        <v>504</v>
      </c>
      <c r="G486" t="s">
        <v>11</v>
      </c>
      <c r="H486" t="s">
        <v>22</v>
      </c>
    </row>
    <row r="487" spans="1:8">
      <c r="A487" t="s">
        <v>1031</v>
      </c>
      <c r="B487" t="s">
        <v>1032</v>
      </c>
      <c r="C487">
        <v>46</v>
      </c>
      <c r="D487" t="s">
        <v>15</v>
      </c>
      <c r="E487" t="s">
        <v>4003</v>
      </c>
      <c r="F487" t="s">
        <v>210</v>
      </c>
      <c r="G487" t="s">
        <v>11</v>
      </c>
      <c r="H487" t="s">
        <v>22</v>
      </c>
    </row>
    <row r="488" spans="1:8">
      <c r="A488" t="s">
        <v>3355</v>
      </c>
      <c r="B488" t="s">
        <v>1034</v>
      </c>
      <c r="C488">
        <v>22</v>
      </c>
      <c r="D488" t="s">
        <v>15</v>
      </c>
      <c r="E488" t="s">
        <v>4004</v>
      </c>
      <c r="F488" t="s">
        <v>128</v>
      </c>
      <c r="G488" t="s">
        <v>11</v>
      </c>
      <c r="H488" t="s">
        <v>22</v>
      </c>
    </row>
    <row r="489" spans="1:8">
      <c r="A489" t="s">
        <v>1035</v>
      </c>
      <c r="B489" t="s">
        <v>1036</v>
      </c>
      <c r="C489">
        <v>36</v>
      </c>
      <c r="D489" t="s">
        <v>15</v>
      </c>
      <c r="E489" t="s">
        <v>4005</v>
      </c>
      <c r="F489" t="s">
        <v>89</v>
      </c>
      <c r="G489" t="s">
        <v>11</v>
      </c>
      <c r="H489" t="s">
        <v>17</v>
      </c>
    </row>
    <row r="490" spans="1:8">
      <c r="A490" t="s">
        <v>1037</v>
      </c>
      <c r="B490" t="s">
        <v>1038</v>
      </c>
      <c r="C490">
        <v>23</v>
      </c>
      <c r="D490" t="s">
        <v>15</v>
      </c>
      <c r="E490" t="s">
        <v>4006</v>
      </c>
      <c r="F490" t="s">
        <v>25</v>
      </c>
      <c r="G490" t="s">
        <v>11</v>
      </c>
      <c r="H490" t="s">
        <v>17</v>
      </c>
    </row>
    <row r="491" spans="1:8">
      <c r="A491" t="s">
        <v>1039</v>
      </c>
      <c r="B491" t="s">
        <v>1040</v>
      </c>
      <c r="C491">
        <v>42</v>
      </c>
      <c r="D491" t="s">
        <v>15</v>
      </c>
      <c r="E491" t="s">
        <v>4007</v>
      </c>
      <c r="F491" t="s">
        <v>187</v>
      </c>
      <c r="G491" t="s">
        <v>11</v>
      </c>
      <c r="H491" t="s">
        <v>26</v>
      </c>
    </row>
    <row r="492" spans="1:8">
      <c r="A492" t="s">
        <v>1041</v>
      </c>
      <c r="B492" t="s">
        <v>1042</v>
      </c>
      <c r="C492">
        <v>23</v>
      </c>
      <c r="D492" t="s">
        <v>9</v>
      </c>
      <c r="E492" t="s">
        <v>4008</v>
      </c>
      <c r="F492" t="s">
        <v>106</v>
      </c>
      <c r="G492" t="s">
        <v>11</v>
      </c>
      <c r="H492" t="s">
        <v>17</v>
      </c>
    </row>
    <row r="493" spans="1:8">
      <c r="A493" t="s">
        <v>3354</v>
      </c>
      <c r="B493" t="s">
        <v>1044</v>
      </c>
      <c r="C493">
        <v>52</v>
      </c>
      <c r="D493" t="s">
        <v>15</v>
      </c>
      <c r="E493" t="s">
        <v>4009</v>
      </c>
      <c r="F493" t="s">
        <v>32</v>
      </c>
      <c r="G493" t="s">
        <v>11</v>
      </c>
      <c r="H493" t="s">
        <v>12</v>
      </c>
    </row>
    <row r="494" spans="1:8">
      <c r="A494" t="s">
        <v>1045</v>
      </c>
      <c r="B494" t="s">
        <v>1046</v>
      </c>
      <c r="C494">
        <v>59</v>
      </c>
      <c r="D494" t="s">
        <v>15</v>
      </c>
      <c r="E494" t="s">
        <v>4010</v>
      </c>
      <c r="F494" t="s">
        <v>184</v>
      </c>
      <c r="G494" t="s">
        <v>11</v>
      </c>
      <c r="H494" t="s">
        <v>17</v>
      </c>
    </row>
    <row r="495" spans="1:8">
      <c r="A495" t="s">
        <v>1047</v>
      </c>
      <c r="B495" t="s">
        <v>1048</v>
      </c>
      <c r="C495">
        <v>28</v>
      </c>
      <c r="D495" t="s">
        <v>9</v>
      </c>
      <c r="E495" t="s">
        <v>3555</v>
      </c>
      <c r="F495" t="s">
        <v>19</v>
      </c>
      <c r="G495" t="s">
        <v>11</v>
      </c>
      <c r="H495" t="s">
        <v>26</v>
      </c>
    </row>
    <row r="496" spans="1:8">
      <c r="A496" t="s">
        <v>1049</v>
      </c>
      <c r="B496" t="s">
        <v>1050</v>
      </c>
      <c r="C496">
        <v>21</v>
      </c>
      <c r="D496" t="s">
        <v>9</v>
      </c>
      <c r="E496" t="s">
        <v>4011</v>
      </c>
      <c r="F496" t="s">
        <v>260</v>
      </c>
      <c r="G496" t="s">
        <v>11</v>
      </c>
      <c r="H496" t="s">
        <v>12</v>
      </c>
    </row>
    <row r="497" spans="1:8">
      <c r="A497" t="s">
        <v>1051</v>
      </c>
      <c r="B497" t="s">
        <v>1052</v>
      </c>
      <c r="C497">
        <v>23</v>
      </c>
      <c r="D497" t="s">
        <v>15</v>
      </c>
      <c r="E497" t="s">
        <v>4012</v>
      </c>
      <c r="F497" t="s">
        <v>71</v>
      </c>
      <c r="G497" t="s">
        <v>11</v>
      </c>
      <c r="H497" t="s">
        <v>22</v>
      </c>
    </row>
    <row r="498" spans="1:8">
      <c r="A498" t="s">
        <v>1053</v>
      </c>
      <c r="B498" t="s">
        <v>1054</v>
      </c>
      <c r="C498">
        <v>56</v>
      </c>
      <c r="D498" t="s">
        <v>9</v>
      </c>
      <c r="E498" t="s">
        <v>4013</v>
      </c>
      <c r="F498" t="s">
        <v>21</v>
      </c>
      <c r="G498" t="s">
        <v>11</v>
      </c>
      <c r="H498" t="s">
        <v>22</v>
      </c>
    </row>
    <row r="499" spans="1:8">
      <c r="A499" t="s">
        <v>1055</v>
      </c>
      <c r="B499" t="s">
        <v>1056</v>
      </c>
      <c r="C499">
        <v>47</v>
      </c>
      <c r="D499" t="s">
        <v>15</v>
      </c>
      <c r="E499" t="s">
        <v>4014</v>
      </c>
      <c r="F499" t="s">
        <v>46</v>
      </c>
      <c r="G499" t="s">
        <v>11</v>
      </c>
      <c r="H499" t="s">
        <v>12</v>
      </c>
    </row>
    <row r="500" spans="1:8">
      <c r="A500" t="s">
        <v>1057</v>
      </c>
      <c r="B500" t="s">
        <v>1058</v>
      </c>
      <c r="C500">
        <v>35</v>
      </c>
      <c r="D500" t="s">
        <v>9</v>
      </c>
      <c r="E500" t="s">
        <v>4015</v>
      </c>
      <c r="F500" t="s">
        <v>172</v>
      </c>
      <c r="G500" t="s">
        <v>11</v>
      </c>
      <c r="H500" t="s">
        <v>26</v>
      </c>
    </row>
    <row r="501" spans="1:8">
      <c r="A501" t="s">
        <v>3353</v>
      </c>
      <c r="B501" t="s">
        <v>1060</v>
      </c>
      <c r="C501">
        <v>27</v>
      </c>
      <c r="D501" t="s">
        <v>15</v>
      </c>
      <c r="E501" t="s">
        <v>4016</v>
      </c>
      <c r="F501" t="s">
        <v>29</v>
      </c>
      <c r="G501" t="s">
        <v>11</v>
      </c>
      <c r="H5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15DC-765C-4A44-A85A-A827F133D6A4}">
  <dimension ref="A1:G101"/>
  <sheetViews>
    <sheetView workbookViewId="0">
      <selection sqref="A1:G101"/>
    </sheetView>
  </sheetViews>
  <sheetFormatPr defaultRowHeight="14.5"/>
  <sheetData>
    <row r="1" spans="1:7">
      <c r="A1" s="16" t="s">
        <v>1061</v>
      </c>
      <c r="B1" s="16" t="s">
        <v>1062</v>
      </c>
      <c r="C1" s="16" t="s">
        <v>1063</v>
      </c>
      <c r="D1" s="16" t="s">
        <v>1064</v>
      </c>
      <c r="E1" s="16" t="s">
        <v>1065</v>
      </c>
      <c r="F1" s="16" t="s">
        <v>1066</v>
      </c>
      <c r="G1" s="16" t="s">
        <v>1067</v>
      </c>
    </row>
    <row r="2" spans="1:7">
      <c r="A2" t="s">
        <v>1068</v>
      </c>
      <c r="B2" t="s">
        <v>3364</v>
      </c>
      <c r="C2" t="s">
        <v>1088</v>
      </c>
      <c r="D2" t="s">
        <v>3365</v>
      </c>
      <c r="E2" t="s">
        <v>1070</v>
      </c>
      <c r="F2">
        <v>112.42</v>
      </c>
      <c r="G2">
        <v>416</v>
      </c>
    </row>
    <row r="3" spans="1:7">
      <c r="A3" t="s">
        <v>1071</v>
      </c>
      <c r="B3" t="s">
        <v>3366</v>
      </c>
      <c r="C3" t="s">
        <v>1072</v>
      </c>
      <c r="D3" t="s">
        <v>3367</v>
      </c>
      <c r="E3" t="s">
        <v>1073</v>
      </c>
      <c r="F3">
        <v>342.56</v>
      </c>
      <c r="G3">
        <v>181</v>
      </c>
    </row>
    <row r="4" spans="1:7">
      <c r="A4" t="s">
        <v>1074</v>
      </c>
      <c r="B4" t="s">
        <v>3368</v>
      </c>
      <c r="C4" t="s">
        <v>1072</v>
      </c>
      <c r="D4" t="s">
        <v>3369</v>
      </c>
      <c r="E4" t="s">
        <v>1075</v>
      </c>
      <c r="G4">
        <v>352</v>
      </c>
    </row>
    <row r="5" spans="1:7">
      <c r="A5" t="s">
        <v>3362</v>
      </c>
      <c r="B5" t="s">
        <v>3370</v>
      </c>
      <c r="C5" t="s">
        <v>1072</v>
      </c>
      <c r="D5" t="s">
        <v>3369</v>
      </c>
      <c r="E5" t="s">
        <v>1077</v>
      </c>
      <c r="F5">
        <v>364.67</v>
      </c>
      <c r="G5">
        <v>452</v>
      </c>
    </row>
    <row r="6" spans="1:7">
      <c r="A6" t="s">
        <v>1078</v>
      </c>
      <c r="B6" t="s">
        <v>3371</v>
      </c>
      <c r="C6" t="s">
        <v>1072</v>
      </c>
      <c r="D6" t="s">
        <v>3372</v>
      </c>
      <c r="E6" t="s">
        <v>1079</v>
      </c>
      <c r="F6">
        <v>306.45999999999998</v>
      </c>
      <c r="G6">
        <v>487</v>
      </c>
    </row>
    <row r="7" spans="1:7">
      <c r="A7" t="s">
        <v>1080</v>
      </c>
      <c r="B7" t="s">
        <v>3373</v>
      </c>
      <c r="C7" t="s">
        <v>1072</v>
      </c>
      <c r="D7" t="s">
        <v>3374</v>
      </c>
      <c r="E7" t="s">
        <v>1081</v>
      </c>
      <c r="F7">
        <v>261</v>
      </c>
      <c r="G7">
        <v>59</v>
      </c>
    </row>
    <row r="8" spans="1:7">
      <c r="A8" t="s">
        <v>1082</v>
      </c>
      <c r="B8" t="s">
        <v>3375</v>
      </c>
      <c r="C8" t="s">
        <v>1083</v>
      </c>
      <c r="D8" t="s">
        <v>3376</v>
      </c>
      <c r="E8" t="s">
        <v>1084</v>
      </c>
      <c r="F8">
        <v>312.8</v>
      </c>
      <c r="G8">
        <v>350</v>
      </c>
    </row>
    <row r="9" spans="1:7">
      <c r="A9" t="s">
        <v>1085</v>
      </c>
      <c r="B9" t="s">
        <v>3377</v>
      </c>
      <c r="C9" t="s">
        <v>1069</v>
      </c>
      <c r="D9" t="s">
        <v>3378</v>
      </c>
      <c r="E9" t="s">
        <v>1086</v>
      </c>
      <c r="F9">
        <v>218.86</v>
      </c>
      <c r="G9">
        <v>170</v>
      </c>
    </row>
    <row r="10" spans="1:7">
      <c r="A10" t="s">
        <v>1087</v>
      </c>
      <c r="B10" t="s">
        <v>3379</v>
      </c>
      <c r="C10" t="s">
        <v>1088</v>
      </c>
      <c r="D10" t="s">
        <v>3380</v>
      </c>
      <c r="E10" t="s">
        <v>1089</v>
      </c>
      <c r="F10">
        <v>439.07</v>
      </c>
      <c r="G10">
        <v>142</v>
      </c>
    </row>
    <row r="11" spans="1:7">
      <c r="A11" t="s">
        <v>1090</v>
      </c>
      <c r="B11" t="s">
        <v>3381</v>
      </c>
      <c r="C11" t="s">
        <v>1091</v>
      </c>
      <c r="D11" t="s">
        <v>3382</v>
      </c>
      <c r="E11" t="s">
        <v>1092</v>
      </c>
      <c r="F11">
        <v>495.72</v>
      </c>
      <c r="G11">
        <v>323</v>
      </c>
    </row>
    <row r="12" spans="1:7">
      <c r="A12" t="s">
        <v>1093</v>
      </c>
      <c r="B12" t="s">
        <v>3383</v>
      </c>
      <c r="C12" t="s">
        <v>1069</v>
      </c>
      <c r="D12" t="s">
        <v>3384</v>
      </c>
      <c r="E12" t="s">
        <v>1094</v>
      </c>
      <c r="F12">
        <v>298.86</v>
      </c>
      <c r="G12">
        <v>308</v>
      </c>
    </row>
    <row r="13" spans="1:7">
      <c r="A13" t="s">
        <v>1095</v>
      </c>
      <c r="B13" t="s">
        <v>3385</v>
      </c>
      <c r="C13" t="s">
        <v>1088</v>
      </c>
      <c r="D13" t="s">
        <v>3374</v>
      </c>
      <c r="E13" t="s">
        <v>1096</v>
      </c>
      <c r="F13">
        <v>449.4</v>
      </c>
    </row>
    <row r="14" spans="1:7">
      <c r="A14" t="s">
        <v>1097</v>
      </c>
      <c r="B14" t="s">
        <v>3386</v>
      </c>
      <c r="C14" t="s">
        <v>1083</v>
      </c>
      <c r="D14" t="s">
        <v>3387</v>
      </c>
      <c r="E14" t="s">
        <v>1098</v>
      </c>
      <c r="F14">
        <v>115.82</v>
      </c>
      <c r="G14">
        <v>460</v>
      </c>
    </row>
    <row r="15" spans="1:7">
      <c r="A15" t="s">
        <v>1099</v>
      </c>
      <c r="B15" t="s">
        <v>3388</v>
      </c>
      <c r="C15" t="s">
        <v>1088</v>
      </c>
      <c r="D15" t="s">
        <v>3374</v>
      </c>
      <c r="E15" t="s">
        <v>1100</v>
      </c>
      <c r="F15">
        <v>242.23</v>
      </c>
      <c r="G15">
        <v>453</v>
      </c>
    </row>
    <row r="16" spans="1:7">
      <c r="A16" t="s">
        <v>1101</v>
      </c>
      <c r="B16" t="s">
        <v>3389</v>
      </c>
      <c r="C16" t="s">
        <v>1069</v>
      </c>
      <c r="D16" t="s">
        <v>3390</v>
      </c>
      <c r="E16" t="s">
        <v>1102</v>
      </c>
      <c r="F16">
        <v>48.01</v>
      </c>
      <c r="G16">
        <v>439</v>
      </c>
    </row>
    <row r="17" spans="1:7">
      <c r="A17" t="s">
        <v>1103</v>
      </c>
      <c r="B17" t="s">
        <v>3391</v>
      </c>
      <c r="C17" t="s">
        <v>1088</v>
      </c>
      <c r="D17" t="s">
        <v>3392</v>
      </c>
      <c r="E17" t="s">
        <v>1104</v>
      </c>
      <c r="F17">
        <v>465.34</v>
      </c>
      <c r="G17">
        <v>301</v>
      </c>
    </row>
    <row r="18" spans="1:7">
      <c r="A18" t="s">
        <v>3363</v>
      </c>
      <c r="B18" t="s">
        <v>3393</v>
      </c>
      <c r="C18" t="s">
        <v>1083</v>
      </c>
      <c r="D18" t="s">
        <v>3394</v>
      </c>
      <c r="E18" t="s">
        <v>1106</v>
      </c>
      <c r="F18">
        <v>337.42</v>
      </c>
      <c r="G18">
        <v>256</v>
      </c>
    </row>
    <row r="19" spans="1:7">
      <c r="A19" t="s">
        <v>1107</v>
      </c>
      <c r="B19" t="s">
        <v>3395</v>
      </c>
      <c r="C19" t="s">
        <v>1091</v>
      </c>
      <c r="D19" t="s">
        <v>3374</v>
      </c>
      <c r="E19" t="s">
        <v>1108</v>
      </c>
      <c r="F19">
        <v>144.53</v>
      </c>
      <c r="G19">
        <v>367</v>
      </c>
    </row>
    <row r="20" spans="1:7">
      <c r="A20" t="s">
        <v>1109</v>
      </c>
      <c r="B20" t="s">
        <v>3396</v>
      </c>
      <c r="C20" t="s">
        <v>1072</v>
      </c>
      <c r="D20" t="s">
        <v>3372</v>
      </c>
      <c r="E20" t="s">
        <v>1110</v>
      </c>
      <c r="G20">
        <v>343</v>
      </c>
    </row>
    <row r="21" spans="1:7">
      <c r="A21" t="s">
        <v>1111</v>
      </c>
      <c r="B21" t="s">
        <v>3397</v>
      </c>
      <c r="C21" t="s">
        <v>1091</v>
      </c>
      <c r="D21" t="s">
        <v>3398</v>
      </c>
      <c r="E21" t="s">
        <v>1112</v>
      </c>
      <c r="F21">
        <v>21.34</v>
      </c>
      <c r="G21">
        <v>65</v>
      </c>
    </row>
    <row r="22" spans="1:7">
      <c r="A22" t="s">
        <v>1113</v>
      </c>
      <c r="B22" t="s">
        <v>3399</v>
      </c>
      <c r="C22" t="s">
        <v>1091</v>
      </c>
      <c r="D22" t="s">
        <v>3374</v>
      </c>
      <c r="E22" t="s">
        <v>1114</v>
      </c>
      <c r="F22">
        <v>131.51</v>
      </c>
    </row>
    <row r="23" spans="1:7">
      <c r="A23" t="s">
        <v>1115</v>
      </c>
      <c r="B23" t="s">
        <v>3400</v>
      </c>
      <c r="C23" t="s">
        <v>1069</v>
      </c>
      <c r="D23" t="s">
        <v>3401</v>
      </c>
      <c r="E23" t="s">
        <v>1116</v>
      </c>
      <c r="F23">
        <v>123.46</v>
      </c>
      <c r="G23">
        <v>76</v>
      </c>
    </row>
    <row r="24" spans="1:7">
      <c r="A24" t="s">
        <v>1117</v>
      </c>
      <c r="B24" t="s">
        <v>3402</v>
      </c>
      <c r="C24" t="s">
        <v>1091</v>
      </c>
      <c r="D24" t="s">
        <v>3398</v>
      </c>
      <c r="E24" t="s">
        <v>1118</v>
      </c>
      <c r="F24">
        <v>484.62</v>
      </c>
      <c r="G24">
        <v>432</v>
      </c>
    </row>
    <row r="25" spans="1:7">
      <c r="A25" t="s">
        <v>1119</v>
      </c>
      <c r="B25" t="s">
        <v>3403</v>
      </c>
      <c r="C25" t="s">
        <v>1072</v>
      </c>
      <c r="D25" t="s">
        <v>3367</v>
      </c>
      <c r="E25" t="s">
        <v>1120</v>
      </c>
      <c r="G25">
        <v>360</v>
      </c>
    </row>
    <row r="26" spans="1:7">
      <c r="A26" t="s">
        <v>1121</v>
      </c>
      <c r="B26" t="s">
        <v>3404</v>
      </c>
      <c r="C26" t="s">
        <v>1091</v>
      </c>
      <c r="D26" t="s">
        <v>3405</v>
      </c>
      <c r="E26" t="s">
        <v>1122</v>
      </c>
      <c r="F26">
        <v>166.06</v>
      </c>
      <c r="G26">
        <v>340</v>
      </c>
    </row>
    <row r="27" spans="1:7">
      <c r="A27" t="s">
        <v>1123</v>
      </c>
      <c r="B27" t="s">
        <v>3406</v>
      </c>
      <c r="C27" t="s">
        <v>1072</v>
      </c>
      <c r="D27" t="s">
        <v>3374</v>
      </c>
      <c r="E27" t="s">
        <v>1124</v>
      </c>
      <c r="F27">
        <v>174.02</v>
      </c>
      <c r="G27">
        <v>268</v>
      </c>
    </row>
    <row r="28" spans="1:7">
      <c r="A28" t="s">
        <v>1125</v>
      </c>
      <c r="B28" t="s">
        <v>3407</v>
      </c>
      <c r="C28" t="s">
        <v>1088</v>
      </c>
      <c r="D28" t="s">
        <v>3380</v>
      </c>
      <c r="E28" t="s">
        <v>1126</v>
      </c>
      <c r="F28">
        <v>322.41000000000003</v>
      </c>
      <c r="G28">
        <v>213</v>
      </c>
    </row>
    <row r="29" spans="1:7">
      <c r="A29" t="s">
        <v>1127</v>
      </c>
      <c r="B29" t="s">
        <v>3408</v>
      </c>
      <c r="C29" t="s">
        <v>1069</v>
      </c>
      <c r="D29" t="s">
        <v>3390</v>
      </c>
      <c r="E29" t="s">
        <v>1128</v>
      </c>
      <c r="G29">
        <v>378</v>
      </c>
    </row>
    <row r="30" spans="1:7">
      <c r="A30" t="s">
        <v>1129</v>
      </c>
      <c r="B30" t="s">
        <v>3409</v>
      </c>
      <c r="C30" t="s">
        <v>1091</v>
      </c>
      <c r="D30" t="s">
        <v>3374</v>
      </c>
      <c r="E30" t="s">
        <v>1130</v>
      </c>
      <c r="F30">
        <v>38.76</v>
      </c>
      <c r="G30">
        <v>137</v>
      </c>
    </row>
    <row r="31" spans="1:7">
      <c r="A31" t="s">
        <v>1131</v>
      </c>
      <c r="B31" t="s">
        <v>3410</v>
      </c>
      <c r="C31" t="s">
        <v>1069</v>
      </c>
      <c r="D31" t="s">
        <v>3390</v>
      </c>
      <c r="E31" t="s">
        <v>1132</v>
      </c>
      <c r="F31">
        <v>218.48</v>
      </c>
      <c r="G31">
        <v>276</v>
      </c>
    </row>
    <row r="32" spans="1:7">
      <c r="A32" t="s">
        <v>1133</v>
      </c>
      <c r="B32" t="s">
        <v>3411</v>
      </c>
      <c r="C32" t="s">
        <v>1069</v>
      </c>
      <c r="D32" t="s">
        <v>3384</v>
      </c>
      <c r="E32" t="s">
        <v>1134</v>
      </c>
      <c r="F32">
        <v>19.52</v>
      </c>
      <c r="G32">
        <v>57</v>
      </c>
    </row>
    <row r="33" spans="1:7">
      <c r="A33" t="s">
        <v>1135</v>
      </c>
      <c r="B33" t="s">
        <v>3412</v>
      </c>
      <c r="C33" t="s">
        <v>1091</v>
      </c>
      <c r="D33" t="s">
        <v>3413</v>
      </c>
      <c r="E33" t="s">
        <v>1136</v>
      </c>
      <c r="F33">
        <v>204.39</v>
      </c>
      <c r="G33">
        <v>281</v>
      </c>
    </row>
    <row r="34" spans="1:7">
      <c r="A34" t="s">
        <v>1137</v>
      </c>
      <c r="B34" t="s">
        <v>3414</v>
      </c>
      <c r="C34" t="s">
        <v>1083</v>
      </c>
      <c r="D34" t="s">
        <v>3376</v>
      </c>
      <c r="E34" t="s">
        <v>1138</v>
      </c>
      <c r="F34">
        <v>283.83</v>
      </c>
      <c r="G34">
        <v>244</v>
      </c>
    </row>
    <row r="35" spans="1:7">
      <c r="A35" t="s">
        <v>1139</v>
      </c>
      <c r="B35" t="s">
        <v>3415</v>
      </c>
      <c r="C35" t="s">
        <v>1069</v>
      </c>
      <c r="D35" t="s">
        <v>3390</v>
      </c>
      <c r="E35" t="s">
        <v>1140</v>
      </c>
      <c r="F35">
        <v>179.77</v>
      </c>
      <c r="G35">
        <v>305</v>
      </c>
    </row>
    <row r="36" spans="1:7">
      <c r="A36" t="s">
        <v>1141</v>
      </c>
      <c r="B36" t="s">
        <v>3416</v>
      </c>
      <c r="C36" t="s">
        <v>1088</v>
      </c>
      <c r="D36" t="s">
        <v>3365</v>
      </c>
      <c r="E36" t="s">
        <v>1142</v>
      </c>
      <c r="F36">
        <v>419.28</v>
      </c>
      <c r="G36">
        <v>86</v>
      </c>
    </row>
    <row r="37" spans="1:7">
      <c r="A37" t="s">
        <v>1143</v>
      </c>
      <c r="B37" t="s">
        <v>3417</v>
      </c>
      <c r="C37" t="s">
        <v>1069</v>
      </c>
      <c r="D37" t="s">
        <v>3378</v>
      </c>
      <c r="E37" t="s">
        <v>1144</v>
      </c>
      <c r="F37">
        <v>382.22</v>
      </c>
      <c r="G37">
        <v>329</v>
      </c>
    </row>
    <row r="38" spans="1:7">
      <c r="A38" t="s">
        <v>1145</v>
      </c>
      <c r="B38" t="s">
        <v>3418</v>
      </c>
      <c r="C38" t="s">
        <v>1072</v>
      </c>
      <c r="D38" t="s">
        <v>3367</v>
      </c>
      <c r="E38" t="s">
        <v>1146</v>
      </c>
      <c r="F38">
        <v>223.43</v>
      </c>
      <c r="G38">
        <v>154</v>
      </c>
    </row>
    <row r="39" spans="1:7">
      <c r="A39" t="s">
        <v>1147</v>
      </c>
      <c r="B39" t="s">
        <v>3419</v>
      </c>
      <c r="C39" t="s">
        <v>1072</v>
      </c>
      <c r="D39" t="s">
        <v>3420</v>
      </c>
      <c r="E39" t="s">
        <v>1148</v>
      </c>
      <c r="F39">
        <v>353.47</v>
      </c>
      <c r="G39">
        <v>214</v>
      </c>
    </row>
    <row r="40" spans="1:7">
      <c r="A40" t="s">
        <v>1149</v>
      </c>
      <c r="B40" t="s">
        <v>3421</v>
      </c>
      <c r="C40" t="s">
        <v>1091</v>
      </c>
      <c r="D40" t="s">
        <v>3405</v>
      </c>
      <c r="E40" t="s">
        <v>1150</v>
      </c>
      <c r="F40">
        <v>135.61000000000001</v>
      </c>
      <c r="G40">
        <v>394</v>
      </c>
    </row>
    <row r="41" spans="1:7">
      <c r="A41" t="s">
        <v>1151</v>
      </c>
      <c r="B41" t="s">
        <v>3422</v>
      </c>
      <c r="C41" t="s">
        <v>1088</v>
      </c>
      <c r="D41" t="s">
        <v>3423</v>
      </c>
      <c r="E41" t="s">
        <v>1152</v>
      </c>
      <c r="F41">
        <v>326.06</v>
      </c>
      <c r="G41">
        <v>301</v>
      </c>
    </row>
    <row r="42" spans="1:7">
      <c r="A42" t="s">
        <v>1153</v>
      </c>
      <c r="B42" t="s">
        <v>3424</v>
      </c>
      <c r="C42" t="s">
        <v>1088</v>
      </c>
      <c r="D42" t="s">
        <v>3380</v>
      </c>
      <c r="E42" t="s">
        <v>1154</v>
      </c>
      <c r="F42">
        <v>38.520000000000003</v>
      </c>
      <c r="G42">
        <v>378</v>
      </c>
    </row>
    <row r="43" spans="1:7">
      <c r="A43" t="s">
        <v>1155</v>
      </c>
      <c r="B43" t="s">
        <v>3425</v>
      </c>
      <c r="C43" t="s">
        <v>1091</v>
      </c>
      <c r="D43" t="s">
        <v>3382</v>
      </c>
      <c r="E43" t="s">
        <v>1156</v>
      </c>
      <c r="F43">
        <v>313.26</v>
      </c>
      <c r="G43">
        <v>369</v>
      </c>
    </row>
    <row r="44" spans="1:7">
      <c r="A44" t="s">
        <v>1157</v>
      </c>
      <c r="B44" t="s">
        <v>3426</v>
      </c>
      <c r="C44" t="s">
        <v>1088</v>
      </c>
      <c r="D44" t="s">
        <v>3374</v>
      </c>
      <c r="E44" t="s">
        <v>1158</v>
      </c>
      <c r="F44">
        <v>450.71</v>
      </c>
      <c r="G44">
        <v>389</v>
      </c>
    </row>
    <row r="45" spans="1:7">
      <c r="A45" t="s">
        <v>1159</v>
      </c>
      <c r="B45" t="s">
        <v>3427</v>
      </c>
      <c r="C45" t="s">
        <v>1088</v>
      </c>
      <c r="D45" t="s">
        <v>3365</v>
      </c>
      <c r="E45" t="s">
        <v>1160</v>
      </c>
      <c r="F45">
        <v>253.33</v>
      </c>
      <c r="G45">
        <v>266</v>
      </c>
    </row>
    <row r="46" spans="1:7">
      <c r="A46" t="s">
        <v>1161</v>
      </c>
      <c r="B46" t="s">
        <v>3428</v>
      </c>
      <c r="C46" t="s">
        <v>1091</v>
      </c>
      <c r="D46" t="s">
        <v>3382</v>
      </c>
      <c r="E46" t="s">
        <v>1162</v>
      </c>
      <c r="F46">
        <v>167.12</v>
      </c>
      <c r="G46">
        <v>316</v>
      </c>
    </row>
    <row r="47" spans="1:7">
      <c r="A47" t="s">
        <v>1163</v>
      </c>
      <c r="B47" t="s">
        <v>3429</v>
      </c>
      <c r="C47" t="s">
        <v>1091</v>
      </c>
      <c r="D47" t="s">
        <v>3413</v>
      </c>
      <c r="E47" t="s">
        <v>1164</v>
      </c>
      <c r="F47">
        <v>318.91000000000003</v>
      </c>
      <c r="G47">
        <v>114</v>
      </c>
    </row>
    <row r="48" spans="1:7">
      <c r="A48" t="s">
        <v>1165</v>
      </c>
      <c r="B48" t="s">
        <v>3430</v>
      </c>
      <c r="C48" t="s">
        <v>1072</v>
      </c>
      <c r="D48" t="s">
        <v>3369</v>
      </c>
      <c r="E48" t="s">
        <v>1166</v>
      </c>
      <c r="F48">
        <v>167.34</v>
      </c>
      <c r="G48">
        <v>296</v>
      </c>
    </row>
    <row r="49" spans="1:7">
      <c r="A49" t="s">
        <v>1167</v>
      </c>
      <c r="B49" t="s">
        <v>3431</v>
      </c>
      <c r="C49" t="s">
        <v>1083</v>
      </c>
      <c r="D49" t="s">
        <v>3432</v>
      </c>
      <c r="E49" t="s">
        <v>1168</v>
      </c>
      <c r="G49">
        <v>431</v>
      </c>
    </row>
    <row r="50" spans="1:7">
      <c r="A50" t="s">
        <v>1169</v>
      </c>
      <c r="B50" t="s">
        <v>3433</v>
      </c>
      <c r="C50" t="s">
        <v>1088</v>
      </c>
      <c r="D50" t="s">
        <v>3374</v>
      </c>
      <c r="E50" t="s">
        <v>1170</v>
      </c>
      <c r="F50">
        <v>177.98</v>
      </c>
      <c r="G50">
        <v>103</v>
      </c>
    </row>
    <row r="51" spans="1:7">
      <c r="A51" t="s">
        <v>1171</v>
      </c>
      <c r="B51" t="s">
        <v>3434</v>
      </c>
      <c r="C51" t="s">
        <v>1083</v>
      </c>
      <c r="D51" t="s">
        <v>3435</v>
      </c>
      <c r="E51" t="s">
        <v>1172</v>
      </c>
      <c r="F51">
        <v>43.29</v>
      </c>
      <c r="G51">
        <v>267</v>
      </c>
    </row>
    <row r="52" spans="1:7">
      <c r="A52" t="s">
        <v>1173</v>
      </c>
      <c r="B52" t="s">
        <v>3436</v>
      </c>
      <c r="C52" t="s">
        <v>1091</v>
      </c>
      <c r="D52" t="s">
        <v>3382</v>
      </c>
      <c r="E52" t="s">
        <v>1174</v>
      </c>
      <c r="F52">
        <v>190.29</v>
      </c>
      <c r="G52">
        <v>260</v>
      </c>
    </row>
    <row r="53" spans="1:7">
      <c r="A53" t="s">
        <v>1175</v>
      </c>
      <c r="B53" t="s">
        <v>3437</v>
      </c>
      <c r="C53" t="s">
        <v>1088</v>
      </c>
      <c r="D53" t="s">
        <v>3374</v>
      </c>
      <c r="E53" t="s">
        <v>1176</v>
      </c>
      <c r="F53">
        <v>88.49</v>
      </c>
      <c r="G53">
        <v>246</v>
      </c>
    </row>
    <row r="54" spans="1:7">
      <c r="A54" t="s">
        <v>1177</v>
      </c>
      <c r="B54" t="s">
        <v>3438</v>
      </c>
      <c r="C54" t="s">
        <v>1091</v>
      </c>
      <c r="D54" t="s">
        <v>3413</v>
      </c>
      <c r="E54" t="s">
        <v>1178</v>
      </c>
      <c r="F54">
        <v>212.26</v>
      </c>
      <c r="G54">
        <v>82</v>
      </c>
    </row>
    <row r="55" spans="1:7">
      <c r="A55" t="s">
        <v>1179</v>
      </c>
      <c r="B55" t="s">
        <v>3439</v>
      </c>
      <c r="C55" t="s">
        <v>1072</v>
      </c>
      <c r="D55" t="s">
        <v>3372</v>
      </c>
      <c r="E55" t="s">
        <v>1180</v>
      </c>
      <c r="F55">
        <v>386.56</v>
      </c>
      <c r="G55">
        <v>125</v>
      </c>
    </row>
    <row r="56" spans="1:7">
      <c r="A56" t="s">
        <v>1181</v>
      </c>
      <c r="B56" t="s">
        <v>3440</v>
      </c>
      <c r="C56" t="s">
        <v>1091</v>
      </c>
      <c r="D56" t="s">
        <v>3374</v>
      </c>
      <c r="E56" t="s">
        <v>1182</v>
      </c>
      <c r="F56">
        <v>434.84</v>
      </c>
      <c r="G56">
        <v>185</v>
      </c>
    </row>
    <row r="57" spans="1:7">
      <c r="A57" t="s">
        <v>1183</v>
      </c>
      <c r="B57" t="s">
        <v>3441</v>
      </c>
      <c r="C57" t="s">
        <v>1069</v>
      </c>
      <c r="D57" t="s">
        <v>3390</v>
      </c>
      <c r="E57" t="s">
        <v>1184</v>
      </c>
      <c r="F57">
        <v>81.75</v>
      </c>
    </row>
    <row r="58" spans="1:7">
      <c r="A58" t="s">
        <v>1185</v>
      </c>
      <c r="B58" t="s">
        <v>3442</v>
      </c>
      <c r="C58" t="s">
        <v>1069</v>
      </c>
      <c r="D58" t="s">
        <v>3390</v>
      </c>
      <c r="E58" t="s">
        <v>1186</v>
      </c>
      <c r="F58">
        <v>461.47</v>
      </c>
      <c r="G58">
        <v>190</v>
      </c>
    </row>
    <row r="59" spans="1:7">
      <c r="A59" t="s">
        <v>1187</v>
      </c>
      <c r="B59" t="s">
        <v>3443</v>
      </c>
      <c r="C59" t="s">
        <v>1091</v>
      </c>
      <c r="D59" t="s">
        <v>3382</v>
      </c>
      <c r="E59" t="s">
        <v>1188</v>
      </c>
      <c r="F59">
        <v>30.62</v>
      </c>
      <c r="G59">
        <v>138</v>
      </c>
    </row>
    <row r="60" spans="1:7">
      <c r="A60" t="s">
        <v>1189</v>
      </c>
      <c r="B60" t="s">
        <v>3444</v>
      </c>
      <c r="C60" t="s">
        <v>1072</v>
      </c>
      <c r="D60" t="s">
        <v>3374</v>
      </c>
      <c r="E60" t="s">
        <v>1190</v>
      </c>
      <c r="F60">
        <v>113.83</v>
      </c>
      <c r="G60">
        <v>485</v>
      </c>
    </row>
    <row r="61" spans="1:7">
      <c r="A61" t="s">
        <v>1191</v>
      </c>
      <c r="B61" t="s">
        <v>3445</v>
      </c>
      <c r="C61" t="s">
        <v>1083</v>
      </c>
      <c r="D61" t="s">
        <v>3387</v>
      </c>
      <c r="E61" t="s">
        <v>1192</v>
      </c>
      <c r="F61">
        <v>17.309999999999999</v>
      </c>
      <c r="G61">
        <v>399</v>
      </c>
    </row>
    <row r="62" spans="1:7">
      <c r="A62" t="s">
        <v>1193</v>
      </c>
      <c r="B62" t="s">
        <v>3446</v>
      </c>
      <c r="C62" t="s">
        <v>1083</v>
      </c>
      <c r="D62" t="s">
        <v>3435</v>
      </c>
      <c r="E62" t="s">
        <v>1194</v>
      </c>
      <c r="F62">
        <v>482.75</v>
      </c>
      <c r="G62">
        <v>444</v>
      </c>
    </row>
    <row r="63" spans="1:7">
      <c r="A63" t="s">
        <v>1195</v>
      </c>
      <c r="B63" t="s">
        <v>3447</v>
      </c>
      <c r="C63" t="s">
        <v>1091</v>
      </c>
      <c r="D63" t="s">
        <v>3398</v>
      </c>
      <c r="E63" t="s">
        <v>1196</v>
      </c>
      <c r="F63">
        <v>103.45</v>
      </c>
      <c r="G63">
        <v>465</v>
      </c>
    </row>
    <row r="64" spans="1:7">
      <c r="A64" t="s">
        <v>1197</v>
      </c>
      <c r="B64" t="s">
        <v>3448</v>
      </c>
      <c r="C64" t="s">
        <v>1088</v>
      </c>
      <c r="D64" t="s">
        <v>3365</v>
      </c>
      <c r="E64" t="s">
        <v>1198</v>
      </c>
      <c r="F64">
        <v>86.42</v>
      </c>
      <c r="G64">
        <v>222</v>
      </c>
    </row>
    <row r="65" spans="1:7">
      <c r="A65" t="s">
        <v>1199</v>
      </c>
      <c r="B65" t="s">
        <v>3449</v>
      </c>
      <c r="C65" t="s">
        <v>1083</v>
      </c>
      <c r="D65" t="s">
        <v>3376</v>
      </c>
      <c r="E65" t="s">
        <v>1200</v>
      </c>
      <c r="F65">
        <v>266.86</v>
      </c>
      <c r="G65">
        <v>458</v>
      </c>
    </row>
    <row r="66" spans="1:7">
      <c r="A66" t="s">
        <v>1201</v>
      </c>
      <c r="B66" t="s">
        <v>3450</v>
      </c>
      <c r="C66" t="s">
        <v>1083</v>
      </c>
      <c r="D66" t="s">
        <v>3432</v>
      </c>
      <c r="E66" t="s">
        <v>1202</v>
      </c>
      <c r="F66">
        <v>299.11</v>
      </c>
      <c r="G66">
        <v>118</v>
      </c>
    </row>
    <row r="67" spans="1:7">
      <c r="A67" t="s">
        <v>1203</v>
      </c>
      <c r="B67" t="s">
        <v>3451</v>
      </c>
      <c r="C67" t="s">
        <v>1091</v>
      </c>
      <c r="D67" t="s">
        <v>3382</v>
      </c>
      <c r="E67" t="s">
        <v>1204</v>
      </c>
      <c r="F67">
        <v>240.63</v>
      </c>
      <c r="G67">
        <v>423</v>
      </c>
    </row>
    <row r="68" spans="1:7">
      <c r="A68" t="s">
        <v>1205</v>
      </c>
      <c r="B68" t="s">
        <v>3452</v>
      </c>
      <c r="C68" t="s">
        <v>1083</v>
      </c>
      <c r="D68" t="s">
        <v>3387</v>
      </c>
      <c r="E68" t="s">
        <v>1206</v>
      </c>
      <c r="F68">
        <v>340.39</v>
      </c>
      <c r="G68">
        <v>177</v>
      </c>
    </row>
    <row r="69" spans="1:7">
      <c r="A69" t="s">
        <v>1207</v>
      </c>
      <c r="B69" t="s">
        <v>3453</v>
      </c>
      <c r="C69" t="s">
        <v>1088</v>
      </c>
      <c r="D69" t="s">
        <v>3374</v>
      </c>
      <c r="E69" t="s">
        <v>1208</v>
      </c>
      <c r="F69">
        <v>349.17</v>
      </c>
      <c r="G69">
        <v>476</v>
      </c>
    </row>
    <row r="70" spans="1:7">
      <c r="A70" t="s">
        <v>1209</v>
      </c>
      <c r="B70" t="s">
        <v>3454</v>
      </c>
      <c r="C70" t="s">
        <v>1069</v>
      </c>
      <c r="D70" t="s">
        <v>3455</v>
      </c>
      <c r="E70" t="s">
        <v>1210</v>
      </c>
      <c r="F70">
        <v>243.7</v>
      </c>
      <c r="G70">
        <v>130</v>
      </c>
    </row>
    <row r="71" spans="1:7">
      <c r="A71" t="s">
        <v>1211</v>
      </c>
      <c r="B71" t="s">
        <v>3456</v>
      </c>
      <c r="C71" t="s">
        <v>1072</v>
      </c>
      <c r="D71" t="s">
        <v>3372</v>
      </c>
      <c r="E71" t="s">
        <v>1212</v>
      </c>
      <c r="F71">
        <v>218.22</v>
      </c>
      <c r="G71">
        <v>224</v>
      </c>
    </row>
    <row r="72" spans="1:7">
      <c r="A72" t="s">
        <v>1213</v>
      </c>
      <c r="B72" t="s">
        <v>3457</v>
      </c>
      <c r="C72" t="s">
        <v>1069</v>
      </c>
      <c r="D72" t="s">
        <v>3401</v>
      </c>
      <c r="E72" t="s">
        <v>1214</v>
      </c>
      <c r="F72">
        <v>138.05000000000001</v>
      </c>
      <c r="G72">
        <v>89</v>
      </c>
    </row>
    <row r="73" spans="1:7">
      <c r="A73" t="s">
        <v>1215</v>
      </c>
      <c r="B73" t="s">
        <v>3458</v>
      </c>
      <c r="C73" t="s">
        <v>1083</v>
      </c>
      <c r="D73" t="s">
        <v>3387</v>
      </c>
      <c r="E73" t="s">
        <v>1216</v>
      </c>
      <c r="F73">
        <v>214.32</v>
      </c>
      <c r="G73">
        <v>383</v>
      </c>
    </row>
    <row r="74" spans="1:7">
      <c r="A74" t="s">
        <v>1217</v>
      </c>
      <c r="B74" t="s">
        <v>3459</v>
      </c>
      <c r="C74" t="s">
        <v>1091</v>
      </c>
      <c r="D74" t="s">
        <v>3382</v>
      </c>
      <c r="E74" t="s">
        <v>1218</v>
      </c>
      <c r="F74">
        <v>477.61</v>
      </c>
      <c r="G74">
        <v>300</v>
      </c>
    </row>
    <row r="75" spans="1:7">
      <c r="A75" t="s">
        <v>1219</v>
      </c>
      <c r="B75" t="s">
        <v>3460</v>
      </c>
      <c r="C75" t="s">
        <v>1091</v>
      </c>
      <c r="D75" t="s">
        <v>3413</v>
      </c>
      <c r="E75" t="s">
        <v>1220</v>
      </c>
      <c r="F75">
        <v>107.06</v>
      </c>
      <c r="G75">
        <v>359</v>
      </c>
    </row>
    <row r="76" spans="1:7">
      <c r="A76" t="s">
        <v>1221</v>
      </c>
      <c r="B76" t="s">
        <v>3461</v>
      </c>
      <c r="C76" t="s">
        <v>1088</v>
      </c>
      <c r="D76" t="s">
        <v>3380</v>
      </c>
      <c r="E76" t="s">
        <v>1222</v>
      </c>
      <c r="F76">
        <v>403.71</v>
      </c>
      <c r="G76">
        <v>159</v>
      </c>
    </row>
    <row r="77" spans="1:7">
      <c r="A77" t="s">
        <v>1223</v>
      </c>
      <c r="B77" t="s">
        <v>3462</v>
      </c>
      <c r="C77" t="s">
        <v>1072</v>
      </c>
      <c r="D77" t="s">
        <v>3420</v>
      </c>
      <c r="E77" t="s">
        <v>1224</v>
      </c>
      <c r="F77">
        <v>158.13999999999999</v>
      </c>
      <c r="G77">
        <v>82</v>
      </c>
    </row>
    <row r="78" spans="1:7">
      <c r="A78" t="s">
        <v>1225</v>
      </c>
      <c r="B78" t="s">
        <v>3463</v>
      </c>
      <c r="C78" t="s">
        <v>1088</v>
      </c>
      <c r="D78" t="s">
        <v>3365</v>
      </c>
      <c r="E78" t="s">
        <v>1226</v>
      </c>
      <c r="F78">
        <v>392.89</v>
      </c>
      <c r="G78">
        <v>320</v>
      </c>
    </row>
    <row r="79" spans="1:7">
      <c r="A79" t="s">
        <v>1227</v>
      </c>
      <c r="B79" t="s">
        <v>3464</v>
      </c>
      <c r="C79" t="s">
        <v>1088</v>
      </c>
      <c r="D79" t="s">
        <v>3392</v>
      </c>
      <c r="E79" t="s">
        <v>1228</v>
      </c>
      <c r="F79">
        <v>480.9</v>
      </c>
      <c r="G79">
        <v>104</v>
      </c>
    </row>
    <row r="80" spans="1:7">
      <c r="A80" t="s">
        <v>1229</v>
      </c>
      <c r="B80" t="s">
        <v>3465</v>
      </c>
      <c r="C80" t="s">
        <v>1069</v>
      </c>
      <c r="D80" t="s">
        <v>3390</v>
      </c>
      <c r="E80" t="s">
        <v>1230</v>
      </c>
      <c r="F80">
        <v>325.26</v>
      </c>
      <c r="G80">
        <v>400</v>
      </c>
    </row>
    <row r="81" spans="1:7">
      <c r="A81" t="s">
        <v>1231</v>
      </c>
      <c r="B81" t="s">
        <v>3466</v>
      </c>
      <c r="C81" t="s">
        <v>1069</v>
      </c>
      <c r="D81" t="s">
        <v>3378</v>
      </c>
      <c r="E81" t="s">
        <v>1232</v>
      </c>
      <c r="F81">
        <v>228.53</v>
      </c>
      <c r="G81">
        <v>469</v>
      </c>
    </row>
    <row r="82" spans="1:7">
      <c r="A82" t="s">
        <v>1233</v>
      </c>
      <c r="B82" t="s">
        <v>3467</v>
      </c>
      <c r="C82" t="s">
        <v>1069</v>
      </c>
      <c r="D82" t="s">
        <v>3384</v>
      </c>
      <c r="E82" t="s">
        <v>1234</v>
      </c>
      <c r="F82">
        <v>143.43</v>
      </c>
      <c r="G82">
        <v>58</v>
      </c>
    </row>
    <row r="83" spans="1:7">
      <c r="A83" t="s">
        <v>1235</v>
      </c>
      <c r="B83" t="s">
        <v>3468</v>
      </c>
      <c r="C83" t="s">
        <v>1091</v>
      </c>
      <c r="D83" t="s">
        <v>3398</v>
      </c>
      <c r="E83" t="s">
        <v>1236</v>
      </c>
      <c r="F83">
        <v>285.54000000000002</v>
      </c>
      <c r="G83">
        <v>358</v>
      </c>
    </row>
    <row r="84" spans="1:7">
      <c r="A84" t="s">
        <v>1237</v>
      </c>
      <c r="B84" t="s">
        <v>3469</v>
      </c>
      <c r="C84" t="s">
        <v>1091</v>
      </c>
      <c r="D84" t="s">
        <v>3382</v>
      </c>
      <c r="E84" t="s">
        <v>1238</v>
      </c>
      <c r="F84">
        <v>152.91999999999999</v>
      </c>
      <c r="G84">
        <v>281</v>
      </c>
    </row>
    <row r="85" spans="1:7">
      <c r="A85" t="s">
        <v>1239</v>
      </c>
      <c r="B85" t="s">
        <v>3470</v>
      </c>
      <c r="C85" t="s">
        <v>1083</v>
      </c>
      <c r="D85" t="s">
        <v>3376</v>
      </c>
      <c r="E85" t="s">
        <v>1240</v>
      </c>
      <c r="G85">
        <v>159</v>
      </c>
    </row>
    <row r="86" spans="1:7">
      <c r="A86" t="s">
        <v>1241</v>
      </c>
      <c r="B86" t="s">
        <v>3471</v>
      </c>
      <c r="C86" t="s">
        <v>1069</v>
      </c>
      <c r="D86" t="s">
        <v>3455</v>
      </c>
      <c r="E86" t="s">
        <v>1242</v>
      </c>
      <c r="F86">
        <v>388.46</v>
      </c>
      <c r="G86">
        <v>208</v>
      </c>
    </row>
    <row r="87" spans="1:7">
      <c r="A87" t="s">
        <v>1243</v>
      </c>
      <c r="B87" t="s">
        <v>3472</v>
      </c>
      <c r="C87" t="s">
        <v>1072</v>
      </c>
      <c r="D87" t="s">
        <v>3374</v>
      </c>
      <c r="E87" t="s">
        <v>1244</v>
      </c>
      <c r="F87">
        <v>119.57</v>
      </c>
      <c r="G87">
        <v>210</v>
      </c>
    </row>
    <row r="88" spans="1:7">
      <c r="A88" t="s">
        <v>1245</v>
      </c>
      <c r="B88" t="s">
        <v>3473</v>
      </c>
      <c r="C88" t="s">
        <v>1069</v>
      </c>
      <c r="D88" t="s">
        <v>3384</v>
      </c>
      <c r="E88" t="s">
        <v>1246</v>
      </c>
      <c r="F88">
        <v>176.07</v>
      </c>
      <c r="G88">
        <v>82</v>
      </c>
    </row>
    <row r="89" spans="1:7">
      <c r="A89" t="s">
        <v>1247</v>
      </c>
      <c r="B89" t="s">
        <v>3474</v>
      </c>
      <c r="C89" t="s">
        <v>1069</v>
      </c>
      <c r="D89" t="s">
        <v>3378</v>
      </c>
      <c r="E89" t="s">
        <v>1248</v>
      </c>
      <c r="F89">
        <v>371.38</v>
      </c>
      <c r="G89">
        <v>220</v>
      </c>
    </row>
    <row r="90" spans="1:7">
      <c r="A90" t="s">
        <v>1249</v>
      </c>
      <c r="B90" t="s">
        <v>3475</v>
      </c>
      <c r="C90" t="s">
        <v>1091</v>
      </c>
      <c r="D90" t="s">
        <v>3374</v>
      </c>
      <c r="E90" t="s">
        <v>1250</v>
      </c>
      <c r="F90">
        <v>131.24</v>
      </c>
      <c r="G90">
        <v>232</v>
      </c>
    </row>
    <row r="91" spans="1:7">
      <c r="A91" t="s">
        <v>1251</v>
      </c>
      <c r="B91" t="s">
        <v>3476</v>
      </c>
      <c r="C91" t="s">
        <v>1083</v>
      </c>
      <c r="D91" t="s">
        <v>3432</v>
      </c>
      <c r="E91" t="s">
        <v>1252</v>
      </c>
      <c r="F91">
        <v>183.04</v>
      </c>
      <c r="G91">
        <v>457</v>
      </c>
    </row>
    <row r="92" spans="1:7">
      <c r="A92" t="s">
        <v>1253</v>
      </c>
      <c r="B92" t="s">
        <v>3477</v>
      </c>
      <c r="C92" t="s">
        <v>1088</v>
      </c>
      <c r="D92" t="s">
        <v>3374</v>
      </c>
      <c r="E92" t="s">
        <v>1254</v>
      </c>
      <c r="F92">
        <v>340.14</v>
      </c>
      <c r="G92">
        <v>361</v>
      </c>
    </row>
    <row r="93" spans="1:7">
      <c r="A93" t="s">
        <v>1255</v>
      </c>
      <c r="B93" t="s">
        <v>3478</v>
      </c>
      <c r="C93" t="s">
        <v>1072</v>
      </c>
      <c r="D93" t="s">
        <v>3420</v>
      </c>
      <c r="E93" t="s">
        <v>1256</v>
      </c>
      <c r="F93">
        <v>438.25</v>
      </c>
      <c r="G93">
        <v>496</v>
      </c>
    </row>
    <row r="94" spans="1:7">
      <c r="A94" t="s">
        <v>1257</v>
      </c>
      <c r="B94" t="s">
        <v>3479</v>
      </c>
      <c r="C94" t="s">
        <v>1069</v>
      </c>
      <c r="D94" t="s">
        <v>3392</v>
      </c>
      <c r="E94" t="s">
        <v>1258</v>
      </c>
      <c r="F94">
        <v>447.43</v>
      </c>
      <c r="G94">
        <v>191</v>
      </c>
    </row>
    <row r="95" spans="1:7">
      <c r="A95" t="s">
        <v>1259</v>
      </c>
      <c r="B95" t="s">
        <v>3480</v>
      </c>
      <c r="C95" t="s">
        <v>1088</v>
      </c>
      <c r="D95" t="s">
        <v>3365</v>
      </c>
      <c r="E95" t="s">
        <v>1260</v>
      </c>
      <c r="F95">
        <v>377.52</v>
      </c>
      <c r="G95">
        <v>485</v>
      </c>
    </row>
    <row r="96" spans="1:7">
      <c r="A96" t="s">
        <v>1261</v>
      </c>
      <c r="B96" t="s">
        <v>3481</v>
      </c>
      <c r="C96" t="s">
        <v>1083</v>
      </c>
      <c r="D96" t="s">
        <v>3376</v>
      </c>
      <c r="E96" t="s">
        <v>1262</v>
      </c>
      <c r="F96">
        <v>358.47</v>
      </c>
      <c r="G96">
        <v>213</v>
      </c>
    </row>
    <row r="97" spans="1:7">
      <c r="A97" t="s">
        <v>1263</v>
      </c>
      <c r="B97" t="s">
        <v>3482</v>
      </c>
      <c r="C97" t="s">
        <v>1091</v>
      </c>
      <c r="D97" t="s">
        <v>3374</v>
      </c>
      <c r="E97" t="s">
        <v>1264</v>
      </c>
      <c r="F97">
        <v>60.65</v>
      </c>
      <c r="G97">
        <v>75</v>
      </c>
    </row>
    <row r="98" spans="1:7">
      <c r="A98" t="s">
        <v>1265</v>
      </c>
      <c r="B98" t="s">
        <v>3483</v>
      </c>
      <c r="C98" t="s">
        <v>1072</v>
      </c>
      <c r="D98" t="s">
        <v>3369</v>
      </c>
      <c r="E98" t="s">
        <v>1266</v>
      </c>
      <c r="F98">
        <v>358.47</v>
      </c>
      <c r="G98">
        <v>143</v>
      </c>
    </row>
    <row r="99" spans="1:7">
      <c r="A99" t="s">
        <v>1267</v>
      </c>
      <c r="B99" t="s">
        <v>3484</v>
      </c>
      <c r="C99" t="s">
        <v>1091</v>
      </c>
      <c r="D99" t="s">
        <v>3413</v>
      </c>
      <c r="E99" t="s">
        <v>1268</v>
      </c>
      <c r="F99">
        <v>245.98</v>
      </c>
      <c r="G99">
        <v>471</v>
      </c>
    </row>
    <row r="100" spans="1:7">
      <c r="A100" t="s">
        <v>1269</v>
      </c>
      <c r="B100" t="s">
        <v>3485</v>
      </c>
      <c r="C100" t="s">
        <v>1088</v>
      </c>
      <c r="D100" t="s">
        <v>3380</v>
      </c>
      <c r="E100" t="s">
        <v>1270</v>
      </c>
      <c r="F100">
        <v>431.67</v>
      </c>
      <c r="G100">
        <v>73</v>
      </c>
    </row>
    <row r="101" spans="1:7">
      <c r="A101" t="s">
        <v>1271</v>
      </c>
      <c r="B101" t="s">
        <v>3486</v>
      </c>
      <c r="C101" t="s">
        <v>1069</v>
      </c>
      <c r="D101" t="s">
        <v>3384</v>
      </c>
      <c r="E101" t="s">
        <v>1272</v>
      </c>
      <c r="F101">
        <v>201.41</v>
      </c>
      <c r="G101">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2255-CE7E-483B-AE44-DD808F23045E}">
  <dimension ref="A1:E21"/>
  <sheetViews>
    <sheetView workbookViewId="0">
      <selection activeCell="H21" sqref="H21"/>
    </sheetView>
  </sheetViews>
  <sheetFormatPr defaultRowHeight="14.5"/>
  <sheetData>
    <row r="1" spans="1:5">
      <c r="A1" s="16" t="s">
        <v>1273</v>
      </c>
      <c r="B1" s="16" t="s">
        <v>1274</v>
      </c>
      <c r="C1" s="16" t="s">
        <v>1275</v>
      </c>
      <c r="D1" s="16" t="s">
        <v>4</v>
      </c>
      <c r="E1" s="16" t="s">
        <v>1276</v>
      </c>
    </row>
    <row r="2" spans="1:5">
      <c r="A2" t="s">
        <v>1277</v>
      </c>
      <c r="B2" t="s">
        <v>1278</v>
      </c>
      <c r="C2" t="s">
        <v>1279</v>
      </c>
      <c r="D2" t="s">
        <v>1280</v>
      </c>
      <c r="E2" t="s">
        <v>1281</v>
      </c>
    </row>
    <row r="3" spans="1:5">
      <c r="A3" t="s">
        <v>1282</v>
      </c>
      <c r="B3" t="s">
        <v>1283</v>
      </c>
      <c r="C3" t="s">
        <v>1284</v>
      </c>
      <c r="D3" t="s">
        <v>1285</v>
      </c>
      <c r="E3" t="s">
        <v>1281</v>
      </c>
    </row>
    <row r="4" spans="1:5">
      <c r="A4" t="s">
        <v>1286</v>
      </c>
      <c r="B4" t="s">
        <v>1287</v>
      </c>
      <c r="C4" t="s">
        <v>1288</v>
      </c>
      <c r="D4" t="s">
        <v>1289</v>
      </c>
      <c r="E4" t="s">
        <v>1290</v>
      </c>
    </row>
    <row r="5" spans="1:5">
      <c r="A5" t="s">
        <v>1291</v>
      </c>
      <c r="B5" t="s">
        <v>1292</v>
      </c>
      <c r="C5" t="s">
        <v>1284</v>
      </c>
      <c r="D5" t="s">
        <v>1293</v>
      </c>
      <c r="E5" t="s">
        <v>1290</v>
      </c>
    </row>
    <row r="6" spans="1:5">
      <c r="A6" t="s">
        <v>1294</v>
      </c>
      <c r="B6" t="s">
        <v>1295</v>
      </c>
      <c r="C6" t="s">
        <v>1288</v>
      </c>
      <c r="D6" t="s">
        <v>1296</v>
      </c>
      <c r="E6" t="s">
        <v>1297</v>
      </c>
    </row>
    <row r="7" spans="1:5">
      <c r="A7" t="s">
        <v>1298</v>
      </c>
      <c r="B7" t="s">
        <v>1299</v>
      </c>
      <c r="C7" t="s">
        <v>1284</v>
      </c>
      <c r="D7" t="s">
        <v>1300</v>
      </c>
      <c r="E7" t="s">
        <v>1290</v>
      </c>
    </row>
    <row r="8" spans="1:5">
      <c r="A8" t="s">
        <v>1301</v>
      </c>
      <c r="B8" t="s">
        <v>1302</v>
      </c>
      <c r="C8" t="s">
        <v>1279</v>
      </c>
      <c r="D8" t="s">
        <v>1303</v>
      </c>
      <c r="E8" t="s">
        <v>1297</v>
      </c>
    </row>
    <row r="9" spans="1:5">
      <c r="A9" t="s">
        <v>1304</v>
      </c>
      <c r="B9" t="s">
        <v>1305</v>
      </c>
      <c r="C9" t="s">
        <v>1288</v>
      </c>
      <c r="D9" t="s">
        <v>1306</v>
      </c>
      <c r="E9" t="s">
        <v>1297</v>
      </c>
    </row>
    <row r="10" spans="1:5">
      <c r="A10" t="s">
        <v>1307</v>
      </c>
      <c r="B10" t="s">
        <v>1308</v>
      </c>
      <c r="C10" t="s">
        <v>1309</v>
      </c>
      <c r="D10" t="s">
        <v>1310</v>
      </c>
      <c r="E10" t="s">
        <v>1297</v>
      </c>
    </row>
    <row r="11" spans="1:5">
      <c r="A11" t="s">
        <v>1311</v>
      </c>
      <c r="B11" t="s">
        <v>1312</v>
      </c>
      <c r="C11" t="s">
        <v>1288</v>
      </c>
      <c r="D11" t="s">
        <v>1313</v>
      </c>
      <c r="E11" t="s">
        <v>1281</v>
      </c>
    </row>
    <row r="12" spans="1:5">
      <c r="A12" t="s">
        <v>1314</v>
      </c>
      <c r="B12" t="s">
        <v>1315</v>
      </c>
      <c r="C12" t="s">
        <v>1279</v>
      </c>
      <c r="D12" t="s">
        <v>1316</v>
      </c>
      <c r="E12" t="s">
        <v>1297</v>
      </c>
    </row>
    <row r="13" spans="1:5">
      <c r="A13" t="s">
        <v>1317</v>
      </c>
      <c r="B13" t="s">
        <v>1318</v>
      </c>
      <c r="C13" t="s">
        <v>1288</v>
      </c>
      <c r="D13" t="s">
        <v>285</v>
      </c>
      <c r="E13" t="s">
        <v>1297</v>
      </c>
    </row>
    <row r="14" spans="1:5">
      <c r="A14" t="s">
        <v>1319</v>
      </c>
      <c r="B14" t="s">
        <v>1320</v>
      </c>
      <c r="C14" t="s">
        <v>1284</v>
      </c>
      <c r="D14" t="s">
        <v>1321</v>
      </c>
      <c r="E14" t="s">
        <v>1297</v>
      </c>
    </row>
    <row r="15" spans="1:5">
      <c r="A15" t="s">
        <v>1322</v>
      </c>
      <c r="B15" t="s">
        <v>1323</v>
      </c>
      <c r="C15" t="s">
        <v>1279</v>
      </c>
      <c r="D15" t="s">
        <v>98</v>
      </c>
      <c r="E15" t="s">
        <v>1281</v>
      </c>
    </row>
    <row r="16" spans="1:5">
      <c r="A16" t="s">
        <v>1324</v>
      </c>
      <c r="B16" t="s">
        <v>1325</v>
      </c>
      <c r="C16" t="s">
        <v>1288</v>
      </c>
      <c r="D16" t="s">
        <v>154</v>
      </c>
      <c r="E16" t="s">
        <v>1290</v>
      </c>
    </row>
    <row r="17" spans="1:5">
      <c r="A17" t="s">
        <v>1326</v>
      </c>
      <c r="B17" t="s">
        <v>1327</v>
      </c>
      <c r="C17" t="s">
        <v>1284</v>
      </c>
      <c r="D17" t="s">
        <v>1328</v>
      </c>
      <c r="E17" t="s">
        <v>1281</v>
      </c>
    </row>
    <row r="18" spans="1:5">
      <c r="A18" t="s">
        <v>1329</v>
      </c>
      <c r="B18" t="s">
        <v>1330</v>
      </c>
      <c r="C18" t="s">
        <v>1309</v>
      </c>
      <c r="D18" t="s">
        <v>1331</v>
      </c>
      <c r="E18" t="s">
        <v>1281</v>
      </c>
    </row>
    <row r="19" spans="1:5">
      <c r="A19" t="s">
        <v>1332</v>
      </c>
      <c r="B19" t="s">
        <v>1333</v>
      </c>
      <c r="C19" t="s">
        <v>1284</v>
      </c>
      <c r="D19" t="s">
        <v>1334</v>
      </c>
      <c r="E19" t="s">
        <v>1281</v>
      </c>
    </row>
    <row r="20" spans="1:5">
      <c r="A20" t="s">
        <v>1335</v>
      </c>
      <c r="B20" t="s">
        <v>1336</v>
      </c>
      <c r="C20" t="s">
        <v>1279</v>
      </c>
      <c r="D20" t="s">
        <v>1337</v>
      </c>
      <c r="E20" t="s">
        <v>1281</v>
      </c>
    </row>
    <row r="21" spans="1:5">
      <c r="A21" t="s">
        <v>1338</v>
      </c>
      <c r="B21" t="s">
        <v>1339</v>
      </c>
      <c r="C21" t="s">
        <v>1279</v>
      </c>
      <c r="D21" t="s">
        <v>1340</v>
      </c>
      <c r="E21" t="s">
        <v>1297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051B-2EFA-4183-8087-39B058813A3A}">
  <dimension ref="A1:J2001"/>
  <sheetViews>
    <sheetView workbookViewId="0">
      <selection activeCell="L18" sqref="L18"/>
    </sheetView>
  </sheetViews>
  <sheetFormatPr defaultRowHeight="14.5"/>
  <cols>
    <col min="2" max="2" width="12.26953125" customWidth="1"/>
  </cols>
  <sheetData>
    <row r="1" spans="1:10">
      <c r="A1" s="16" t="s">
        <v>1341</v>
      </c>
      <c r="B1" s="16" t="s">
        <v>1342</v>
      </c>
      <c r="C1" s="16" t="s">
        <v>0</v>
      </c>
      <c r="D1" s="16" t="s">
        <v>1061</v>
      </c>
      <c r="E1" s="16" t="s">
        <v>1273</v>
      </c>
      <c r="F1" s="16" t="s">
        <v>1343</v>
      </c>
      <c r="G1" s="16" t="s">
        <v>1344</v>
      </c>
      <c r="H1" s="16" t="s">
        <v>1345</v>
      </c>
      <c r="I1" s="16" t="s">
        <v>1346</v>
      </c>
      <c r="J1" s="16" t="s">
        <v>1347</v>
      </c>
    </row>
    <row r="2" spans="1:10">
      <c r="A2" t="s">
        <v>1348</v>
      </c>
      <c r="B2" s="1">
        <v>45480</v>
      </c>
      <c r="C2" t="s">
        <v>881</v>
      </c>
      <c r="D2" t="s">
        <v>1267</v>
      </c>
      <c r="E2" t="s">
        <v>1291</v>
      </c>
      <c r="F2">
        <v>1</v>
      </c>
      <c r="G2">
        <v>218.04</v>
      </c>
      <c r="H2">
        <v>0.09</v>
      </c>
      <c r="I2" t="s">
        <v>1349</v>
      </c>
      <c r="J2">
        <v>198.41640000000001</v>
      </c>
    </row>
    <row r="3" spans="1:10">
      <c r="A3" t="s">
        <v>1350</v>
      </c>
      <c r="B3" s="1">
        <v>45285</v>
      </c>
      <c r="C3" t="s">
        <v>996</v>
      </c>
      <c r="D3" t="s">
        <v>1221</v>
      </c>
      <c r="E3" t="s">
        <v>1332</v>
      </c>
      <c r="F3">
        <v>3</v>
      </c>
      <c r="G3">
        <v>104.47</v>
      </c>
      <c r="H3">
        <v>0.27</v>
      </c>
      <c r="I3" t="s">
        <v>1351</v>
      </c>
      <c r="J3">
        <v>228.7893</v>
      </c>
    </row>
    <row r="4" spans="1:10">
      <c r="A4" t="s">
        <v>1352</v>
      </c>
      <c r="B4" s="1">
        <v>45446</v>
      </c>
      <c r="C4" t="s">
        <v>157</v>
      </c>
      <c r="D4" t="s">
        <v>1171</v>
      </c>
      <c r="E4" t="s">
        <v>1307</v>
      </c>
      <c r="F4">
        <v>4</v>
      </c>
      <c r="G4">
        <v>914.05</v>
      </c>
      <c r="H4">
        <v>0.25</v>
      </c>
      <c r="I4" t="s">
        <v>1349</v>
      </c>
      <c r="J4">
        <v>2742.15</v>
      </c>
    </row>
    <row r="5" spans="1:10">
      <c r="A5" t="s">
        <v>1353</v>
      </c>
      <c r="B5" s="1">
        <v>45259</v>
      </c>
      <c r="C5" t="s">
        <v>756</v>
      </c>
      <c r="D5" t="s">
        <v>1225</v>
      </c>
      <c r="E5" t="s">
        <v>1307</v>
      </c>
      <c r="F5">
        <v>1</v>
      </c>
      <c r="G5">
        <v>921.51</v>
      </c>
      <c r="H5">
        <v>0.16</v>
      </c>
      <c r="I5" t="s">
        <v>1354</v>
      </c>
      <c r="J5">
        <v>774.0684</v>
      </c>
    </row>
    <row r="6" spans="1:10">
      <c r="A6" t="s">
        <v>1355</v>
      </c>
      <c r="B6" s="1">
        <v>45297</v>
      </c>
      <c r="C6" t="s">
        <v>1047</v>
      </c>
      <c r="D6" t="s">
        <v>1191</v>
      </c>
      <c r="E6" t="s">
        <v>1298</v>
      </c>
      <c r="F6">
        <v>3</v>
      </c>
      <c r="G6">
        <v>745.3</v>
      </c>
      <c r="H6">
        <v>0.18</v>
      </c>
      <c r="I6" t="s">
        <v>1349</v>
      </c>
      <c r="J6">
        <v>1833.4380000000001</v>
      </c>
    </row>
    <row r="7" spans="1:10">
      <c r="A7" t="s">
        <v>1356</v>
      </c>
      <c r="B7" s="1">
        <v>45499</v>
      </c>
      <c r="C7" t="s">
        <v>292</v>
      </c>
      <c r="D7" t="s">
        <v>1103</v>
      </c>
      <c r="E7" t="s">
        <v>1304</v>
      </c>
      <c r="F7">
        <v>3</v>
      </c>
      <c r="G7">
        <v>147.01</v>
      </c>
      <c r="H7">
        <v>0.19</v>
      </c>
      <c r="I7" t="s">
        <v>1354</v>
      </c>
      <c r="J7">
        <v>357.23430000000002</v>
      </c>
    </row>
    <row r="8" spans="1:10">
      <c r="A8" t="s">
        <v>1357</v>
      </c>
      <c r="B8" s="1">
        <v>45850</v>
      </c>
      <c r="C8" t="s">
        <v>59</v>
      </c>
      <c r="D8" t="s">
        <v>1185</v>
      </c>
      <c r="E8" t="s">
        <v>1294</v>
      </c>
      <c r="F8">
        <v>2</v>
      </c>
      <c r="G8">
        <v>785.31</v>
      </c>
      <c r="H8">
        <v>0.15</v>
      </c>
      <c r="I8" t="s">
        <v>1351</v>
      </c>
      <c r="J8">
        <v>1335.027</v>
      </c>
    </row>
    <row r="9" spans="1:10">
      <c r="A9" t="s">
        <v>1358</v>
      </c>
      <c r="B9" s="1">
        <v>45248</v>
      </c>
      <c r="C9" t="s">
        <v>365</v>
      </c>
      <c r="D9" t="s">
        <v>1213</v>
      </c>
      <c r="E9" t="s">
        <v>1307</v>
      </c>
      <c r="F9">
        <v>4</v>
      </c>
      <c r="G9">
        <v>342.39</v>
      </c>
      <c r="H9">
        <v>0.23</v>
      </c>
      <c r="I9" t="s">
        <v>1351</v>
      </c>
      <c r="J9">
        <v>1054.5612000000001</v>
      </c>
    </row>
    <row r="10" spans="1:10">
      <c r="A10" t="s">
        <v>1359</v>
      </c>
      <c r="B10" s="1">
        <v>45781</v>
      </c>
      <c r="C10" t="s">
        <v>436</v>
      </c>
      <c r="D10" t="s">
        <v>1271</v>
      </c>
      <c r="E10" t="s">
        <v>1298</v>
      </c>
      <c r="G10">
        <v>448.25</v>
      </c>
      <c r="H10">
        <v>7.0000000000000007E-2</v>
      </c>
      <c r="I10" t="s">
        <v>1351</v>
      </c>
      <c r="J10">
        <v>1250.6175000000001</v>
      </c>
    </row>
    <row r="11" spans="1:10">
      <c r="A11" t="s">
        <v>1360</v>
      </c>
      <c r="B11" s="1">
        <v>45869</v>
      </c>
      <c r="C11" t="s">
        <v>990</v>
      </c>
      <c r="D11" t="s">
        <v>1139</v>
      </c>
      <c r="E11" t="s">
        <v>1277</v>
      </c>
      <c r="F11">
        <v>2</v>
      </c>
      <c r="G11">
        <v>873.17</v>
      </c>
      <c r="H11">
        <v>0.23</v>
      </c>
      <c r="I11" t="s">
        <v>1351</v>
      </c>
      <c r="J11">
        <v>1344.6818000000001</v>
      </c>
    </row>
    <row r="12" spans="1:10">
      <c r="A12" t="s">
        <v>1361</v>
      </c>
      <c r="B12" s="1">
        <v>45335</v>
      </c>
      <c r="C12" t="s">
        <v>178</v>
      </c>
      <c r="D12" t="s">
        <v>1121</v>
      </c>
      <c r="E12" t="s">
        <v>1324</v>
      </c>
      <c r="F12">
        <v>1</v>
      </c>
      <c r="G12">
        <v>278.63</v>
      </c>
      <c r="H12">
        <v>7.0000000000000007E-2</v>
      </c>
      <c r="I12" t="s">
        <v>1349</v>
      </c>
      <c r="J12">
        <v>259.1259</v>
      </c>
    </row>
    <row r="13" spans="1:10">
      <c r="A13" t="s">
        <v>1362</v>
      </c>
      <c r="B13" s="1">
        <v>45801</v>
      </c>
      <c r="C13" t="s">
        <v>704</v>
      </c>
      <c r="D13" t="s">
        <v>1151</v>
      </c>
      <c r="E13" t="s">
        <v>1282</v>
      </c>
      <c r="F13">
        <v>4</v>
      </c>
      <c r="G13">
        <v>286.92</v>
      </c>
      <c r="H13">
        <v>0.17</v>
      </c>
      <c r="I13" t="s">
        <v>1349</v>
      </c>
      <c r="J13">
        <v>952.57439999999997</v>
      </c>
    </row>
    <row r="14" spans="1:10">
      <c r="A14" t="s">
        <v>1363</v>
      </c>
      <c r="B14" s="1">
        <v>45528</v>
      </c>
      <c r="C14" t="s">
        <v>537</v>
      </c>
      <c r="D14" t="s">
        <v>1249</v>
      </c>
      <c r="E14" t="s">
        <v>1294</v>
      </c>
      <c r="F14">
        <v>4</v>
      </c>
      <c r="G14">
        <v>644.58000000000004</v>
      </c>
      <c r="H14">
        <v>0.01</v>
      </c>
      <c r="I14" t="s">
        <v>1349</v>
      </c>
      <c r="J14">
        <v>2552.5367999999999</v>
      </c>
    </row>
    <row r="15" spans="1:10">
      <c r="A15" t="s">
        <v>1364</v>
      </c>
      <c r="B15" s="1">
        <v>45875</v>
      </c>
      <c r="C15" t="s">
        <v>949</v>
      </c>
      <c r="D15" t="s">
        <v>1141</v>
      </c>
      <c r="E15" t="s">
        <v>1329</v>
      </c>
      <c r="F15">
        <v>2</v>
      </c>
      <c r="G15">
        <v>316.89999999999998</v>
      </c>
      <c r="H15">
        <v>0.3</v>
      </c>
      <c r="I15" t="s">
        <v>1351</v>
      </c>
      <c r="J15">
        <v>443.66</v>
      </c>
    </row>
    <row r="16" spans="1:10">
      <c r="A16" t="s">
        <v>1365</v>
      </c>
      <c r="B16" s="1">
        <v>45829</v>
      </c>
      <c r="C16" t="s">
        <v>760</v>
      </c>
      <c r="D16" t="s">
        <v>1121</v>
      </c>
      <c r="E16" t="s">
        <v>1326</v>
      </c>
      <c r="F16">
        <v>4</v>
      </c>
      <c r="G16">
        <v>403.47</v>
      </c>
      <c r="H16">
        <v>0.28999999999999998</v>
      </c>
      <c r="I16" t="s">
        <v>1351</v>
      </c>
      <c r="J16">
        <v>1145.8548000000001</v>
      </c>
    </row>
    <row r="17" spans="1:10">
      <c r="A17" t="s">
        <v>1366</v>
      </c>
      <c r="B17" s="1">
        <v>45636</v>
      </c>
      <c r="C17" t="s">
        <v>933</v>
      </c>
      <c r="D17" t="s">
        <v>1145</v>
      </c>
      <c r="E17" t="s">
        <v>1311</v>
      </c>
      <c r="G17">
        <v>871.34</v>
      </c>
      <c r="H17">
        <v>0.04</v>
      </c>
      <c r="I17" t="s">
        <v>1354</v>
      </c>
      <c r="J17">
        <v>2509.4591999999998</v>
      </c>
    </row>
    <row r="18" spans="1:10">
      <c r="A18" t="s">
        <v>1367</v>
      </c>
      <c r="B18" s="1">
        <v>45913</v>
      </c>
      <c r="C18" t="s">
        <v>616</v>
      </c>
      <c r="D18" t="s">
        <v>1203</v>
      </c>
      <c r="E18" t="s">
        <v>1338</v>
      </c>
      <c r="F18">
        <v>2</v>
      </c>
      <c r="G18">
        <v>451.98</v>
      </c>
      <c r="H18">
        <v>0.25</v>
      </c>
      <c r="I18" t="s">
        <v>1349</v>
      </c>
      <c r="J18">
        <v>677.97</v>
      </c>
    </row>
    <row r="19" spans="1:10">
      <c r="A19" t="s">
        <v>1368</v>
      </c>
      <c r="B19" s="1">
        <v>45637</v>
      </c>
      <c r="C19" t="s">
        <v>211</v>
      </c>
      <c r="D19" t="s">
        <v>1127</v>
      </c>
      <c r="E19" t="s">
        <v>1294</v>
      </c>
      <c r="F19">
        <v>2</v>
      </c>
      <c r="G19">
        <v>502.69</v>
      </c>
      <c r="H19">
        <v>0.23</v>
      </c>
      <c r="I19" t="s">
        <v>1349</v>
      </c>
      <c r="J19">
        <v>774.14260000000002</v>
      </c>
    </row>
    <row r="20" spans="1:10">
      <c r="A20" t="s">
        <v>1369</v>
      </c>
      <c r="B20" s="1">
        <v>45517</v>
      </c>
      <c r="C20" t="s">
        <v>246</v>
      </c>
      <c r="D20" t="s">
        <v>1151</v>
      </c>
      <c r="E20" t="s">
        <v>1294</v>
      </c>
      <c r="F20">
        <v>2</v>
      </c>
      <c r="G20">
        <v>559.23</v>
      </c>
      <c r="H20">
        <v>0.25</v>
      </c>
      <c r="I20" t="s">
        <v>1354</v>
      </c>
      <c r="J20">
        <v>838.84500000000003</v>
      </c>
    </row>
    <row r="21" spans="1:10">
      <c r="A21" t="s">
        <v>1370</v>
      </c>
      <c r="B21" s="1">
        <v>45369</v>
      </c>
      <c r="C21" t="s">
        <v>541</v>
      </c>
      <c r="D21" t="s">
        <v>1193</v>
      </c>
      <c r="E21" t="s">
        <v>1322</v>
      </c>
      <c r="F21">
        <v>4</v>
      </c>
      <c r="H21">
        <v>0.04</v>
      </c>
      <c r="I21" t="s">
        <v>1354</v>
      </c>
      <c r="J21">
        <v>1782.4512</v>
      </c>
    </row>
    <row r="22" spans="1:10">
      <c r="A22" t="s">
        <v>1371</v>
      </c>
      <c r="B22" s="1">
        <v>45843</v>
      </c>
      <c r="C22" t="s">
        <v>349</v>
      </c>
      <c r="D22" t="s">
        <v>1217</v>
      </c>
      <c r="E22" t="s">
        <v>1332</v>
      </c>
      <c r="F22">
        <v>3</v>
      </c>
      <c r="G22">
        <v>986.04</v>
      </c>
      <c r="H22">
        <v>0.27</v>
      </c>
      <c r="I22" t="s">
        <v>1354</v>
      </c>
      <c r="J22">
        <v>2159.4276</v>
      </c>
    </row>
    <row r="23" spans="1:10">
      <c r="A23" t="s">
        <v>1372</v>
      </c>
      <c r="B23" s="1">
        <v>45447</v>
      </c>
      <c r="C23" t="s">
        <v>855</v>
      </c>
      <c r="D23" t="s">
        <v>1159</v>
      </c>
      <c r="E23" t="s">
        <v>1335</v>
      </c>
      <c r="F23">
        <v>1</v>
      </c>
      <c r="G23">
        <v>589.55999999999995</v>
      </c>
      <c r="H23">
        <v>0.22</v>
      </c>
      <c r="I23" t="s">
        <v>1349</v>
      </c>
      <c r="J23">
        <v>459.85680000000002</v>
      </c>
    </row>
    <row r="24" spans="1:10">
      <c r="A24" t="s">
        <v>1373</v>
      </c>
      <c r="B24" s="1">
        <v>45394</v>
      </c>
      <c r="C24" t="s">
        <v>1014</v>
      </c>
      <c r="D24" t="s">
        <v>1211</v>
      </c>
      <c r="E24" t="s">
        <v>1314</v>
      </c>
      <c r="F24">
        <v>3</v>
      </c>
      <c r="G24">
        <v>979.42</v>
      </c>
      <c r="H24">
        <v>0.03</v>
      </c>
      <c r="I24" t="s">
        <v>1351</v>
      </c>
      <c r="J24">
        <v>2850.1122</v>
      </c>
    </row>
    <row r="25" spans="1:10">
      <c r="A25" t="s">
        <v>1374</v>
      </c>
      <c r="B25" s="1">
        <v>45466</v>
      </c>
      <c r="C25" t="s">
        <v>799</v>
      </c>
      <c r="D25" t="s">
        <v>1097</v>
      </c>
      <c r="E25" t="s">
        <v>1307</v>
      </c>
      <c r="F25">
        <v>1</v>
      </c>
      <c r="G25">
        <v>719.28</v>
      </c>
      <c r="H25">
        <v>0.08</v>
      </c>
      <c r="I25" t="s">
        <v>1349</v>
      </c>
      <c r="J25">
        <v>661.73760000000004</v>
      </c>
    </row>
    <row r="26" spans="1:10">
      <c r="A26" t="s">
        <v>1375</v>
      </c>
      <c r="B26" s="1">
        <v>45908</v>
      </c>
      <c r="C26" t="s">
        <v>434</v>
      </c>
      <c r="D26" t="s">
        <v>1207</v>
      </c>
      <c r="E26" t="s">
        <v>1301</v>
      </c>
      <c r="F26">
        <v>3</v>
      </c>
      <c r="G26">
        <v>77.599999999999994</v>
      </c>
      <c r="H26">
        <v>7.0000000000000007E-2</v>
      </c>
      <c r="I26" t="s">
        <v>1349</v>
      </c>
      <c r="J26">
        <v>216.50399999999999</v>
      </c>
    </row>
    <row r="27" spans="1:10">
      <c r="A27" t="s">
        <v>1376</v>
      </c>
      <c r="B27" s="1">
        <v>45552</v>
      </c>
      <c r="C27" t="s">
        <v>825</v>
      </c>
      <c r="D27" t="s">
        <v>1080</v>
      </c>
      <c r="E27" t="s">
        <v>1291</v>
      </c>
      <c r="F27">
        <v>4</v>
      </c>
      <c r="G27">
        <v>852.71</v>
      </c>
      <c r="H27">
        <v>0.14000000000000001</v>
      </c>
      <c r="I27" t="s">
        <v>1351</v>
      </c>
      <c r="J27">
        <v>2933.3224</v>
      </c>
    </row>
    <row r="28" spans="1:10">
      <c r="A28" t="s">
        <v>1377</v>
      </c>
      <c r="B28" s="1">
        <v>45294</v>
      </c>
      <c r="C28" t="s">
        <v>488</v>
      </c>
      <c r="D28" t="s">
        <v>1269</v>
      </c>
      <c r="E28" t="s">
        <v>1307</v>
      </c>
      <c r="F28">
        <v>4</v>
      </c>
      <c r="G28">
        <v>156.16</v>
      </c>
      <c r="I28" t="s">
        <v>1349</v>
      </c>
      <c r="J28">
        <v>599.65440000000001</v>
      </c>
    </row>
    <row r="29" spans="1:10">
      <c r="A29" t="s">
        <v>1378</v>
      </c>
      <c r="B29" s="1">
        <v>45710</v>
      </c>
      <c r="C29" t="s">
        <v>462</v>
      </c>
      <c r="D29" t="s">
        <v>1227</v>
      </c>
      <c r="E29" t="s">
        <v>1307</v>
      </c>
      <c r="F29">
        <v>3</v>
      </c>
      <c r="G29">
        <v>815.49</v>
      </c>
      <c r="H29">
        <v>0.17</v>
      </c>
      <c r="I29" t="s">
        <v>1349</v>
      </c>
      <c r="J29">
        <v>2030.5700999999999</v>
      </c>
    </row>
    <row r="30" spans="1:10">
      <c r="A30" t="s">
        <v>1379</v>
      </c>
      <c r="B30" s="1">
        <v>45923</v>
      </c>
      <c r="C30" t="s">
        <v>357</v>
      </c>
      <c r="D30" t="s">
        <v>1099</v>
      </c>
      <c r="E30" t="s">
        <v>1286</v>
      </c>
      <c r="F30">
        <v>2</v>
      </c>
      <c r="G30">
        <v>74.209999999999994</v>
      </c>
      <c r="H30">
        <v>0.11</v>
      </c>
      <c r="I30" t="s">
        <v>1351</v>
      </c>
      <c r="J30">
        <v>132.09379999999999</v>
      </c>
    </row>
    <row r="31" spans="1:10">
      <c r="A31" t="s">
        <v>1380</v>
      </c>
      <c r="B31" s="1">
        <v>45302</v>
      </c>
      <c r="C31" t="s">
        <v>760</v>
      </c>
      <c r="D31" t="s">
        <v>1271</v>
      </c>
      <c r="E31" t="s">
        <v>1291</v>
      </c>
      <c r="G31">
        <v>451.67</v>
      </c>
      <c r="H31">
        <v>0.15</v>
      </c>
      <c r="I31" t="s">
        <v>1349</v>
      </c>
      <c r="J31">
        <v>1535.6780000000001</v>
      </c>
    </row>
    <row r="32" spans="1:10">
      <c r="A32" t="s">
        <v>1381</v>
      </c>
      <c r="B32" s="1">
        <v>45217</v>
      </c>
      <c r="C32" t="s">
        <v>90</v>
      </c>
      <c r="D32" t="s">
        <v>1080</v>
      </c>
      <c r="E32" t="s">
        <v>1338</v>
      </c>
      <c r="F32">
        <v>1</v>
      </c>
      <c r="G32">
        <v>429.38</v>
      </c>
      <c r="H32">
        <v>0.13</v>
      </c>
      <c r="I32" t="s">
        <v>1351</v>
      </c>
      <c r="J32">
        <v>373.56060000000002</v>
      </c>
    </row>
    <row r="33" spans="1:10">
      <c r="A33" t="s">
        <v>1382</v>
      </c>
      <c r="B33" s="1">
        <v>45593</v>
      </c>
      <c r="C33" t="s">
        <v>887</v>
      </c>
      <c r="D33" t="s">
        <v>1179</v>
      </c>
      <c r="E33" t="s">
        <v>1319</v>
      </c>
      <c r="F33">
        <v>2</v>
      </c>
      <c r="G33">
        <v>148.96</v>
      </c>
      <c r="H33">
        <v>0.03</v>
      </c>
      <c r="I33" t="s">
        <v>1354</v>
      </c>
      <c r="J33">
        <v>288.98239999999998</v>
      </c>
    </row>
    <row r="34" spans="1:10">
      <c r="A34" t="s">
        <v>1383</v>
      </c>
      <c r="B34" s="1">
        <v>45597</v>
      </c>
      <c r="C34" t="s">
        <v>859</v>
      </c>
      <c r="D34" t="s">
        <v>1223</v>
      </c>
      <c r="E34" t="s">
        <v>1307</v>
      </c>
      <c r="F34">
        <v>4</v>
      </c>
      <c r="G34">
        <v>313.83</v>
      </c>
      <c r="H34">
        <v>0.08</v>
      </c>
      <c r="I34" t="s">
        <v>1349</v>
      </c>
      <c r="J34">
        <v>1154.8943999999999</v>
      </c>
    </row>
    <row r="35" spans="1:10">
      <c r="A35" t="s">
        <v>1384</v>
      </c>
      <c r="B35" s="1">
        <v>45620</v>
      </c>
      <c r="C35" t="s">
        <v>969</v>
      </c>
      <c r="D35" t="s">
        <v>1097</v>
      </c>
      <c r="E35" t="s">
        <v>1301</v>
      </c>
      <c r="F35">
        <v>2</v>
      </c>
      <c r="G35">
        <v>717.31</v>
      </c>
      <c r="H35">
        <v>0.15</v>
      </c>
      <c r="I35" t="s">
        <v>1349</v>
      </c>
      <c r="J35">
        <v>1219.4269999999999</v>
      </c>
    </row>
    <row r="36" spans="1:10">
      <c r="A36" t="s">
        <v>1385</v>
      </c>
      <c r="B36" s="1">
        <v>45215</v>
      </c>
      <c r="C36" t="s">
        <v>752</v>
      </c>
      <c r="D36" t="s">
        <v>1231</v>
      </c>
      <c r="E36" t="s">
        <v>1282</v>
      </c>
      <c r="G36">
        <v>873.22</v>
      </c>
      <c r="H36">
        <v>0.18</v>
      </c>
      <c r="I36" t="s">
        <v>1349</v>
      </c>
      <c r="J36">
        <v>2148.1212</v>
      </c>
    </row>
    <row r="37" spans="1:10">
      <c r="A37" t="s">
        <v>1386</v>
      </c>
      <c r="B37" s="1">
        <v>45878</v>
      </c>
      <c r="C37" t="s">
        <v>498</v>
      </c>
      <c r="D37" t="s">
        <v>1105</v>
      </c>
      <c r="E37" t="s">
        <v>1291</v>
      </c>
      <c r="F37">
        <v>4</v>
      </c>
      <c r="G37">
        <v>109.36</v>
      </c>
      <c r="H37">
        <v>0.19</v>
      </c>
      <c r="I37" t="s">
        <v>1354</v>
      </c>
      <c r="J37">
        <v>354.32639999999998</v>
      </c>
    </row>
    <row r="38" spans="1:10">
      <c r="A38" t="s">
        <v>1387</v>
      </c>
      <c r="B38" s="1">
        <v>45635</v>
      </c>
      <c r="C38" t="s">
        <v>226</v>
      </c>
      <c r="D38" t="s">
        <v>1080</v>
      </c>
      <c r="E38" t="s">
        <v>1304</v>
      </c>
      <c r="F38">
        <v>3</v>
      </c>
      <c r="G38">
        <v>559.52</v>
      </c>
      <c r="H38">
        <v>0.16</v>
      </c>
      <c r="I38" t="s">
        <v>1351</v>
      </c>
      <c r="J38">
        <v>1409.9903999999999</v>
      </c>
    </row>
    <row r="39" spans="1:10">
      <c r="A39" t="s">
        <v>1388</v>
      </c>
      <c r="B39" s="1">
        <v>45329</v>
      </c>
      <c r="C39" t="s">
        <v>1045</v>
      </c>
      <c r="D39" t="s">
        <v>1093</v>
      </c>
      <c r="E39" t="s">
        <v>1332</v>
      </c>
      <c r="F39">
        <v>3</v>
      </c>
      <c r="G39">
        <v>121.76</v>
      </c>
      <c r="H39">
        <v>0.27</v>
      </c>
      <c r="I39" t="s">
        <v>1351</v>
      </c>
      <c r="J39">
        <v>266.65440000000001</v>
      </c>
    </row>
    <row r="40" spans="1:10">
      <c r="A40" t="s">
        <v>1389</v>
      </c>
      <c r="B40" s="1">
        <v>45378</v>
      </c>
      <c r="C40" t="s">
        <v>440</v>
      </c>
      <c r="D40" t="s">
        <v>1139</v>
      </c>
      <c r="E40" t="s">
        <v>1322</v>
      </c>
      <c r="F40">
        <v>4</v>
      </c>
      <c r="G40">
        <v>735.32</v>
      </c>
      <c r="H40">
        <v>0.06</v>
      </c>
      <c r="I40" t="s">
        <v>1354</v>
      </c>
      <c r="J40">
        <v>2764.8031999999998</v>
      </c>
    </row>
    <row r="41" spans="1:10">
      <c r="A41" t="s">
        <v>1390</v>
      </c>
      <c r="B41" s="1">
        <v>45264</v>
      </c>
      <c r="C41" t="s">
        <v>925</v>
      </c>
      <c r="D41" t="s">
        <v>1261</v>
      </c>
      <c r="E41" t="s">
        <v>1291</v>
      </c>
      <c r="F41">
        <v>2</v>
      </c>
      <c r="G41">
        <v>600.73</v>
      </c>
      <c r="H41">
        <v>0.08</v>
      </c>
      <c r="I41" t="s">
        <v>1349</v>
      </c>
      <c r="J41">
        <v>1105.3432</v>
      </c>
    </row>
    <row r="42" spans="1:10">
      <c r="A42" t="s">
        <v>1391</v>
      </c>
      <c r="B42" s="1">
        <v>45486</v>
      </c>
      <c r="C42" t="s">
        <v>194</v>
      </c>
      <c r="D42" t="s">
        <v>1125</v>
      </c>
      <c r="E42" t="s">
        <v>1338</v>
      </c>
      <c r="F42">
        <v>2</v>
      </c>
      <c r="G42">
        <v>873.86</v>
      </c>
      <c r="H42">
        <v>7.0000000000000007E-2</v>
      </c>
      <c r="I42" t="s">
        <v>1354</v>
      </c>
      <c r="J42">
        <v>1625.3796</v>
      </c>
    </row>
    <row r="43" spans="1:10">
      <c r="A43" t="s">
        <v>1392</v>
      </c>
      <c r="B43" s="1">
        <v>45241</v>
      </c>
      <c r="C43" t="s">
        <v>668</v>
      </c>
      <c r="D43" t="s">
        <v>1119</v>
      </c>
      <c r="E43" t="s">
        <v>1307</v>
      </c>
      <c r="F43">
        <v>3</v>
      </c>
      <c r="G43">
        <v>342.47</v>
      </c>
      <c r="H43">
        <v>0.08</v>
      </c>
      <c r="I43" t="s">
        <v>1351</v>
      </c>
      <c r="J43">
        <v>945.21720000000016</v>
      </c>
    </row>
    <row r="44" spans="1:10">
      <c r="A44" t="s">
        <v>1393</v>
      </c>
      <c r="B44" s="1">
        <v>45649</v>
      </c>
      <c r="C44" t="s">
        <v>734</v>
      </c>
      <c r="D44" t="s">
        <v>1131</v>
      </c>
      <c r="E44" t="s">
        <v>1311</v>
      </c>
      <c r="F44">
        <v>2</v>
      </c>
      <c r="G44">
        <v>915.15</v>
      </c>
      <c r="H44">
        <v>0.16</v>
      </c>
      <c r="I44" t="s">
        <v>1351</v>
      </c>
      <c r="J44">
        <v>1537.452</v>
      </c>
    </row>
    <row r="45" spans="1:10">
      <c r="A45" t="s">
        <v>1394</v>
      </c>
      <c r="B45" s="1">
        <v>45677</v>
      </c>
      <c r="C45" t="s">
        <v>222</v>
      </c>
      <c r="D45" t="s">
        <v>1139</v>
      </c>
      <c r="E45" t="s">
        <v>1332</v>
      </c>
      <c r="G45">
        <v>863.11</v>
      </c>
      <c r="H45">
        <v>0.28000000000000003</v>
      </c>
      <c r="I45" t="s">
        <v>1351</v>
      </c>
      <c r="J45">
        <v>1864.3176000000001</v>
      </c>
    </row>
    <row r="46" spans="1:10">
      <c r="A46" t="s">
        <v>1395</v>
      </c>
      <c r="B46" s="1">
        <v>45538</v>
      </c>
      <c r="C46" t="s">
        <v>468</v>
      </c>
      <c r="D46" t="s">
        <v>1159</v>
      </c>
      <c r="E46" t="s">
        <v>1319</v>
      </c>
      <c r="F46">
        <v>2</v>
      </c>
      <c r="G46">
        <v>209.32</v>
      </c>
      <c r="H46">
        <v>0.23</v>
      </c>
      <c r="I46" t="s">
        <v>1354</v>
      </c>
      <c r="J46">
        <v>322.3528</v>
      </c>
    </row>
    <row r="47" spans="1:10">
      <c r="A47" t="s">
        <v>1396</v>
      </c>
      <c r="B47" s="1">
        <v>45606</v>
      </c>
      <c r="C47" t="s">
        <v>1002</v>
      </c>
      <c r="D47" t="s">
        <v>1191</v>
      </c>
      <c r="E47" t="s">
        <v>1307</v>
      </c>
      <c r="F47">
        <v>4</v>
      </c>
      <c r="G47">
        <v>288.60000000000002</v>
      </c>
      <c r="H47">
        <v>0.09</v>
      </c>
      <c r="I47" t="s">
        <v>1351</v>
      </c>
      <c r="J47">
        <v>1050.5039999999999</v>
      </c>
    </row>
    <row r="48" spans="1:10">
      <c r="A48" t="s">
        <v>1397</v>
      </c>
      <c r="B48" s="1">
        <v>45570</v>
      </c>
      <c r="C48" t="s">
        <v>190</v>
      </c>
      <c r="D48" t="s">
        <v>1229</v>
      </c>
      <c r="E48" t="s">
        <v>1329</v>
      </c>
      <c r="F48">
        <v>1</v>
      </c>
      <c r="G48">
        <v>418.69</v>
      </c>
      <c r="H48">
        <v>0.06</v>
      </c>
      <c r="I48" t="s">
        <v>1351</v>
      </c>
      <c r="J48">
        <v>393.5686</v>
      </c>
    </row>
    <row r="49" spans="1:10">
      <c r="A49" t="s">
        <v>1398</v>
      </c>
      <c r="B49" s="1">
        <v>45466</v>
      </c>
      <c r="C49" t="s">
        <v>36</v>
      </c>
      <c r="D49" t="s">
        <v>1133</v>
      </c>
      <c r="E49" t="s">
        <v>1317</v>
      </c>
      <c r="F49">
        <v>1</v>
      </c>
      <c r="G49">
        <v>135.78</v>
      </c>
      <c r="H49">
        <v>0.14000000000000001</v>
      </c>
      <c r="I49" t="s">
        <v>1351</v>
      </c>
      <c r="J49">
        <v>116.77079999999999</v>
      </c>
    </row>
    <row r="50" spans="1:10">
      <c r="A50" t="s">
        <v>1399</v>
      </c>
      <c r="B50" s="1">
        <v>45218</v>
      </c>
      <c r="C50" t="s">
        <v>468</v>
      </c>
      <c r="D50" t="s">
        <v>1161</v>
      </c>
      <c r="E50" t="s">
        <v>1332</v>
      </c>
      <c r="F50">
        <v>1</v>
      </c>
      <c r="G50">
        <v>517.13</v>
      </c>
      <c r="H50">
        <v>0.28000000000000003</v>
      </c>
      <c r="I50" t="s">
        <v>1349</v>
      </c>
      <c r="J50">
        <v>372.33359999999999</v>
      </c>
    </row>
    <row r="51" spans="1:10">
      <c r="A51" t="s">
        <v>1400</v>
      </c>
      <c r="B51" s="1">
        <v>45607</v>
      </c>
      <c r="C51" t="s">
        <v>903</v>
      </c>
      <c r="D51" t="s">
        <v>1115</v>
      </c>
      <c r="E51" t="s">
        <v>1329</v>
      </c>
      <c r="F51">
        <v>2</v>
      </c>
      <c r="G51">
        <v>384.66</v>
      </c>
      <c r="H51">
        <v>0.08</v>
      </c>
      <c r="I51" t="s">
        <v>1354</v>
      </c>
      <c r="J51">
        <v>707.77440000000013</v>
      </c>
    </row>
    <row r="52" spans="1:10">
      <c r="A52" t="s">
        <v>1401</v>
      </c>
      <c r="B52" s="1">
        <v>45291</v>
      </c>
      <c r="C52" t="s">
        <v>190</v>
      </c>
      <c r="D52" t="s">
        <v>1177</v>
      </c>
      <c r="E52" t="s">
        <v>1311</v>
      </c>
      <c r="F52">
        <v>3</v>
      </c>
      <c r="G52">
        <v>83.7</v>
      </c>
      <c r="H52">
        <v>0.24</v>
      </c>
      <c r="I52" t="s">
        <v>1351</v>
      </c>
      <c r="J52">
        <v>190.83600000000001</v>
      </c>
    </row>
    <row r="53" spans="1:10">
      <c r="A53" t="s">
        <v>1402</v>
      </c>
      <c r="B53" s="1">
        <v>45689</v>
      </c>
      <c r="C53" t="s">
        <v>345</v>
      </c>
      <c r="D53" t="s">
        <v>1211</v>
      </c>
      <c r="E53" t="s">
        <v>1304</v>
      </c>
      <c r="F53">
        <v>3</v>
      </c>
      <c r="G53">
        <v>76.569999999999993</v>
      </c>
      <c r="H53">
        <v>0.26</v>
      </c>
      <c r="I53" t="s">
        <v>1349</v>
      </c>
      <c r="J53">
        <v>169.9854</v>
      </c>
    </row>
    <row r="54" spans="1:10">
      <c r="A54" t="s">
        <v>1403</v>
      </c>
      <c r="B54" s="1">
        <v>45894</v>
      </c>
      <c r="C54" t="s">
        <v>357</v>
      </c>
      <c r="D54" t="s">
        <v>1251</v>
      </c>
      <c r="E54" t="s">
        <v>1301</v>
      </c>
      <c r="F54">
        <v>3</v>
      </c>
      <c r="I54" t="s">
        <v>1349</v>
      </c>
      <c r="J54">
        <v>486.06330000000003</v>
      </c>
    </row>
    <row r="55" spans="1:10">
      <c r="A55" t="s">
        <v>1404</v>
      </c>
      <c r="B55" s="1">
        <v>45677</v>
      </c>
      <c r="C55" t="s">
        <v>712</v>
      </c>
      <c r="D55" t="s">
        <v>1113</v>
      </c>
      <c r="E55" t="s">
        <v>1307</v>
      </c>
      <c r="F55">
        <v>1</v>
      </c>
      <c r="G55">
        <v>900.35</v>
      </c>
      <c r="H55">
        <v>0.13</v>
      </c>
      <c r="I55" t="s">
        <v>1354</v>
      </c>
      <c r="J55">
        <v>783.30449999999996</v>
      </c>
    </row>
    <row r="56" spans="1:10">
      <c r="A56" t="s">
        <v>1405</v>
      </c>
      <c r="B56" s="1">
        <v>45706</v>
      </c>
      <c r="C56" t="s">
        <v>248</v>
      </c>
      <c r="D56" t="s">
        <v>1153</v>
      </c>
      <c r="E56" t="s">
        <v>1314</v>
      </c>
      <c r="F56">
        <v>4</v>
      </c>
      <c r="G56">
        <v>428.09</v>
      </c>
      <c r="H56">
        <v>7.0000000000000007E-2</v>
      </c>
      <c r="I56" t="s">
        <v>1349</v>
      </c>
      <c r="J56">
        <v>1592.4947999999999</v>
      </c>
    </row>
    <row r="57" spans="1:10">
      <c r="A57" t="s">
        <v>1406</v>
      </c>
      <c r="B57" s="1">
        <v>45589</v>
      </c>
      <c r="C57" t="s">
        <v>895</v>
      </c>
      <c r="D57" t="s">
        <v>1171</v>
      </c>
      <c r="E57" t="s">
        <v>1317</v>
      </c>
      <c r="F57">
        <v>2</v>
      </c>
      <c r="G57">
        <v>559.71</v>
      </c>
      <c r="H57">
        <v>0.3</v>
      </c>
      <c r="I57" t="s">
        <v>1354</v>
      </c>
      <c r="J57">
        <v>783.59400000000005</v>
      </c>
    </row>
    <row r="58" spans="1:10">
      <c r="A58" t="s">
        <v>1407</v>
      </c>
      <c r="B58" s="1">
        <v>45282</v>
      </c>
      <c r="C58" t="s">
        <v>214</v>
      </c>
      <c r="D58" t="s">
        <v>1141</v>
      </c>
      <c r="E58" t="s">
        <v>1301</v>
      </c>
      <c r="F58">
        <v>2</v>
      </c>
      <c r="G58">
        <v>833.7</v>
      </c>
      <c r="H58">
        <v>0.06</v>
      </c>
      <c r="I58" t="s">
        <v>1351</v>
      </c>
      <c r="J58">
        <v>1567.356</v>
      </c>
    </row>
    <row r="59" spans="1:10">
      <c r="A59" t="s">
        <v>1408</v>
      </c>
      <c r="B59" s="1">
        <v>45462</v>
      </c>
      <c r="C59" t="s">
        <v>996</v>
      </c>
      <c r="D59" t="s">
        <v>1167</v>
      </c>
      <c r="E59" t="s">
        <v>1324</v>
      </c>
      <c r="F59">
        <v>2</v>
      </c>
      <c r="G59">
        <v>680.16</v>
      </c>
      <c r="H59">
        <v>0.28000000000000003</v>
      </c>
      <c r="I59" t="s">
        <v>1349</v>
      </c>
      <c r="J59">
        <v>979.43039999999996</v>
      </c>
    </row>
    <row r="60" spans="1:10">
      <c r="A60" t="s">
        <v>1409</v>
      </c>
      <c r="B60" s="1">
        <v>45633</v>
      </c>
      <c r="C60" t="s">
        <v>871</v>
      </c>
      <c r="D60" t="s">
        <v>1103</v>
      </c>
      <c r="E60" t="s">
        <v>1304</v>
      </c>
      <c r="F60">
        <v>4</v>
      </c>
      <c r="G60">
        <v>733.42</v>
      </c>
      <c r="I60" t="s">
        <v>1351</v>
      </c>
      <c r="J60">
        <v>2552.3015999999998</v>
      </c>
    </row>
    <row r="61" spans="1:10">
      <c r="A61" t="s">
        <v>1410</v>
      </c>
      <c r="B61" s="1">
        <v>45257</v>
      </c>
      <c r="C61" t="s">
        <v>797</v>
      </c>
      <c r="D61" t="s">
        <v>1251</v>
      </c>
      <c r="E61" t="s">
        <v>1317</v>
      </c>
      <c r="F61">
        <v>1</v>
      </c>
      <c r="G61">
        <v>996.33</v>
      </c>
      <c r="H61">
        <v>0.23</v>
      </c>
      <c r="I61" t="s">
        <v>1351</v>
      </c>
      <c r="J61">
        <v>767.17410000000007</v>
      </c>
    </row>
    <row r="62" spans="1:10">
      <c r="A62" t="s">
        <v>1411</v>
      </c>
      <c r="B62" s="1">
        <v>45854</v>
      </c>
      <c r="C62" t="s">
        <v>879</v>
      </c>
      <c r="D62" t="s">
        <v>1135</v>
      </c>
      <c r="E62" t="s">
        <v>1314</v>
      </c>
      <c r="F62">
        <v>1</v>
      </c>
      <c r="G62">
        <v>198.83</v>
      </c>
      <c r="H62">
        <v>0.09</v>
      </c>
      <c r="I62" t="s">
        <v>1354</v>
      </c>
      <c r="J62">
        <v>180.93530000000001</v>
      </c>
    </row>
    <row r="63" spans="1:10">
      <c r="A63" t="s">
        <v>1412</v>
      </c>
      <c r="B63" s="1">
        <v>45716</v>
      </c>
      <c r="C63" t="s">
        <v>541</v>
      </c>
      <c r="D63" t="s">
        <v>1111</v>
      </c>
      <c r="E63" t="s">
        <v>1304</v>
      </c>
      <c r="F63">
        <v>1</v>
      </c>
      <c r="G63">
        <v>374.92</v>
      </c>
      <c r="H63">
        <v>0.18</v>
      </c>
      <c r="I63" t="s">
        <v>1351</v>
      </c>
      <c r="J63">
        <v>307.43439999999998</v>
      </c>
    </row>
    <row r="64" spans="1:10">
      <c r="A64" t="s">
        <v>1413</v>
      </c>
      <c r="B64" s="1">
        <v>45515</v>
      </c>
      <c r="C64" t="s">
        <v>990</v>
      </c>
      <c r="D64" t="s">
        <v>1259</v>
      </c>
      <c r="E64" t="s">
        <v>1329</v>
      </c>
      <c r="F64">
        <v>1</v>
      </c>
      <c r="G64">
        <v>468.94</v>
      </c>
      <c r="H64">
        <v>0.12</v>
      </c>
      <c r="I64" t="s">
        <v>1349</v>
      </c>
      <c r="J64">
        <v>412.66719999999998</v>
      </c>
    </row>
    <row r="65" spans="1:10">
      <c r="A65" t="s">
        <v>1414</v>
      </c>
      <c r="B65" s="1">
        <v>45927</v>
      </c>
      <c r="C65" t="s">
        <v>313</v>
      </c>
      <c r="D65" t="s">
        <v>1251</v>
      </c>
      <c r="E65" t="s">
        <v>1319</v>
      </c>
      <c r="F65">
        <v>2</v>
      </c>
      <c r="G65">
        <v>121.37</v>
      </c>
      <c r="H65">
        <v>0.05</v>
      </c>
      <c r="I65" t="s">
        <v>1349</v>
      </c>
      <c r="J65">
        <v>230.60300000000001</v>
      </c>
    </row>
    <row r="66" spans="1:10">
      <c r="A66" t="s">
        <v>1415</v>
      </c>
      <c r="B66" s="1">
        <v>45914</v>
      </c>
      <c r="C66" t="s">
        <v>573</v>
      </c>
      <c r="D66" t="s">
        <v>1179</v>
      </c>
      <c r="E66" t="s">
        <v>1314</v>
      </c>
      <c r="F66">
        <v>3</v>
      </c>
      <c r="G66">
        <v>480.06</v>
      </c>
      <c r="H66">
        <v>0.01</v>
      </c>
      <c r="I66" t="s">
        <v>1349</v>
      </c>
    </row>
    <row r="67" spans="1:10">
      <c r="A67" t="s">
        <v>1416</v>
      </c>
      <c r="B67" s="1">
        <v>45290</v>
      </c>
      <c r="C67" t="s">
        <v>385</v>
      </c>
      <c r="D67" t="s">
        <v>1271</v>
      </c>
      <c r="E67" t="s">
        <v>1332</v>
      </c>
      <c r="F67">
        <v>2</v>
      </c>
      <c r="G67">
        <v>856.57</v>
      </c>
      <c r="H67">
        <v>0.24</v>
      </c>
      <c r="I67" t="s">
        <v>1349</v>
      </c>
      <c r="J67">
        <v>1301.9864</v>
      </c>
    </row>
    <row r="68" spans="1:10">
      <c r="A68" t="s">
        <v>1417</v>
      </c>
      <c r="B68" s="1">
        <v>45213</v>
      </c>
      <c r="C68" t="s">
        <v>602</v>
      </c>
      <c r="D68" t="s">
        <v>1227</v>
      </c>
      <c r="E68" t="s">
        <v>1286</v>
      </c>
      <c r="F68">
        <v>4</v>
      </c>
      <c r="G68">
        <v>814.25</v>
      </c>
      <c r="H68">
        <v>0.18</v>
      </c>
      <c r="I68" t="s">
        <v>1349</v>
      </c>
      <c r="J68">
        <v>2670.74</v>
      </c>
    </row>
    <row r="69" spans="1:10">
      <c r="A69" t="s">
        <v>1418</v>
      </c>
      <c r="B69" s="1">
        <v>45255</v>
      </c>
      <c r="C69" t="s">
        <v>1028</v>
      </c>
      <c r="D69" t="s">
        <v>1097</v>
      </c>
      <c r="E69" t="s">
        <v>1286</v>
      </c>
      <c r="F69">
        <v>1</v>
      </c>
      <c r="G69">
        <v>989.17</v>
      </c>
      <c r="H69">
        <v>0.2</v>
      </c>
      <c r="I69" t="s">
        <v>1351</v>
      </c>
      <c r="J69">
        <v>791.33600000000001</v>
      </c>
    </row>
    <row r="70" spans="1:10">
      <c r="A70" t="s">
        <v>1419</v>
      </c>
      <c r="B70" s="1">
        <v>45270</v>
      </c>
      <c r="C70" t="s">
        <v>807</v>
      </c>
      <c r="D70" t="s">
        <v>1217</v>
      </c>
      <c r="E70" t="s">
        <v>1314</v>
      </c>
      <c r="F70">
        <v>4</v>
      </c>
      <c r="G70">
        <v>62.48</v>
      </c>
      <c r="H70">
        <v>0.18</v>
      </c>
      <c r="I70" t="s">
        <v>1349</v>
      </c>
      <c r="J70">
        <v>204.93440000000001</v>
      </c>
    </row>
    <row r="71" spans="1:10">
      <c r="A71" t="s">
        <v>1420</v>
      </c>
      <c r="B71" s="1">
        <v>45897</v>
      </c>
      <c r="C71" t="s">
        <v>909</v>
      </c>
      <c r="D71" t="s">
        <v>1099</v>
      </c>
      <c r="E71" t="s">
        <v>1329</v>
      </c>
      <c r="F71">
        <v>4</v>
      </c>
      <c r="G71">
        <v>561.24</v>
      </c>
      <c r="H71">
        <v>0.24</v>
      </c>
      <c r="I71" t="s">
        <v>1349</v>
      </c>
      <c r="J71">
        <v>1706.1695999999999</v>
      </c>
    </row>
    <row r="72" spans="1:10">
      <c r="A72" t="s">
        <v>1421</v>
      </c>
      <c r="B72" s="1">
        <v>45849</v>
      </c>
      <c r="C72" t="s">
        <v>162</v>
      </c>
      <c r="D72" t="s">
        <v>1193</v>
      </c>
      <c r="E72" t="s">
        <v>1298</v>
      </c>
      <c r="F72">
        <v>3</v>
      </c>
      <c r="G72">
        <v>92.24</v>
      </c>
      <c r="H72">
        <v>0.28000000000000003</v>
      </c>
      <c r="I72" t="s">
        <v>1354</v>
      </c>
    </row>
    <row r="73" spans="1:10">
      <c r="A73" t="s">
        <v>1422</v>
      </c>
      <c r="B73" s="1">
        <v>45889</v>
      </c>
      <c r="C73" t="s">
        <v>397</v>
      </c>
      <c r="D73" t="s">
        <v>1217</v>
      </c>
      <c r="E73" t="s">
        <v>1282</v>
      </c>
      <c r="F73">
        <v>2</v>
      </c>
      <c r="G73">
        <v>668.3</v>
      </c>
      <c r="H73">
        <v>7.0000000000000007E-2</v>
      </c>
      <c r="I73" t="s">
        <v>1349</v>
      </c>
      <c r="J73">
        <v>1243.038</v>
      </c>
    </row>
    <row r="74" spans="1:10">
      <c r="A74" t="s">
        <v>1423</v>
      </c>
      <c r="B74" s="1">
        <v>45533</v>
      </c>
      <c r="C74" t="s">
        <v>881</v>
      </c>
      <c r="D74" t="s">
        <v>1149</v>
      </c>
      <c r="E74" t="s">
        <v>1298</v>
      </c>
      <c r="F74">
        <v>1</v>
      </c>
      <c r="G74">
        <v>553.82000000000005</v>
      </c>
      <c r="H74">
        <v>0.09</v>
      </c>
      <c r="I74" t="s">
        <v>1349</v>
      </c>
      <c r="J74">
        <v>503.97620000000012</v>
      </c>
    </row>
    <row r="75" spans="1:10">
      <c r="A75" t="s">
        <v>1424</v>
      </c>
      <c r="B75" s="1">
        <v>45626</v>
      </c>
      <c r="C75" t="s">
        <v>111</v>
      </c>
      <c r="D75" t="s">
        <v>1163</v>
      </c>
      <c r="E75" t="s">
        <v>1317</v>
      </c>
      <c r="F75">
        <v>2</v>
      </c>
      <c r="G75">
        <v>556.42999999999995</v>
      </c>
      <c r="H75">
        <v>0.13</v>
      </c>
      <c r="I75" t="s">
        <v>1349</v>
      </c>
      <c r="J75">
        <v>968.18819999999994</v>
      </c>
    </row>
    <row r="76" spans="1:10">
      <c r="A76" t="s">
        <v>1425</v>
      </c>
      <c r="B76" s="1">
        <v>45942</v>
      </c>
      <c r="C76" t="s">
        <v>610</v>
      </c>
      <c r="D76" t="s">
        <v>1113</v>
      </c>
      <c r="E76" t="s">
        <v>1307</v>
      </c>
      <c r="F76">
        <v>1</v>
      </c>
      <c r="G76">
        <v>184.98</v>
      </c>
      <c r="H76">
        <v>0.1</v>
      </c>
      <c r="I76" t="s">
        <v>1354</v>
      </c>
      <c r="J76">
        <v>166.482</v>
      </c>
    </row>
    <row r="77" spans="1:10">
      <c r="A77" t="s">
        <v>1426</v>
      </c>
      <c r="B77" s="1">
        <v>45500</v>
      </c>
      <c r="C77" t="s">
        <v>107</v>
      </c>
      <c r="D77" t="s">
        <v>1267</v>
      </c>
      <c r="E77" t="s">
        <v>1319</v>
      </c>
      <c r="F77">
        <v>4</v>
      </c>
      <c r="G77">
        <v>700.18</v>
      </c>
      <c r="H77">
        <v>0.23</v>
      </c>
      <c r="I77" t="s">
        <v>1349</v>
      </c>
      <c r="J77">
        <v>2156.5544</v>
      </c>
    </row>
    <row r="78" spans="1:10">
      <c r="A78" t="s">
        <v>1427</v>
      </c>
      <c r="B78" s="1">
        <v>45285</v>
      </c>
      <c r="C78" t="s">
        <v>66</v>
      </c>
      <c r="D78" t="s">
        <v>1225</v>
      </c>
      <c r="E78" t="s">
        <v>1314</v>
      </c>
      <c r="F78">
        <v>2</v>
      </c>
      <c r="G78">
        <v>686.31</v>
      </c>
      <c r="H78">
        <v>0.25</v>
      </c>
      <c r="I78" t="s">
        <v>1349</v>
      </c>
      <c r="J78">
        <v>1029.4649999999999</v>
      </c>
    </row>
    <row r="79" spans="1:10">
      <c r="A79" t="s">
        <v>1428</v>
      </c>
      <c r="B79" s="1">
        <v>45800</v>
      </c>
      <c r="C79" t="s">
        <v>33</v>
      </c>
      <c r="D79" t="s">
        <v>1207</v>
      </c>
      <c r="E79" t="s">
        <v>1326</v>
      </c>
      <c r="F79">
        <v>1</v>
      </c>
      <c r="G79">
        <v>687.82</v>
      </c>
      <c r="H79">
        <v>0.27</v>
      </c>
      <c r="I79" t="s">
        <v>1354</v>
      </c>
      <c r="J79">
        <v>502.10860000000002</v>
      </c>
    </row>
    <row r="80" spans="1:10">
      <c r="A80" t="s">
        <v>1429</v>
      </c>
      <c r="B80" s="1">
        <v>45609</v>
      </c>
      <c r="C80" t="s">
        <v>505</v>
      </c>
      <c r="D80" t="s">
        <v>1239</v>
      </c>
      <c r="E80" t="s">
        <v>1307</v>
      </c>
      <c r="F80">
        <v>2</v>
      </c>
      <c r="G80">
        <v>900.55</v>
      </c>
      <c r="H80">
        <v>0.16</v>
      </c>
      <c r="I80" t="s">
        <v>1349</v>
      </c>
      <c r="J80">
        <v>1512.924</v>
      </c>
    </row>
    <row r="81" spans="1:10">
      <c r="A81" t="s">
        <v>1430</v>
      </c>
      <c r="B81" s="1">
        <v>45268</v>
      </c>
      <c r="C81" t="s">
        <v>290</v>
      </c>
      <c r="D81" t="s">
        <v>1115</v>
      </c>
      <c r="E81" t="s">
        <v>1286</v>
      </c>
      <c r="F81">
        <v>1</v>
      </c>
      <c r="G81">
        <v>341.17</v>
      </c>
      <c r="H81">
        <v>0.15</v>
      </c>
      <c r="I81" t="s">
        <v>1349</v>
      </c>
      <c r="J81">
        <v>289.99450000000002</v>
      </c>
    </row>
    <row r="82" spans="1:10">
      <c r="A82" t="s">
        <v>1431</v>
      </c>
      <c r="B82" s="1">
        <v>45885</v>
      </c>
      <c r="C82" t="s">
        <v>413</v>
      </c>
      <c r="D82" t="s">
        <v>1177</v>
      </c>
      <c r="E82" t="s">
        <v>1307</v>
      </c>
      <c r="F82">
        <v>1</v>
      </c>
      <c r="G82">
        <v>442.27</v>
      </c>
      <c r="H82">
        <v>0.06</v>
      </c>
      <c r="I82" t="s">
        <v>1354</v>
      </c>
      <c r="J82">
        <v>415.73379999999997</v>
      </c>
    </row>
    <row r="83" spans="1:10">
      <c r="A83" t="s">
        <v>1432</v>
      </c>
      <c r="B83" s="1">
        <v>45616</v>
      </c>
      <c r="C83" t="s">
        <v>569</v>
      </c>
      <c r="D83" t="s">
        <v>1215</v>
      </c>
      <c r="E83" t="s">
        <v>1311</v>
      </c>
      <c r="F83">
        <v>1</v>
      </c>
      <c r="G83">
        <v>363.73</v>
      </c>
      <c r="H83">
        <v>0.25</v>
      </c>
      <c r="I83" t="s">
        <v>1351</v>
      </c>
      <c r="J83">
        <v>272.79750000000001</v>
      </c>
    </row>
    <row r="84" spans="1:10">
      <c r="A84" t="s">
        <v>1433</v>
      </c>
      <c r="B84" s="1">
        <v>45518</v>
      </c>
      <c r="C84" t="s">
        <v>819</v>
      </c>
      <c r="D84" t="s">
        <v>1255</v>
      </c>
      <c r="E84" t="s">
        <v>1332</v>
      </c>
      <c r="F84">
        <v>2</v>
      </c>
      <c r="G84">
        <v>601.33000000000004</v>
      </c>
      <c r="H84">
        <v>0.16</v>
      </c>
      <c r="I84" t="s">
        <v>1351</v>
      </c>
      <c r="J84">
        <v>1010.2344000000001</v>
      </c>
    </row>
    <row r="85" spans="1:10">
      <c r="A85" t="s">
        <v>1434</v>
      </c>
      <c r="B85" s="1">
        <v>45427</v>
      </c>
      <c r="C85" t="s">
        <v>869</v>
      </c>
      <c r="D85" t="s">
        <v>1107</v>
      </c>
      <c r="E85" t="s">
        <v>1335</v>
      </c>
      <c r="F85">
        <v>4</v>
      </c>
      <c r="G85">
        <v>34.39</v>
      </c>
      <c r="H85">
        <v>0.03</v>
      </c>
      <c r="I85" t="s">
        <v>1351</v>
      </c>
      <c r="J85">
        <v>133.4332</v>
      </c>
    </row>
    <row r="86" spans="1:10">
      <c r="A86" t="s">
        <v>1435</v>
      </c>
      <c r="B86" s="1">
        <v>45268</v>
      </c>
      <c r="C86" t="s">
        <v>909</v>
      </c>
      <c r="D86" t="s">
        <v>1165</v>
      </c>
      <c r="E86" t="s">
        <v>1332</v>
      </c>
      <c r="F86">
        <v>1</v>
      </c>
      <c r="G86">
        <v>773.57</v>
      </c>
      <c r="H86">
        <v>0.05</v>
      </c>
      <c r="I86" t="s">
        <v>1354</v>
      </c>
    </row>
    <row r="87" spans="1:10">
      <c r="A87" t="s">
        <v>1436</v>
      </c>
      <c r="B87" s="1">
        <v>45282</v>
      </c>
      <c r="C87" t="s">
        <v>152</v>
      </c>
      <c r="D87" t="s">
        <v>1249</v>
      </c>
      <c r="E87" t="s">
        <v>1304</v>
      </c>
      <c r="F87">
        <v>4</v>
      </c>
      <c r="G87">
        <v>127.1</v>
      </c>
      <c r="H87">
        <v>0.24</v>
      </c>
      <c r="I87" t="s">
        <v>1354</v>
      </c>
      <c r="J87">
        <v>386.38400000000001</v>
      </c>
    </row>
    <row r="88" spans="1:10">
      <c r="A88" t="s">
        <v>1437</v>
      </c>
      <c r="B88" s="1">
        <v>45545</v>
      </c>
      <c r="C88" t="s">
        <v>670</v>
      </c>
      <c r="D88" t="s">
        <v>1113</v>
      </c>
      <c r="E88" t="s">
        <v>1291</v>
      </c>
      <c r="F88">
        <v>3</v>
      </c>
      <c r="G88">
        <v>899.58</v>
      </c>
      <c r="H88">
        <v>0.28000000000000003</v>
      </c>
      <c r="I88" t="s">
        <v>1351</v>
      </c>
      <c r="J88">
        <v>1943.0927999999999</v>
      </c>
    </row>
    <row r="89" spans="1:10">
      <c r="A89" t="s">
        <v>1438</v>
      </c>
      <c r="B89" s="1">
        <v>45755</v>
      </c>
      <c r="C89" t="s">
        <v>718</v>
      </c>
      <c r="D89" t="s">
        <v>1071</v>
      </c>
      <c r="E89" t="s">
        <v>1314</v>
      </c>
      <c r="F89">
        <v>3</v>
      </c>
      <c r="G89">
        <v>964.39</v>
      </c>
      <c r="H89">
        <v>0.04</v>
      </c>
      <c r="I89" t="s">
        <v>1349</v>
      </c>
      <c r="J89">
        <v>2777.4432000000002</v>
      </c>
    </row>
    <row r="90" spans="1:10">
      <c r="A90" t="s">
        <v>1439</v>
      </c>
      <c r="B90" s="1">
        <v>45588</v>
      </c>
      <c r="C90" t="s">
        <v>428</v>
      </c>
      <c r="D90" t="s">
        <v>1149</v>
      </c>
      <c r="E90" t="s">
        <v>1277</v>
      </c>
      <c r="F90">
        <v>2</v>
      </c>
      <c r="G90">
        <v>217.83</v>
      </c>
      <c r="H90">
        <v>0.14000000000000001</v>
      </c>
      <c r="I90" t="s">
        <v>1351</v>
      </c>
      <c r="J90">
        <v>374.66759999999999</v>
      </c>
    </row>
    <row r="91" spans="1:10">
      <c r="A91" t="s">
        <v>1440</v>
      </c>
      <c r="B91" s="1">
        <v>45848</v>
      </c>
      <c r="C91" t="s">
        <v>347</v>
      </c>
      <c r="D91" t="s">
        <v>1107</v>
      </c>
      <c r="E91" t="s">
        <v>1282</v>
      </c>
      <c r="F91">
        <v>4</v>
      </c>
      <c r="G91">
        <v>187.71</v>
      </c>
      <c r="H91">
        <v>0.06</v>
      </c>
      <c r="I91" t="s">
        <v>1354</v>
      </c>
      <c r="J91">
        <v>705.78959999999995</v>
      </c>
    </row>
    <row r="92" spans="1:10">
      <c r="A92" t="s">
        <v>1441</v>
      </c>
      <c r="B92" s="1">
        <v>45577</v>
      </c>
      <c r="C92" t="s">
        <v>42</v>
      </c>
      <c r="D92" t="s">
        <v>1139</v>
      </c>
      <c r="E92" t="s">
        <v>1335</v>
      </c>
      <c r="F92">
        <v>2</v>
      </c>
      <c r="G92">
        <v>350.12</v>
      </c>
      <c r="H92">
        <v>0.12</v>
      </c>
      <c r="I92" t="s">
        <v>1354</v>
      </c>
      <c r="J92">
        <v>616.21119999999996</v>
      </c>
    </row>
    <row r="93" spans="1:10">
      <c r="A93" t="s">
        <v>1442</v>
      </c>
      <c r="B93" s="1">
        <v>45312</v>
      </c>
      <c r="C93" t="s">
        <v>875</v>
      </c>
      <c r="D93" t="s">
        <v>1105</v>
      </c>
      <c r="E93" t="s">
        <v>1282</v>
      </c>
      <c r="F93">
        <v>4</v>
      </c>
      <c r="G93">
        <v>102.19</v>
      </c>
      <c r="H93">
        <v>0.17</v>
      </c>
      <c r="I93" t="s">
        <v>1351</v>
      </c>
      <c r="J93">
        <v>339.27080000000001</v>
      </c>
    </row>
    <row r="94" spans="1:10">
      <c r="A94" t="s">
        <v>1443</v>
      </c>
      <c r="B94" s="1">
        <v>45350</v>
      </c>
      <c r="C94" t="s">
        <v>33</v>
      </c>
      <c r="D94" t="s">
        <v>1245</v>
      </c>
      <c r="E94" t="s">
        <v>1294</v>
      </c>
      <c r="F94">
        <v>1</v>
      </c>
      <c r="G94">
        <v>696.53</v>
      </c>
      <c r="H94">
        <v>0.17</v>
      </c>
      <c r="I94" t="s">
        <v>1349</v>
      </c>
      <c r="J94">
        <v>578.11989999999992</v>
      </c>
    </row>
    <row r="95" spans="1:10">
      <c r="A95" t="s">
        <v>1444</v>
      </c>
      <c r="B95" s="1">
        <v>45657</v>
      </c>
      <c r="C95" t="s">
        <v>178</v>
      </c>
      <c r="D95" t="s">
        <v>1111</v>
      </c>
      <c r="E95" t="s">
        <v>1294</v>
      </c>
      <c r="F95">
        <v>2</v>
      </c>
      <c r="G95">
        <v>327.52</v>
      </c>
      <c r="H95">
        <v>0.15</v>
      </c>
      <c r="I95" t="s">
        <v>1351</v>
      </c>
      <c r="J95">
        <v>556.78399999999999</v>
      </c>
    </row>
    <row r="96" spans="1:10">
      <c r="A96" t="s">
        <v>1445</v>
      </c>
      <c r="B96" s="1">
        <v>45530</v>
      </c>
      <c r="C96" t="s">
        <v>660</v>
      </c>
      <c r="D96" t="s">
        <v>1267</v>
      </c>
      <c r="E96" t="s">
        <v>1338</v>
      </c>
      <c r="F96">
        <v>2</v>
      </c>
      <c r="G96">
        <v>569.36</v>
      </c>
      <c r="H96">
        <v>0.01</v>
      </c>
      <c r="I96" t="s">
        <v>1351</v>
      </c>
    </row>
    <row r="97" spans="1:10">
      <c r="A97" t="s">
        <v>1446</v>
      </c>
      <c r="B97" s="1">
        <v>45556</v>
      </c>
      <c r="C97" t="s">
        <v>706</v>
      </c>
      <c r="D97" t="s">
        <v>1271</v>
      </c>
      <c r="E97" t="s">
        <v>1301</v>
      </c>
      <c r="F97">
        <v>2</v>
      </c>
      <c r="G97">
        <v>68.290000000000006</v>
      </c>
      <c r="H97">
        <v>0.14000000000000001</v>
      </c>
      <c r="I97" t="s">
        <v>1354</v>
      </c>
      <c r="J97">
        <v>117.4588</v>
      </c>
    </row>
    <row r="98" spans="1:10">
      <c r="A98" t="s">
        <v>1447</v>
      </c>
      <c r="B98" s="1">
        <v>45523</v>
      </c>
      <c r="C98" t="s">
        <v>551</v>
      </c>
      <c r="D98" t="s">
        <v>1173</v>
      </c>
      <c r="E98" t="s">
        <v>1314</v>
      </c>
      <c r="F98">
        <v>1</v>
      </c>
      <c r="G98">
        <v>842.9</v>
      </c>
      <c r="H98">
        <v>0.06</v>
      </c>
      <c r="I98" t="s">
        <v>1354</v>
      </c>
      <c r="J98">
        <v>792.32599999999991</v>
      </c>
    </row>
    <row r="99" spans="1:10">
      <c r="A99" t="s">
        <v>1448</v>
      </c>
      <c r="B99" s="1">
        <v>45587</v>
      </c>
      <c r="C99" t="s">
        <v>638</v>
      </c>
      <c r="D99" t="s">
        <v>1076</v>
      </c>
      <c r="E99" t="s">
        <v>1291</v>
      </c>
      <c r="F99">
        <v>3</v>
      </c>
      <c r="G99">
        <v>751.94</v>
      </c>
      <c r="H99">
        <v>0.26</v>
      </c>
      <c r="I99" t="s">
        <v>1351</v>
      </c>
      <c r="J99">
        <v>1669.3068000000001</v>
      </c>
    </row>
    <row r="100" spans="1:10">
      <c r="A100" t="s">
        <v>1449</v>
      </c>
      <c r="B100" s="1">
        <v>45580</v>
      </c>
      <c r="C100" t="s">
        <v>323</v>
      </c>
      <c r="D100" t="s">
        <v>1185</v>
      </c>
      <c r="E100" t="s">
        <v>1304</v>
      </c>
      <c r="F100">
        <v>4</v>
      </c>
      <c r="G100">
        <v>476.28</v>
      </c>
      <c r="H100">
        <v>0.17</v>
      </c>
      <c r="I100" t="s">
        <v>1349</v>
      </c>
      <c r="J100">
        <v>1581.2496000000001</v>
      </c>
    </row>
    <row r="101" spans="1:10">
      <c r="A101" t="s">
        <v>1450</v>
      </c>
      <c r="B101" s="1">
        <v>45479</v>
      </c>
      <c r="C101" t="s">
        <v>714</v>
      </c>
      <c r="D101" t="s">
        <v>1181</v>
      </c>
      <c r="E101" t="s">
        <v>1291</v>
      </c>
      <c r="F101">
        <v>3</v>
      </c>
      <c r="G101">
        <v>541.99</v>
      </c>
      <c r="H101">
        <v>0.24</v>
      </c>
      <c r="I101" t="s">
        <v>1354</v>
      </c>
      <c r="J101">
        <v>1235.7372</v>
      </c>
    </row>
    <row r="102" spans="1:10">
      <c r="A102" t="s">
        <v>1451</v>
      </c>
      <c r="B102" s="1">
        <v>45677</v>
      </c>
      <c r="C102" t="s">
        <v>801</v>
      </c>
      <c r="D102" t="s">
        <v>1139</v>
      </c>
      <c r="E102" t="s">
        <v>1298</v>
      </c>
      <c r="F102">
        <v>2</v>
      </c>
      <c r="G102">
        <v>401.5</v>
      </c>
      <c r="H102">
        <v>0.18</v>
      </c>
      <c r="I102" t="s">
        <v>1349</v>
      </c>
      <c r="J102">
        <v>658.46</v>
      </c>
    </row>
    <row r="103" spans="1:10">
      <c r="A103" t="s">
        <v>1452</v>
      </c>
      <c r="B103" s="1">
        <v>45453</v>
      </c>
      <c r="C103" t="s">
        <v>222</v>
      </c>
      <c r="D103" t="s">
        <v>1123</v>
      </c>
      <c r="E103" t="s">
        <v>1322</v>
      </c>
      <c r="F103">
        <v>3</v>
      </c>
      <c r="G103">
        <v>359.56</v>
      </c>
      <c r="H103">
        <v>0.17</v>
      </c>
      <c r="I103" t="s">
        <v>1351</v>
      </c>
      <c r="J103">
        <v>895.30439999999999</v>
      </c>
    </row>
    <row r="104" spans="1:10">
      <c r="A104" t="s">
        <v>1453</v>
      </c>
      <c r="B104" s="1">
        <v>45552</v>
      </c>
      <c r="C104" t="s">
        <v>252</v>
      </c>
      <c r="D104" t="s">
        <v>1233</v>
      </c>
      <c r="E104" t="s">
        <v>1319</v>
      </c>
      <c r="F104">
        <v>2</v>
      </c>
      <c r="G104">
        <v>471.88</v>
      </c>
      <c r="H104">
        <v>0.24</v>
      </c>
      <c r="I104" t="s">
        <v>1351</v>
      </c>
      <c r="J104">
        <v>717.25760000000002</v>
      </c>
    </row>
    <row r="105" spans="1:10">
      <c r="A105" t="s">
        <v>1454</v>
      </c>
      <c r="B105" s="1">
        <v>45907</v>
      </c>
      <c r="C105" t="s">
        <v>426</v>
      </c>
      <c r="D105" t="s">
        <v>1141</v>
      </c>
      <c r="E105" t="s">
        <v>1294</v>
      </c>
      <c r="F105">
        <v>4</v>
      </c>
      <c r="G105">
        <v>925.19</v>
      </c>
      <c r="H105">
        <v>0.19</v>
      </c>
      <c r="I105" t="s">
        <v>1351</v>
      </c>
      <c r="J105">
        <v>2997.615600000001</v>
      </c>
    </row>
    <row r="106" spans="1:10">
      <c r="A106" t="s">
        <v>1455</v>
      </c>
      <c r="B106" s="1">
        <v>45330</v>
      </c>
      <c r="C106" t="s">
        <v>92</v>
      </c>
      <c r="D106" t="s">
        <v>1245</v>
      </c>
      <c r="E106" t="s">
        <v>1317</v>
      </c>
      <c r="F106">
        <v>2</v>
      </c>
      <c r="G106">
        <v>879.63</v>
      </c>
      <c r="H106">
        <v>7.0000000000000007E-2</v>
      </c>
      <c r="I106" t="s">
        <v>1354</v>
      </c>
      <c r="J106">
        <v>1636.1117999999999</v>
      </c>
    </row>
    <row r="107" spans="1:10">
      <c r="A107" t="s">
        <v>1456</v>
      </c>
      <c r="B107" s="1">
        <v>45214</v>
      </c>
      <c r="C107" t="s">
        <v>18</v>
      </c>
      <c r="D107" t="s">
        <v>1231</v>
      </c>
      <c r="E107" t="s">
        <v>1332</v>
      </c>
      <c r="F107">
        <v>2</v>
      </c>
      <c r="G107">
        <v>418.23</v>
      </c>
      <c r="H107">
        <v>0.28000000000000003</v>
      </c>
      <c r="I107" t="s">
        <v>1349</v>
      </c>
      <c r="J107">
        <v>602.25120000000004</v>
      </c>
    </row>
    <row r="108" spans="1:10">
      <c r="A108" t="s">
        <v>1457</v>
      </c>
      <c r="B108" s="1">
        <v>45891</v>
      </c>
      <c r="C108" t="s">
        <v>602</v>
      </c>
      <c r="D108" t="s">
        <v>1111</v>
      </c>
      <c r="E108" t="s">
        <v>1335</v>
      </c>
      <c r="F108">
        <v>3</v>
      </c>
      <c r="G108">
        <v>551.72</v>
      </c>
      <c r="H108">
        <v>0.03</v>
      </c>
      <c r="I108" t="s">
        <v>1354</v>
      </c>
      <c r="J108">
        <v>1605.5052000000001</v>
      </c>
    </row>
    <row r="109" spans="1:10">
      <c r="A109" t="s">
        <v>1458</v>
      </c>
      <c r="B109" s="1">
        <v>45323</v>
      </c>
      <c r="C109" t="s">
        <v>740</v>
      </c>
      <c r="D109" t="s">
        <v>1245</v>
      </c>
      <c r="E109" t="s">
        <v>1304</v>
      </c>
      <c r="F109">
        <v>4</v>
      </c>
      <c r="G109">
        <v>525.61</v>
      </c>
      <c r="H109">
        <v>0.02</v>
      </c>
      <c r="I109" t="s">
        <v>1351</v>
      </c>
      <c r="J109">
        <v>2060.3912</v>
      </c>
    </row>
    <row r="110" spans="1:10">
      <c r="A110" t="s">
        <v>1459</v>
      </c>
      <c r="B110" s="1">
        <v>45785</v>
      </c>
      <c r="C110" t="s">
        <v>120</v>
      </c>
      <c r="D110" t="s">
        <v>1117</v>
      </c>
      <c r="E110" t="s">
        <v>1322</v>
      </c>
      <c r="F110">
        <v>3</v>
      </c>
      <c r="G110">
        <v>815.3</v>
      </c>
      <c r="H110">
        <v>0.03</v>
      </c>
      <c r="I110" t="s">
        <v>1349</v>
      </c>
      <c r="J110">
        <v>2372.5230000000001</v>
      </c>
    </row>
    <row r="111" spans="1:10">
      <c r="A111" t="s">
        <v>1460</v>
      </c>
      <c r="B111" s="1">
        <v>45738</v>
      </c>
      <c r="C111" t="s">
        <v>490</v>
      </c>
      <c r="D111" t="s">
        <v>1255</v>
      </c>
      <c r="E111" t="s">
        <v>1277</v>
      </c>
      <c r="F111">
        <v>3</v>
      </c>
      <c r="G111">
        <v>376.46</v>
      </c>
      <c r="H111">
        <v>0.09</v>
      </c>
      <c r="I111" t="s">
        <v>1354</v>
      </c>
      <c r="J111">
        <v>1027.7357999999999</v>
      </c>
    </row>
    <row r="112" spans="1:10">
      <c r="A112" t="s">
        <v>1461</v>
      </c>
      <c r="B112" s="1">
        <v>45851</v>
      </c>
      <c r="C112" t="s">
        <v>33</v>
      </c>
      <c r="D112" t="s">
        <v>1157</v>
      </c>
      <c r="E112" t="s">
        <v>1307</v>
      </c>
      <c r="F112">
        <v>4</v>
      </c>
      <c r="G112">
        <v>239.83</v>
      </c>
      <c r="H112">
        <v>0.08</v>
      </c>
      <c r="I112" t="s">
        <v>1349</v>
      </c>
      <c r="J112">
        <v>882.57440000000008</v>
      </c>
    </row>
    <row r="113" spans="1:10">
      <c r="A113" t="s">
        <v>1462</v>
      </c>
      <c r="B113" s="1">
        <v>45798</v>
      </c>
      <c r="C113" t="s">
        <v>298</v>
      </c>
      <c r="D113" t="s">
        <v>1253</v>
      </c>
      <c r="E113" t="s">
        <v>1291</v>
      </c>
      <c r="F113">
        <v>2</v>
      </c>
      <c r="G113">
        <v>845.71</v>
      </c>
      <c r="H113">
        <v>0.01</v>
      </c>
      <c r="I113" t="s">
        <v>1351</v>
      </c>
      <c r="J113">
        <v>1674.5057999999999</v>
      </c>
    </row>
    <row r="114" spans="1:10">
      <c r="A114" t="s">
        <v>1463</v>
      </c>
      <c r="B114" s="1">
        <v>45705</v>
      </c>
      <c r="C114" t="s">
        <v>229</v>
      </c>
      <c r="D114" t="s">
        <v>1225</v>
      </c>
      <c r="E114" t="s">
        <v>1322</v>
      </c>
      <c r="F114">
        <v>3</v>
      </c>
      <c r="G114">
        <v>948.69</v>
      </c>
      <c r="H114">
        <v>0.28999999999999998</v>
      </c>
      <c r="I114" t="s">
        <v>1349</v>
      </c>
      <c r="J114">
        <v>2020.7097000000001</v>
      </c>
    </row>
    <row r="115" spans="1:10">
      <c r="A115" t="s">
        <v>1464</v>
      </c>
      <c r="B115" s="1">
        <v>45413</v>
      </c>
      <c r="C115" t="s">
        <v>996</v>
      </c>
      <c r="D115" t="s">
        <v>1127</v>
      </c>
      <c r="E115" t="s">
        <v>1314</v>
      </c>
      <c r="F115">
        <v>1</v>
      </c>
      <c r="G115">
        <v>281.97000000000003</v>
      </c>
      <c r="H115">
        <v>0.2</v>
      </c>
      <c r="I115" t="s">
        <v>1351</v>
      </c>
      <c r="J115">
        <v>225.57599999999999</v>
      </c>
    </row>
    <row r="116" spans="1:10">
      <c r="A116" t="s">
        <v>1465</v>
      </c>
      <c r="B116" s="1">
        <v>45482</v>
      </c>
      <c r="C116" t="s">
        <v>365</v>
      </c>
      <c r="D116" t="s">
        <v>1255</v>
      </c>
      <c r="E116" t="s">
        <v>1294</v>
      </c>
      <c r="F116">
        <v>2</v>
      </c>
      <c r="G116">
        <v>731.01</v>
      </c>
      <c r="H116">
        <v>0.05</v>
      </c>
      <c r="I116" t="s">
        <v>1351</v>
      </c>
      <c r="J116">
        <v>1388.9190000000001</v>
      </c>
    </row>
    <row r="117" spans="1:10">
      <c r="A117" t="s">
        <v>1466</v>
      </c>
      <c r="B117" s="1">
        <v>45925</v>
      </c>
      <c r="C117" t="s">
        <v>577</v>
      </c>
      <c r="D117" t="s">
        <v>1243</v>
      </c>
      <c r="E117" t="s">
        <v>1304</v>
      </c>
      <c r="F117">
        <v>4</v>
      </c>
      <c r="G117">
        <v>930.85</v>
      </c>
      <c r="H117">
        <v>0.13</v>
      </c>
      <c r="I117" t="s">
        <v>1351</v>
      </c>
      <c r="J117">
        <v>3239.3580000000002</v>
      </c>
    </row>
    <row r="118" spans="1:10">
      <c r="A118" t="s">
        <v>1467</v>
      </c>
      <c r="B118" s="1">
        <v>45420</v>
      </c>
      <c r="C118" t="s">
        <v>901</v>
      </c>
      <c r="D118" t="s">
        <v>1076</v>
      </c>
      <c r="E118" t="s">
        <v>1307</v>
      </c>
      <c r="F118">
        <v>4</v>
      </c>
      <c r="G118">
        <v>770.77</v>
      </c>
      <c r="H118">
        <v>0.22</v>
      </c>
      <c r="I118" t="s">
        <v>1349</v>
      </c>
      <c r="J118">
        <v>2404.8024</v>
      </c>
    </row>
    <row r="119" spans="1:10">
      <c r="A119" t="s">
        <v>1468</v>
      </c>
      <c r="B119" s="1">
        <v>45554</v>
      </c>
      <c r="C119" t="s">
        <v>182</v>
      </c>
      <c r="D119" t="s">
        <v>1165</v>
      </c>
      <c r="E119" t="s">
        <v>1294</v>
      </c>
      <c r="F119">
        <v>3</v>
      </c>
      <c r="G119">
        <v>479.63</v>
      </c>
      <c r="H119">
        <v>0.3</v>
      </c>
      <c r="I119" t="s">
        <v>1351</v>
      </c>
      <c r="J119">
        <v>1007.223</v>
      </c>
    </row>
    <row r="120" spans="1:10">
      <c r="A120" t="s">
        <v>1469</v>
      </c>
      <c r="B120" s="1">
        <v>45405</v>
      </c>
      <c r="C120" t="s">
        <v>269</v>
      </c>
      <c r="D120" t="s">
        <v>1151</v>
      </c>
      <c r="E120" t="s">
        <v>1317</v>
      </c>
      <c r="F120">
        <v>1</v>
      </c>
      <c r="G120">
        <v>165</v>
      </c>
      <c r="H120">
        <v>0.3</v>
      </c>
      <c r="I120" t="s">
        <v>1354</v>
      </c>
      <c r="J120">
        <v>115.5</v>
      </c>
    </row>
    <row r="121" spans="1:10">
      <c r="A121" t="s">
        <v>1470</v>
      </c>
      <c r="B121" s="1">
        <v>45503</v>
      </c>
      <c r="C121" t="s">
        <v>377</v>
      </c>
      <c r="D121" t="s">
        <v>1111</v>
      </c>
      <c r="E121" t="s">
        <v>1307</v>
      </c>
      <c r="F121">
        <v>2</v>
      </c>
      <c r="G121">
        <v>151.51</v>
      </c>
      <c r="H121">
        <v>0.28999999999999998</v>
      </c>
      <c r="I121" t="s">
        <v>1354</v>
      </c>
      <c r="J121">
        <v>215.14420000000001</v>
      </c>
    </row>
    <row r="122" spans="1:10">
      <c r="A122" t="s">
        <v>1471</v>
      </c>
      <c r="B122" s="1">
        <v>45274</v>
      </c>
      <c r="C122" t="s">
        <v>525</v>
      </c>
      <c r="D122" t="s">
        <v>1135</v>
      </c>
      <c r="E122" t="s">
        <v>1332</v>
      </c>
      <c r="F122">
        <v>2</v>
      </c>
      <c r="G122">
        <v>872.93</v>
      </c>
      <c r="H122">
        <v>0.28999999999999998</v>
      </c>
      <c r="I122" t="s">
        <v>1354</v>
      </c>
      <c r="J122">
        <v>1239.5606</v>
      </c>
    </row>
    <row r="123" spans="1:10">
      <c r="A123" t="s">
        <v>1472</v>
      </c>
      <c r="B123" s="1">
        <v>45558</v>
      </c>
      <c r="C123" t="s">
        <v>591</v>
      </c>
      <c r="D123" t="s">
        <v>1117</v>
      </c>
      <c r="E123" t="s">
        <v>1314</v>
      </c>
      <c r="F123">
        <v>3</v>
      </c>
      <c r="G123">
        <v>432.4</v>
      </c>
      <c r="H123">
        <v>0.04</v>
      </c>
      <c r="I123" t="s">
        <v>1349</v>
      </c>
      <c r="J123">
        <v>1245.3119999999999</v>
      </c>
    </row>
    <row r="124" spans="1:10">
      <c r="A124" t="s">
        <v>1473</v>
      </c>
      <c r="B124" s="1">
        <v>45886</v>
      </c>
      <c r="C124" t="s">
        <v>740</v>
      </c>
      <c r="D124" t="s">
        <v>1173</v>
      </c>
      <c r="E124" t="s">
        <v>1304</v>
      </c>
      <c r="F124">
        <v>2</v>
      </c>
      <c r="G124">
        <v>197.76</v>
      </c>
      <c r="H124">
        <v>0.04</v>
      </c>
      <c r="I124" t="s">
        <v>1349</v>
      </c>
      <c r="J124">
        <v>379.69920000000002</v>
      </c>
    </row>
    <row r="125" spans="1:10">
      <c r="A125" t="s">
        <v>1474</v>
      </c>
      <c r="B125" s="1">
        <v>45674</v>
      </c>
      <c r="C125" t="s">
        <v>1014</v>
      </c>
      <c r="D125" t="s">
        <v>1153</v>
      </c>
      <c r="E125" t="s">
        <v>1286</v>
      </c>
      <c r="F125">
        <v>3</v>
      </c>
      <c r="G125">
        <v>334.6</v>
      </c>
      <c r="H125">
        <v>0.11</v>
      </c>
      <c r="I125" t="s">
        <v>1351</v>
      </c>
      <c r="J125">
        <v>893.38200000000006</v>
      </c>
    </row>
    <row r="126" spans="1:10">
      <c r="A126" t="s">
        <v>1475</v>
      </c>
      <c r="B126" s="1">
        <v>45777</v>
      </c>
      <c r="C126" t="s">
        <v>229</v>
      </c>
      <c r="D126" t="s">
        <v>1101</v>
      </c>
      <c r="E126" t="s">
        <v>1291</v>
      </c>
      <c r="F126">
        <v>2</v>
      </c>
      <c r="G126">
        <v>44.35</v>
      </c>
      <c r="H126">
        <v>0.2</v>
      </c>
      <c r="I126" t="s">
        <v>1354</v>
      </c>
      <c r="J126">
        <v>70.960000000000008</v>
      </c>
    </row>
    <row r="127" spans="1:10">
      <c r="A127" t="s">
        <v>1476</v>
      </c>
      <c r="B127" s="1">
        <v>45598</v>
      </c>
      <c r="C127" t="s">
        <v>1057</v>
      </c>
      <c r="D127" t="s">
        <v>1087</v>
      </c>
      <c r="E127" t="s">
        <v>1301</v>
      </c>
      <c r="F127">
        <v>1</v>
      </c>
      <c r="G127">
        <v>846.31</v>
      </c>
      <c r="H127">
        <v>0.05</v>
      </c>
      <c r="I127" t="s">
        <v>1351</v>
      </c>
      <c r="J127">
        <v>803.9944999999999</v>
      </c>
    </row>
    <row r="128" spans="1:10">
      <c r="A128" t="s">
        <v>1477</v>
      </c>
      <c r="B128" s="1">
        <v>45884</v>
      </c>
      <c r="C128" t="s">
        <v>323</v>
      </c>
      <c r="D128" t="s">
        <v>1143</v>
      </c>
      <c r="E128" t="s">
        <v>1319</v>
      </c>
      <c r="F128">
        <v>1</v>
      </c>
      <c r="G128">
        <v>996.48</v>
      </c>
      <c r="H128">
        <v>7.0000000000000007E-2</v>
      </c>
      <c r="I128" t="s">
        <v>1354</v>
      </c>
      <c r="J128">
        <v>926.7263999999999</v>
      </c>
    </row>
    <row r="129" spans="1:10">
      <c r="A129" t="s">
        <v>1478</v>
      </c>
      <c r="B129" s="1">
        <v>45916</v>
      </c>
      <c r="C129" t="s">
        <v>618</v>
      </c>
      <c r="D129" t="s">
        <v>1259</v>
      </c>
      <c r="E129" t="s">
        <v>1301</v>
      </c>
      <c r="F129">
        <v>3</v>
      </c>
      <c r="G129">
        <v>949.19</v>
      </c>
      <c r="H129">
        <v>0.03</v>
      </c>
      <c r="I129" t="s">
        <v>1354</v>
      </c>
      <c r="J129">
        <v>2762.1428999999998</v>
      </c>
    </row>
    <row r="130" spans="1:10">
      <c r="A130" t="s">
        <v>1479</v>
      </c>
      <c r="B130" s="1">
        <v>45347</v>
      </c>
      <c r="C130" t="s">
        <v>857</v>
      </c>
      <c r="D130" t="s">
        <v>1261</v>
      </c>
      <c r="E130" t="s">
        <v>1311</v>
      </c>
      <c r="F130">
        <v>2</v>
      </c>
      <c r="G130">
        <v>724.97</v>
      </c>
      <c r="H130">
        <v>0.1</v>
      </c>
      <c r="I130" t="s">
        <v>1349</v>
      </c>
      <c r="J130">
        <v>1304.9459999999999</v>
      </c>
    </row>
    <row r="131" spans="1:10">
      <c r="A131" t="s">
        <v>1480</v>
      </c>
      <c r="B131" s="1">
        <v>45723</v>
      </c>
      <c r="C131" t="s">
        <v>694</v>
      </c>
      <c r="D131" t="s">
        <v>1071</v>
      </c>
      <c r="E131" t="s">
        <v>1329</v>
      </c>
      <c r="F131">
        <v>1</v>
      </c>
      <c r="G131">
        <v>783.25</v>
      </c>
      <c r="H131">
        <v>0.3</v>
      </c>
      <c r="I131" t="s">
        <v>1349</v>
      </c>
      <c r="J131">
        <v>548.27499999999998</v>
      </c>
    </row>
    <row r="132" spans="1:10">
      <c r="A132" t="s">
        <v>1481</v>
      </c>
      <c r="B132" s="1">
        <v>45495</v>
      </c>
      <c r="C132" t="s">
        <v>750</v>
      </c>
      <c r="D132" t="s">
        <v>1107</v>
      </c>
      <c r="E132" t="s">
        <v>1291</v>
      </c>
      <c r="F132">
        <v>1</v>
      </c>
      <c r="G132">
        <v>942.38</v>
      </c>
      <c r="H132">
        <v>0.17</v>
      </c>
      <c r="I132" t="s">
        <v>1349</v>
      </c>
      <c r="J132">
        <v>782.17539999999997</v>
      </c>
    </row>
    <row r="133" spans="1:10">
      <c r="A133" t="s">
        <v>1482</v>
      </c>
      <c r="B133" s="1">
        <v>45444</v>
      </c>
      <c r="C133" t="s">
        <v>1053</v>
      </c>
      <c r="D133" t="s">
        <v>1175</v>
      </c>
      <c r="E133" t="s">
        <v>1317</v>
      </c>
      <c r="F133">
        <v>3</v>
      </c>
      <c r="G133">
        <v>298.35000000000002</v>
      </c>
      <c r="H133">
        <v>0.05</v>
      </c>
      <c r="I133" t="s">
        <v>1354</v>
      </c>
      <c r="J133">
        <v>850.29750000000001</v>
      </c>
    </row>
    <row r="134" spans="1:10">
      <c r="A134" t="s">
        <v>1483</v>
      </c>
      <c r="B134" s="1">
        <v>45662</v>
      </c>
      <c r="C134" t="s">
        <v>389</v>
      </c>
      <c r="D134" t="s">
        <v>1169</v>
      </c>
      <c r="E134" t="s">
        <v>1319</v>
      </c>
      <c r="F134">
        <v>4</v>
      </c>
      <c r="G134">
        <v>950.04</v>
      </c>
      <c r="H134">
        <v>0.13</v>
      </c>
      <c r="I134" t="s">
        <v>1351</v>
      </c>
      <c r="J134">
        <v>3306.1392000000001</v>
      </c>
    </row>
    <row r="135" spans="1:10">
      <c r="A135" t="s">
        <v>1484</v>
      </c>
      <c r="B135" s="1">
        <v>45910</v>
      </c>
      <c r="C135" t="s">
        <v>722</v>
      </c>
      <c r="D135" t="s">
        <v>1187</v>
      </c>
      <c r="E135" t="s">
        <v>1294</v>
      </c>
      <c r="F135">
        <v>2</v>
      </c>
      <c r="G135">
        <v>267.19</v>
      </c>
      <c r="H135">
        <v>7.0000000000000007E-2</v>
      </c>
      <c r="I135" t="s">
        <v>1349</v>
      </c>
      <c r="J135">
        <v>496.97340000000003</v>
      </c>
    </row>
    <row r="136" spans="1:10">
      <c r="A136" t="s">
        <v>1485</v>
      </c>
      <c r="B136" s="1">
        <v>45827</v>
      </c>
      <c r="C136" t="s">
        <v>464</v>
      </c>
      <c r="D136" t="s">
        <v>1247</v>
      </c>
      <c r="E136" t="s">
        <v>1326</v>
      </c>
      <c r="F136">
        <v>4</v>
      </c>
      <c r="G136">
        <v>72.63</v>
      </c>
      <c r="H136">
        <v>0.06</v>
      </c>
      <c r="I136" t="s">
        <v>1351</v>
      </c>
      <c r="J136">
        <v>273.08879999999999</v>
      </c>
    </row>
    <row r="137" spans="1:10">
      <c r="A137" t="s">
        <v>1486</v>
      </c>
      <c r="B137" s="1">
        <v>45544</v>
      </c>
      <c r="C137" t="s">
        <v>917</v>
      </c>
      <c r="D137" t="s">
        <v>1179</v>
      </c>
      <c r="E137" t="s">
        <v>1298</v>
      </c>
      <c r="F137">
        <v>3</v>
      </c>
      <c r="G137">
        <v>576.52</v>
      </c>
      <c r="H137">
        <v>0.22</v>
      </c>
      <c r="I137" t="s">
        <v>1354</v>
      </c>
      <c r="J137">
        <v>1349.0568000000001</v>
      </c>
    </row>
    <row r="138" spans="1:10">
      <c r="A138" t="s">
        <v>1487</v>
      </c>
      <c r="B138" s="1">
        <v>45751</v>
      </c>
      <c r="C138" t="s">
        <v>762</v>
      </c>
      <c r="D138" t="s">
        <v>1215</v>
      </c>
      <c r="E138" t="s">
        <v>1311</v>
      </c>
      <c r="F138">
        <v>3</v>
      </c>
      <c r="G138">
        <v>849.36</v>
      </c>
      <c r="H138">
        <v>0.03</v>
      </c>
      <c r="I138" t="s">
        <v>1349</v>
      </c>
      <c r="J138">
        <v>2471.6376</v>
      </c>
    </row>
    <row r="139" spans="1:10">
      <c r="A139" t="s">
        <v>1488</v>
      </c>
      <c r="B139" s="1">
        <v>45392</v>
      </c>
      <c r="C139" t="s">
        <v>1008</v>
      </c>
      <c r="D139" t="s">
        <v>1173</v>
      </c>
      <c r="E139" t="s">
        <v>1301</v>
      </c>
      <c r="F139">
        <v>1</v>
      </c>
      <c r="G139">
        <v>245.85</v>
      </c>
      <c r="H139">
        <v>0.18</v>
      </c>
      <c r="I139" t="s">
        <v>1354</v>
      </c>
      <c r="J139">
        <v>201.59700000000001</v>
      </c>
    </row>
    <row r="140" spans="1:10">
      <c r="A140" t="s">
        <v>1489</v>
      </c>
      <c r="B140" s="1">
        <v>45589</v>
      </c>
      <c r="C140" t="s">
        <v>418</v>
      </c>
      <c r="D140" t="s">
        <v>1267</v>
      </c>
      <c r="E140" t="s">
        <v>1314</v>
      </c>
      <c r="F140">
        <v>3</v>
      </c>
      <c r="G140">
        <v>237.68</v>
      </c>
      <c r="H140">
        <v>0.1</v>
      </c>
      <c r="I140" t="s">
        <v>1354</v>
      </c>
      <c r="J140">
        <v>641.73599999999999</v>
      </c>
    </row>
    <row r="141" spans="1:10">
      <c r="A141" t="s">
        <v>1490</v>
      </c>
      <c r="B141" s="1">
        <v>45756</v>
      </c>
      <c r="C141" t="s">
        <v>738</v>
      </c>
      <c r="D141" t="s">
        <v>1215</v>
      </c>
      <c r="E141" t="s">
        <v>1324</v>
      </c>
      <c r="F141">
        <v>4</v>
      </c>
      <c r="G141">
        <v>715.85</v>
      </c>
      <c r="H141">
        <v>0.25</v>
      </c>
      <c r="I141" t="s">
        <v>1351</v>
      </c>
      <c r="J141">
        <v>2147.5500000000002</v>
      </c>
    </row>
    <row r="142" spans="1:10">
      <c r="A142" t="s">
        <v>1491</v>
      </c>
      <c r="B142" s="1">
        <v>45255</v>
      </c>
      <c r="C142" t="s">
        <v>403</v>
      </c>
      <c r="D142" t="s">
        <v>1253</v>
      </c>
      <c r="E142" t="s">
        <v>1298</v>
      </c>
      <c r="F142">
        <v>2</v>
      </c>
      <c r="G142">
        <v>478.85</v>
      </c>
      <c r="H142">
        <v>0.01</v>
      </c>
      <c r="I142" t="s">
        <v>1354</v>
      </c>
      <c r="J142">
        <v>948.12300000000005</v>
      </c>
    </row>
    <row r="143" spans="1:10">
      <c r="A143" t="s">
        <v>1492</v>
      </c>
      <c r="B143" s="1">
        <v>45718</v>
      </c>
      <c r="C143" t="s">
        <v>286</v>
      </c>
      <c r="D143" t="s">
        <v>1167</v>
      </c>
      <c r="E143" t="s">
        <v>1277</v>
      </c>
      <c r="F143">
        <v>1</v>
      </c>
      <c r="G143">
        <v>503.95</v>
      </c>
      <c r="H143">
        <v>0.26</v>
      </c>
      <c r="I143" t="s">
        <v>1354</v>
      </c>
      <c r="J143">
        <v>372.923</v>
      </c>
    </row>
    <row r="144" spans="1:10">
      <c r="A144" t="s">
        <v>1493</v>
      </c>
      <c r="B144" s="1">
        <v>45573</v>
      </c>
      <c r="C144" t="s">
        <v>861</v>
      </c>
      <c r="D144" t="s">
        <v>1205</v>
      </c>
      <c r="E144" t="s">
        <v>1319</v>
      </c>
      <c r="F144">
        <v>2</v>
      </c>
      <c r="G144">
        <v>975.48</v>
      </c>
      <c r="H144">
        <v>0.26</v>
      </c>
      <c r="I144" t="s">
        <v>1354</v>
      </c>
      <c r="J144">
        <v>1443.7103999999999</v>
      </c>
    </row>
    <row r="145" spans="1:10">
      <c r="A145" t="s">
        <v>1494</v>
      </c>
      <c r="B145" s="1">
        <v>45884</v>
      </c>
      <c r="C145" t="s">
        <v>865</v>
      </c>
      <c r="D145" t="s">
        <v>1141</v>
      </c>
      <c r="E145" t="s">
        <v>1329</v>
      </c>
      <c r="F145">
        <v>4</v>
      </c>
      <c r="G145">
        <v>450.12</v>
      </c>
      <c r="H145">
        <v>0.28999999999999998</v>
      </c>
      <c r="I145" t="s">
        <v>1354</v>
      </c>
      <c r="J145">
        <v>1278.3407999999999</v>
      </c>
    </row>
    <row r="146" spans="1:10">
      <c r="A146" t="s">
        <v>1495</v>
      </c>
      <c r="B146" s="1">
        <v>45448</v>
      </c>
      <c r="C146" t="s">
        <v>933</v>
      </c>
      <c r="D146" t="s">
        <v>1145</v>
      </c>
      <c r="E146" t="s">
        <v>1307</v>
      </c>
      <c r="F146">
        <v>3</v>
      </c>
      <c r="G146">
        <v>237.24</v>
      </c>
      <c r="H146">
        <v>0.24</v>
      </c>
      <c r="I146" t="s">
        <v>1351</v>
      </c>
      <c r="J146">
        <v>540.90719999999999</v>
      </c>
    </row>
    <row r="147" spans="1:10">
      <c r="A147" t="s">
        <v>1496</v>
      </c>
      <c r="B147" s="1">
        <v>45522</v>
      </c>
      <c r="C147" t="s">
        <v>981</v>
      </c>
      <c r="D147" t="s">
        <v>1181</v>
      </c>
      <c r="E147" t="s">
        <v>1326</v>
      </c>
      <c r="F147">
        <v>2</v>
      </c>
      <c r="G147">
        <v>536.84</v>
      </c>
      <c r="H147">
        <v>0.09</v>
      </c>
      <c r="I147" t="s">
        <v>1354</v>
      </c>
      <c r="J147">
        <v>977.04880000000014</v>
      </c>
    </row>
    <row r="148" spans="1:10">
      <c r="A148" t="s">
        <v>1497</v>
      </c>
      <c r="B148" s="1">
        <v>45626</v>
      </c>
      <c r="C148" t="s">
        <v>949</v>
      </c>
      <c r="D148" t="s">
        <v>1145</v>
      </c>
      <c r="E148" t="s">
        <v>1338</v>
      </c>
      <c r="F148">
        <v>3</v>
      </c>
      <c r="G148">
        <v>584.41</v>
      </c>
      <c r="H148">
        <v>0</v>
      </c>
      <c r="I148" t="s">
        <v>1354</v>
      </c>
      <c r="J148">
        <v>1753.23</v>
      </c>
    </row>
    <row r="149" spans="1:10">
      <c r="A149" t="s">
        <v>1498</v>
      </c>
      <c r="B149" s="1">
        <v>45617</v>
      </c>
      <c r="C149" t="s">
        <v>652</v>
      </c>
      <c r="D149" t="s">
        <v>1237</v>
      </c>
      <c r="E149" t="s">
        <v>1338</v>
      </c>
      <c r="F149">
        <v>1</v>
      </c>
      <c r="G149">
        <v>653.87</v>
      </c>
      <c r="H149">
        <v>0.14000000000000001</v>
      </c>
      <c r="I149" t="s">
        <v>1351</v>
      </c>
      <c r="J149">
        <v>562.32820000000004</v>
      </c>
    </row>
    <row r="150" spans="1:10">
      <c r="A150" t="s">
        <v>1499</v>
      </c>
      <c r="B150" s="1">
        <v>45878</v>
      </c>
      <c r="C150" t="s">
        <v>1047</v>
      </c>
      <c r="D150" t="s">
        <v>1247</v>
      </c>
      <c r="E150" t="s">
        <v>1277</v>
      </c>
      <c r="F150">
        <v>1</v>
      </c>
      <c r="G150">
        <v>652.03</v>
      </c>
      <c r="H150">
        <v>0.27</v>
      </c>
      <c r="I150" t="s">
        <v>1349</v>
      </c>
      <c r="J150">
        <v>475.9819</v>
      </c>
    </row>
    <row r="151" spans="1:10">
      <c r="A151" t="s">
        <v>1500</v>
      </c>
      <c r="B151" s="1">
        <v>45502</v>
      </c>
      <c r="C151" t="s">
        <v>244</v>
      </c>
      <c r="D151" t="s">
        <v>1080</v>
      </c>
      <c r="E151" t="s">
        <v>1319</v>
      </c>
      <c r="F151">
        <v>3</v>
      </c>
      <c r="G151">
        <v>513.36</v>
      </c>
      <c r="H151">
        <v>7.0000000000000007E-2</v>
      </c>
      <c r="I151" t="s">
        <v>1354</v>
      </c>
      <c r="J151">
        <v>1432.2744</v>
      </c>
    </row>
    <row r="152" spans="1:10">
      <c r="A152" t="s">
        <v>1501</v>
      </c>
      <c r="B152" s="1">
        <v>45433</v>
      </c>
      <c r="C152" t="s">
        <v>185</v>
      </c>
      <c r="D152" t="s">
        <v>1177</v>
      </c>
      <c r="E152" t="s">
        <v>1298</v>
      </c>
      <c r="F152">
        <v>4</v>
      </c>
      <c r="G152">
        <v>355.64</v>
      </c>
      <c r="H152">
        <v>0.16</v>
      </c>
      <c r="I152" t="s">
        <v>1354</v>
      </c>
      <c r="J152">
        <v>1194.9503999999999</v>
      </c>
    </row>
    <row r="153" spans="1:10">
      <c r="A153" t="s">
        <v>1502</v>
      </c>
      <c r="B153" s="1">
        <v>45594</v>
      </c>
      <c r="C153" t="s">
        <v>75</v>
      </c>
      <c r="D153" t="s">
        <v>1099</v>
      </c>
      <c r="E153" t="s">
        <v>1307</v>
      </c>
      <c r="F153">
        <v>4</v>
      </c>
      <c r="G153">
        <v>535.4</v>
      </c>
      <c r="H153">
        <v>0.26</v>
      </c>
      <c r="I153" t="s">
        <v>1351</v>
      </c>
      <c r="J153">
        <v>1584.7840000000001</v>
      </c>
    </row>
    <row r="154" spans="1:10">
      <c r="A154" t="s">
        <v>1503</v>
      </c>
      <c r="B154" s="1">
        <v>45798</v>
      </c>
      <c r="C154" t="s">
        <v>549</v>
      </c>
      <c r="D154" t="s">
        <v>1211</v>
      </c>
      <c r="E154" t="s">
        <v>1338</v>
      </c>
      <c r="F154">
        <v>2</v>
      </c>
      <c r="G154">
        <v>108.74</v>
      </c>
      <c r="H154">
        <v>0.11</v>
      </c>
      <c r="I154" t="s">
        <v>1351</v>
      </c>
      <c r="J154">
        <v>193.55719999999999</v>
      </c>
    </row>
    <row r="155" spans="1:10">
      <c r="A155" t="s">
        <v>1504</v>
      </c>
      <c r="B155" s="1">
        <v>45579</v>
      </c>
      <c r="C155" t="s">
        <v>692</v>
      </c>
      <c r="D155" t="s">
        <v>1095</v>
      </c>
      <c r="E155" t="s">
        <v>1338</v>
      </c>
      <c r="F155">
        <v>3</v>
      </c>
      <c r="G155">
        <v>591.98</v>
      </c>
      <c r="H155">
        <v>0.16</v>
      </c>
      <c r="I155" t="s">
        <v>1349</v>
      </c>
      <c r="J155">
        <v>1491.7896000000001</v>
      </c>
    </row>
    <row r="156" spans="1:10">
      <c r="A156" t="s">
        <v>1505</v>
      </c>
      <c r="B156" s="1">
        <v>45613</v>
      </c>
      <c r="C156" t="s">
        <v>873</v>
      </c>
      <c r="D156" t="s">
        <v>1169</v>
      </c>
      <c r="E156" t="s">
        <v>1286</v>
      </c>
      <c r="F156">
        <v>1</v>
      </c>
      <c r="G156">
        <v>345.06</v>
      </c>
      <c r="H156">
        <v>0.13</v>
      </c>
      <c r="I156" t="s">
        <v>1354</v>
      </c>
      <c r="J156">
        <v>300.2022</v>
      </c>
    </row>
    <row r="157" spans="1:10">
      <c r="A157" t="s">
        <v>1506</v>
      </c>
      <c r="B157" s="1">
        <v>45745</v>
      </c>
      <c r="C157" t="s">
        <v>678</v>
      </c>
      <c r="D157" t="s">
        <v>1259</v>
      </c>
      <c r="E157" t="s">
        <v>1319</v>
      </c>
      <c r="F157">
        <v>4</v>
      </c>
      <c r="G157">
        <v>986.41</v>
      </c>
      <c r="H157">
        <v>0.22</v>
      </c>
      <c r="I157" t="s">
        <v>1349</v>
      </c>
      <c r="J157">
        <v>3077.5992000000001</v>
      </c>
    </row>
    <row r="158" spans="1:10">
      <c r="A158" t="s">
        <v>1507</v>
      </c>
      <c r="B158" s="1">
        <v>45494</v>
      </c>
      <c r="C158" t="s">
        <v>702</v>
      </c>
      <c r="D158" t="s">
        <v>1171</v>
      </c>
      <c r="E158" t="s">
        <v>1277</v>
      </c>
      <c r="F158">
        <v>2</v>
      </c>
      <c r="G158">
        <v>921.52</v>
      </c>
      <c r="H158">
        <v>0</v>
      </c>
      <c r="I158" t="s">
        <v>1351</v>
      </c>
      <c r="J158">
        <v>1843.04</v>
      </c>
    </row>
    <row r="159" spans="1:10">
      <c r="A159" t="s">
        <v>1508</v>
      </c>
      <c r="B159" s="1">
        <v>45883</v>
      </c>
      <c r="C159" t="s">
        <v>252</v>
      </c>
      <c r="D159" t="s">
        <v>1183</v>
      </c>
      <c r="E159" t="s">
        <v>1298</v>
      </c>
      <c r="F159">
        <v>1</v>
      </c>
      <c r="G159">
        <v>83.1</v>
      </c>
      <c r="H159">
        <v>0.04</v>
      </c>
      <c r="I159" t="s">
        <v>1351</v>
      </c>
      <c r="J159">
        <v>79.775999999999996</v>
      </c>
    </row>
    <row r="160" spans="1:10">
      <c r="A160" t="s">
        <v>1509</v>
      </c>
      <c r="B160" s="1">
        <v>45601</v>
      </c>
      <c r="C160" t="s">
        <v>801</v>
      </c>
      <c r="D160" t="s">
        <v>1129</v>
      </c>
      <c r="E160" t="s">
        <v>1317</v>
      </c>
      <c r="F160">
        <v>2</v>
      </c>
      <c r="G160">
        <v>60.98</v>
      </c>
      <c r="H160">
        <v>0.23</v>
      </c>
      <c r="I160" t="s">
        <v>1351</v>
      </c>
      <c r="J160">
        <v>93.909199999999998</v>
      </c>
    </row>
    <row r="161" spans="1:10">
      <c r="A161" t="s">
        <v>1510</v>
      </c>
      <c r="B161" s="1">
        <v>45454</v>
      </c>
      <c r="C161" t="s">
        <v>851</v>
      </c>
      <c r="D161" t="s">
        <v>1251</v>
      </c>
      <c r="E161" t="s">
        <v>1329</v>
      </c>
      <c r="F161">
        <v>2</v>
      </c>
      <c r="G161">
        <v>122.23</v>
      </c>
      <c r="H161">
        <v>0.21</v>
      </c>
      <c r="I161" t="s">
        <v>1354</v>
      </c>
      <c r="J161">
        <v>193.1234</v>
      </c>
    </row>
    <row r="162" spans="1:10">
      <c r="A162" t="s">
        <v>1511</v>
      </c>
      <c r="B162" s="1">
        <v>45918</v>
      </c>
      <c r="C162" t="s">
        <v>69</v>
      </c>
      <c r="D162" t="s">
        <v>1213</v>
      </c>
      <c r="E162" t="s">
        <v>1335</v>
      </c>
      <c r="F162">
        <v>2</v>
      </c>
      <c r="G162">
        <v>623.38</v>
      </c>
      <c r="H162">
        <v>0.13</v>
      </c>
      <c r="I162" t="s">
        <v>1349</v>
      </c>
      <c r="J162">
        <v>1084.6812</v>
      </c>
    </row>
    <row r="163" spans="1:10">
      <c r="A163" t="s">
        <v>1512</v>
      </c>
      <c r="B163" s="1">
        <v>45729</v>
      </c>
      <c r="C163" t="s">
        <v>162</v>
      </c>
      <c r="D163" t="s">
        <v>1213</v>
      </c>
      <c r="E163" t="s">
        <v>1277</v>
      </c>
      <c r="F163">
        <v>1</v>
      </c>
      <c r="G163">
        <v>479.58</v>
      </c>
      <c r="H163">
        <v>0.05</v>
      </c>
      <c r="I163" t="s">
        <v>1351</v>
      </c>
      <c r="J163">
        <v>455.60099999999989</v>
      </c>
    </row>
    <row r="164" spans="1:10">
      <c r="A164" t="s">
        <v>1513</v>
      </c>
      <c r="B164" s="1">
        <v>45276</v>
      </c>
      <c r="C164" t="s">
        <v>660</v>
      </c>
      <c r="D164" t="s">
        <v>1219</v>
      </c>
      <c r="E164" t="s">
        <v>1301</v>
      </c>
      <c r="F164">
        <v>3</v>
      </c>
      <c r="G164">
        <v>369.32</v>
      </c>
      <c r="H164">
        <v>0.14000000000000001</v>
      </c>
      <c r="I164" t="s">
        <v>1351</v>
      </c>
      <c r="J164">
        <v>952.84559999999999</v>
      </c>
    </row>
    <row r="165" spans="1:10">
      <c r="A165" t="s">
        <v>1514</v>
      </c>
      <c r="B165" s="1">
        <v>45851</v>
      </c>
      <c r="C165" t="s">
        <v>204</v>
      </c>
      <c r="D165" t="s">
        <v>1137</v>
      </c>
      <c r="E165" t="s">
        <v>1282</v>
      </c>
      <c r="F165">
        <v>1</v>
      </c>
      <c r="G165">
        <v>488.31</v>
      </c>
      <c r="H165">
        <v>0.03</v>
      </c>
      <c r="I165" t="s">
        <v>1351</v>
      </c>
      <c r="J165">
        <v>473.66070000000002</v>
      </c>
    </row>
    <row r="166" spans="1:10">
      <c r="A166" t="s">
        <v>1515</v>
      </c>
      <c r="B166" s="1">
        <v>45418</v>
      </c>
      <c r="C166" t="s">
        <v>616</v>
      </c>
      <c r="D166" t="s">
        <v>1181</v>
      </c>
      <c r="E166" t="s">
        <v>1319</v>
      </c>
      <c r="F166">
        <v>4</v>
      </c>
      <c r="G166">
        <v>164.04</v>
      </c>
      <c r="H166">
        <v>0.26</v>
      </c>
      <c r="I166" t="s">
        <v>1349</v>
      </c>
      <c r="J166">
        <v>485.55839999999989</v>
      </c>
    </row>
    <row r="167" spans="1:10">
      <c r="A167" t="s">
        <v>1516</v>
      </c>
      <c r="B167" s="1">
        <v>45508</v>
      </c>
      <c r="C167" t="s">
        <v>197</v>
      </c>
      <c r="D167" t="s">
        <v>1093</v>
      </c>
      <c r="E167" t="s">
        <v>1332</v>
      </c>
      <c r="F167">
        <v>3</v>
      </c>
      <c r="G167">
        <v>707.95</v>
      </c>
      <c r="H167">
        <v>0.18</v>
      </c>
      <c r="I167" t="s">
        <v>1351</v>
      </c>
      <c r="J167">
        <v>1741.557</v>
      </c>
    </row>
    <row r="168" spans="1:10">
      <c r="A168" t="s">
        <v>1517</v>
      </c>
      <c r="B168" s="1">
        <v>45269</v>
      </c>
      <c r="C168" t="s">
        <v>654</v>
      </c>
      <c r="D168" t="s">
        <v>1211</v>
      </c>
      <c r="E168" t="s">
        <v>1307</v>
      </c>
      <c r="F168">
        <v>4</v>
      </c>
      <c r="G168">
        <v>714.47</v>
      </c>
      <c r="H168">
        <v>0.18</v>
      </c>
      <c r="I168" t="s">
        <v>1354</v>
      </c>
      <c r="J168">
        <v>2343.4616000000001</v>
      </c>
    </row>
    <row r="169" spans="1:10">
      <c r="A169" t="s">
        <v>1518</v>
      </c>
      <c r="B169" s="1">
        <v>45866</v>
      </c>
      <c r="C169" t="s">
        <v>893</v>
      </c>
      <c r="D169" t="s">
        <v>1231</v>
      </c>
      <c r="E169" t="s">
        <v>1304</v>
      </c>
      <c r="F169">
        <v>4</v>
      </c>
      <c r="G169">
        <v>422.09</v>
      </c>
      <c r="H169">
        <v>0.04</v>
      </c>
      <c r="I169" t="s">
        <v>1349</v>
      </c>
      <c r="J169">
        <v>1620.8255999999999</v>
      </c>
    </row>
    <row r="170" spans="1:10">
      <c r="A170" t="s">
        <v>1519</v>
      </c>
      <c r="B170" s="1">
        <v>45462</v>
      </c>
      <c r="C170" t="s">
        <v>275</v>
      </c>
      <c r="D170" t="s">
        <v>1133</v>
      </c>
      <c r="E170" t="s">
        <v>1311</v>
      </c>
      <c r="F170">
        <v>1</v>
      </c>
      <c r="G170">
        <v>998.19</v>
      </c>
      <c r="H170">
        <v>0.2</v>
      </c>
      <c r="I170" t="s">
        <v>1349</v>
      </c>
      <c r="J170">
        <v>798.55200000000013</v>
      </c>
    </row>
    <row r="171" spans="1:10">
      <c r="A171" t="s">
        <v>1520</v>
      </c>
      <c r="B171" s="1">
        <v>45313</v>
      </c>
      <c r="C171" t="s">
        <v>809</v>
      </c>
      <c r="D171" t="s">
        <v>1217</v>
      </c>
      <c r="E171" t="s">
        <v>1304</v>
      </c>
      <c r="F171">
        <v>2</v>
      </c>
      <c r="G171">
        <v>343.42</v>
      </c>
      <c r="H171">
        <v>0.12</v>
      </c>
      <c r="I171" t="s">
        <v>1354</v>
      </c>
      <c r="J171">
        <v>604.41920000000005</v>
      </c>
    </row>
    <row r="172" spans="1:10">
      <c r="A172" t="s">
        <v>1521</v>
      </c>
      <c r="B172" s="1">
        <v>45390</v>
      </c>
      <c r="C172" t="s">
        <v>575</v>
      </c>
      <c r="D172" t="s">
        <v>1141</v>
      </c>
      <c r="E172" t="s">
        <v>1301</v>
      </c>
      <c r="F172">
        <v>1</v>
      </c>
      <c r="G172">
        <v>152.16999999999999</v>
      </c>
      <c r="H172">
        <v>0.28000000000000003</v>
      </c>
      <c r="I172" t="s">
        <v>1354</v>
      </c>
      <c r="J172">
        <v>109.5624</v>
      </c>
    </row>
    <row r="173" spans="1:10">
      <c r="A173" t="s">
        <v>1522</v>
      </c>
      <c r="B173" s="1">
        <v>45795</v>
      </c>
      <c r="C173" t="s">
        <v>411</v>
      </c>
      <c r="D173" t="s">
        <v>1171</v>
      </c>
      <c r="E173" t="s">
        <v>1317</v>
      </c>
      <c r="F173">
        <v>1</v>
      </c>
      <c r="G173">
        <v>325.08</v>
      </c>
      <c r="H173">
        <v>0.26</v>
      </c>
      <c r="I173" t="s">
        <v>1351</v>
      </c>
      <c r="J173">
        <v>240.5592</v>
      </c>
    </row>
    <row r="174" spans="1:10">
      <c r="A174" t="s">
        <v>1523</v>
      </c>
      <c r="B174" s="1">
        <v>45267</v>
      </c>
      <c r="C174" t="s">
        <v>752</v>
      </c>
      <c r="D174" t="s">
        <v>1251</v>
      </c>
      <c r="E174" t="s">
        <v>1314</v>
      </c>
      <c r="F174">
        <v>2</v>
      </c>
      <c r="G174">
        <v>827.92</v>
      </c>
      <c r="H174">
        <v>0.25</v>
      </c>
      <c r="I174" t="s">
        <v>1354</v>
      </c>
      <c r="J174">
        <v>1241.8800000000001</v>
      </c>
    </row>
    <row r="175" spans="1:10">
      <c r="A175" t="s">
        <v>1524</v>
      </c>
      <c r="B175" s="1">
        <v>45314</v>
      </c>
      <c r="C175" t="s">
        <v>1031</v>
      </c>
      <c r="D175" t="s">
        <v>1125</v>
      </c>
      <c r="E175" t="s">
        <v>1286</v>
      </c>
      <c r="F175">
        <v>2</v>
      </c>
      <c r="G175">
        <v>593.47</v>
      </c>
      <c r="H175">
        <v>0.1</v>
      </c>
      <c r="I175" t="s">
        <v>1354</v>
      </c>
      <c r="J175">
        <v>1068.2460000000001</v>
      </c>
    </row>
    <row r="176" spans="1:10">
      <c r="A176" t="s">
        <v>1525</v>
      </c>
      <c r="B176" s="1">
        <v>45267</v>
      </c>
      <c r="C176" t="s">
        <v>650</v>
      </c>
      <c r="D176" t="s">
        <v>1113</v>
      </c>
      <c r="E176" t="s">
        <v>1304</v>
      </c>
      <c r="F176">
        <v>4</v>
      </c>
      <c r="G176">
        <v>756.28</v>
      </c>
      <c r="H176">
        <v>0.05</v>
      </c>
      <c r="I176" t="s">
        <v>1354</v>
      </c>
      <c r="J176">
        <v>2873.864</v>
      </c>
    </row>
    <row r="177" spans="1:10">
      <c r="A177" t="s">
        <v>1526</v>
      </c>
      <c r="B177" s="1">
        <v>45641</v>
      </c>
      <c r="C177" t="s">
        <v>817</v>
      </c>
      <c r="D177" t="s">
        <v>1257</v>
      </c>
      <c r="E177" t="s">
        <v>1282</v>
      </c>
      <c r="F177">
        <v>2</v>
      </c>
      <c r="G177">
        <v>707.65</v>
      </c>
      <c r="H177">
        <v>0.14000000000000001</v>
      </c>
      <c r="I177" t="s">
        <v>1349</v>
      </c>
      <c r="J177">
        <v>1217.1579999999999</v>
      </c>
    </row>
    <row r="178" spans="1:10">
      <c r="A178" t="s">
        <v>1527</v>
      </c>
      <c r="B178" s="1">
        <v>45371</v>
      </c>
      <c r="C178" t="s">
        <v>317</v>
      </c>
      <c r="D178" t="s">
        <v>1123</v>
      </c>
      <c r="E178" t="s">
        <v>1326</v>
      </c>
      <c r="F178">
        <v>1</v>
      </c>
      <c r="G178">
        <v>857.35</v>
      </c>
      <c r="H178">
        <v>0.28000000000000003</v>
      </c>
      <c r="I178" t="s">
        <v>1351</v>
      </c>
      <c r="J178">
        <v>617.29200000000003</v>
      </c>
    </row>
    <row r="179" spans="1:10">
      <c r="A179" t="s">
        <v>1528</v>
      </c>
      <c r="B179" s="1">
        <v>45670</v>
      </c>
      <c r="C179" t="s">
        <v>1059</v>
      </c>
      <c r="D179" t="s">
        <v>1183</v>
      </c>
      <c r="E179" t="s">
        <v>1307</v>
      </c>
      <c r="F179">
        <v>1</v>
      </c>
      <c r="G179">
        <v>79</v>
      </c>
      <c r="H179">
        <v>0.04</v>
      </c>
      <c r="I179" t="s">
        <v>1351</v>
      </c>
      <c r="J179">
        <v>75.84</v>
      </c>
    </row>
    <row r="180" spans="1:10">
      <c r="A180" t="s">
        <v>1529</v>
      </c>
      <c r="B180" s="1">
        <v>45885</v>
      </c>
      <c r="C180" t="s">
        <v>180</v>
      </c>
      <c r="D180" t="s">
        <v>1261</v>
      </c>
      <c r="E180" t="s">
        <v>1298</v>
      </c>
      <c r="F180">
        <v>4</v>
      </c>
      <c r="G180">
        <v>638.91</v>
      </c>
      <c r="H180">
        <v>0</v>
      </c>
      <c r="I180" t="s">
        <v>1354</v>
      </c>
      <c r="J180">
        <v>2555.64</v>
      </c>
    </row>
    <row r="181" spans="1:10">
      <c r="A181" t="s">
        <v>1530</v>
      </c>
      <c r="B181" s="1">
        <v>45812</v>
      </c>
      <c r="C181" t="s">
        <v>216</v>
      </c>
      <c r="D181" t="s">
        <v>1163</v>
      </c>
      <c r="E181" t="s">
        <v>1277</v>
      </c>
      <c r="F181">
        <v>2</v>
      </c>
      <c r="G181">
        <v>522.16999999999996</v>
      </c>
      <c r="H181">
        <v>0.27</v>
      </c>
      <c r="I181" t="s">
        <v>1349</v>
      </c>
      <c r="J181">
        <v>762.36819999999989</v>
      </c>
    </row>
    <row r="182" spans="1:10">
      <c r="A182" t="s">
        <v>1531</v>
      </c>
      <c r="B182" s="1">
        <v>45235</v>
      </c>
      <c r="C182" t="s">
        <v>1018</v>
      </c>
      <c r="D182" t="s">
        <v>1151</v>
      </c>
      <c r="E182" t="s">
        <v>1319</v>
      </c>
      <c r="F182">
        <v>3</v>
      </c>
      <c r="G182">
        <v>954.29</v>
      </c>
      <c r="H182">
        <v>0.27</v>
      </c>
      <c r="I182" t="s">
        <v>1349</v>
      </c>
      <c r="J182">
        <v>2089.8951000000002</v>
      </c>
    </row>
    <row r="183" spans="1:10">
      <c r="A183" t="s">
        <v>1532</v>
      </c>
      <c r="B183" s="1">
        <v>45710</v>
      </c>
      <c r="C183" t="s">
        <v>986</v>
      </c>
      <c r="D183" t="s">
        <v>1139</v>
      </c>
      <c r="E183" t="s">
        <v>1322</v>
      </c>
      <c r="F183">
        <v>3</v>
      </c>
      <c r="G183">
        <v>53.92</v>
      </c>
      <c r="H183">
        <v>0.15</v>
      </c>
      <c r="I183" t="s">
        <v>1351</v>
      </c>
      <c r="J183">
        <v>137.49600000000001</v>
      </c>
    </row>
    <row r="184" spans="1:10">
      <c r="A184" t="s">
        <v>1533</v>
      </c>
      <c r="B184" s="1">
        <v>45753</v>
      </c>
      <c r="C184" t="s">
        <v>855</v>
      </c>
      <c r="D184" t="s">
        <v>1141</v>
      </c>
      <c r="E184" t="s">
        <v>1277</v>
      </c>
      <c r="F184">
        <v>4</v>
      </c>
      <c r="G184">
        <v>741.88</v>
      </c>
      <c r="H184">
        <v>0.02</v>
      </c>
      <c r="I184" t="s">
        <v>1354</v>
      </c>
      <c r="J184">
        <v>2908.1696000000002</v>
      </c>
    </row>
    <row r="185" spans="1:10">
      <c r="A185" t="s">
        <v>1534</v>
      </c>
      <c r="B185" s="1">
        <v>45594</v>
      </c>
      <c r="C185" t="s">
        <v>102</v>
      </c>
      <c r="D185" t="s">
        <v>1165</v>
      </c>
      <c r="E185" t="s">
        <v>1291</v>
      </c>
      <c r="F185">
        <v>1</v>
      </c>
      <c r="G185">
        <v>547.09</v>
      </c>
      <c r="H185">
        <v>0.01</v>
      </c>
      <c r="I185" t="s">
        <v>1351</v>
      </c>
      <c r="J185">
        <v>541.6191</v>
      </c>
    </row>
    <row r="186" spans="1:10">
      <c r="A186" t="s">
        <v>1535</v>
      </c>
      <c r="B186" s="1">
        <v>45686</v>
      </c>
      <c r="C186" t="s">
        <v>1039</v>
      </c>
      <c r="D186" t="s">
        <v>1251</v>
      </c>
      <c r="E186" t="s">
        <v>1291</v>
      </c>
      <c r="F186">
        <v>1</v>
      </c>
      <c r="G186">
        <v>789.35</v>
      </c>
      <c r="H186">
        <v>0.14000000000000001</v>
      </c>
      <c r="I186" t="s">
        <v>1351</v>
      </c>
      <c r="J186">
        <v>678.84100000000001</v>
      </c>
    </row>
    <row r="187" spans="1:10">
      <c r="A187" t="s">
        <v>1536</v>
      </c>
      <c r="B187" s="1">
        <v>45354</v>
      </c>
      <c r="C187" t="s">
        <v>919</v>
      </c>
      <c r="D187" t="s">
        <v>1199</v>
      </c>
      <c r="E187" t="s">
        <v>1291</v>
      </c>
      <c r="F187">
        <v>3</v>
      </c>
      <c r="G187">
        <v>476.78</v>
      </c>
      <c r="H187">
        <v>0.09</v>
      </c>
      <c r="I187" t="s">
        <v>1354</v>
      </c>
      <c r="J187">
        <v>1301.6094000000001</v>
      </c>
    </row>
    <row r="188" spans="1:10">
      <c r="A188" t="s">
        <v>1537</v>
      </c>
      <c r="B188" s="1">
        <v>45600</v>
      </c>
      <c r="C188" t="s">
        <v>969</v>
      </c>
      <c r="D188" t="s">
        <v>1231</v>
      </c>
      <c r="E188" t="s">
        <v>1335</v>
      </c>
      <c r="F188">
        <v>2</v>
      </c>
      <c r="G188">
        <v>504.26</v>
      </c>
      <c r="H188">
        <v>0.04</v>
      </c>
      <c r="I188" t="s">
        <v>1351</v>
      </c>
      <c r="J188">
        <v>968.17919999999992</v>
      </c>
    </row>
    <row r="189" spans="1:10">
      <c r="A189" t="s">
        <v>1538</v>
      </c>
      <c r="B189" s="1">
        <v>45538</v>
      </c>
      <c r="C189" t="s">
        <v>608</v>
      </c>
      <c r="D189" t="s">
        <v>1235</v>
      </c>
      <c r="E189" t="s">
        <v>1301</v>
      </c>
      <c r="F189">
        <v>2</v>
      </c>
      <c r="G189">
        <v>549.33000000000004</v>
      </c>
      <c r="H189">
        <v>0.01</v>
      </c>
      <c r="I189" t="s">
        <v>1354</v>
      </c>
      <c r="J189">
        <v>1087.6733999999999</v>
      </c>
    </row>
    <row r="190" spans="1:10">
      <c r="A190" t="s">
        <v>1539</v>
      </c>
      <c r="B190" s="1">
        <v>45411</v>
      </c>
      <c r="C190" t="s">
        <v>827</v>
      </c>
      <c r="D190" t="s">
        <v>1078</v>
      </c>
      <c r="E190" t="s">
        <v>1291</v>
      </c>
      <c r="F190">
        <v>3</v>
      </c>
      <c r="G190">
        <v>620.22</v>
      </c>
      <c r="H190">
        <v>0.04</v>
      </c>
      <c r="I190" t="s">
        <v>1349</v>
      </c>
      <c r="J190">
        <v>1786.2336</v>
      </c>
    </row>
    <row r="191" spans="1:10">
      <c r="A191" t="s">
        <v>1540</v>
      </c>
      <c r="B191" s="1">
        <v>45411</v>
      </c>
      <c r="C191" t="s">
        <v>240</v>
      </c>
      <c r="D191" t="s">
        <v>1165</v>
      </c>
      <c r="E191" t="s">
        <v>1291</v>
      </c>
      <c r="F191">
        <v>1</v>
      </c>
      <c r="G191">
        <v>580.76</v>
      </c>
      <c r="H191">
        <v>0.1</v>
      </c>
      <c r="I191" t="s">
        <v>1354</v>
      </c>
      <c r="J191">
        <v>522.68399999999997</v>
      </c>
    </row>
    <row r="192" spans="1:10">
      <c r="A192" t="s">
        <v>1541</v>
      </c>
      <c r="B192" s="1">
        <v>45775</v>
      </c>
      <c r="C192" t="s">
        <v>732</v>
      </c>
      <c r="D192" t="s">
        <v>1215</v>
      </c>
      <c r="E192" t="s">
        <v>1311</v>
      </c>
      <c r="F192">
        <v>3</v>
      </c>
      <c r="G192">
        <v>444.55</v>
      </c>
      <c r="H192">
        <v>0.14000000000000001</v>
      </c>
      <c r="I192" t="s">
        <v>1351</v>
      </c>
      <c r="J192">
        <v>1146.9390000000001</v>
      </c>
    </row>
    <row r="193" spans="1:10">
      <c r="A193" t="s">
        <v>1542</v>
      </c>
      <c r="B193" s="1">
        <v>45459</v>
      </c>
      <c r="C193" t="s">
        <v>337</v>
      </c>
      <c r="D193" t="s">
        <v>1165</v>
      </c>
      <c r="E193" t="s">
        <v>1335</v>
      </c>
      <c r="F193">
        <v>1</v>
      </c>
      <c r="G193">
        <v>804.9</v>
      </c>
      <c r="H193">
        <v>0.03</v>
      </c>
      <c r="I193" t="s">
        <v>1351</v>
      </c>
      <c r="J193">
        <v>780.75299999999993</v>
      </c>
    </row>
    <row r="194" spans="1:10">
      <c r="A194" t="s">
        <v>1543</v>
      </c>
      <c r="B194" s="1">
        <v>45617</v>
      </c>
      <c r="C194" t="s">
        <v>911</v>
      </c>
      <c r="D194" t="s">
        <v>1257</v>
      </c>
      <c r="E194" t="s">
        <v>1324</v>
      </c>
      <c r="F194">
        <v>3</v>
      </c>
      <c r="G194">
        <v>361.65</v>
      </c>
      <c r="H194">
        <v>0.15</v>
      </c>
      <c r="I194" t="s">
        <v>1354</v>
      </c>
      <c r="J194">
        <v>922.20749999999987</v>
      </c>
    </row>
    <row r="195" spans="1:10">
      <c r="A195" t="s">
        <v>1544</v>
      </c>
      <c r="B195" s="1">
        <v>45763</v>
      </c>
      <c r="C195" t="s">
        <v>385</v>
      </c>
      <c r="D195" t="s">
        <v>1085</v>
      </c>
      <c r="E195" t="s">
        <v>1294</v>
      </c>
      <c r="F195">
        <v>1</v>
      </c>
      <c r="G195">
        <v>271.76</v>
      </c>
      <c r="H195">
        <v>0.03</v>
      </c>
      <c r="I195" t="s">
        <v>1349</v>
      </c>
      <c r="J195">
        <v>263.60719999999998</v>
      </c>
    </row>
    <row r="196" spans="1:10">
      <c r="A196" t="s">
        <v>1545</v>
      </c>
      <c r="B196" s="1">
        <v>45618</v>
      </c>
      <c r="C196" t="s">
        <v>710</v>
      </c>
      <c r="D196" t="s">
        <v>1171</v>
      </c>
      <c r="E196" t="s">
        <v>1314</v>
      </c>
      <c r="F196">
        <v>3</v>
      </c>
      <c r="G196">
        <v>958.15</v>
      </c>
      <c r="H196">
        <v>0.24</v>
      </c>
      <c r="I196" t="s">
        <v>1354</v>
      </c>
      <c r="J196">
        <v>2184.5819999999999</v>
      </c>
    </row>
    <row r="197" spans="1:10">
      <c r="A197" t="s">
        <v>1546</v>
      </c>
      <c r="B197" s="1">
        <v>45290</v>
      </c>
      <c r="C197" t="s">
        <v>917</v>
      </c>
      <c r="D197" t="s">
        <v>1193</v>
      </c>
      <c r="E197" t="s">
        <v>1332</v>
      </c>
      <c r="F197">
        <v>1</v>
      </c>
      <c r="G197">
        <v>889.19</v>
      </c>
      <c r="H197">
        <v>0.03</v>
      </c>
      <c r="I197" t="s">
        <v>1349</v>
      </c>
      <c r="J197">
        <v>862.51430000000005</v>
      </c>
    </row>
    <row r="198" spans="1:10">
      <c r="A198" t="s">
        <v>1547</v>
      </c>
      <c r="B198" s="1">
        <v>45904</v>
      </c>
      <c r="C198" t="s">
        <v>990</v>
      </c>
      <c r="D198" t="s">
        <v>1187</v>
      </c>
      <c r="E198" t="s">
        <v>1329</v>
      </c>
      <c r="F198">
        <v>4</v>
      </c>
      <c r="G198">
        <v>689.67</v>
      </c>
      <c r="H198">
        <v>0.05</v>
      </c>
      <c r="I198" t="s">
        <v>1354</v>
      </c>
      <c r="J198">
        <v>2620.7460000000001</v>
      </c>
    </row>
    <row r="199" spans="1:10">
      <c r="A199" t="s">
        <v>1548</v>
      </c>
      <c r="B199" s="1">
        <v>45227</v>
      </c>
      <c r="C199" t="s">
        <v>331</v>
      </c>
      <c r="D199" t="s">
        <v>1161</v>
      </c>
      <c r="E199" t="s">
        <v>1317</v>
      </c>
      <c r="F199">
        <v>1</v>
      </c>
      <c r="G199">
        <v>541.24</v>
      </c>
      <c r="H199">
        <v>0.03</v>
      </c>
      <c r="I199" t="s">
        <v>1351</v>
      </c>
      <c r="J199">
        <v>525.00279999999998</v>
      </c>
    </row>
    <row r="200" spans="1:10">
      <c r="A200" t="s">
        <v>1549</v>
      </c>
      <c r="B200" s="1">
        <v>45600</v>
      </c>
      <c r="C200" t="s">
        <v>959</v>
      </c>
      <c r="D200" t="s">
        <v>1235</v>
      </c>
      <c r="E200" t="s">
        <v>1301</v>
      </c>
      <c r="F200">
        <v>1</v>
      </c>
      <c r="G200">
        <v>454.71</v>
      </c>
      <c r="H200">
        <v>0.16</v>
      </c>
      <c r="I200" t="s">
        <v>1351</v>
      </c>
      <c r="J200">
        <v>381.95639999999997</v>
      </c>
    </row>
    <row r="201" spans="1:10">
      <c r="A201" t="s">
        <v>1550</v>
      </c>
      <c r="B201" s="1">
        <v>45646</v>
      </c>
      <c r="C201" t="s">
        <v>113</v>
      </c>
      <c r="D201" t="s">
        <v>1205</v>
      </c>
      <c r="E201" t="s">
        <v>1298</v>
      </c>
      <c r="F201">
        <v>2</v>
      </c>
      <c r="G201">
        <v>397.63</v>
      </c>
      <c r="H201">
        <v>0.26</v>
      </c>
      <c r="I201" t="s">
        <v>1349</v>
      </c>
      <c r="J201">
        <v>588.49239999999998</v>
      </c>
    </row>
    <row r="202" spans="1:10">
      <c r="A202" t="s">
        <v>1551</v>
      </c>
      <c r="B202" s="1">
        <v>45725</v>
      </c>
      <c r="C202" t="s">
        <v>401</v>
      </c>
      <c r="D202" t="s">
        <v>1239</v>
      </c>
      <c r="E202" t="s">
        <v>1301</v>
      </c>
      <c r="F202">
        <v>3</v>
      </c>
      <c r="G202">
        <v>748.56</v>
      </c>
      <c r="H202">
        <v>0.26</v>
      </c>
      <c r="I202" t="s">
        <v>1351</v>
      </c>
      <c r="J202">
        <v>1661.8032000000001</v>
      </c>
    </row>
    <row r="203" spans="1:10">
      <c r="A203" t="s">
        <v>1552</v>
      </c>
      <c r="B203" s="1">
        <v>45742</v>
      </c>
      <c r="C203" t="s">
        <v>349</v>
      </c>
      <c r="D203" t="s">
        <v>1139</v>
      </c>
      <c r="E203" t="s">
        <v>1294</v>
      </c>
      <c r="F203">
        <v>1</v>
      </c>
      <c r="G203">
        <v>885.72</v>
      </c>
      <c r="H203">
        <v>0.15</v>
      </c>
      <c r="I203" t="s">
        <v>1349</v>
      </c>
      <c r="J203">
        <v>752.86199999999997</v>
      </c>
    </row>
    <row r="204" spans="1:10">
      <c r="A204" t="s">
        <v>1553</v>
      </c>
      <c r="B204" s="1">
        <v>45750</v>
      </c>
      <c r="C204" t="s">
        <v>275</v>
      </c>
      <c r="D204" t="s">
        <v>1197</v>
      </c>
      <c r="E204" t="s">
        <v>1282</v>
      </c>
      <c r="F204">
        <v>4</v>
      </c>
      <c r="G204">
        <v>408.07</v>
      </c>
      <c r="H204">
        <v>0.28000000000000003</v>
      </c>
      <c r="I204" t="s">
        <v>1354</v>
      </c>
      <c r="J204">
        <v>1175.2416000000001</v>
      </c>
    </row>
    <row r="205" spans="1:10">
      <c r="A205" t="s">
        <v>1554</v>
      </c>
      <c r="B205" s="1">
        <v>45327</v>
      </c>
      <c r="C205" t="s">
        <v>1006</v>
      </c>
      <c r="D205" t="s">
        <v>1141</v>
      </c>
      <c r="E205" t="s">
        <v>1311</v>
      </c>
      <c r="F205">
        <v>2</v>
      </c>
      <c r="G205">
        <v>597.07000000000005</v>
      </c>
      <c r="H205">
        <v>0.28000000000000003</v>
      </c>
      <c r="I205" t="s">
        <v>1351</v>
      </c>
      <c r="J205">
        <v>859.7808</v>
      </c>
    </row>
    <row r="206" spans="1:10">
      <c r="A206" t="s">
        <v>1555</v>
      </c>
      <c r="B206" s="1">
        <v>45465</v>
      </c>
      <c r="C206" t="s">
        <v>75</v>
      </c>
      <c r="D206" t="s">
        <v>1207</v>
      </c>
      <c r="E206" t="s">
        <v>1311</v>
      </c>
      <c r="F206">
        <v>3</v>
      </c>
      <c r="G206">
        <v>723.47</v>
      </c>
      <c r="H206">
        <v>0.12</v>
      </c>
      <c r="I206" t="s">
        <v>1354</v>
      </c>
      <c r="J206">
        <v>1909.9608000000001</v>
      </c>
    </row>
    <row r="207" spans="1:10">
      <c r="A207" t="s">
        <v>1556</v>
      </c>
      <c r="B207" s="1">
        <v>45883</v>
      </c>
      <c r="C207" t="s">
        <v>937</v>
      </c>
      <c r="D207" t="s">
        <v>1249</v>
      </c>
      <c r="E207" t="s">
        <v>1298</v>
      </c>
      <c r="F207">
        <v>1</v>
      </c>
      <c r="G207">
        <v>479.93</v>
      </c>
      <c r="H207">
        <v>0.22</v>
      </c>
      <c r="I207" t="s">
        <v>1349</v>
      </c>
      <c r="J207">
        <v>374.34539999999998</v>
      </c>
    </row>
    <row r="208" spans="1:10">
      <c r="A208" t="s">
        <v>1557</v>
      </c>
      <c r="B208" s="1">
        <v>45445</v>
      </c>
      <c r="C208" t="s">
        <v>549</v>
      </c>
      <c r="D208" t="s">
        <v>1141</v>
      </c>
      <c r="E208" t="s">
        <v>1329</v>
      </c>
      <c r="F208">
        <v>4</v>
      </c>
      <c r="G208">
        <v>362.81</v>
      </c>
      <c r="H208">
        <v>0.21</v>
      </c>
      <c r="I208" t="s">
        <v>1354</v>
      </c>
      <c r="J208">
        <v>1146.4795999999999</v>
      </c>
    </row>
    <row r="209" spans="1:10">
      <c r="A209" t="s">
        <v>1558</v>
      </c>
      <c r="B209" s="1">
        <v>45640</v>
      </c>
      <c r="C209" t="s">
        <v>432</v>
      </c>
      <c r="D209" t="s">
        <v>1231</v>
      </c>
      <c r="E209" t="s">
        <v>1291</v>
      </c>
      <c r="F209">
        <v>1</v>
      </c>
      <c r="G209">
        <v>127.11</v>
      </c>
      <c r="H209">
        <v>0.01</v>
      </c>
      <c r="I209" t="s">
        <v>1351</v>
      </c>
      <c r="J209">
        <v>125.8389</v>
      </c>
    </row>
    <row r="210" spans="1:10">
      <c r="A210" t="s">
        <v>1559</v>
      </c>
      <c r="B210" s="1">
        <v>45411</v>
      </c>
      <c r="C210" t="s">
        <v>430</v>
      </c>
      <c r="D210" t="s">
        <v>1141</v>
      </c>
      <c r="E210" t="s">
        <v>1332</v>
      </c>
      <c r="F210">
        <v>4</v>
      </c>
      <c r="G210">
        <v>931.26</v>
      </c>
      <c r="H210">
        <v>0.04</v>
      </c>
      <c r="I210" t="s">
        <v>1349</v>
      </c>
      <c r="J210">
        <v>3576.0383999999999</v>
      </c>
    </row>
    <row r="211" spans="1:10">
      <c r="A211" t="s">
        <v>1560</v>
      </c>
      <c r="B211" s="1">
        <v>45224</v>
      </c>
      <c r="C211" t="s">
        <v>805</v>
      </c>
      <c r="D211" t="s">
        <v>1207</v>
      </c>
      <c r="E211" t="s">
        <v>1307</v>
      </c>
      <c r="F211">
        <v>1</v>
      </c>
      <c r="G211">
        <v>620.80999999999995</v>
      </c>
      <c r="H211">
        <v>0.04</v>
      </c>
      <c r="I211" t="s">
        <v>1351</v>
      </c>
      <c r="J211">
        <v>595.97759999999994</v>
      </c>
    </row>
    <row r="212" spans="1:10">
      <c r="A212" t="s">
        <v>1561</v>
      </c>
      <c r="B212" s="1">
        <v>45497</v>
      </c>
      <c r="C212" t="s">
        <v>246</v>
      </c>
      <c r="D212" t="s">
        <v>1173</v>
      </c>
      <c r="E212" t="s">
        <v>1286</v>
      </c>
      <c r="F212">
        <v>1</v>
      </c>
      <c r="G212">
        <v>823.26</v>
      </c>
      <c r="H212">
        <v>0.27</v>
      </c>
      <c r="I212" t="s">
        <v>1354</v>
      </c>
      <c r="J212">
        <v>600.97979999999995</v>
      </c>
    </row>
    <row r="213" spans="1:10">
      <c r="A213" t="s">
        <v>1562</v>
      </c>
      <c r="B213" s="1">
        <v>45807</v>
      </c>
      <c r="C213" t="s">
        <v>47</v>
      </c>
      <c r="D213" t="s">
        <v>1127</v>
      </c>
      <c r="E213" t="s">
        <v>1307</v>
      </c>
      <c r="F213">
        <v>3</v>
      </c>
      <c r="G213">
        <v>681.01</v>
      </c>
      <c r="H213">
        <v>0.27</v>
      </c>
      <c r="I213" t="s">
        <v>1354</v>
      </c>
      <c r="J213">
        <v>1491.4119000000001</v>
      </c>
    </row>
    <row r="214" spans="1:10">
      <c r="A214" t="s">
        <v>1563</v>
      </c>
      <c r="B214" s="1">
        <v>45942</v>
      </c>
      <c r="C214" t="s">
        <v>947</v>
      </c>
      <c r="D214" t="s">
        <v>1185</v>
      </c>
      <c r="E214" t="s">
        <v>1338</v>
      </c>
      <c r="F214">
        <v>4</v>
      </c>
      <c r="G214">
        <v>119.83</v>
      </c>
      <c r="H214">
        <v>0.13</v>
      </c>
      <c r="I214" t="s">
        <v>1349</v>
      </c>
      <c r="J214">
        <v>417.00839999999999</v>
      </c>
    </row>
    <row r="215" spans="1:10">
      <c r="A215" t="s">
        <v>1564</v>
      </c>
      <c r="B215" s="1">
        <v>45314</v>
      </c>
      <c r="C215" t="s">
        <v>678</v>
      </c>
      <c r="D215" t="s">
        <v>1229</v>
      </c>
      <c r="E215" t="s">
        <v>1286</v>
      </c>
      <c r="F215">
        <v>1</v>
      </c>
      <c r="G215">
        <v>575.66</v>
      </c>
      <c r="H215">
        <v>0.03</v>
      </c>
      <c r="I215" t="s">
        <v>1351</v>
      </c>
      <c r="J215">
        <v>558.39019999999994</v>
      </c>
    </row>
    <row r="216" spans="1:10">
      <c r="A216" t="s">
        <v>1565</v>
      </c>
      <c r="B216" s="1">
        <v>45943</v>
      </c>
      <c r="C216" t="s">
        <v>460</v>
      </c>
      <c r="D216" t="s">
        <v>1169</v>
      </c>
      <c r="E216" t="s">
        <v>1329</v>
      </c>
      <c r="F216">
        <v>1</v>
      </c>
      <c r="G216">
        <v>775.84</v>
      </c>
      <c r="H216">
        <v>0.26</v>
      </c>
      <c r="I216" t="s">
        <v>1349</v>
      </c>
      <c r="J216">
        <v>574.12160000000006</v>
      </c>
    </row>
    <row r="217" spans="1:10">
      <c r="A217" t="s">
        <v>1566</v>
      </c>
      <c r="B217" s="1">
        <v>45356</v>
      </c>
      <c r="C217" t="s">
        <v>949</v>
      </c>
      <c r="D217" t="s">
        <v>1101</v>
      </c>
      <c r="E217" t="s">
        <v>1311</v>
      </c>
      <c r="F217">
        <v>3</v>
      </c>
      <c r="G217">
        <v>318.43</v>
      </c>
      <c r="H217">
        <v>0.05</v>
      </c>
      <c r="I217" t="s">
        <v>1349</v>
      </c>
      <c r="J217">
        <v>907.52549999999997</v>
      </c>
    </row>
    <row r="218" spans="1:10">
      <c r="A218" t="s">
        <v>1567</v>
      </c>
      <c r="B218" s="1">
        <v>45854</v>
      </c>
      <c r="C218" t="s">
        <v>367</v>
      </c>
      <c r="D218" t="s">
        <v>1217</v>
      </c>
      <c r="E218" t="s">
        <v>1307</v>
      </c>
      <c r="F218">
        <v>3</v>
      </c>
      <c r="G218">
        <v>141.6</v>
      </c>
      <c r="H218">
        <v>0.08</v>
      </c>
      <c r="I218" t="s">
        <v>1354</v>
      </c>
      <c r="J218">
        <v>390.81599999999997</v>
      </c>
    </row>
    <row r="219" spans="1:10">
      <c r="A219" t="s">
        <v>1568</v>
      </c>
      <c r="B219" s="1">
        <v>45219</v>
      </c>
      <c r="C219" t="s">
        <v>596</v>
      </c>
      <c r="D219" t="s">
        <v>1103</v>
      </c>
      <c r="E219" t="s">
        <v>1338</v>
      </c>
      <c r="F219">
        <v>1</v>
      </c>
      <c r="G219">
        <v>332.82</v>
      </c>
      <c r="H219">
        <v>0.14000000000000001</v>
      </c>
      <c r="I219" t="s">
        <v>1351</v>
      </c>
      <c r="J219">
        <v>286.22519999999997</v>
      </c>
    </row>
    <row r="220" spans="1:10">
      <c r="A220" t="s">
        <v>1569</v>
      </c>
      <c r="B220" s="1">
        <v>45447</v>
      </c>
      <c r="C220" t="s">
        <v>555</v>
      </c>
      <c r="D220" t="s">
        <v>1217</v>
      </c>
      <c r="E220" t="s">
        <v>1282</v>
      </c>
      <c r="F220">
        <v>4</v>
      </c>
      <c r="G220">
        <v>640.97</v>
      </c>
      <c r="H220">
        <v>0.11</v>
      </c>
      <c r="I220" t="s">
        <v>1354</v>
      </c>
      <c r="J220">
        <v>2281.8532</v>
      </c>
    </row>
    <row r="221" spans="1:10">
      <c r="A221" t="s">
        <v>1570</v>
      </c>
      <c r="B221" s="1">
        <v>45225</v>
      </c>
      <c r="C221" t="s">
        <v>468</v>
      </c>
      <c r="D221" t="s">
        <v>1253</v>
      </c>
      <c r="E221" t="s">
        <v>1326</v>
      </c>
      <c r="F221">
        <v>4</v>
      </c>
      <c r="G221">
        <v>75.37</v>
      </c>
      <c r="H221">
        <v>0.02</v>
      </c>
      <c r="I221" t="s">
        <v>1354</v>
      </c>
      <c r="J221">
        <v>295.4504</v>
      </c>
    </row>
    <row r="222" spans="1:10">
      <c r="A222" t="s">
        <v>1571</v>
      </c>
      <c r="B222" s="1">
        <v>45754</v>
      </c>
      <c r="C222" t="s">
        <v>202</v>
      </c>
      <c r="D222" t="s">
        <v>1105</v>
      </c>
      <c r="E222" t="s">
        <v>1335</v>
      </c>
      <c r="F222">
        <v>3</v>
      </c>
      <c r="G222">
        <v>434.55</v>
      </c>
      <c r="H222">
        <v>0.08</v>
      </c>
      <c r="I222" t="s">
        <v>1354</v>
      </c>
      <c r="J222">
        <v>1199.3579999999999</v>
      </c>
    </row>
    <row r="223" spans="1:10">
      <c r="A223" t="s">
        <v>1572</v>
      </c>
      <c r="B223" s="1">
        <v>45729</v>
      </c>
      <c r="C223" t="s">
        <v>256</v>
      </c>
      <c r="D223" t="s">
        <v>1125</v>
      </c>
      <c r="E223" t="s">
        <v>1324</v>
      </c>
      <c r="F223">
        <v>4</v>
      </c>
      <c r="G223">
        <v>652.28</v>
      </c>
      <c r="H223">
        <v>0.15</v>
      </c>
      <c r="I223" t="s">
        <v>1349</v>
      </c>
      <c r="J223">
        <v>2217.752</v>
      </c>
    </row>
    <row r="224" spans="1:10">
      <c r="A224" t="s">
        <v>1573</v>
      </c>
      <c r="B224" s="1">
        <v>45480</v>
      </c>
      <c r="C224" t="s">
        <v>602</v>
      </c>
      <c r="D224" t="s">
        <v>1225</v>
      </c>
      <c r="E224" t="s">
        <v>1332</v>
      </c>
      <c r="F224">
        <v>3</v>
      </c>
      <c r="G224">
        <v>207.8</v>
      </c>
      <c r="H224">
        <v>0.15</v>
      </c>
      <c r="I224" t="s">
        <v>1349</v>
      </c>
      <c r="J224">
        <v>529.8900000000001</v>
      </c>
    </row>
    <row r="225" spans="1:10">
      <c r="A225" t="s">
        <v>1574</v>
      </c>
      <c r="B225" s="1">
        <v>45361</v>
      </c>
      <c r="C225" t="s">
        <v>1051</v>
      </c>
      <c r="D225" t="s">
        <v>1195</v>
      </c>
      <c r="E225" t="s">
        <v>1326</v>
      </c>
      <c r="F225">
        <v>4</v>
      </c>
      <c r="G225">
        <v>385.5</v>
      </c>
      <c r="H225">
        <v>0.03</v>
      </c>
      <c r="I225" t="s">
        <v>1351</v>
      </c>
      <c r="J225">
        <v>1495.74</v>
      </c>
    </row>
    <row r="226" spans="1:10">
      <c r="A226" t="s">
        <v>1575</v>
      </c>
      <c r="B226" s="1">
        <v>45915</v>
      </c>
      <c r="C226" t="s">
        <v>250</v>
      </c>
      <c r="D226" t="s">
        <v>1203</v>
      </c>
      <c r="E226" t="s">
        <v>1301</v>
      </c>
      <c r="F226">
        <v>3</v>
      </c>
      <c r="G226">
        <v>548.19000000000005</v>
      </c>
      <c r="H226">
        <v>0.12</v>
      </c>
      <c r="I226" t="s">
        <v>1349</v>
      </c>
      <c r="J226">
        <v>1447.2216000000001</v>
      </c>
    </row>
    <row r="227" spans="1:10">
      <c r="A227" t="s">
        <v>1576</v>
      </c>
      <c r="B227" s="1">
        <v>45607</v>
      </c>
      <c r="C227" t="s">
        <v>188</v>
      </c>
      <c r="D227" t="s">
        <v>1219</v>
      </c>
      <c r="E227" t="s">
        <v>1311</v>
      </c>
      <c r="F227">
        <v>3</v>
      </c>
      <c r="G227">
        <v>927.6</v>
      </c>
      <c r="H227">
        <v>0.09</v>
      </c>
      <c r="I227" t="s">
        <v>1349</v>
      </c>
      <c r="J227">
        <v>2532.348</v>
      </c>
    </row>
    <row r="228" spans="1:10">
      <c r="A228" t="s">
        <v>1577</v>
      </c>
      <c r="B228" s="1">
        <v>45666</v>
      </c>
      <c r="C228" t="s">
        <v>596</v>
      </c>
      <c r="D228" t="s">
        <v>1195</v>
      </c>
      <c r="E228" t="s">
        <v>1291</v>
      </c>
      <c r="F228">
        <v>4</v>
      </c>
      <c r="G228">
        <v>585.04</v>
      </c>
      <c r="H228">
        <v>0.22</v>
      </c>
      <c r="I228" t="s">
        <v>1351</v>
      </c>
      <c r="J228">
        <v>1825.3248000000001</v>
      </c>
    </row>
    <row r="229" spans="1:10">
      <c r="A229" t="s">
        <v>1578</v>
      </c>
      <c r="B229" s="1">
        <v>45406</v>
      </c>
      <c r="C229" t="s">
        <v>1059</v>
      </c>
      <c r="D229" t="s">
        <v>1151</v>
      </c>
      <c r="E229" t="s">
        <v>1286</v>
      </c>
      <c r="F229">
        <v>2</v>
      </c>
      <c r="G229">
        <v>999.89</v>
      </c>
      <c r="H229">
        <v>0.09</v>
      </c>
      <c r="I229" t="s">
        <v>1349</v>
      </c>
      <c r="J229">
        <v>1819.7998</v>
      </c>
    </row>
    <row r="230" spans="1:10">
      <c r="A230" t="s">
        <v>1579</v>
      </c>
      <c r="B230" s="1">
        <v>45284</v>
      </c>
      <c r="C230" t="s">
        <v>273</v>
      </c>
      <c r="D230" t="s">
        <v>1223</v>
      </c>
      <c r="E230" t="s">
        <v>1291</v>
      </c>
      <c r="F230">
        <v>2</v>
      </c>
      <c r="G230">
        <v>848.98</v>
      </c>
      <c r="H230">
        <v>0.04</v>
      </c>
      <c r="I230" t="s">
        <v>1351</v>
      </c>
      <c r="J230">
        <v>1630.0416</v>
      </c>
    </row>
    <row r="231" spans="1:10">
      <c r="A231" t="s">
        <v>1580</v>
      </c>
      <c r="B231" s="1">
        <v>45348</v>
      </c>
      <c r="C231" t="s">
        <v>345</v>
      </c>
      <c r="D231" t="s">
        <v>1193</v>
      </c>
      <c r="E231" t="s">
        <v>1324</v>
      </c>
      <c r="F231">
        <v>3</v>
      </c>
      <c r="G231">
        <v>769.56</v>
      </c>
      <c r="H231">
        <v>0.08</v>
      </c>
      <c r="I231" t="s">
        <v>1349</v>
      </c>
      <c r="J231">
        <v>2123.9856</v>
      </c>
    </row>
    <row r="232" spans="1:10">
      <c r="A232" t="s">
        <v>1581</v>
      </c>
      <c r="B232" s="1">
        <v>45676</v>
      </c>
      <c r="C232" t="s">
        <v>140</v>
      </c>
      <c r="D232" t="s">
        <v>1169</v>
      </c>
      <c r="E232" t="s">
        <v>1322</v>
      </c>
      <c r="F232">
        <v>3</v>
      </c>
      <c r="G232">
        <v>449.88</v>
      </c>
      <c r="H232">
        <v>0.1</v>
      </c>
      <c r="I232" t="s">
        <v>1351</v>
      </c>
      <c r="J232">
        <v>1214.6759999999999</v>
      </c>
    </row>
    <row r="233" spans="1:10">
      <c r="A233" t="s">
        <v>1582</v>
      </c>
      <c r="B233" s="1">
        <v>45863</v>
      </c>
      <c r="C233" t="s">
        <v>614</v>
      </c>
      <c r="D233" t="s">
        <v>1211</v>
      </c>
      <c r="E233" t="s">
        <v>1319</v>
      </c>
      <c r="F233">
        <v>4</v>
      </c>
      <c r="G233">
        <v>383.74</v>
      </c>
      <c r="H233">
        <v>0.01</v>
      </c>
      <c r="I233" t="s">
        <v>1349</v>
      </c>
      <c r="J233">
        <v>1519.6104</v>
      </c>
    </row>
    <row r="234" spans="1:10">
      <c r="A234" t="s">
        <v>1583</v>
      </c>
      <c r="B234" s="1">
        <v>45409</v>
      </c>
      <c r="C234" t="s">
        <v>357</v>
      </c>
      <c r="D234" t="s">
        <v>1189</v>
      </c>
      <c r="E234" t="s">
        <v>1314</v>
      </c>
      <c r="F234">
        <v>4</v>
      </c>
      <c r="G234">
        <v>794.97</v>
      </c>
      <c r="H234">
        <v>0.24</v>
      </c>
      <c r="I234" t="s">
        <v>1351</v>
      </c>
      <c r="J234">
        <v>2416.7087999999999</v>
      </c>
    </row>
    <row r="235" spans="1:10">
      <c r="A235" t="s">
        <v>1584</v>
      </c>
      <c r="B235" s="1">
        <v>45880</v>
      </c>
      <c r="C235" t="s">
        <v>42</v>
      </c>
      <c r="D235" t="s">
        <v>1231</v>
      </c>
      <c r="E235" t="s">
        <v>1298</v>
      </c>
      <c r="F235">
        <v>1</v>
      </c>
      <c r="G235">
        <v>989.63</v>
      </c>
      <c r="H235">
        <v>0.05</v>
      </c>
      <c r="I235" t="s">
        <v>1351</v>
      </c>
      <c r="J235">
        <v>940.1484999999999</v>
      </c>
    </row>
    <row r="236" spans="1:10">
      <c r="A236" t="s">
        <v>1585</v>
      </c>
      <c r="B236" s="1">
        <v>45731</v>
      </c>
      <c r="C236" t="s">
        <v>734</v>
      </c>
      <c r="D236" t="s">
        <v>1181</v>
      </c>
      <c r="E236" t="s">
        <v>1277</v>
      </c>
      <c r="F236">
        <v>1</v>
      </c>
      <c r="G236">
        <v>447.16</v>
      </c>
      <c r="H236">
        <v>0.22</v>
      </c>
      <c r="I236" t="s">
        <v>1354</v>
      </c>
      <c r="J236">
        <v>348.78480000000002</v>
      </c>
    </row>
    <row r="237" spans="1:10">
      <c r="A237" t="s">
        <v>1586</v>
      </c>
      <c r="B237" s="1">
        <v>45671</v>
      </c>
      <c r="C237" t="s">
        <v>36</v>
      </c>
      <c r="D237" t="s">
        <v>1261</v>
      </c>
      <c r="E237" t="s">
        <v>1301</v>
      </c>
      <c r="F237">
        <v>1</v>
      </c>
      <c r="G237">
        <v>946.9</v>
      </c>
      <c r="H237">
        <v>0.28999999999999998</v>
      </c>
      <c r="I237" t="s">
        <v>1354</v>
      </c>
      <c r="J237">
        <v>672.29899999999998</v>
      </c>
    </row>
    <row r="238" spans="1:10">
      <c r="A238" t="s">
        <v>1587</v>
      </c>
      <c r="B238" s="1">
        <v>45809</v>
      </c>
      <c r="C238" t="s">
        <v>399</v>
      </c>
      <c r="D238" t="s">
        <v>1107</v>
      </c>
      <c r="E238" t="s">
        <v>1277</v>
      </c>
      <c r="F238">
        <v>4</v>
      </c>
      <c r="G238">
        <v>469.68</v>
      </c>
      <c r="H238">
        <v>0.19</v>
      </c>
      <c r="I238" t="s">
        <v>1349</v>
      </c>
      <c r="J238">
        <v>1521.7632000000001</v>
      </c>
    </row>
    <row r="239" spans="1:10">
      <c r="A239" t="s">
        <v>1588</v>
      </c>
      <c r="B239" s="1">
        <v>45559</v>
      </c>
      <c r="C239" t="s">
        <v>1049</v>
      </c>
      <c r="D239" t="s">
        <v>1129</v>
      </c>
      <c r="E239" t="s">
        <v>1332</v>
      </c>
      <c r="F239">
        <v>4</v>
      </c>
      <c r="G239">
        <v>320.64</v>
      </c>
      <c r="H239">
        <v>0.2</v>
      </c>
      <c r="I239" t="s">
        <v>1354</v>
      </c>
      <c r="J239">
        <v>1026.048</v>
      </c>
    </row>
    <row r="240" spans="1:10">
      <c r="A240" t="s">
        <v>1589</v>
      </c>
      <c r="B240" s="1">
        <v>45253</v>
      </c>
      <c r="C240" t="s">
        <v>331</v>
      </c>
      <c r="D240" t="s">
        <v>1103</v>
      </c>
      <c r="E240" t="s">
        <v>1298</v>
      </c>
      <c r="F240">
        <v>1</v>
      </c>
      <c r="G240">
        <v>594.44000000000005</v>
      </c>
      <c r="H240">
        <v>0.21</v>
      </c>
      <c r="I240" t="s">
        <v>1349</v>
      </c>
      <c r="J240">
        <v>469.60759999999999</v>
      </c>
    </row>
    <row r="241" spans="1:10">
      <c r="A241" t="s">
        <v>1590</v>
      </c>
      <c r="B241" s="1">
        <v>45861</v>
      </c>
      <c r="C241" t="s">
        <v>494</v>
      </c>
      <c r="D241" t="s">
        <v>1245</v>
      </c>
      <c r="E241" t="s">
        <v>1307</v>
      </c>
      <c r="F241">
        <v>3</v>
      </c>
      <c r="G241">
        <v>91.7</v>
      </c>
      <c r="H241">
        <v>0.08</v>
      </c>
      <c r="I241" t="s">
        <v>1354</v>
      </c>
      <c r="J241">
        <v>253.09200000000001</v>
      </c>
    </row>
    <row r="242" spans="1:10">
      <c r="A242" t="s">
        <v>1591</v>
      </c>
      <c r="B242" s="1">
        <v>45917</v>
      </c>
      <c r="C242" t="s">
        <v>96</v>
      </c>
      <c r="D242" t="s">
        <v>1197</v>
      </c>
      <c r="E242" t="s">
        <v>1319</v>
      </c>
      <c r="F242">
        <v>3</v>
      </c>
      <c r="G242">
        <v>741.33</v>
      </c>
      <c r="H242">
        <v>0.03</v>
      </c>
      <c r="I242" t="s">
        <v>1349</v>
      </c>
      <c r="J242">
        <v>2157.2703000000001</v>
      </c>
    </row>
    <row r="243" spans="1:10">
      <c r="A243" t="s">
        <v>1592</v>
      </c>
      <c r="B243" s="1">
        <v>45754</v>
      </c>
      <c r="C243" t="s">
        <v>1014</v>
      </c>
      <c r="D243" t="s">
        <v>1105</v>
      </c>
      <c r="E243" t="s">
        <v>1338</v>
      </c>
      <c r="F243">
        <v>1</v>
      </c>
      <c r="G243">
        <v>922.78</v>
      </c>
      <c r="H243">
        <v>0.28999999999999998</v>
      </c>
      <c r="I243" t="s">
        <v>1354</v>
      </c>
      <c r="J243">
        <v>655.17379999999991</v>
      </c>
    </row>
    <row r="244" spans="1:10">
      <c r="A244" t="s">
        <v>1593</v>
      </c>
      <c r="B244" s="1">
        <v>45312</v>
      </c>
      <c r="C244" t="s">
        <v>714</v>
      </c>
      <c r="D244" t="s">
        <v>1087</v>
      </c>
      <c r="E244" t="s">
        <v>1329</v>
      </c>
      <c r="F244">
        <v>1</v>
      </c>
      <c r="G244">
        <v>394.35</v>
      </c>
      <c r="H244">
        <v>0.09</v>
      </c>
      <c r="I244" t="s">
        <v>1351</v>
      </c>
      <c r="J244">
        <v>358.85849999999999</v>
      </c>
    </row>
    <row r="245" spans="1:10">
      <c r="A245" t="s">
        <v>1594</v>
      </c>
      <c r="B245" s="1">
        <v>45480</v>
      </c>
      <c r="C245" t="s">
        <v>791</v>
      </c>
      <c r="D245" t="s">
        <v>1203</v>
      </c>
      <c r="E245" t="s">
        <v>1317</v>
      </c>
      <c r="F245">
        <v>2</v>
      </c>
      <c r="G245">
        <v>703.95</v>
      </c>
      <c r="H245">
        <v>0.03</v>
      </c>
      <c r="I245" t="s">
        <v>1349</v>
      </c>
      <c r="J245">
        <v>1365.663</v>
      </c>
    </row>
    <row r="246" spans="1:10">
      <c r="A246" t="s">
        <v>1595</v>
      </c>
      <c r="B246" s="1">
        <v>45780</v>
      </c>
      <c r="C246" t="s">
        <v>462</v>
      </c>
      <c r="D246" t="s">
        <v>1101</v>
      </c>
      <c r="E246" t="s">
        <v>1277</v>
      </c>
      <c r="F246">
        <v>4</v>
      </c>
      <c r="G246">
        <v>452.67</v>
      </c>
      <c r="H246">
        <v>0.28000000000000003</v>
      </c>
      <c r="I246" t="s">
        <v>1351</v>
      </c>
      <c r="J246">
        <v>1303.6895999999999</v>
      </c>
    </row>
    <row r="247" spans="1:10">
      <c r="A247" t="s">
        <v>1596</v>
      </c>
      <c r="B247" s="1">
        <v>45349</v>
      </c>
      <c r="C247" t="s">
        <v>988</v>
      </c>
      <c r="D247" t="s">
        <v>1087</v>
      </c>
      <c r="E247" t="s">
        <v>1304</v>
      </c>
      <c r="F247">
        <v>2</v>
      </c>
      <c r="G247">
        <v>377.3</v>
      </c>
      <c r="H247">
        <v>0.15</v>
      </c>
      <c r="I247" t="s">
        <v>1351</v>
      </c>
      <c r="J247">
        <v>641.41</v>
      </c>
    </row>
    <row r="248" spans="1:10">
      <c r="A248" t="s">
        <v>1597</v>
      </c>
      <c r="B248" s="1">
        <v>45846</v>
      </c>
      <c r="C248" t="s">
        <v>752</v>
      </c>
      <c r="D248" t="s">
        <v>1221</v>
      </c>
      <c r="E248" t="s">
        <v>1304</v>
      </c>
      <c r="F248">
        <v>2</v>
      </c>
      <c r="G248">
        <v>130.47999999999999</v>
      </c>
      <c r="H248">
        <v>0.23</v>
      </c>
      <c r="I248" t="s">
        <v>1351</v>
      </c>
      <c r="J248">
        <v>200.9392</v>
      </c>
    </row>
    <row r="249" spans="1:10">
      <c r="A249" t="s">
        <v>1598</v>
      </c>
      <c r="B249" s="1">
        <v>45729</v>
      </c>
      <c r="C249" t="s">
        <v>933</v>
      </c>
      <c r="D249" t="s">
        <v>1261</v>
      </c>
      <c r="E249" t="s">
        <v>1319</v>
      </c>
      <c r="F249">
        <v>1</v>
      </c>
      <c r="G249">
        <v>809.45</v>
      </c>
      <c r="H249">
        <v>0.09</v>
      </c>
      <c r="I249" t="s">
        <v>1354</v>
      </c>
      <c r="J249">
        <v>736.59950000000003</v>
      </c>
    </row>
    <row r="250" spans="1:10">
      <c r="A250" t="s">
        <v>1599</v>
      </c>
      <c r="B250" s="1">
        <v>45768</v>
      </c>
      <c r="C250" t="s">
        <v>220</v>
      </c>
      <c r="D250" t="s">
        <v>1163</v>
      </c>
      <c r="E250" t="s">
        <v>1311</v>
      </c>
      <c r="F250">
        <v>3</v>
      </c>
      <c r="G250">
        <v>499.12</v>
      </c>
      <c r="H250">
        <v>0.05</v>
      </c>
      <c r="I250" t="s">
        <v>1351</v>
      </c>
      <c r="J250">
        <v>1422.492</v>
      </c>
    </row>
    <row r="251" spans="1:10">
      <c r="A251" t="s">
        <v>1600</v>
      </c>
      <c r="B251" s="1">
        <v>45606</v>
      </c>
      <c r="C251" t="s">
        <v>77</v>
      </c>
      <c r="D251" t="s">
        <v>1209</v>
      </c>
      <c r="E251" t="s">
        <v>1291</v>
      </c>
      <c r="F251">
        <v>2</v>
      </c>
      <c r="G251">
        <v>894.58</v>
      </c>
      <c r="H251">
        <v>0.25</v>
      </c>
      <c r="I251" t="s">
        <v>1349</v>
      </c>
      <c r="J251">
        <v>1341.87</v>
      </c>
    </row>
    <row r="252" spans="1:10">
      <c r="A252" t="s">
        <v>1601</v>
      </c>
      <c r="B252" s="1">
        <v>45513</v>
      </c>
      <c r="C252" t="s">
        <v>323</v>
      </c>
      <c r="D252" t="s">
        <v>1223</v>
      </c>
      <c r="E252" t="s">
        <v>1311</v>
      </c>
      <c r="F252">
        <v>4</v>
      </c>
      <c r="G252">
        <v>578.39</v>
      </c>
      <c r="H252">
        <v>0.01</v>
      </c>
      <c r="I252" t="s">
        <v>1349</v>
      </c>
      <c r="J252">
        <v>2290.4243999999999</v>
      </c>
    </row>
    <row r="253" spans="1:10">
      <c r="A253" t="s">
        <v>1602</v>
      </c>
      <c r="B253" s="1">
        <v>45356</v>
      </c>
      <c r="C253" t="s">
        <v>1031</v>
      </c>
      <c r="D253" t="s">
        <v>1155</v>
      </c>
      <c r="E253" t="s">
        <v>1332</v>
      </c>
      <c r="F253">
        <v>4</v>
      </c>
      <c r="G253">
        <v>982.45</v>
      </c>
      <c r="H253">
        <v>0.2</v>
      </c>
      <c r="I253" t="s">
        <v>1351</v>
      </c>
      <c r="J253">
        <v>3143.84</v>
      </c>
    </row>
    <row r="254" spans="1:10">
      <c r="A254" t="s">
        <v>1603</v>
      </c>
      <c r="B254" s="1">
        <v>45925</v>
      </c>
      <c r="C254" t="s">
        <v>961</v>
      </c>
      <c r="D254" t="s">
        <v>1269</v>
      </c>
      <c r="E254" t="s">
        <v>1338</v>
      </c>
      <c r="F254">
        <v>1</v>
      </c>
      <c r="G254">
        <v>549.52</v>
      </c>
      <c r="H254">
        <v>0.1</v>
      </c>
      <c r="I254" t="s">
        <v>1351</v>
      </c>
      <c r="J254">
        <v>494.56799999999998</v>
      </c>
    </row>
    <row r="255" spans="1:10">
      <c r="A255" t="s">
        <v>1604</v>
      </c>
      <c r="B255" s="1">
        <v>45876</v>
      </c>
      <c r="C255" t="s">
        <v>543</v>
      </c>
      <c r="D255" t="s">
        <v>1257</v>
      </c>
      <c r="E255" t="s">
        <v>1335</v>
      </c>
      <c r="F255">
        <v>2</v>
      </c>
      <c r="G255">
        <v>239.92</v>
      </c>
      <c r="H255">
        <v>0.16</v>
      </c>
      <c r="I255" t="s">
        <v>1349</v>
      </c>
      <c r="J255">
        <v>403.06560000000002</v>
      </c>
    </row>
    <row r="256" spans="1:10">
      <c r="A256" t="s">
        <v>1605</v>
      </c>
      <c r="B256" s="1">
        <v>45338</v>
      </c>
      <c r="C256" t="s">
        <v>218</v>
      </c>
      <c r="D256" t="s">
        <v>1257</v>
      </c>
      <c r="E256" t="s">
        <v>1301</v>
      </c>
      <c r="F256">
        <v>2</v>
      </c>
      <c r="G256">
        <v>878.05</v>
      </c>
      <c r="H256">
        <v>0.11</v>
      </c>
      <c r="I256" t="s">
        <v>1351</v>
      </c>
      <c r="J256">
        <v>1562.9290000000001</v>
      </c>
    </row>
    <row r="257" spans="1:10">
      <c r="A257" t="s">
        <v>1606</v>
      </c>
      <c r="B257" s="1">
        <v>45746</v>
      </c>
      <c r="C257" t="s">
        <v>129</v>
      </c>
      <c r="D257" t="s">
        <v>1071</v>
      </c>
      <c r="E257" t="s">
        <v>1311</v>
      </c>
      <c r="F257">
        <v>3</v>
      </c>
      <c r="G257">
        <v>546.96</v>
      </c>
      <c r="H257">
        <v>0.19</v>
      </c>
      <c r="I257" t="s">
        <v>1349</v>
      </c>
      <c r="J257">
        <v>1329.1128000000001</v>
      </c>
    </row>
    <row r="258" spans="1:10">
      <c r="A258" t="s">
        <v>1607</v>
      </c>
      <c r="B258" s="1">
        <v>45706</v>
      </c>
      <c r="C258" t="s">
        <v>1004</v>
      </c>
      <c r="D258" t="s">
        <v>1107</v>
      </c>
      <c r="E258" t="s">
        <v>1314</v>
      </c>
      <c r="F258">
        <v>2</v>
      </c>
      <c r="G258">
        <v>71.77</v>
      </c>
      <c r="H258">
        <v>0.22</v>
      </c>
      <c r="I258" t="s">
        <v>1349</v>
      </c>
      <c r="J258">
        <v>111.96120000000001</v>
      </c>
    </row>
    <row r="259" spans="1:10">
      <c r="A259" t="s">
        <v>1608</v>
      </c>
      <c r="B259" s="1">
        <v>45717</v>
      </c>
      <c r="C259" t="s">
        <v>50</v>
      </c>
      <c r="D259" t="s">
        <v>1121</v>
      </c>
      <c r="E259" t="s">
        <v>1282</v>
      </c>
      <c r="F259">
        <v>2</v>
      </c>
      <c r="G259">
        <v>679.86</v>
      </c>
      <c r="H259">
        <v>0.22</v>
      </c>
      <c r="I259" t="s">
        <v>1354</v>
      </c>
      <c r="J259">
        <v>1060.5816</v>
      </c>
    </row>
    <row r="260" spans="1:10">
      <c r="A260" t="s">
        <v>1609</v>
      </c>
      <c r="B260" s="1">
        <v>45300</v>
      </c>
      <c r="C260" t="s">
        <v>333</v>
      </c>
      <c r="D260" t="s">
        <v>1143</v>
      </c>
      <c r="E260" t="s">
        <v>1332</v>
      </c>
      <c r="F260">
        <v>1</v>
      </c>
      <c r="G260">
        <v>222.94</v>
      </c>
      <c r="H260">
        <v>0.19</v>
      </c>
      <c r="I260" t="s">
        <v>1349</v>
      </c>
      <c r="J260">
        <v>180.5814</v>
      </c>
    </row>
    <row r="261" spans="1:10">
      <c r="A261" t="s">
        <v>1610</v>
      </c>
      <c r="B261" s="1">
        <v>45773</v>
      </c>
      <c r="C261" t="s">
        <v>559</v>
      </c>
      <c r="D261" t="s">
        <v>1143</v>
      </c>
      <c r="E261" t="s">
        <v>1286</v>
      </c>
      <c r="F261">
        <v>2</v>
      </c>
      <c r="G261">
        <v>355.3</v>
      </c>
      <c r="I261" t="s">
        <v>1351</v>
      </c>
      <c r="J261">
        <v>589.798</v>
      </c>
    </row>
    <row r="262" spans="1:10">
      <c r="A262" t="s">
        <v>1611</v>
      </c>
      <c r="B262" s="1">
        <v>45497</v>
      </c>
      <c r="C262" t="s">
        <v>265</v>
      </c>
      <c r="D262" t="s">
        <v>1251</v>
      </c>
      <c r="E262" t="s">
        <v>1338</v>
      </c>
      <c r="F262">
        <v>4</v>
      </c>
      <c r="G262">
        <v>611.29999999999995</v>
      </c>
      <c r="H262">
        <v>0.11</v>
      </c>
      <c r="I262" t="s">
        <v>1351</v>
      </c>
      <c r="J262">
        <v>2176.2280000000001</v>
      </c>
    </row>
    <row r="263" spans="1:10">
      <c r="A263" t="s">
        <v>1612</v>
      </c>
      <c r="B263" s="1">
        <v>45742</v>
      </c>
      <c r="C263" t="s">
        <v>730</v>
      </c>
      <c r="D263" t="s">
        <v>1068</v>
      </c>
      <c r="E263" t="s">
        <v>1307</v>
      </c>
      <c r="F263">
        <v>4</v>
      </c>
      <c r="G263">
        <v>849.21</v>
      </c>
      <c r="H263">
        <v>7.0000000000000007E-2</v>
      </c>
      <c r="I263" t="s">
        <v>1349</v>
      </c>
      <c r="J263">
        <v>3159.0612000000001</v>
      </c>
    </row>
    <row r="264" spans="1:10">
      <c r="A264" t="s">
        <v>1613</v>
      </c>
      <c r="B264" s="1">
        <v>45713</v>
      </c>
      <c r="C264" t="s">
        <v>480</v>
      </c>
      <c r="D264" t="s">
        <v>1157</v>
      </c>
      <c r="E264" t="s">
        <v>1304</v>
      </c>
      <c r="F264">
        <v>3</v>
      </c>
      <c r="G264">
        <v>553.12</v>
      </c>
      <c r="H264">
        <v>0.28000000000000003</v>
      </c>
      <c r="I264" t="s">
        <v>1354</v>
      </c>
      <c r="J264">
        <v>1194.7392</v>
      </c>
    </row>
    <row r="265" spans="1:10">
      <c r="A265" t="s">
        <v>1614</v>
      </c>
      <c r="B265" s="1">
        <v>45826</v>
      </c>
      <c r="C265" t="s">
        <v>628</v>
      </c>
      <c r="D265" t="s">
        <v>1255</v>
      </c>
      <c r="E265" t="s">
        <v>1311</v>
      </c>
      <c r="F265">
        <v>2</v>
      </c>
      <c r="G265">
        <v>903.08</v>
      </c>
      <c r="H265">
        <v>0.18</v>
      </c>
      <c r="I265" t="s">
        <v>1354</v>
      </c>
      <c r="J265">
        <v>1481.0512000000001</v>
      </c>
    </row>
    <row r="266" spans="1:10">
      <c r="A266" t="s">
        <v>1615</v>
      </c>
      <c r="B266" s="1">
        <v>45648</v>
      </c>
      <c r="C266" t="s">
        <v>1018</v>
      </c>
      <c r="D266" t="s">
        <v>1105</v>
      </c>
      <c r="E266" t="s">
        <v>1317</v>
      </c>
      <c r="F266">
        <v>4</v>
      </c>
      <c r="G266">
        <v>640.23</v>
      </c>
      <c r="H266">
        <v>0.06</v>
      </c>
      <c r="I266" t="s">
        <v>1354</v>
      </c>
      <c r="J266">
        <v>2407.2647999999999</v>
      </c>
    </row>
    <row r="267" spans="1:10">
      <c r="A267" t="s">
        <v>1616</v>
      </c>
      <c r="B267" s="1">
        <v>45836</v>
      </c>
      <c r="C267" t="s">
        <v>343</v>
      </c>
      <c r="D267" t="s">
        <v>1115</v>
      </c>
      <c r="E267" t="s">
        <v>1301</v>
      </c>
      <c r="F267">
        <v>1</v>
      </c>
      <c r="G267">
        <v>518</v>
      </c>
      <c r="H267">
        <v>0.25</v>
      </c>
      <c r="I267" t="s">
        <v>1349</v>
      </c>
      <c r="J267">
        <v>388.5</v>
      </c>
    </row>
    <row r="268" spans="1:10">
      <c r="A268" t="s">
        <v>1617</v>
      </c>
      <c r="B268" s="1">
        <v>45437</v>
      </c>
      <c r="C268" t="s">
        <v>929</v>
      </c>
      <c r="D268" t="s">
        <v>1201</v>
      </c>
      <c r="E268" t="s">
        <v>1294</v>
      </c>
      <c r="F268">
        <v>4</v>
      </c>
      <c r="G268">
        <v>779.25</v>
      </c>
      <c r="H268">
        <v>0.25</v>
      </c>
      <c r="I268" t="s">
        <v>1349</v>
      </c>
      <c r="J268">
        <v>2337.75</v>
      </c>
    </row>
    <row r="269" spans="1:10">
      <c r="A269" t="s">
        <v>1618</v>
      </c>
      <c r="B269" s="1">
        <v>45807</v>
      </c>
      <c r="C269" t="s">
        <v>296</v>
      </c>
      <c r="D269" t="s">
        <v>1239</v>
      </c>
      <c r="E269" t="s">
        <v>1304</v>
      </c>
      <c r="F269">
        <v>2</v>
      </c>
      <c r="G269">
        <v>467.75</v>
      </c>
      <c r="H269">
        <v>0.26</v>
      </c>
      <c r="I269" t="s">
        <v>1349</v>
      </c>
      <c r="J269">
        <v>692.27</v>
      </c>
    </row>
    <row r="270" spans="1:10">
      <c r="A270" t="s">
        <v>1619</v>
      </c>
      <c r="B270" s="1">
        <v>45555</v>
      </c>
      <c r="C270" t="s">
        <v>875</v>
      </c>
      <c r="D270" t="s">
        <v>1253</v>
      </c>
      <c r="E270" t="s">
        <v>1335</v>
      </c>
      <c r="F270">
        <v>3</v>
      </c>
      <c r="H270">
        <v>0.06</v>
      </c>
      <c r="I270" t="s">
        <v>1349</v>
      </c>
      <c r="J270">
        <v>315.24779999999998</v>
      </c>
    </row>
    <row r="271" spans="1:10">
      <c r="A271" t="s">
        <v>1620</v>
      </c>
      <c r="B271" s="1">
        <v>45803</v>
      </c>
      <c r="C271" t="s">
        <v>500</v>
      </c>
      <c r="D271" t="s">
        <v>1147</v>
      </c>
      <c r="E271" t="s">
        <v>1277</v>
      </c>
      <c r="F271">
        <v>4</v>
      </c>
      <c r="G271">
        <v>747.01</v>
      </c>
      <c r="H271">
        <v>0.13</v>
      </c>
      <c r="I271" t="s">
        <v>1351</v>
      </c>
      <c r="J271">
        <v>2599.5947999999999</v>
      </c>
    </row>
    <row r="272" spans="1:10">
      <c r="A272" t="s">
        <v>1621</v>
      </c>
      <c r="B272" s="1">
        <v>45735</v>
      </c>
      <c r="C272" t="s">
        <v>261</v>
      </c>
      <c r="D272" t="s">
        <v>1251</v>
      </c>
      <c r="E272" t="s">
        <v>1319</v>
      </c>
      <c r="F272">
        <v>4</v>
      </c>
      <c r="G272">
        <v>461.83</v>
      </c>
      <c r="H272">
        <v>0.28000000000000003</v>
      </c>
      <c r="I272" t="s">
        <v>1351</v>
      </c>
      <c r="J272">
        <v>1330.0704000000001</v>
      </c>
    </row>
    <row r="273" spans="1:10">
      <c r="A273" t="s">
        <v>1622</v>
      </c>
      <c r="B273" s="1">
        <v>45750</v>
      </c>
      <c r="C273" t="s">
        <v>329</v>
      </c>
      <c r="D273" t="s">
        <v>1213</v>
      </c>
      <c r="E273" t="s">
        <v>1307</v>
      </c>
      <c r="F273">
        <v>2</v>
      </c>
      <c r="G273">
        <v>105.15</v>
      </c>
      <c r="H273">
        <v>0.06</v>
      </c>
      <c r="I273" t="s">
        <v>1349</v>
      </c>
      <c r="J273">
        <v>197.68199999999999</v>
      </c>
    </row>
    <row r="274" spans="1:10">
      <c r="A274" t="s">
        <v>1623</v>
      </c>
      <c r="B274" s="1">
        <v>45693</v>
      </c>
      <c r="C274" t="s">
        <v>102</v>
      </c>
      <c r="D274" t="s">
        <v>1119</v>
      </c>
      <c r="E274" t="s">
        <v>1291</v>
      </c>
      <c r="F274">
        <v>3</v>
      </c>
      <c r="G274">
        <v>610.24</v>
      </c>
      <c r="H274">
        <v>0.17</v>
      </c>
      <c r="I274" t="s">
        <v>1354</v>
      </c>
      <c r="J274">
        <v>1519.4975999999999</v>
      </c>
    </row>
    <row r="275" spans="1:10">
      <c r="A275" t="s">
        <v>1624</v>
      </c>
      <c r="B275" s="1">
        <v>45667</v>
      </c>
      <c r="C275" t="s">
        <v>688</v>
      </c>
      <c r="D275" t="s">
        <v>1221</v>
      </c>
      <c r="E275" t="s">
        <v>1307</v>
      </c>
      <c r="F275">
        <v>1</v>
      </c>
      <c r="G275">
        <v>872.12</v>
      </c>
      <c r="H275">
        <v>7.0000000000000007E-2</v>
      </c>
      <c r="I275" t="s">
        <v>1351</v>
      </c>
      <c r="J275">
        <v>811.07159999999999</v>
      </c>
    </row>
    <row r="276" spans="1:10">
      <c r="A276" t="s">
        <v>1625</v>
      </c>
      <c r="B276" s="1">
        <v>45316</v>
      </c>
      <c r="C276" t="s">
        <v>929</v>
      </c>
      <c r="D276" t="s">
        <v>1093</v>
      </c>
      <c r="E276" t="s">
        <v>1282</v>
      </c>
      <c r="F276">
        <v>1</v>
      </c>
      <c r="G276">
        <v>406.79</v>
      </c>
      <c r="H276">
        <v>0.03</v>
      </c>
      <c r="I276" t="s">
        <v>1354</v>
      </c>
      <c r="J276">
        <v>394.58629999999999</v>
      </c>
    </row>
    <row r="277" spans="1:10">
      <c r="A277" t="s">
        <v>1626</v>
      </c>
      <c r="B277" s="1">
        <v>45932</v>
      </c>
      <c r="C277" t="s">
        <v>807</v>
      </c>
      <c r="D277" t="s">
        <v>1181</v>
      </c>
      <c r="E277" t="s">
        <v>1324</v>
      </c>
      <c r="F277">
        <v>1</v>
      </c>
      <c r="G277">
        <v>606.01</v>
      </c>
      <c r="H277">
        <v>0.04</v>
      </c>
      <c r="I277" t="s">
        <v>1351</v>
      </c>
      <c r="J277">
        <v>581.76959999999997</v>
      </c>
    </row>
    <row r="278" spans="1:10">
      <c r="A278" t="s">
        <v>1627</v>
      </c>
      <c r="B278" s="1">
        <v>45483</v>
      </c>
      <c r="C278" t="s">
        <v>762</v>
      </c>
      <c r="D278" t="s">
        <v>1107</v>
      </c>
      <c r="E278" t="s">
        <v>1298</v>
      </c>
      <c r="F278">
        <v>4</v>
      </c>
      <c r="G278">
        <v>322.58</v>
      </c>
      <c r="H278">
        <v>0.06</v>
      </c>
      <c r="I278" t="s">
        <v>1349</v>
      </c>
      <c r="J278">
        <v>1212.9007999999999</v>
      </c>
    </row>
    <row r="279" spans="1:10">
      <c r="A279" t="s">
        <v>1628</v>
      </c>
      <c r="B279" s="1">
        <v>45661</v>
      </c>
      <c r="C279" t="s">
        <v>1029</v>
      </c>
      <c r="D279" t="s">
        <v>1227</v>
      </c>
      <c r="E279" t="s">
        <v>1335</v>
      </c>
      <c r="F279">
        <v>4</v>
      </c>
      <c r="G279">
        <v>463.17</v>
      </c>
      <c r="H279">
        <v>0.06</v>
      </c>
      <c r="I279" t="s">
        <v>1351</v>
      </c>
      <c r="J279">
        <v>1741.5192</v>
      </c>
    </row>
    <row r="280" spans="1:10">
      <c r="A280" t="s">
        <v>1629</v>
      </c>
      <c r="B280" s="1">
        <v>45798</v>
      </c>
      <c r="C280" t="s">
        <v>696</v>
      </c>
      <c r="D280" t="s">
        <v>1123</v>
      </c>
      <c r="E280" t="s">
        <v>1304</v>
      </c>
      <c r="F280">
        <v>4</v>
      </c>
      <c r="G280">
        <v>285.82</v>
      </c>
      <c r="H280">
        <v>0.18</v>
      </c>
      <c r="I280" t="s">
        <v>1351</v>
      </c>
      <c r="J280">
        <v>937.4896</v>
      </c>
    </row>
    <row r="281" spans="1:10">
      <c r="A281" t="s">
        <v>1630</v>
      </c>
      <c r="B281" s="1">
        <v>45868</v>
      </c>
      <c r="C281" t="s">
        <v>716</v>
      </c>
      <c r="D281" t="s">
        <v>1147</v>
      </c>
      <c r="E281" t="s">
        <v>1317</v>
      </c>
      <c r="F281">
        <v>3</v>
      </c>
      <c r="G281">
        <v>995.38</v>
      </c>
      <c r="H281">
        <v>0.1</v>
      </c>
      <c r="I281" t="s">
        <v>1351</v>
      </c>
      <c r="J281">
        <v>2687.5259999999998</v>
      </c>
    </row>
    <row r="282" spans="1:10">
      <c r="A282" t="s">
        <v>1631</v>
      </c>
      <c r="B282" s="1">
        <v>45757</v>
      </c>
      <c r="C282" t="s">
        <v>298</v>
      </c>
      <c r="D282" t="s">
        <v>1197</v>
      </c>
      <c r="E282" t="s">
        <v>1307</v>
      </c>
      <c r="F282">
        <v>1</v>
      </c>
      <c r="G282">
        <v>329.31</v>
      </c>
      <c r="H282">
        <v>0.09</v>
      </c>
      <c r="I282" t="s">
        <v>1349</v>
      </c>
      <c r="J282">
        <v>299.6721</v>
      </c>
    </row>
    <row r="283" spans="1:10">
      <c r="A283" t="s">
        <v>1632</v>
      </c>
      <c r="B283" s="1">
        <v>45475</v>
      </c>
      <c r="C283" t="s">
        <v>1041</v>
      </c>
      <c r="D283" t="s">
        <v>1167</v>
      </c>
      <c r="E283" t="s">
        <v>1329</v>
      </c>
      <c r="F283">
        <v>3</v>
      </c>
      <c r="G283">
        <v>64.2</v>
      </c>
      <c r="H283">
        <v>0.08</v>
      </c>
      <c r="I283" t="s">
        <v>1354</v>
      </c>
      <c r="J283">
        <v>177.19200000000001</v>
      </c>
    </row>
    <row r="284" spans="1:10">
      <c r="A284" t="s">
        <v>1633</v>
      </c>
      <c r="B284" s="1">
        <v>45829</v>
      </c>
      <c r="C284" t="s">
        <v>587</v>
      </c>
      <c r="D284" t="s">
        <v>1095</v>
      </c>
      <c r="E284" t="s">
        <v>1322</v>
      </c>
      <c r="F284">
        <v>3</v>
      </c>
      <c r="G284">
        <v>697.13</v>
      </c>
      <c r="H284">
        <v>0.25</v>
      </c>
      <c r="I284" t="s">
        <v>1354</v>
      </c>
      <c r="J284">
        <v>1568.5425</v>
      </c>
    </row>
    <row r="285" spans="1:10">
      <c r="A285" t="s">
        <v>1634</v>
      </c>
      <c r="B285" s="1">
        <v>45639</v>
      </c>
      <c r="C285" t="s">
        <v>75</v>
      </c>
      <c r="D285" t="s">
        <v>1090</v>
      </c>
      <c r="E285" t="s">
        <v>1298</v>
      </c>
      <c r="F285">
        <v>3</v>
      </c>
      <c r="G285">
        <v>134.30000000000001</v>
      </c>
      <c r="H285">
        <v>0.14000000000000001</v>
      </c>
      <c r="I285" t="s">
        <v>1349</v>
      </c>
      <c r="J285">
        <v>346.49400000000003</v>
      </c>
    </row>
    <row r="286" spans="1:10">
      <c r="A286" t="s">
        <v>1635</v>
      </c>
      <c r="B286" s="1">
        <v>45518</v>
      </c>
      <c r="C286" t="s">
        <v>583</v>
      </c>
      <c r="D286" t="s">
        <v>1241</v>
      </c>
      <c r="E286" t="s">
        <v>1322</v>
      </c>
      <c r="F286">
        <v>1</v>
      </c>
      <c r="G286">
        <v>520.92999999999995</v>
      </c>
      <c r="H286">
        <v>0.15</v>
      </c>
      <c r="I286" t="s">
        <v>1349</v>
      </c>
      <c r="J286">
        <v>442.79050000000001</v>
      </c>
    </row>
    <row r="287" spans="1:10">
      <c r="A287" t="s">
        <v>1636</v>
      </c>
      <c r="B287" s="1">
        <v>45721</v>
      </c>
      <c r="C287" t="s">
        <v>513</v>
      </c>
      <c r="D287" t="s">
        <v>1111</v>
      </c>
      <c r="E287" t="s">
        <v>1304</v>
      </c>
      <c r="F287">
        <v>2</v>
      </c>
      <c r="G287">
        <v>350.12</v>
      </c>
      <c r="H287">
        <v>0.21</v>
      </c>
      <c r="I287" t="s">
        <v>1354</v>
      </c>
      <c r="J287">
        <v>553.18960000000004</v>
      </c>
    </row>
    <row r="288" spans="1:10">
      <c r="A288" t="s">
        <v>1637</v>
      </c>
      <c r="B288" s="1">
        <v>45308</v>
      </c>
      <c r="C288" t="s">
        <v>994</v>
      </c>
      <c r="D288" t="s">
        <v>1169</v>
      </c>
      <c r="E288" t="s">
        <v>1338</v>
      </c>
      <c r="F288">
        <v>3</v>
      </c>
      <c r="G288">
        <v>807.95</v>
      </c>
      <c r="H288">
        <v>0.1</v>
      </c>
      <c r="I288" t="s">
        <v>1351</v>
      </c>
      <c r="J288">
        <v>2181.4650000000011</v>
      </c>
    </row>
    <row r="289" spans="1:10">
      <c r="A289" t="s">
        <v>1638</v>
      </c>
      <c r="B289" s="1">
        <v>45889</v>
      </c>
      <c r="C289" t="s">
        <v>734</v>
      </c>
      <c r="D289" t="s">
        <v>1149</v>
      </c>
      <c r="E289" t="s">
        <v>1301</v>
      </c>
      <c r="F289">
        <v>4</v>
      </c>
      <c r="G289">
        <v>766.03</v>
      </c>
      <c r="H289">
        <v>0.28999999999999998</v>
      </c>
      <c r="I289" t="s">
        <v>1351</v>
      </c>
      <c r="J289">
        <v>2175.5252</v>
      </c>
    </row>
    <row r="290" spans="1:10">
      <c r="A290" t="s">
        <v>1639</v>
      </c>
      <c r="B290" s="1">
        <v>45386</v>
      </c>
      <c r="C290" t="s">
        <v>426</v>
      </c>
      <c r="D290" t="s">
        <v>1187</v>
      </c>
      <c r="E290" t="s">
        <v>1307</v>
      </c>
      <c r="F290">
        <v>3</v>
      </c>
      <c r="G290">
        <v>545.1</v>
      </c>
      <c r="H290">
        <v>0.08</v>
      </c>
      <c r="I290" t="s">
        <v>1354</v>
      </c>
      <c r="J290">
        <v>1504.4760000000001</v>
      </c>
    </row>
    <row r="291" spans="1:10">
      <c r="A291" t="s">
        <v>1640</v>
      </c>
      <c r="B291" s="1">
        <v>45438</v>
      </c>
      <c r="C291" t="s">
        <v>589</v>
      </c>
      <c r="D291" t="s">
        <v>1203</v>
      </c>
      <c r="E291" t="s">
        <v>1304</v>
      </c>
      <c r="F291">
        <v>1</v>
      </c>
      <c r="G291">
        <v>203.61</v>
      </c>
      <c r="H291">
        <v>0.24</v>
      </c>
      <c r="I291" t="s">
        <v>1354</v>
      </c>
      <c r="J291">
        <v>154.74359999999999</v>
      </c>
    </row>
    <row r="292" spans="1:10">
      <c r="A292" t="s">
        <v>1641</v>
      </c>
      <c r="B292" s="1">
        <v>45856</v>
      </c>
      <c r="C292" t="s">
        <v>897</v>
      </c>
      <c r="D292" t="s">
        <v>1267</v>
      </c>
      <c r="E292" t="s">
        <v>1326</v>
      </c>
      <c r="F292">
        <v>4</v>
      </c>
      <c r="G292">
        <v>493.8</v>
      </c>
      <c r="H292">
        <v>0.24</v>
      </c>
      <c r="I292" t="s">
        <v>1354</v>
      </c>
      <c r="J292">
        <v>1501.152</v>
      </c>
    </row>
    <row r="293" spans="1:10">
      <c r="A293" t="s">
        <v>1642</v>
      </c>
      <c r="B293" s="1">
        <v>45485</v>
      </c>
      <c r="C293" t="s">
        <v>61</v>
      </c>
      <c r="D293" t="s">
        <v>1155</v>
      </c>
      <c r="E293" t="s">
        <v>1332</v>
      </c>
      <c r="F293">
        <v>1</v>
      </c>
      <c r="G293">
        <v>640.54999999999995</v>
      </c>
      <c r="H293">
        <v>0.25</v>
      </c>
      <c r="I293" t="s">
        <v>1349</v>
      </c>
      <c r="J293">
        <v>480.41250000000002</v>
      </c>
    </row>
    <row r="294" spans="1:10">
      <c r="A294" t="s">
        <v>1643</v>
      </c>
      <c r="B294" s="1">
        <v>45545</v>
      </c>
      <c r="C294" t="s">
        <v>298</v>
      </c>
      <c r="D294" t="s">
        <v>1221</v>
      </c>
      <c r="E294" t="s">
        <v>1294</v>
      </c>
      <c r="F294">
        <v>1</v>
      </c>
      <c r="G294">
        <v>702.53</v>
      </c>
      <c r="H294">
        <v>0.3</v>
      </c>
      <c r="I294" t="s">
        <v>1349</v>
      </c>
      <c r="J294">
        <v>491.77100000000002</v>
      </c>
    </row>
    <row r="295" spans="1:10">
      <c r="A295" t="s">
        <v>1644</v>
      </c>
      <c r="B295" s="1">
        <v>45826</v>
      </c>
      <c r="C295" t="s">
        <v>511</v>
      </c>
      <c r="D295" t="s">
        <v>1151</v>
      </c>
      <c r="E295" t="s">
        <v>1307</v>
      </c>
      <c r="F295">
        <v>4</v>
      </c>
      <c r="G295">
        <v>139.94</v>
      </c>
      <c r="H295">
        <v>0.24</v>
      </c>
      <c r="I295" t="s">
        <v>1349</v>
      </c>
      <c r="J295">
        <v>425.41759999999999</v>
      </c>
    </row>
    <row r="296" spans="1:10">
      <c r="A296" t="s">
        <v>1645</v>
      </c>
      <c r="B296" s="1">
        <v>45654</v>
      </c>
      <c r="C296" t="s">
        <v>618</v>
      </c>
      <c r="D296" t="s">
        <v>1111</v>
      </c>
      <c r="E296" t="s">
        <v>1307</v>
      </c>
      <c r="F296">
        <v>2</v>
      </c>
      <c r="G296">
        <v>230.85</v>
      </c>
      <c r="H296">
        <v>0.18</v>
      </c>
      <c r="I296" t="s">
        <v>1349</v>
      </c>
      <c r="J296">
        <v>378.59399999999999</v>
      </c>
    </row>
    <row r="297" spans="1:10">
      <c r="A297" t="s">
        <v>1646</v>
      </c>
      <c r="B297" s="1">
        <v>45556</v>
      </c>
      <c r="C297" t="s">
        <v>484</v>
      </c>
      <c r="D297" t="s">
        <v>1243</v>
      </c>
      <c r="E297" t="s">
        <v>1332</v>
      </c>
      <c r="F297">
        <v>4</v>
      </c>
      <c r="G297">
        <v>626.35</v>
      </c>
      <c r="H297">
        <v>0.25</v>
      </c>
      <c r="I297" t="s">
        <v>1354</v>
      </c>
      <c r="J297">
        <v>1879.05</v>
      </c>
    </row>
    <row r="298" spans="1:10">
      <c r="A298" t="s">
        <v>1647</v>
      </c>
      <c r="B298" s="1">
        <v>45434</v>
      </c>
      <c r="C298" t="s">
        <v>218</v>
      </c>
      <c r="D298" t="s">
        <v>1155</v>
      </c>
      <c r="E298" t="s">
        <v>1324</v>
      </c>
      <c r="F298">
        <v>4</v>
      </c>
      <c r="G298">
        <v>108.55</v>
      </c>
      <c r="H298">
        <v>0.18</v>
      </c>
      <c r="I298" t="s">
        <v>1351</v>
      </c>
      <c r="J298">
        <v>356.04399999999998</v>
      </c>
    </row>
    <row r="299" spans="1:10">
      <c r="A299" t="s">
        <v>1648</v>
      </c>
      <c r="B299" s="1">
        <v>45871</v>
      </c>
      <c r="C299" t="s">
        <v>444</v>
      </c>
      <c r="D299" t="s">
        <v>1107</v>
      </c>
      <c r="E299" t="s">
        <v>1282</v>
      </c>
      <c r="F299">
        <v>4</v>
      </c>
      <c r="G299">
        <v>353.67</v>
      </c>
      <c r="H299">
        <v>0.03</v>
      </c>
      <c r="I299" t="s">
        <v>1354</v>
      </c>
      <c r="J299">
        <v>1372.2396000000001</v>
      </c>
    </row>
    <row r="300" spans="1:10">
      <c r="A300" t="s">
        <v>1649</v>
      </c>
      <c r="B300" s="1">
        <v>45583</v>
      </c>
      <c r="C300" t="s">
        <v>178</v>
      </c>
      <c r="D300" t="s">
        <v>1253</v>
      </c>
      <c r="E300" t="s">
        <v>1282</v>
      </c>
      <c r="F300">
        <v>4</v>
      </c>
      <c r="G300">
        <v>61.98</v>
      </c>
      <c r="H300">
        <v>0.16</v>
      </c>
      <c r="I300" t="s">
        <v>1349</v>
      </c>
      <c r="J300">
        <v>208.25280000000001</v>
      </c>
    </row>
    <row r="301" spans="1:10">
      <c r="A301" t="s">
        <v>1650</v>
      </c>
      <c r="B301" s="1">
        <v>45348</v>
      </c>
      <c r="C301" t="s">
        <v>494</v>
      </c>
      <c r="D301" t="s">
        <v>1117</v>
      </c>
      <c r="E301" t="s">
        <v>1338</v>
      </c>
      <c r="F301">
        <v>2</v>
      </c>
      <c r="G301">
        <v>873.1</v>
      </c>
      <c r="H301">
        <v>0.12</v>
      </c>
      <c r="I301" t="s">
        <v>1351</v>
      </c>
      <c r="J301">
        <v>1536.6559999999999</v>
      </c>
    </row>
    <row r="302" spans="1:10">
      <c r="A302" t="s">
        <v>1651</v>
      </c>
      <c r="B302" s="1">
        <v>45268</v>
      </c>
      <c r="C302" t="s">
        <v>458</v>
      </c>
      <c r="D302" t="s">
        <v>1097</v>
      </c>
      <c r="E302" t="s">
        <v>1326</v>
      </c>
      <c r="F302">
        <v>4</v>
      </c>
      <c r="G302">
        <v>889.47</v>
      </c>
      <c r="H302">
        <v>0.24</v>
      </c>
      <c r="I302" t="s">
        <v>1349</v>
      </c>
      <c r="J302">
        <v>2703.9888000000001</v>
      </c>
    </row>
    <row r="303" spans="1:10">
      <c r="A303" t="s">
        <v>1652</v>
      </c>
      <c r="B303" s="1">
        <v>45596</v>
      </c>
      <c r="C303" t="s">
        <v>90</v>
      </c>
      <c r="D303" t="s">
        <v>1221</v>
      </c>
      <c r="E303" t="s">
        <v>1317</v>
      </c>
      <c r="F303">
        <v>3</v>
      </c>
      <c r="G303">
        <v>803.76</v>
      </c>
      <c r="H303">
        <v>0.19</v>
      </c>
      <c r="I303" t="s">
        <v>1354</v>
      </c>
      <c r="J303">
        <v>1953.1368</v>
      </c>
    </row>
    <row r="304" spans="1:10">
      <c r="A304" t="s">
        <v>1653</v>
      </c>
      <c r="B304" s="1">
        <v>45624</v>
      </c>
      <c r="C304" t="s">
        <v>998</v>
      </c>
      <c r="D304" t="s">
        <v>1223</v>
      </c>
      <c r="E304" t="s">
        <v>1298</v>
      </c>
      <c r="F304">
        <v>2</v>
      </c>
      <c r="G304">
        <v>865.14</v>
      </c>
      <c r="H304">
        <v>0.2</v>
      </c>
      <c r="I304" t="s">
        <v>1351</v>
      </c>
      <c r="J304">
        <v>1384.2239999999999</v>
      </c>
    </row>
    <row r="305" spans="1:10">
      <c r="A305" t="s">
        <v>1654</v>
      </c>
      <c r="B305" s="1">
        <v>45813</v>
      </c>
      <c r="C305" t="s">
        <v>252</v>
      </c>
      <c r="D305" t="s">
        <v>1135</v>
      </c>
      <c r="E305" t="s">
        <v>1311</v>
      </c>
      <c r="F305">
        <v>2</v>
      </c>
      <c r="G305">
        <v>916.49</v>
      </c>
      <c r="H305">
        <v>0.3</v>
      </c>
      <c r="I305" t="s">
        <v>1354</v>
      </c>
      <c r="J305">
        <v>1283.086</v>
      </c>
    </row>
    <row r="306" spans="1:10">
      <c r="A306" t="s">
        <v>1655</v>
      </c>
      <c r="B306" s="1">
        <v>45615</v>
      </c>
      <c r="C306" t="s">
        <v>123</v>
      </c>
      <c r="D306" t="s">
        <v>1175</v>
      </c>
      <c r="E306" t="s">
        <v>1319</v>
      </c>
      <c r="F306">
        <v>3</v>
      </c>
      <c r="G306">
        <v>781.39</v>
      </c>
      <c r="H306">
        <v>0.12</v>
      </c>
      <c r="I306" t="s">
        <v>1349</v>
      </c>
      <c r="J306">
        <v>2062.8696</v>
      </c>
    </row>
    <row r="307" spans="1:10">
      <c r="A307" t="s">
        <v>1656</v>
      </c>
      <c r="B307" s="1">
        <v>45431</v>
      </c>
      <c r="C307" t="s">
        <v>484</v>
      </c>
      <c r="D307" t="s">
        <v>1149</v>
      </c>
      <c r="E307" t="s">
        <v>1319</v>
      </c>
      <c r="F307">
        <v>4</v>
      </c>
      <c r="G307">
        <v>619.74</v>
      </c>
      <c r="H307">
        <v>0.13</v>
      </c>
      <c r="I307" t="s">
        <v>1354</v>
      </c>
      <c r="J307">
        <v>2156.6952000000001</v>
      </c>
    </row>
    <row r="308" spans="1:10">
      <c r="A308" t="s">
        <v>1657</v>
      </c>
      <c r="B308" s="1">
        <v>45679</v>
      </c>
      <c r="C308" t="s">
        <v>1024</v>
      </c>
      <c r="D308" t="s">
        <v>1197</v>
      </c>
      <c r="E308" t="s">
        <v>1324</v>
      </c>
      <c r="F308">
        <v>2</v>
      </c>
      <c r="G308">
        <v>837.76</v>
      </c>
      <c r="H308">
        <v>0.03</v>
      </c>
      <c r="I308" t="s">
        <v>1354</v>
      </c>
      <c r="J308">
        <v>1625.2544</v>
      </c>
    </row>
    <row r="309" spans="1:10">
      <c r="A309" t="s">
        <v>1658</v>
      </c>
      <c r="B309" s="1">
        <v>45842</v>
      </c>
      <c r="C309" t="s">
        <v>965</v>
      </c>
      <c r="D309" t="s">
        <v>1253</v>
      </c>
      <c r="E309" t="s">
        <v>1282</v>
      </c>
      <c r="F309">
        <v>3</v>
      </c>
      <c r="G309">
        <v>135.94</v>
      </c>
      <c r="H309">
        <v>0.2</v>
      </c>
      <c r="I309" t="s">
        <v>1349</v>
      </c>
      <c r="J309">
        <v>326.25599999999997</v>
      </c>
    </row>
    <row r="310" spans="1:10">
      <c r="A310" t="s">
        <v>1659</v>
      </c>
      <c r="B310" s="1">
        <v>45796</v>
      </c>
      <c r="C310" t="s">
        <v>1020</v>
      </c>
      <c r="D310" t="s">
        <v>1221</v>
      </c>
      <c r="E310" t="s">
        <v>1282</v>
      </c>
      <c r="F310">
        <v>4</v>
      </c>
      <c r="G310">
        <v>396.53</v>
      </c>
      <c r="H310">
        <v>7.0000000000000007E-2</v>
      </c>
      <c r="I310" t="s">
        <v>1351</v>
      </c>
      <c r="J310">
        <v>1475.0916</v>
      </c>
    </row>
    <row r="311" spans="1:10">
      <c r="A311" t="s">
        <v>1660</v>
      </c>
      <c r="B311" s="1">
        <v>45264</v>
      </c>
      <c r="C311" t="s">
        <v>502</v>
      </c>
      <c r="D311" t="s">
        <v>1131</v>
      </c>
      <c r="E311" t="s">
        <v>1324</v>
      </c>
      <c r="F311">
        <v>2</v>
      </c>
      <c r="G311">
        <v>722.45</v>
      </c>
      <c r="H311">
        <v>0.22</v>
      </c>
      <c r="I311" t="s">
        <v>1351</v>
      </c>
      <c r="J311">
        <v>1127.0219999999999</v>
      </c>
    </row>
    <row r="312" spans="1:10">
      <c r="A312" t="s">
        <v>1661</v>
      </c>
      <c r="B312" s="1">
        <v>45504</v>
      </c>
      <c r="C312" t="s">
        <v>135</v>
      </c>
      <c r="D312" t="s">
        <v>1201</v>
      </c>
      <c r="E312" t="s">
        <v>1286</v>
      </c>
      <c r="F312">
        <v>2</v>
      </c>
      <c r="G312">
        <v>138.41</v>
      </c>
      <c r="H312">
        <v>0.02</v>
      </c>
      <c r="I312" t="s">
        <v>1349</v>
      </c>
      <c r="J312">
        <v>271.28359999999998</v>
      </c>
    </row>
    <row r="313" spans="1:10">
      <c r="A313" t="s">
        <v>1662</v>
      </c>
      <c r="B313" s="1">
        <v>45679</v>
      </c>
      <c r="C313" t="s">
        <v>313</v>
      </c>
      <c r="D313" t="s">
        <v>1233</v>
      </c>
      <c r="E313" t="s">
        <v>1286</v>
      </c>
      <c r="F313">
        <v>4</v>
      </c>
      <c r="G313">
        <v>741.51</v>
      </c>
      <c r="H313">
        <v>0.09</v>
      </c>
      <c r="I313" t="s">
        <v>1354</v>
      </c>
      <c r="J313">
        <v>2699.0963999999999</v>
      </c>
    </row>
    <row r="314" spans="1:10">
      <c r="A314" t="s">
        <v>1663</v>
      </c>
      <c r="B314" s="1">
        <v>45611</v>
      </c>
      <c r="C314" t="s">
        <v>77</v>
      </c>
      <c r="D314" t="s">
        <v>1233</v>
      </c>
      <c r="E314" t="s">
        <v>1332</v>
      </c>
      <c r="F314">
        <v>2</v>
      </c>
      <c r="G314">
        <v>588.9</v>
      </c>
      <c r="H314">
        <v>0.19</v>
      </c>
      <c r="I314" t="s">
        <v>1351</v>
      </c>
      <c r="J314">
        <v>954.01800000000003</v>
      </c>
    </row>
    <row r="315" spans="1:10">
      <c r="A315" t="s">
        <v>1664</v>
      </c>
      <c r="B315" s="1">
        <v>45389</v>
      </c>
      <c r="C315" t="s">
        <v>672</v>
      </c>
      <c r="D315" t="s">
        <v>1173</v>
      </c>
      <c r="E315" t="s">
        <v>1286</v>
      </c>
      <c r="F315">
        <v>1</v>
      </c>
      <c r="G315">
        <v>88.92</v>
      </c>
      <c r="H315">
        <v>0.19</v>
      </c>
      <c r="I315" t="s">
        <v>1351</v>
      </c>
      <c r="J315">
        <v>72.025200000000012</v>
      </c>
    </row>
    <row r="316" spans="1:10">
      <c r="A316" t="s">
        <v>1665</v>
      </c>
      <c r="B316" s="1">
        <v>45339</v>
      </c>
      <c r="C316" t="s">
        <v>296</v>
      </c>
      <c r="D316" t="s">
        <v>1195</v>
      </c>
      <c r="E316" t="s">
        <v>1329</v>
      </c>
      <c r="F316">
        <v>1</v>
      </c>
      <c r="G316">
        <v>299.13</v>
      </c>
      <c r="H316">
        <v>0.1</v>
      </c>
      <c r="I316" t="s">
        <v>1354</v>
      </c>
      <c r="J316">
        <v>269.21699999999998</v>
      </c>
    </row>
    <row r="317" spans="1:10">
      <c r="A317" t="s">
        <v>1666</v>
      </c>
      <c r="B317" s="1">
        <v>45433</v>
      </c>
      <c r="C317" t="s">
        <v>292</v>
      </c>
      <c r="D317" t="s">
        <v>1227</v>
      </c>
      <c r="E317" t="s">
        <v>1291</v>
      </c>
      <c r="F317">
        <v>2</v>
      </c>
      <c r="G317">
        <v>548.29999999999995</v>
      </c>
      <c r="H317">
        <v>0.23</v>
      </c>
      <c r="I317" t="s">
        <v>1349</v>
      </c>
      <c r="J317">
        <v>844.38199999999995</v>
      </c>
    </row>
    <row r="318" spans="1:10">
      <c r="A318" t="s">
        <v>1667</v>
      </c>
      <c r="B318" s="1">
        <v>45435</v>
      </c>
      <c r="C318" t="s">
        <v>587</v>
      </c>
      <c r="D318" t="s">
        <v>1181</v>
      </c>
      <c r="E318" t="s">
        <v>1314</v>
      </c>
      <c r="F318">
        <v>3</v>
      </c>
      <c r="G318">
        <v>977.55</v>
      </c>
      <c r="H318">
        <v>0.02</v>
      </c>
      <c r="I318" t="s">
        <v>1351</v>
      </c>
      <c r="J318">
        <v>2873.9969999999989</v>
      </c>
    </row>
    <row r="319" spans="1:10">
      <c r="A319" t="s">
        <v>1668</v>
      </c>
      <c r="B319" s="1">
        <v>45823</v>
      </c>
      <c r="C319" t="s">
        <v>756</v>
      </c>
      <c r="D319" t="s">
        <v>1161</v>
      </c>
      <c r="E319" t="s">
        <v>1335</v>
      </c>
      <c r="F319">
        <v>1</v>
      </c>
      <c r="G319">
        <v>459.42</v>
      </c>
      <c r="H319">
        <v>0.28000000000000003</v>
      </c>
      <c r="I319" t="s">
        <v>1354</v>
      </c>
      <c r="J319">
        <v>330.7824</v>
      </c>
    </row>
    <row r="320" spans="1:10">
      <c r="A320" t="s">
        <v>1669</v>
      </c>
      <c r="B320" s="1">
        <v>45663</v>
      </c>
      <c r="C320" t="s">
        <v>232</v>
      </c>
      <c r="D320" t="s">
        <v>1074</v>
      </c>
      <c r="E320" t="s">
        <v>1294</v>
      </c>
      <c r="F320">
        <v>2</v>
      </c>
      <c r="G320">
        <v>123.19</v>
      </c>
      <c r="H320">
        <v>0.19</v>
      </c>
      <c r="I320" t="s">
        <v>1349</v>
      </c>
      <c r="J320">
        <v>199.56780000000001</v>
      </c>
    </row>
    <row r="321" spans="1:10">
      <c r="A321" t="s">
        <v>1670</v>
      </c>
      <c r="B321" s="1">
        <v>45879</v>
      </c>
      <c r="C321" t="s">
        <v>779</v>
      </c>
      <c r="D321" t="s">
        <v>1183</v>
      </c>
      <c r="E321" t="s">
        <v>1338</v>
      </c>
      <c r="F321">
        <v>1</v>
      </c>
      <c r="G321">
        <v>222.95</v>
      </c>
      <c r="H321">
        <v>0.02</v>
      </c>
      <c r="I321" t="s">
        <v>1351</v>
      </c>
      <c r="J321">
        <v>218.49100000000001</v>
      </c>
    </row>
    <row r="322" spans="1:10">
      <c r="A322" t="s">
        <v>1671</v>
      </c>
      <c r="B322" s="1">
        <v>45840</v>
      </c>
      <c r="C322" t="s">
        <v>728</v>
      </c>
      <c r="D322" t="s">
        <v>1137</v>
      </c>
      <c r="E322" t="s">
        <v>1294</v>
      </c>
      <c r="F322">
        <v>3</v>
      </c>
      <c r="G322">
        <v>601.92999999999995</v>
      </c>
      <c r="H322">
        <v>0.14000000000000001</v>
      </c>
      <c r="I322" t="s">
        <v>1349</v>
      </c>
      <c r="J322">
        <v>1552.9793999999999</v>
      </c>
    </row>
    <row r="323" spans="1:10">
      <c r="A323" t="s">
        <v>1672</v>
      </c>
      <c r="B323" s="1">
        <v>45380</v>
      </c>
      <c r="C323" t="s">
        <v>658</v>
      </c>
      <c r="D323" t="s">
        <v>1211</v>
      </c>
      <c r="E323" t="s">
        <v>1286</v>
      </c>
      <c r="F323">
        <v>1</v>
      </c>
      <c r="G323">
        <v>564.1</v>
      </c>
      <c r="H323">
        <v>0.03</v>
      </c>
      <c r="I323" t="s">
        <v>1349</v>
      </c>
      <c r="J323">
        <v>547.17700000000002</v>
      </c>
    </row>
    <row r="324" spans="1:10">
      <c r="A324" t="s">
        <v>1673</v>
      </c>
      <c r="B324" s="1">
        <v>45672</v>
      </c>
      <c r="C324" t="s">
        <v>248</v>
      </c>
      <c r="D324" t="s">
        <v>1233</v>
      </c>
      <c r="E324" t="s">
        <v>1298</v>
      </c>
      <c r="F324">
        <v>1</v>
      </c>
      <c r="G324">
        <v>516.62</v>
      </c>
      <c r="H324">
        <v>0.18</v>
      </c>
      <c r="I324" t="s">
        <v>1349</v>
      </c>
      <c r="J324">
        <v>423.62840000000011</v>
      </c>
    </row>
    <row r="325" spans="1:10">
      <c r="A325" t="s">
        <v>1674</v>
      </c>
      <c r="B325" s="1">
        <v>45497</v>
      </c>
      <c r="C325" t="s">
        <v>939</v>
      </c>
      <c r="D325" t="s">
        <v>1199</v>
      </c>
      <c r="E325" t="s">
        <v>1319</v>
      </c>
      <c r="F325">
        <v>1</v>
      </c>
      <c r="G325">
        <v>934.75</v>
      </c>
      <c r="H325">
        <v>0.11</v>
      </c>
      <c r="I325" t="s">
        <v>1351</v>
      </c>
      <c r="J325">
        <v>831.92750000000001</v>
      </c>
    </row>
    <row r="326" spans="1:10">
      <c r="A326" t="s">
        <v>1675</v>
      </c>
      <c r="B326" s="1">
        <v>45407</v>
      </c>
      <c r="C326" t="s">
        <v>531</v>
      </c>
      <c r="D326" t="s">
        <v>1269</v>
      </c>
      <c r="E326" t="s">
        <v>1304</v>
      </c>
      <c r="F326">
        <v>4</v>
      </c>
      <c r="G326">
        <v>548.44000000000005</v>
      </c>
      <c r="H326">
        <v>0.05</v>
      </c>
      <c r="I326" t="s">
        <v>1351</v>
      </c>
      <c r="J326">
        <v>2084.0720000000001</v>
      </c>
    </row>
    <row r="327" spans="1:10">
      <c r="A327" t="s">
        <v>1676</v>
      </c>
      <c r="B327" s="1">
        <v>45764</v>
      </c>
      <c r="C327" t="s">
        <v>50</v>
      </c>
      <c r="D327" t="s">
        <v>1147</v>
      </c>
      <c r="E327" t="s">
        <v>1291</v>
      </c>
      <c r="F327">
        <v>3</v>
      </c>
      <c r="G327">
        <v>361.11</v>
      </c>
      <c r="H327">
        <v>0.06</v>
      </c>
      <c r="I327" t="s">
        <v>1349</v>
      </c>
      <c r="J327">
        <v>1018.3302</v>
      </c>
    </row>
    <row r="328" spans="1:10">
      <c r="A328" t="s">
        <v>1677</v>
      </c>
      <c r="B328" s="1">
        <v>45924</v>
      </c>
      <c r="C328" t="s">
        <v>436</v>
      </c>
      <c r="D328" t="s">
        <v>1099</v>
      </c>
      <c r="E328" t="s">
        <v>1282</v>
      </c>
      <c r="F328">
        <v>2</v>
      </c>
      <c r="G328">
        <v>610.37</v>
      </c>
      <c r="H328">
        <v>0.1</v>
      </c>
      <c r="I328" t="s">
        <v>1351</v>
      </c>
      <c r="J328">
        <v>1098.6659999999999</v>
      </c>
    </row>
    <row r="329" spans="1:10">
      <c r="A329" t="s">
        <v>1678</v>
      </c>
      <c r="B329" s="1">
        <v>45240</v>
      </c>
      <c r="C329" t="s">
        <v>732</v>
      </c>
      <c r="D329" t="s">
        <v>1175</v>
      </c>
      <c r="E329" t="s">
        <v>1329</v>
      </c>
      <c r="F329">
        <v>1</v>
      </c>
      <c r="G329">
        <v>272.2</v>
      </c>
      <c r="H329">
        <v>0.3</v>
      </c>
      <c r="I329" t="s">
        <v>1349</v>
      </c>
      <c r="J329">
        <v>190.54</v>
      </c>
    </row>
    <row r="330" spans="1:10">
      <c r="A330" t="s">
        <v>1679</v>
      </c>
      <c r="B330" s="1">
        <v>45349</v>
      </c>
      <c r="C330" t="s">
        <v>939</v>
      </c>
      <c r="D330" t="s">
        <v>1227</v>
      </c>
      <c r="E330" t="s">
        <v>1301</v>
      </c>
      <c r="F330">
        <v>3</v>
      </c>
      <c r="G330">
        <v>573.1</v>
      </c>
      <c r="H330">
        <v>0.16</v>
      </c>
      <c r="I330" t="s">
        <v>1354</v>
      </c>
      <c r="J330">
        <v>1444.212</v>
      </c>
    </row>
    <row r="331" spans="1:10">
      <c r="A331" t="s">
        <v>1680</v>
      </c>
      <c r="B331" s="1">
        <v>45756</v>
      </c>
      <c r="C331" t="s">
        <v>708</v>
      </c>
      <c r="D331" t="s">
        <v>1082</v>
      </c>
      <c r="E331" t="s">
        <v>1277</v>
      </c>
      <c r="F331">
        <v>4</v>
      </c>
      <c r="G331">
        <v>24.72</v>
      </c>
      <c r="H331">
        <v>0.28000000000000003</v>
      </c>
      <c r="I331" t="s">
        <v>1349</v>
      </c>
      <c r="J331">
        <v>71.193599999999989</v>
      </c>
    </row>
    <row r="332" spans="1:10">
      <c r="A332" t="s">
        <v>1681</v>
      </c>
      <c r="B332" s="1">
        <v>45478</v>
      </c>
      <c r="C332" t="s">
        <v>565</v>
      </c>
      <c r="D332" t="s">
        <v>1090</v>
      </c>
      <c r="E332" t="s">
        <v>1311</v>
      </c>
      <c r="F332">
        <v>3</v>
      </c>
      <c r="G332">
        <v>268.89</v>
      </c>
      <c r="H332">
        <v>7.0000000000000007E-2</v>
      </c>
      <c r="I332" t="s">
        <v>1354</v>
      </c>
      <c r="J332">
        <v>750.20309999999995</v>
      </c>
    </row>
    <row r="333" spans="1:10">
      <c r="A333" t="s">
        <v>1682</v>
      </c>
      <c r="B333" s="1">
        <v>45890</v>
      </c>
      <c r="C333" t="s">
        <v>577</v>
      </c>
      <c r="D333" t="s">
        <v>1209</v>
      </c>
      <c r="E333" t="s">
        <v>1311</v>
      </c>
      <c r="F333">
        <v>1</v>
      </c>
      <c r="G333">
        <v>78.5</v>
      </c>
      <c r="H333">
        <v>0.17</v>
      </c>
      <c r="I333" t="s">
        <v>1354</v>
      </c>
      <c r="J333">
        <v>65.155000000000001</v>
      </c>
    </row>
    <row r="334" spans="1:10">
      <c r="A334" t="s">
        <v>1683</v>
      </c>
      <c r="B334" s="1">
        <v>45815</v>
      </c>
      <c r="C334" t="s">
        <v>327</v>
      </c>
      <c r="D334" t="s">
        <v>1145</v>
      </c>
      <c r="E334" t="s">
        <v>1294</v>
      </c>
      <c r="F334">
        <v>3</v>
      </c>
      <c r="G334">
        <v>399.42</v>
      </c>
      <c r="H334">
        <v>0.02</v>
      </c>
      <c r="I334" t="s">
        <v>1349</v>
      </c>
      <c r="J334">
        <v>1174.2947999999999</v>
      </c>
    </row>
    <row r="335" spans="1:10">
      <c r="A335" t="s">
        <v>1684</v>
      </c>
      <c r="B335" s="1">
        <v>45891</v>
      </c>
      <c r="C335" t="s">
        <v>224</v>
      </c>
      <c r="D335" t="s">
        <v>1135</v>
      </c>
      <c r="E335" t="s">
        <v>1338</v>
      </c>
      <c r="F335">
        <v>3</v>
      </c>
      <c r="G335">
        <v>455.82</v>
      </c>
      <c r="H335">
        <v>0.01</v>
      </c>
      <c r="I335" t="s">
        <v>1351</v>
      </c>
      <c r="J335">
        <v>1353.7854</v>
      </c>
    </row>
    <row r="336" spans="1:10">
      <c r="A336" t="s">
        <v>1685</v>
      </c>
      <c r="B336" s="1">
        <v>45609</v>
      </c>
      <c r="C336" t="s">
        <v>762</v>
      </c>
      <c r="D336" t="s">
        <v>1173</v>
      </c>
      <c r="E336" t="s">
        <v>1298</v>
      </c>
      <c r="F336">
        <v>2</v>
      </c>
      <c r="G336">
        <v>613.23</v>
      </c>
      <c r="H336">
        <v>0.15</v>
      </c>
      <c r="I336" t="s">
        <v>1351</v>
      </c>
      <c r="J336">
        <v>1042.491</v>
      </c>
    </row>
    <row r="337" spans="1:10">
      <c r="A337" t="s">
        <v>1686</v>
      </c>
      <c r="B337" s="1">
        <v>45309</v>
      </c>
      <c r="C337" t="s">
        <v>979</v>
      </c>
      <c r="D337" t="s">
        <v>1074</v>
      </c>
      <c r="E337" t="s">
        <v>1324</v>
      </c>
      <c r="F337">
        <v>4</v>
      </c>
      <c r="G337">
        <v>971.9</v>
      </c>
      <c r="H337">
        <v>0.28000000000000003</v>
      </c>
      <c r="I337" t="s">
        <v>1351</v>
      </c>
      <c r="J337">
        <v>2799.0720000000001</v>
      </c>
    </row>
    <row r="338" spans="1:10">
      <c r="A338" t="s">
        <v>1687</v>
      </c>
      <c r="B338" s="1">
        <v>45519</v>
      </c>
      <c r="C338" t="s">
        <v>104</v>
      </c>
      <c r="D338" t="s">
        <v>1129</v>
      </c>
      <c r="E338" t="s">
        <v>1304</v>
      </c>
      <c r="F338">
        <v>3</v>
      </c>
      <c r="G338">
        <v>884.92</v>
      </c>
      <c r="H338">
        <v>0.06</v>
      </c>
      <c r="I338" t="s">
        <v>1351</v>
      </c>
      <c r="J338">
        <v>2495.4744000000001</v>
      </c>
    </row>
    <row r="339" spans="1:10">
      <c r="A339" t="s">
        <v>1688</v>
      </c>
      <c r="B339" s="1">
        <v>45921</v>
      </c>
      <c r="C339" t="s">
        <v>229</v>
      </c>
      <c r="D339" t="s">
        <v>1087</v>
      </c>
      <c r="E339" t="s">
        <v>1311</v>
      </c>
      <c r="F339">
        <v>1</v>
      </c>
      <c r="G339">
        <v>125</v>
      </c>
      <c r="H339">
        <v>0.23</v>
      </c>
      <c r="I339" t="s">
        <v>1349</v>
      </c>
      <c r="J339">
        <v>96.25</v>
      </c>
    </row>
    <row r="340" spans="1:10">
      <c r="A340" t="s">
        <v>1689</v>
      </c>
      <c r="B340" s="1">
        <v>45465</v>
      </c>
      <c r="C340" t="s">
        <v>317</v>
      </c>
      <c r="D340" t="s">
        <v>1093</v>
      </c>
      <c r="E340" t="s">
        <v>1326</v>
      </c>
      <c r="F340">
        <v>2</v>
      </c>
      <c r="G340">
        <v>188.25</v>
      </c>
      <c r="H340">
        <v>0.08</v>
      </c>
      <c r="I340" t="s">
        <v>1351</v>
      </c>
      <c r="J340">
        <v>346.38</v>
      </c>
    </row>
    <row r="341" spans="1:10">
      <c r="A341" t="s">
        <v>1690</v>
      </c>
      <c r="B341" s="1">
        <v>45303</v>
      </c>
      <c r="C341" t="s">
        <v>507</v>
      </c>
      <c r="D341" t="s">
        <v>1165</v>
      </c>
      <c r="E341" t="s">
        <v>1301</v>
      </c>
      <c r="F341">
        <v>4</v>
      </c>
      <c r="G341">
        <v>344.12</v>
      </c>
      <c r="H341">
        <v>0.25</v>
      </c>
      <c r="I341" t="s">
        <v>1351</v>
      </c>
      <c r="J341">
        <v>1032.3599999999999</v>
      </c>
    </row>
    <row r="342" spans="1:10">
      <c r="A342" t="s">
        <v>1691</v>
      </c>
      <c r="B342" s="1">
        <v>45218</v>
      </c>
      <c r="C342" t="s">
        <v>135</v>
      </c>
      <c r="D342" t="s">
        <v>1107</v>
      </c>
      <c r="E342" t="s">
        <v>1338</v>
      </c>
      <c r="F342">
        <v>3</v>
      </c>
      <c r="G342">
        <v>997.95</v>
      </c>
      <c r="H342">
        <v>0.09</v>
      </c>
      <c r="I342" t="s">
        <v>1354</v>
      </c>
      <c r="J342">
        <v>2724.4034999999999</v>
      </c>
    </row>
    <row r="343" spans="1:10">
      <c r="A343" t="s">
        <v>1692</v>
      </c>
      <c r="B343" s="1">
        <v>45727</v>
      </c>
      <c r="C343" t="s">
        <v>361</v>
      </c>
      <c r="D343" t="s">
        <v>1095</v>
      </c>
      <c r="E343" t="s">
        <v>1326</v>
      </c>
      <c r="F343">
        <v>3</v>
      </c>
      <c r="G343">
        <v>121.64</v>
      </c>
      <c r="H343">
        <v>7.0000000000000007E-2</v>
      </c>
      <c r="I343" t="s">
        <v>1351</v>
      </c>
      <c r="J343">
        <v>339.37560000000002</v>
      </c>
    </row>
    <row r="344" spans="1:10">
      <c r="A344" t="s">
        <v>1693</v>
      </c>
      <c r="B344" s="1">
        <v>45557</v>
      </c>
      <c r="C344" t="s">
        <v>505</v>
      </c>
      <c r="D344" t="s">
        <v>1209</v>
      </c>
      <c r="E344" t="s">
        <v>1314</v>
      </c>
      <c r="F344">
        <v>2</v>
      </c>
      <c r="G344">
        <v>692.72</v>
      </c>
      <c r="H344">
        <v>0.13</v>
      </c>
      <c r="I344" t="s">
        <v>1351</v>
      </c>
      <c r="J344">
        <v>1205.3327999999999</v>
      </c>
    </row>
    <row r="345" spans="1:10">
      <c r="A345" t="s">
        <v>1694</v>
      </c>
      <c r="B345" s="1">
        <v>45623</v>
      </c>
      <c r="C345" t="s">
        <v>87</v>
      </c>
      <c r="D345" t="s">
        <v>1121</v>
      </c>
      <c r="E345" t="s">
        <v>1338</v>
      </c>
      <c r="F345">
        <v>3</v>
      </c>
      <c r="G345">
        <v>794.59</v>
      </c>
      <c r="H345">
        <v>0.03</v>
      </c>
      <c r="I345" t="s">
        <v>1351</v>
      </c>
      <c r="J345">
        <v>2312.2568999999999</v>
      </c>
    </row>
    <row r="346" spans="1:10">
      <c r="A346" t="s">
        <v>1695</v>
      </c>
      <c r="B346" s="1">
        <v>45224</v>
      </c>
      <c r="C346" t="s">
        <v>53</v>
      </c>
      <c r="D346" t="s">
        <v>1125</v>
      </c>
      <c r="E346" t="s">
        <v>1311</v>
      </c>
      <c r="F346">
        <v>1</v>
      </c>
      <c r="G346">
        <v>907.95</v>
      </c>
      <c r="H346">
        <v>0.1</v>
      </c>
      <c r="I346" t="s">
        <v>1351</v>
      </c>
      <c r="J346">
        <v>817.15500000000009</v>
      </c>
    </row>
    <row r="347" spans="1:10">
      <c r="A347" t="s">
        <v>1696</v>
      </c>
      <c r="B347" s="1">
        <v>45940</v>
      </c>
      <c r="C347" t="s">
        <v>638</v>
      </c>
      <c r="D347" t="s">
        <v>1173</v>
      </c>
      <c r="E347" t="s">
        <v>1277</v>
      </c>
      <c r="F347">
        <v>2</v>
      </c>
      <c r="G347">
        <v>660.81</v>
      </c>
      <c r="H347">
        <v>0.18</v>
      </c>
      <c r="I347" t="s">
        <v>1349</v>
      </c>
      <c r="J347">
        <v>1083.7284</v>
      </c>
    </row>
    <row r="348" spans="1:10">
      <c r="A348" t="s">
        <v>1697</v>
      </c>
      <c r="B348" s="1">
        <v>45915</v>
      </c>
      <c r="C348" t="s">
        <v>168</v>
      </c>
      <c r="D348" t="s">
        <v>1175</v>
      </c>
      <c r="E348" t="s">
        <v>1307</v>
      </c>
      <c r="F348">
        <v>3</v>
      </c>
      <c r="G348">
        <v>564.94000000000005</v>
      </c>
      <c r="H348">
        <v>0.22</v>
      </c>
      <c r="I348" t="s">
        <v>1354</v>
      </c>
      <c r="J348">
        <v>1321.9595999999999</v>
      </c>
    </row>
    <row r="349" spans="1:10">
      <c r="A349" t="s">
        <v>1698</v>
      </c>
      <c r="B349" s="1">
        <v>45541</v>
      </c>
      <c r="C349" t="s">
        <v>152</v>
      </c>
      <c r="D349" t="s">
        <v>1103</v>
      </c>
      <c r="E349" t="s">
        <v>1326</v>
      </c>
      <c r="F349">
        <v>2</v>
      </c>
      <c r="G349">
        <v>280.37</v>
      </c>
      <c r="H349">
        <v>0.22</v>
      </c>
      <c r="I349" t="s">
        <v>1354</v>
      </c>
      <c r="J349">
        <v>437.37720000000002</v>
      </c>
    </row>
    <row r="350" spans="1:10">
      <c r="A350" t="s">
        <v>1699</v>
      </c>
      <c r="B350" s="1">
        <v>45489</v>
      </c>
      <c r="C350" t="s">
        <v>807</v>
      </c>
      <c r="D350" t="s">
        <v>1173</v>
      </c>
      <c r="E350" t="s">
        <v>1291</v>
      </c>
      <c r="F350">
        <v>2</v>
      </c>
      <c r="G350">
        <v>85.23</v>
      </c>
      <c r="H350">
        <v>0.13</v>
      </c>
      <c r="I350" t="s">
        <v>1349</v>
      </c>
      <c r="J350">
        <v>148.30019999999999</v>
      </c>
    </row>
    <row r="351" spans="1:10">
      <c r="A351" t="s">
        <v>1700</v>
      </c>
      <c r="B351" s="1">
        <v>45748</v>
      </c>
      <c r="C351" t="s">
        <v>688</v>
      </c>
      <c r="D351" t="s">
        <v>1127</v>
      </c>
      <c r="E351" t="s">
        <v>1322</v>
      </c>
      <c r="F351">
        <v>2</v>
      </c>
      <c r="G351">
        <v>563.29999999999995</v>
      </c>
      <c r="H351">
        <v>0.26</v>
      </c>
      <c r="I351" t="s">
        <v>1349</v>
      </c>
      <c r="J351">
        <v>833.68399999999997</v>
      </c>
    </row>
    <row r="352" spans="1:10">
      <c r="A352" t="s">
        <v>1701</v>
      </c>
      <c r="B352" s="1">
        <v>45309</v>
      </c>
      <c r="C352" t="s">
        <v>102</v>
      </c>
      <c r="D352" t="s">
        <v>1233</v>
      </c>
      <c r="E352" t="s">
        <v>1335</v>
      </c>
      <c r="F352">
        <v>2</v>
      </c>
      <c r="G352">
        <v>827.81</v>
      </c>
      <c r="H352">
        <v>0.04</v>
      </c>
      <c r="I352" t="s">
        <v>1351</v>
      </c>
      <c r="J352">
        <v>1589.3951999999999</v>
      </c>
    </row>
    <row r="353" spans="1:10">
      <c r="A353" t="s">
        <v>1702</v>
      </c>
      <c r="B353" s="1">
        <v>45621</v>
      </c>
      <c r="C353" t="s">
        <v>490</v>
      </c>
      <c r="D353" t="s">
        <v>1097</v>
      </c>
      <c r="E353" t="s">
        <v>1335</v>
      </c>
      <c r="F353">
        <v>3</v>
      </c>
      <c r="G353">
        <v>877.71</v>
      </c>
      <c r="H353">
        <v>0.12</v>
      </c>
      <c r="I353" t="s">
        <v>1351</v>
      </c>
      <c r="J353">
        <v>2317.1543999999999</v>
      </c>
    </row>
    <row r="354" spans="1:10">
      <c r="A354" t="s">
        <v>1703</v>
      </c>
      <c r="B354" s="1">
        <v>45603</v>
      </c>
      <c r="C354" t="s">
        <v>577</v>
      </c>
      <c r="D354" t="s">
        <v>1187</v>
      </c>
      <c r="E354" t="s">
        <v>1311</v>
      </c>
      <c r="F354">
        <v>4</v>
      </c>
      <c r="G354">
        <v>488.56</v>
      </c>
      <c r="H354">
        <v>0.26</v>
      </c>
      <c r="I354" t="s">
        <v>1354</v>
      </c>
      <c r="J354">
        <v>1446.1376</v>
      </c>
    </row>
    <row r="355" spans="1:10">
      <c r="A355" t="s">
        <v>1704</v>
      </c>
      <c r="B355" s="1">
        <v>45501</v>
      </c>
      <c r="C355" t="s">
        <v>267</v>
      </c>
      <c r="D355" t="s">
        <v>1123</v>
      </c>
      <c r="E355" t="s">
        <v>1319</v>
      </c>
      <c r="F355">
        <v>4</v>
      </c>
      <c r="G355">
        <v>175.91</v>
      </c>
      <c r="H355">
        <v>0.13</v>
      </c>
      <c r="I355" t="s">
        <v>1351</v>
      </c>
      <c r="J355">
        <v>612.16679999999997</v>
      </c>
    </row>
    <row r="356" spans="1:10">
      <c r="A356" t="s">
        <v>1705</v>
      </c>
      <c r="B356" s="1">
        <v>45398</v>
      </c>
      <c r="C356" t="s">
        <v>559</v>
      </c>
      <c r="D356" t="s">
        <v>1247</v>
      </c>
      <c r="E356" t="s">
        <v>1307</v>
      </c>
      <c r="F356">
        <v>4</v>
      </c>
      <c r="G356">
        <v>289.66000000000003</v>
      </c>
      <c r="H356">
        <v>0.25</v>
      </c>
      <c r="I356" t="s">
        <v>1354</v>
      </c>
      <c r="J356">
        <v>868.98</v>
      </c>
    </row>
    <row r="357" spans="1:10">
      <c r="A357" t="s">
        <v>1706</v>
      </c>
      <c r="B357" s="1">
        <v>45304</v>
      </c>
      <c r="C357" t="s">
        <v>545</v>
      </c>
      <c r="D357" t="s">
        <v>1103</v>
      </c>
      <c r="E357" t="s">
        <v>1326</v>
      </c>
      <c r="F357">
        <v>2</v>
      </c>
      <c r="G357">
        <v>899.27</v>
      </c>
      <c r="H357">
        <v>0.17</v>
      </c>
      <c r="I357" t="s">
        <v>1349</v>
      </c>
      <c r="J357">
        <v>1492.7882</v>
      </c>
    </row>
    <row r="358" spans="1:10">
      <c r="A358" t="s">
        <v>1707</v>
      </c>
      <c r="B358" s="1">
        <v>45299</v>
      </c>
      <c r="C358" t="s">
        <v>178</v>
      </c>
      <c r="D358" t="s">
        <v>1109</v>
      </c>
      <c r="E358" t="s">
        <v>1282</v>
      </c>
      <c r="F358">
        <v>1</v>
      </c>
      <c r="G358">
        <v>691.38</v>
      </c>
      <c r="H358">
        <v>0.11</v>
      </c>
      <c r="I358" t="s">
        <v>1354</v>
      </c>
      <c r="J358">
        <v>615.32820000000004</v>
      </c>
    </row>
    <row r="359" spans="1:10">
      <c r="A359" t="s">
        <v>1708</v>
      </c>
      <c r="B359" s="1">
        <v>45564</v>
      </c>
      <c r="C359" t="s">
        <v>391</v>
      </c>
      <c r="D359" t="s">
        <v>1127</v>
      </c>
      <c r="E359" t="s">
        <v>1277</v>
      </c>
      <c r="F359">
        <v>3</v>
      </c>
      <c r="G359">
        <v>158.72</v>
      </c>
      <c r="H359">
        <v>0.13</v>
      </c>
      <c r="I359" t="s">
        <v>1349</v>
      </c>
      <c r="J359">
        <v>414.25920000000002</v>
      </c>
    </row>
    <row r="360" spans="1:10">
      <c r="A360" t="s">
        <v>1709</v>
      </c>
      <c r="B360" s="1">
        <v>45413</v>
      </c>
      <c r="C360" t="s">
        <v>482</v>
      </c>
      <c r="D360" t="s">
        <v>1193</v>
      </c>
      <c r="E360" t="s">
        <v>1329</v>
      </c>
      <c r="F360">
        <v>4</v>
      </c>
      <c r="G360">
        <v>537.15</v>
      </c>
      <c r="H360">
        <v>0.06</v>
      </c>
      <c r="I360" t="s">
        <v>1354</v>
      </c>
      <c r="J360">
        <v>2019.684</v>
      </c>
    </row>
    <row r="361" spans="1:10">
      <c r="A361" t="s">
        <v>1710</v>
      </c>
      <c r="B361" s="1">
        <v>45480</v>
      </c>
      <c r="C361" t="s">
        <v>897</v>
      </c>
      <c r="D361" t="s">
        <v>1155</v>
      </c>
      <c r="E361" t="s">
        <v>1311</v>
      </c>
      <c r="F361">
        <v>3</v>
      </c>
      <c r="G361">
        <v>771.7</v>
      </c>
      <c r="H361">
        <v>0.05</v>
      </c>
      <c r="I361" t="s">
        <v>1354</v>
      </c>
      <c r="J361">
        <v>2199.3449999999998</v>
      </c>
    </row>
    <row r="362" spans="1:10">
      <c r="A362" t="s">
        <v>1711</v>
      </c>
      <c r="B362" s="1">
        <v>45610</v>
      </c>
      <c r="C362" t="s">
        <v>275</v>
      </c>
      <c r="D362" t="s">
        <v>1249</v>
      </c>
      <c r="E362" t="s">
        <v>1282</v>
      </c>
      <c r="F362">
        <v>4</v>
      </c>
      <c r="G362">
        <v>677.25</v>
      </c>
      <c r="H362">
        <v>0.14000000000000001</v>
      </c>
      <c r="I362" t="s">
        <v>1351</v>
      </c>
      <c r="J362">
        <v>2329.7399999999998</v>
      </c>
    </row>
    <row r="363" spans="1:10">
      <c r="A363" t="s">
        <v>1712</v>
      </c>
      <c r="B363" s="1">
        <v>45763</v>
      </c>
      <c r="C363" t="s">
        <v>263</v>
      </c>
      <c r="D363" t="s">
        <v>1269</v>
      </c>
      <c r="E363" t="s">
        <v>1317</v>
      </c>
      <c r="F363">
        <v>1</v>
      </c>
      <c r="G363">
        <v>645.48</v>
      </c>
      <c r="H363">
        <v>0.26</v>
      </c>
      <c r="I363" t="s">
        <v>1354</v>
      </c>
      <c r="J363">
        <v>477.65519999999998</v>
      </c>
    </row>
    <row r="364" spans="1:10">
      <c r="A364" t="s">
        <v>1713</v>
      </c>
      <c r="B364" s="1">
        <v>45856</v>
      </c>
      <c r="C364" t="s">
        <v>783</v>
      </c>
      <c r="D364" t="s">
        <v>1219</v>
      </c>
      <c r="E364" t="s">
        <v>1286</v>
      </c>
      <c r="F364">
        <v>2</v>
      </c>
      <c r="G364">
        <v>934</v>
      </c>
      <c r="H364">
        <v>0.3</v>
      </c>
      <c r="I364" t="s">
        <v>1354</v>
      </c>
      <c r="J364">
        <v>1307.5999999999999</v>
      </c>
    </row>
    <row r="365" spans="1:10">
      <c r="A365" t="s">
        <v>1714</v>
      </c>
      <c r="B365" s="1">
        <v>45712</v>
      </c>
      <c r="C365" t="s">
        <v>732</v>
      </c>
      <c r="D365" t="s">
        <v>1165</v>
      </c>
      <c r="E365" t="s">
        <v>1286</v>
      </c>
      <c r="F365">
        <v>1</v>
      </c>
      <c r="G365">
        <v>669.53</v>
      </c>
      <c r="H365">
        <v>0.2</v>
      </c>
      <c r="I365" t="s">
        <v>1349</v>
      </c>
      <c r="J365">
        <v>535.62400000000002</v>
      </c>
    </row>
    <row r="366" spans="1:10">
      <c r="A366" t="s">
        <v>1715</v>
      </c>
      <c r="B366" s="1">
        <v>45723</v>
      </c>
      <c r="C366" t="s">
        <v>494</v>
      </c>
      <c r="D366" t="s">
        <v>1143</v>
      </c>
      <c r="E366" t="s">
        <v>1335</v>
      </c>
      <c r="F366">
        <v>1</v>
      </c>
      <c r="G366">
        <v>213.69</v>
      </c>
      <c r="H366">
        <v>0.28000000000000003</v>
      </c>
      <c r="I366" t="s">
        <v>1354</v>
      </c>
      <c r="J366">
        <v>153.85679999999999</v>
      </c>
    </row>
    <row r="367" spans="1:10">
      <c r="A367" t="s">
        <v>1716</v>
      </c>
      <c r="B367" s="1">
        <v>45706</v>
      </c>
      <c r="C367" t="s">
        <v>206</v>
      </c>
      <c r="D367" t="s">
        <v>1115</v>
      </c>
      <c r="E367" t="s">
        <v>1338</v>
      </c>
      <c r="F367">
        <v>2</v>
      </c>
      <c r="G367">
        <v>99.1</v>
      </c>
      <c r="H367">
        <v>0.2</v>
      </c>
      <c r="I367" t="s">
        <v>1351</v>
      </c>
      <c r="J367">
        <v>158.56</v>
      </c>
    </row>
    <row r="368" spans="1:10">
      <c r="A368" t="s">
        <v>1717</v>
      </c>
      <c r="B368" s="1">
        <v>45469</v>
      </c>
      <c r="C368" t="s">
        <v>803</v>
      </c>
      <c r="D368" t="s">
        <v>1147</v>
      </c>
      <c r="E368" t="s">
        <v>1329</v>
      </c>
      <c r="F368">
        <v>1</v>
      </c>
      <c r="G368">
        <v>628.98</v>
      </c>
      <c r="H368">
        <v>0.03</v>
      </c>
      <c r="I368" t="s">
        <v>1354</v>
      </c>
      <c r="J368">
        <v>610.11059999999998</v>
      </c>
    </row>
    <row r="369" spans="1:10">
      <c r="A369" t="s">
        <v>1718</v>
      </c>
      <c r="B369" s="1">
        <v>45711</v>
      </c>
      <c r="C369" t="s">
        <v>224</v>
      </c>
      <c r="D369" t="s">
        <v>1241</v>
      </c>
      <c r="E369" t="s">
        <v>1294</v>
      </c>
      <c r="F369">
        <v>3</v>
      </c>
      <c r="G369">
        <v>944.64</v>
      </c>
      <c r="H369">
        <v>0.26</v>
      </c>
      <c r="I369" t="s">
        <v>1349</v>
      </c>
      <c r="J369">
        <v>2097.1008000000002</v>
      </c>
    </row>
    <row r="370" spans="1:10">
      <c r="A370" t="s">
        <v>1719</v>
      </c>
      <c r="B370" s="1">
        <v>45823</v>
      </c>
      <c r="C370" t="s">
        <v>1004</v>
      </c>
      <c r="D370" t="s">
        <v>1259</v>
      </c>
      <c r="E370" t="s">
        <v>1319</v>
      </c>
      <c r="F370">
        <v>2</v>
      </c>
      <c r="G370">
        <v>121.7</v>
      </c>
      <c r="H370">
        <v>0.06</v>
      </c>
      <c r="I370" t="s">
        <v>1354</v>
      </c>
      <c r="J370">
        <v>228.79599999999999</v>
      </c>
    </row>
    <row r="371" spans="1:10">
      <c r="A371" t="s">
        <v>1720</v>
      </c>
      <c r="B371" s="1">
        <v>45217</v>
      </c>
      <c r="C371" t="s">
        <v>959</v>
      </c>
      <c r="D371" t="s">
        <v>1203</v>
      </c>
      <c r="E371" t="s">
        <v>1291</v>
      </c>
      <c r="F371">
        <v>4</v>
      </c>
      <c r="G371">
        <v>269.49</v>
      </c>
      <c r="H371">
        <v>7.0000000000000007E-2</v>
      </c>
      <c r="I371" t="s">
        <v>1351</v>
      </c>
      <c r="J371">
        <v>1002.5028</v>
      </c>
    </row>
    <row r="372" spans="1:10">
      <c r="A372" t="s">
        <v>1721</v>
      </c>
      <c r="B372" s="1">
        <v>45733</v>
      </c>
      <c r="C372" t="s">
        <v>256</v>
      </c>
      <c r="D372" t="s">
        <v>1117</v>
      </c>
      <c r="E372" t="s">
        <v>1335</v>
      </c>
      <c r="F372">
        <v>1</v>
      </c>
      <c r="G372">
        <v>678.2</v>
      </c>
      <c r="H372">
        <v>0.14000000000000001</v>
      </c>
      <c r="I372" t="s">
        <v>1349</v>
      </c>
      <c r="J372">
        <v>583.25200000000007</v>
      </c>
    </row>
    <row r="373" spans="1:10">
      <c r="A373" t="s">
        <v>1722</v>
      </c>
      <c r="B373" s="1">
        <v>45520</v>
      </c>
      <c r="C373" t="s">
        <v>525</v>
      </c>
      <c r="D373" t="s">
        <v>1253</v>
      </c>
      <c r="E373" t="s">
        <v>1322</v>
      </c>
      <c r="F373">
        <v>1</v>
      </c>
      <c r="G373">
        <v>752.45</v>
      </c>
      <c r="H373">
        <v>0.21</v>
      </c>
      <c r="I373" t="s">
        <v>1354</v>
      </c>
      <c r="J373">
        <v>594.43550000000005</v>
      </c>
    </row>
    <row r="374" spans="1:10">
      <c r="A374" t="s">
        <v>1723</v>
      </c>
      <c r="B374" s="1">
        <v>45373</v>
      </c>
      <c r="C374" t="s">
        <v>111</v>
      </c>
      <c r="D374" t="s">
        <v>1261</v>
      </c>
      <c r="E374" t="s">
        <v>1322</v>
      </c>
      <c r="F374">
        <v>2</v>
      </c>
      <c r="G374">
        <v>209.66</v>
      </c>
      <c r="H374">
        <v>0.21</v>
      </c>
      <c r="I374" t="s">
        <v>1349</v>
      </c>
      <c r="J374">
        <v>331.26280000000003</v>
      </c>
    </row>
    <row r="375" spans="1:10">
      <c r="A375" t="s">
        <v>1724</v>
      </c>
      <c r="B375" s="1">
        <v>45688</v>
      </c>
      <c r="C375" t="s">
        <v>383</v>
      </c>
      <c r="D375" t="s">
        <v>1267</v>
      </c>
      <c r="E375" t="s">
        <v>1338</v>
      </c>
      <c r="F375">
        <v>2</v>
      </c>
      <c r="G375">
        <v>739.95</v>
      </c>
      <c r="H375">
        <v>0.1</v>
      </c>
      <c r="I375" t="s">
        <v>1354</v>
      </c>
      <c r="J375">
        <v>1331.91</v>
      </c>
    </row>
    <row r="376" spans="1:10">
      <c r="A376" t="s">
        <v>1725</v>
      </c>
      <c r="B376" s="1">
        <v>45276</v>
      </c>
      <c r="C376" t="s">
        <v>1000</v>
      </c>
      <c r="D376" t="s">
        <v>1163</v>
      </c>
      <c r="E376" t="s">
        <v>1326</v>
      </c>
      <c r="F376">
        <v>1</v>
      </c>
      <c r="G376">
        <v>496.19</v>
      </c>
      <c r="H376">
        <v>0.08</v>
      </c>
      <c r="I376" t="s">
        <v>1354</v>
      </c>
      <c r="J376">
        <v>456.4948</v>
      </c>
    </row>
    <row r="377" spans="1:10">
      <c r="A377" t="s">
        <v>1726</v>
      </c>
      <c r="B377" s="1">
        <v>45756</v>
      </c>
      <c r="C377" t="s">
        <v>129</v>
      </c>
      <c r="D377" t="s">
        <v>1090</v>
      </c>
      <c r="E377" t="s">
        <v>1319</v>
      </c>
      <c r="F377">
        <v>1</v>
      </c>
      <c r="G377">
        <v>306.36</v>
      </c>
      <c r="H377">
        <v>0.01</v>
      </c>
      <c r="I377" t="s">
        <v>1351</v>
      </c>
      <c r="J377">
        <v>303.29640000000001</v>
      </c>
    </row>
    <row r="378" spans="1:10">
      <c r="A378" t="s">
        <v>1727</v>
      </c>
      <c r="B378" s="1">
        <v>45309</v>
      </c>
      <c r="C378" t="s">
        <v>300</v>
      </c>
      <c r="D378" t="s">
        <v>1219</v>
      </c>
      <c r="E378" t="s">
        <v>1294</v>
      </c>
      <c r="F378">
        <v>4</v>
      </c>
      <c r="G378">
        <v>693.16</v>
      </c>
      <c r="H378">
        <v>0.05</v>
      </c>
      <c r="I378" t="s">
        <v>1351</v>
      </c>
      <c r="J378">
        <v>2634.0079999999998</v>
      </c>
    </row>
    <row r="379" spans="1:10">
      <c r="A379" t="s">
        <v>1728</v>
      </c>
      <c r="B379" s="1">
        <v>45744</v>
      </c>
      <c r="C379" t="s">
        <v>973</v>
      </c>
      <c r="D379" t="s">
        <v>1239</v>
      </c>
      <c r="E379" t="s">
        <v>1314</v>
      </c>
      <c r="F379">
        <v>1</v>
      </c>
      <c r="G379">
        <v>995.52</v>
      </c>
      <c r="H379">
        <v>0.22</v>
      </c>
      <c r="I379" t="s">
        <v>1351</v>
      </c>
      <c r="J379">
        <v>776.50559999999996</v>
      </c>
    </row>
    <row r="380" spans="1:10">
      <c r="A380" t="s">
        <v>1729</v>
      </c>
      <c r="B380" s="1">
        <v>45535</v>
      </c>
      <c r="C380" t="s">
        <v>310</v>
      </c>
      <c r="D380" t="s">
        <v>1085</v>
      </c>
      <c r="E380" t="s">
        <v>1335</v>
      </c>
      <c r="F380">
        <v>4</v>
      </c>
      <c r="G380">
        <v>241.32</v>
      </c>
      <c r="H380">
        <v>0.28999999999999998</v>
      </c>
      <c r="I380" t="s">
        <v>1354</v>
      </c>
      <c r="J380">
        <v>685.34879999999998</v>
      </c>
    </row>
    <row r="381" spans="1:10">
      <c r="A381" t="s">
        <v>1730</v>
      </c>
      <c r="B381" s="1">
        <v>45240</v>
      </c>
      <c r="C381" t="s">
        <v>541</v>
      </c>
      <c r="D381" t="s">
        <v>1229</v>
      </c>
      <c r="E381" t="s">
        <v>1282</v>
      </c>
      <c r="F381">
        <v>3</v>
      </c>
      <c r="G381">
        <v>636.03</v>
      </c>
      <c r="H381">
        <v>0.06</v>
      </c>
      <c r="I381" t="s">
        <v>1354</v>
      </c>
      <c r="J381">
        <v>1793.6045999999999</v>
      </c>
    </row>
    <row r="382" spans="1:10">
      <c r="A382" t="s">
        <v>1731</v>
      </c>
      <c r="B382" s="1">
        <v>45275</v>
      </c>
      <c r="C382" t="s">
        <v>250</v>
      </c>
      <c r="D382" t="s">
        <v>1078</v>
      </c>
      <c r="E382" t="s">
        <v>1338</v>
      </c>
      <c r="F382">
        <v>4</v>
      </c>
      <c r="G382">
        <v>603.30999999999995</v>
      </c>
      <c r="H382">
        <v>0.15</v>
      </c>
      <c r="I382" t="s">
        <v>1349</v>
      </c>
      <c r="J382">
        <v>2051.2539999999999</v>
      </c>
    </row>
    <row r="383" spans="1:10">
      <c r="A383" t="s">
        <v>1732</v>
      </c>
      <c r="B383" s="1">
        <v>45427</v>
      </c>
      <c r="C383" t="s">
        <v>202</v>
      </c>
      <c r="D383" t="s">
        <v>1251</v>
      </c>
      <c r="E383" t="s">
        <v>1314</v>
      </c>
      <c r="F383">
        <v>3</v>
      </c>
      <c r="G383">
        <v>437.96</v>
      </c>
      <c r="H383">
        <v>0.27</v>
      </c>
      <c r="I383" t="s">
        <v>1354</v>
      </c>
      <c r="J383">
        <v>959.13239999999985</v>
      </c>
    </row>
    <row r="384" spans="1:10">
      <c r="A384" t="s">
        <v>1733</v>
      </c>
      <c r="B384" s="1">
        <v>45322</v>
      </c>
      <c r="C384" t="s">
        <v>478</v>
      </c>
      <c r="D384" t="s">
        <v>1141</v>
      </c>
      <c r="E384" t="s">
        <v>1294</v>
      </c>
      <c r="F384">
        <v>2</v>
      </c>
      <c r="G384">
        <v>56.91</v>
      </c>
      <c r="H384">
        <v>0.08</v>
      </c>
      <c r="I384" t="s">
        <v>1354</v>
      </c>
      <c r="J384">
        <v>104.7144</v>
      </c>
    </row>
    <row r="385" spans="1:10">
      <c r="A385" t="s">
        <v>1734</v>
      </c>
      <c r="B385" s="1">
        <v>45266</v>
      </c>
      <c r="C385" t="s">
        <v>732</v>
      </c>
      <c r="D385" t="s">
        <v>1225</v>
      </c>
      <c r="E385" t="s">
        <v>1301</v>
      </c>
      <c r="F385">
        <v>1</v>
      </c>
      <c r="G385">
        <v>141.79</v>
      </c>
      <c r="H385">
        <v>0.1</v>
      </c>
      <c r="I385" t="s">
        <v>1349</v>
      </c>
      <c r="J385">
        <v>127.611</v>
      </c>
    </row>
    <row r="386" spans="1:10">
      <c r="A386" t="s">
        <v>1735</v>
      </c>
      <c r="B386" s="1">
        <v>45302</v>
      </c>
      <c r="C386" t="s">
        <v>1028</v>
      </c>
      <c r="D386" t="s">
        <v>1090</v>
      </c>
      <c r="E386" t="s">
        <v>1326</v>
      </c>
      <c r="F386">
        <v>4</v>
      </c>
      <c r="G386">
        <v>355.14</v>
      </c>
      <c r="H386">
        <v>0.16</v>
      </c>
      <c r="I386" t="s">
        <v>1354</v>
      </c>
      <c r="J386">
        <v>1193.2704000000001</v>
      </c>
    </row>
    <row r="387" spans="1:10">
      <c r="A387" t="s">
        <v>1736</v>
      </c>
      <c r="B387" s="1">
        <v>45907</v>
      </c>
      <c r="C387" t="s">
        <v>484</v>
      </c>
      <c r="D387" t="s">
        <v>1149</v>
      </c>
      <c r="E387" t="s">
        <v>1301</v>
      </c>
      <c r="F387">
        <v>4</v>
      </c>
      <c r="G387">
        <v>960.38</v>
      </c>
      <c r="H387">
        <v>0.15</v>
      </c>
      <c r="I387" t="s">
        <v>1354</v>
      </c>
      <c r="J387">
        <v>3265.2919999999999</v>
      </c>
    </row>
    <row r="388" spans="1:10">
      <c r="A388" t="s">
        <v>1737</v>
      </c>
      <c r="B388" s="1">
        <v>45433</v>
      </c>
      <c r="C388" t="s">
        <v>903</v>
      </c>
      <c r="D388" t="s">
        <v>1211</v>
      </c>
      <c r="E388" t="s">
        <v>1329</v>
      </c>
      <c r="F388">
        <v>3</v>
      </c>
      <c r="G388">
        <v>847.21</v>
      </c>
      <c r="H388">
        <v>0.06</v>
      </c>
      <c r="I388" t="s">
        <v>1351</v>
      </c>
      <c r="J388">
        <v>2389.1322</v>
      </c>
    </row>
    <row r="389" spans="1:10">
      <c r="A389" t="s">
        <v>1738</v>
      </c>
      <c r="B389" s="1">
        <v>45892</v>
      </c>
      <c r="C389" t="s">
        <v>180</v>
      </c>
      <c r="D389" t="s">
        <v>1233</v>
      </c>
      <c r="E389" t="s">
        <v>1314</v>
      </c>
      <c r="F389">
        <v>4</v>
      </c>
      <c r="G389">
        <v>773.81</v>
      </c>
      <c r="H389">
        <v>0.08</v>
      </c>
      <c r="I389" t="s">
        <v>1354</v>
      </c>
      <c r="J389">
        <v>2847.6208000000001</v>
      </c>
    </row>
    <row r="390" spans="1:10">
      <c r="A390" t="s">
        <v>1739</v>
      </c>
      <c r="B390" s="1">
        <v>45780</v>
      </c>
      <c r="C390" t="s">
        <v>8</v>
      </c>
      <c r="D390" t="s">
        <v>1199</v>
      </c>
      <c r="E390" t="s">
        <v>1329</v>
      </c>
      <c r="F390">
        <v>1</v>
      </c>
      <c r="G390">
        <v>664.71</v>
      </c>
      <c r="H390">
        <v>0.1</v>
      </c>
      <c r="I390" t="s">
        <v>1351</v>
      </c>
      <c r="J390">
        <v>598.23900000000003</v>
      </c>
    </row>
    <row r="391" spans="1:10">
      <c r="A391" t="s">
        <v>1740</v>
      </c>
      <c r="B391" s="1">
        <v>45233</v>
      </c>
      <c r="C391" t="s">
        <v>758</v>
      </c>
      <c r="D391" t="s">
        <v>1147</v>
      </c>
      <c r="E391" t="s">
        <v>1304</v>
      </c>
      <c r="F391">
        <v>4</v>
      </c>
      <c r="G391">
        <v>482.06</v>
      </c>
      <c r="H391">
        <v>7.0000000000000007E-2</v>
      </c>
      <c r="I391" t="s">
        <v>1351</v>
      </c>
      <c r="J391">
        <v>1793.2632000000001</v>
      </c>
    </row>
    <row r="392" spans="1:10">
      <c r="A392" t="s">
        <v>1741</v>
      </c>
      <c r="B392" s="1">
        <v>45742</v>
      </c>
      <c r="C392" t="s">
        <v>234</v>
      </c>
      <c r="D392" t="s">
        <v>1187</v>
      </c>
      <c r="E392" t="s">
        <v>1291</v>
      </c>
      <c r="F392">
        <v>4</v>
      </c>
      <c r="G392">
        <v>995.55</v>
      </c>
      <c r="H392">
        <v>0.19</v>
      </c>
      <c r="I392" t="s">
        <v>1351</v>
      </c>
      <c r="J392">
        <v>3225.5819999999999</v>
      </c>
    </row>
    <row r="393" spans="1:10">
      <c r="A393" t="s">
        <v>1742</v>
      </c>
      <c r="B393" s="1">
        <v>45478</v>
      </c>
      <c r="C393" t="s">
        <v>343</v>
      </c>
      <c r="D393" t="s">
        <v>1259</v>
      </c>
      <c r="E393" t="s">
        <v>1322</v>
      </c>
      <c r="F393">
        <v>2</v>
      </c>
      <c r="G393">
        <v>153.84</v>
      </c>
      <c r="H393">
        <v>0.27</v>
      </c>
      <c r="I393" t="s">
        <v>1351</v>
      </c>
      <c r="J393">
        <v>224.60640000000001</v>
      </c>
    </row>
    <row r="394" spans="1:10">
      <c r="A394" t="s">
        <v>1743</v>
      </c>
      <c r="B394" s="1">
        <v>45789</v>
      </c>
      <c r="C394" t="s">
        <v>367</v>
      </c>
      <c r="D394" t="s">
        <v>1229</v>
      </c>
      <c r="E394" t="s">
        <v>1301</v>
      </c>
      <c r="F394">
        <v>3</v>
      </c>
      <c r="G394">
        <v>362.11</v>
      </c>
      <c r="H394">
        <v>0.23</v>
      </c>
      <c r="I394" t="s">
        <v>1354</v>
      </c>
      <c r="J394">
        <v>836.47409999999991</v>
      </c>
    </row>
    <row r="395" spans="1:10">
      <c r="A395" t="s">
        <v>1744</v>
      </c>
      <c r="B395" s="1">
        <v>45561</v>
      </c>
      <c r="C395" t="s">
        <v>1006</v>
      </c>
      <c r="D395" t="s">
        <v>1159</v>
      </c>
      <c r="E395" t="s">
        <v>1307</v>
      </c>
      <c r="F395">
        <v>3</v>
      </c>
      <c r="G395">
        <v>112.26</v>
      </c>
      <c r="H395">
        <v>0.11</v>
      </c>
      <c r="I395" t="s">
        <v>1349</v>
      </c>
      <c r="J395">
        <v>299.73419999999999</v>
      </c>
    </row>
    <row r="396" spans="1:10">
      <c r="A396" t="s">
        <v>1745</v>
      </c>
      <c r="B396" s="1">
        <v>45378</v>
      </c>
      <c r="C396" t="s">
        <v>468</v>
      </c>
      <c r="D396" t="s">
        <v>1261</v>
      </c>
      <c r="E396" t="s">
        <v>1338</v>
      </c>
      <c r="F396">
        <v>2</v>
      </c>
      <c r="G396">
        <v>962.81</v>
      </c>
      <c r="H396">
        <v>0.06</v>
      </c>
      <c r="I396" t="s">
        <v>1354</v>
      </c>
      <c r="J396">
        <v>1810.0827999999999</v>
      </c>
    </row>
    <row r="397" spans="1:10">
      <c r="A397" t="s">
        <v>1746</v>
      </c>
      <c r="B397" s="1">
        <v>45308</v>
      </c>
      <c r="C397" t="s">
        <v>488</v>
      </c>
      <c r="D397" t="s">
        <v>1115</v>
      </c>
      <c r="E397" t="s">
        <v>1277</v>
      </c>
      <c r="F397">
        <v>4</v>
      </c>
      <c r="G397">
        <v>276.23</v>
      </c>
      <c r="H397">
        <v>0.12</v>
      </c>
      <c r="I397" t="s">
        <v>1349</v>
      </c>
      <c r="J397">
        <v>972.32960000000003</v>
      </c>
    </row>
    <row r="398" spans="1:10">
      <c r="A398" t="s">
        <v>1747</v>
      </c>
      <c r="B398" s="1">
        <v>45407</v>
      </c>
      <c r="C398" t="s">
        <v>56</v>
      </c>
      <c r="D398" t="s">
        <v>1109</v>
      </c>
      <c r="E398" t="s">
        <v>1324</v>
      </c>
      <c r="F398">
        <v>3</v>
      </c>
      <c r="G398">
        <v>991.37</v>
      </c>
      <c r="H398">
        <v>0.1</v>
      </c>
      <c r="I398" t="s">
        <v>1351</v>
      </c>
      <c r="J398">
        <v>2676.6990000000001</v>
      </c>
    </row>
    <row r="399" spans="1:10">
      <c r="A399" t="s">
        <v>1748</v>
      </c>
      <c r="B399" s="1">
        <v>45929</v>
      </c>
      <c r="C399" t="s">
        <v>397</v>
      </c>
      <c r="D399" t="s">
        <v>1115</v>
      </c>
      <c r="E399" t="s">
        <v>1322</v>
      </c>
      <c r="F399">
        <v>3</v>
      </c>
      <c r="G399">
        <v>977.47</v>
      </c>
      <c r="H399">
        <v>0.05</v>
      </c>
      <c r="I399" t="s">
        <v>1349</v>
      </c>
      <c r="J399">
        <v>2785.7894999999999</v>
      </c>
    </row>
    <row r="400" spans="1:10">
      <c r="A400" t="s">
        <v>1749</v>
      </c>
      <c r="B400" s="1">
        <v>45844</v>
      </c>
      <c r="C400" t="s">
        <v>474</v>
      </c>
      <c r="D400" t="s">
        <v>1261</v>
      </c>
      <c r="E400" t="s">
        <v>1319</v>
      </c>
      <c r="F400">
        <v>2</v>
      </c>
      <c r="G400">
        <v>308.7</v>
      </c>
      <c r="H400">
        <v>0.2</v>
      </c>
      <c r="I400" t="s">
        <v>1351</v>
      </c>
      <c r="J400">
        <v>493.92</v>
      </c>
    </row>
    <row r="401" spans="1:10">
      <c r="A401" t="s">
        <v>1750</v>
      </c>
      <c r="B401" s="1">
        <v>45579</v>
      </c>
      <c r="C401" t="s">
        <v>111</v>
      </c>
      <c r="D401" t="s">
        <v>1082</v>
      </c>
      <c r="E401" t="s">
        <v>1329</v>
      </c>
      <c r="F401">
        <v>2</v>
      </c>
      <c r="G401">
        <v>733.87</v>
      </c>
      <c r="H401">
        <v>0.1</v>
      </c>
      <c r="I401" t="s">
        <v>1351</v>
      </c>
      <c r="J401">
        <v>1320.9659999999999</v>
      </c>
    </row>
    <row r="402" spans="1:10">
      <c r="A402" t="s">
        <v>1751</v>
      </c>
      <c r="B402" s="1">
        <v>45227</v>
      </c>
      <c r="C402" t="s">
        <v>248</v>
      </c>
      <c r="D402" t="s">
        <v>1111</v>
      </c>
      <c r="E402" t="s">
        <v>1329</v>
      </c>
      <c r="F402">
        <v>2</v>
      </c>
      <c r="G402">
        <v>22.47</v>
      </c>
      <c r="H402">
        <v>0.22</v>
      </c>
      <c r="I402" t="s">
        <v>1351</v>
      </c>
      <c r="J402">
        <v>35.053199999999997</v>
      </c>
    </row>
    <row r="403" spans="1:10">
      <c r="A403" t="s">
        <v>1752</v>
      </c>
      <c r="B403" s="1">
        <v>45380</v>
      </c>
      <c r="C403" t="s">
        <v>760</v>
      </c>
      <c r="D403" t="s">
        <v>1187</v>
      </c>
      <c r="E403" t="s">
        <v>1322</v>
      </c>
      <c r="F403">
        <v>4</v>
      </c>
      <c r="G403">
        <v>651.36</v>
      </c>
      <c r="H403">
        <v>0.13</v>
      </c>
      <c r="I403" t="s">
        <v>1349</v>
      </c>
      <c r="J403">
        <v>2266.7328000000002</v>
      </c>
    </row>
    <row r="404" spans="1:10">
      <c r="A404" t="s">
        <v>1753</v>
      </c>
      <c r="B404" s="1">
        <v>45817</v>
      </c>
      <c r="C404" t="s">
        <v>656</v>
      </c>
      <c r="D404" t="s">
        <v>1101</v>
      </c>
      <c r="E404" t="s">
        <v>1314</v>
      </c>
      <c r="F404">
        <v>1</v>
      </c>
      <c r="G404">
        <v>753.39</v>
      </c>
      <c r="H404">
        <v>0.04</v>
      </c>
      <c r="I404" t="s">
        <v>1354</v>
      </c>
      <c r="J404">
        <v>723.25439999999992</v>
      </c>
    </row>
    <row r="405" spans="1:10">
      <c r="A405" t="s">
        <v>1754</v>
      </c>
      <c r="B405" s="1">
        <v>45576</v>
      </c>
      <c r="C405" t="s">
        <v>464</v>
      </c>
      <c r="D405" t="s">
        <v>1215</v>
      </c>
      <c r="E405" t="s">
        <v>1319</v>
      </c>
      <c r="F405">
        <v>4</v>
      </c>
      <c r="G405">
        <v>849.17</v>
      </c>
      <c r="H405">
        <v>0.12</v>
      </c>
      <c r="I405" t="s">
        <v>1354</v>
      </c>
      <c r="J405">
        <v>2989.0783999999999</v>
      </c>
    </row>
    <row r="406" spans="1:10">
      <c r="A406" t="s">
        <v>1755</v>
      </c>
      <c r="B406" s="1">
        <v>45495</v>
      </c>
      <c r="C406" t="s">
        <v>821</v>
      </c>
      <c r="D406" t="s">
        <v>1113</v>
      </c>
      <c r="E406" t="s">
        <v>1277</v>
      </c>
      <c r="F406">
        <v>4</v>
      </c>
      <c r="G406">
        <v>585.45000000000005</v>
      </c>
      <c r="H406">
        <v>0.25</v>
      </c>
      <c r="I406" t="s">
        <v>1354</v>
      </c>
      <c r="J406">
        <v>1756.35</v>
      </c>
    </row>
    <row r="407" spans="1:10">
      <c r="A407" t="s">
        <v>1756</v>
      </c>
      <c r="B407" s="1">
        <v>45628</v>
      </c>
      <c r="C407" t="s">
        <v>1014</v>
      </c>
      <c r="D407" t="s">
        <v>1223</v>
      </c>
      <c r="E407" t="s">
        <v>1329</v>
      </c>
      <c r="F407">
        <v>1</v>
      </c>
      <c r="G407">
        <v>745.15</v>
      </c>
      <c r="H407">
        <v>0.25</v>
      </c>
      <c r="I407" t="s">
        <v>1354</v>
      </c>
      <c r="J407">
        <v>558.86249999999995</v>
      </c>
    </row>
    <row r="408" spans="1:10">
      <c r="A408" t="s">
        <v>1757</v>
      </c>
      <c r="B408" s="1">
        <v>45244</v>
      </c>
      <c r="C408" t="s">
        <v>142</v>
      </c>
      <c r="D408" t="s">
        <v>1271</v>
      </c>
      <c r="E408" t="s">
        <v>1286</v>
      </c>
      <c r="F408">
        <v>1</v>
      </c>
      <c r="G408">
        <v>848.69</v>
      </c>
      <c r="H408">
        <v>0.04</v>
      </c>
      <c r="I408" t="s">
        <v>1354</v>
      </c>
      <c r="J408">
        <v>814.74239999999998</v>
      </c>
    </row>
    <row r="409" spans="1:10">
      <c r="A409" t="s">
        <v>1758</v>
      </c>
      <c r="B409" s="1">
        <v>45336</v>
      </c>
      <c r="C409" t="s">
        <v>889</v>
      </c>
      <c r="D409" t="s">
        <v>1213</v>
      </c>
      <c r="E409" t="s">
        <v>1324</v>
      </c>
      <c r="F409">
        <v>2</v>
      </c>
      <c r="G409">
        <v>247.67</v>
      </c>
      <c r="H409">
        <v>0.1</v>
      </c>
      <c r="I409" t="s">
        <v>1351</v>
      </c>
      <c r="J409">
        <v>445.80599999999998</v>
      </c>
    </row>
    <row r="410" spans="1:10">
      <c r="A410" t="s">
        <v>1759</v>
      </c>
      <c r="B410" s="1">
        <v>45465</v>
      </c>
      <c r="C410" t="s">
        <v>115</v>
      </c>
      <c r="D410" t="s">
        <v>1221</v>
      </c>
      <c r="E410" t="s">
        <v>1291</v>
      </c>
      <c r="F410">
        <v>3</v>
      </c>
      <c r="G410">
        <v>220.51</v>
      </c>
      <c r="H410">
        <v>0.02</v>
      </c>
      <c r="I410" t="s">
        <v>1351</v>
      </c>
      <c r="J410">
        <v>648.29939999999999</v>
      </c>
    </row>
    <row r="411" spans="1:10">
      <c r="A411" t="s">
        <v>1760</v>
      </c>
      <c r="B411" s="1">
        <v>45837</v>
      </c>
      <c r="C411" t="s">
        <v>718</v>
      </c>
      <c r="D411" t="s">
        <v>1103</v>
      </c>
      <c r="E411" t="s">
        <v>1329</v>
      </c>
      <c r="F411">
        <v>4</v>
      </c>
      <c r="G411">
        <v>370.63</v>
      </c>
      <c r="H411">
        <v>0.08</v>
      </c>
      <c r="I411" t="s">
        <v>1349</v>
      </c>
      <c r="J411">
        <v>1363.9184</v>
      </c>
    </row>
    <row r="412" spans="1:10">
      <c r="A412" t="s">
        <v>1761</v>
      </c>
      <c r="B412" s="1">
        <v>45706</v>
      </c>
      <c r="C412" t="s">
        <v>845</v>
      </c>
      <c r="D412" t="s">
        <v>1131</v>
      </c>
      <c r="E412" t="s">
        <v>1338</v>
      </c>
      <c r="F412">
        <v>4</v>
      </c>
      <c r="G412">
        <v>349.84</v>
      </c>
      <c r="H412">
        <v>0.11</v>
      </c>
      <c r="I412" t="s">
        <v>1349</v>
      </c>
      <c r="J412">
        <v>1245.4304</v>
      </c>
    </row>
    <row r="413" spans="1:10">
      <c r="A413" t="s">
        <v>1762</v>
      </c>
      <c r="B413" s="1">
        <v>45823</v>
      </c>
      <c r="C413" t="s">
        <v>126</v>
      </c>
      <c r="D413" t="s">
        <v>1151</v>
      </c>
      <c r="E413" t="s">
        <v>1319</v>
      </c>
      <c r="F413">
        <v>1</v>
      </c>
      <c r="G413">
        <v>770.87</v>
      </c>
      <c r="H413">
        <v>0.1</v>
      </c>
      <c r="I413" t="s">
        <v>1354</v>
      </c>
      <c r="J413">
        <v>693.78300000000002</v>
      </c>
    </row>
    <row r="414" spans="1:10">
      <c r="A414" t="s">
        <v>1763</v>
      </c>
      <c r="B414" s="1">
        <v>45518</v>
      </c>
      <c r="C414" t="s">
        <v>1020</v>
      </c>
      <c r="D414" t="s">
        <v>1271</v>
      </c>
      <c r="E414" t="s">
        <v>1332</v>
      </c>
      <c r="F414">
        <v>3</v>
      </c>
      <c r="G414">
        <v>507.33</v>
      </c>
      <c r="H414">
        <v>0.06</v>
      </c>
      <c r="I414" t="s">
        <v>1351</v>
      </c>
      <c r="J414">
        <v>1430.6705999999999</v>
      </c>
    </row>
    <row r="415" spans="1:10">
      <c r="A415" t="s">
        <v>1764</v>
      </c>
      <c r="B415" s="1">
        <v>45863</v>
      </c>
      <c r="C415" t="s">
        <v>432</v>
      </c>
      <c r="D415" t="s">
        <v>1205</v>
      </c>
      <c r="E415" t="s">
        <v>1311</v>
      </c>
      <c r="F415">
        <v>1</v>
      </c>
      <c r="G415">
        <v>87.78</v>
      </c>
      <c r="H415">
        <v>0.06</v>
      </c>
      <c r="I415" t="s">
        <v>1349</v>
      </c>
      <c r="J415">
        <v>82.513199999999998</v>
      </c>
    </row>
    <row r="416" spans="1:10">
      <c r="A416" t="s">
        <v>1765</v>
      </c>
      <c r="B416" s="1">
        <v>45666</v>
      </c>
      <c r="C416" t="s">
        <v>30</v>
      </c>
      <c r="D416" t="s">
        <v>1259</v>
      </c>
      <c r="E416" t="s">
        <v>1294</v>
      </c>
      <c r="F416">
        <v>2</v>
      </c>
      <c r="G416">
        <v>772.24</v>
      </c>
      <c r="H416">
        <v>0.22</v>
      </c>
      <c r="I416" t="s">
        <v>1349</v>
      </c>
      <c r="J416">
        <v>1204.6944000000001</v>
      </c>
    </row>
    <row r="417" spans="1:10">
      <c r="A417" t="s">
        <v>1766</v>
      </c>
      <c r="B417" s="1">
        <v>45813</v>
      </c>
      <c r="C417" t="s">
        <v>135</v>
      </c>
      <c r="D417" t="s">
        <v>1213</v>
      </c>
      <c r="E417" t="s">
        <v>1324</v>
      </c>
      <c r="F417">
        <v>1</v>
      </c>
      <c r="G417">
        <v>108.27</v>
      </c>
      <c r="H417">
        <v>0.1</v>
      </c>
      <c r="I417" t="s">
        <v>1354</v>
      </c>
      <c r="J417">
        <v>97.442999999999998</v>
      </c>
    </row>
    <row r="418" spans="1:10">
      <c r="A418" t="s">
        <v>1767</v>
      </c>
      <c r="B418" s="1">
        <v>45633</v>
      </c>
      <c r="C418" t="s">
        <v>758</v>
      </c>
      <c r="D418" t="s">
        <v>1149</v>
      </c>
      <c r="E418" t="s">
        <v>1332</v>
      </c>
      <c r="F418">
        <v>2</v>
      </c>
      <c r="G418">
        <v>839.24</v>
      </c>
      <c r="H418">
        <v>0.21</v>
      </c>
      <c r="I418" t="s">
        <v>1351</v>
      </c>
      <c r="J418">
        <v>1325.9992</v>
      </c>
    </row>
    <row r="419" spans="1:10">
      <c r="A419" t="s">
        <v>1768</v>
      </c>
      <c r="B419" s="1">
        <v>45331</v>
      </c>
      <c r="C419" t="s">
        <v>829</v>
      </c>
      <c r="D419" t="s">
        <v>1189</v>
      </c>
      <c r="E419" t="s">
        <v>1314</v>
      </c>
      <c r="F419">
        <v>2</v>
      </c>
      <c r="G419">
        <v>466.27</v>
      </c>
      <c r="H419">
        <v>0.11</v>
      </c>
      <c r="I419" t="s">
        <v>1351</v>
      </c>
      <c r="J419">
        <v>829.9606</v>
      </c>
    </row>
    <row r="420" spans="1:10">
      <c r="A420" t="s">
        <v>1769</v>
      </c>
      <c r="B420" s="1">
        <v>45942</v>
      </c>
      <c r="C420" t="s">
        <v>859</v>
      </c>
      <c r="D420" t="s">
        <v>1197</v>
      </c>
      <c r="E420" t="s">
        <v>1324</v>
      </c>
      <c r="F420">
        <v>3</v>
      </c>
      <c r="G420">
        <v>969.83</v>
      </c>
      <c r="H420">
        <v>0.02</v>
      </c>
      <c r="I420" t="s">
        <v>1349</v>
      </c>
      <c r="J420">
        <v>2851.3002000000001</v>
      </c>
    </row>
    <row r="421" spans="1:10">
      <c r="A421" t="s">
        <v>1770</v>
      </c>
      <c r="B421" s="1">
        <v>45824</v>
      </c>
      <c r="C421" t="s">
        <v>897</v>
      </c>
      <c r="D421" t="s">
        <v>1255</v>
      </c>
      <c r="E421" t="s">
        <v>1338</v>
      </c>
      <c r="F421">
        <v>2</v>
      </c>
      <c r="G421">
        <v>782.11</v>
      </c>
      <c r="H421">
        <v>0.17</v>
      </c>
      <c r="I421" t="s">
        <v>1351</v>
      </c>
      <c r="J421">
        <v>1298.3026</v>
      </c>
    </row>
    <row r="422" spans="1:10">
      <c r="A422" t="s">
        <v>1771</v>
      </c>
      <c r="B422" s="1">
        <v>45921</v>
      </c>
      <c r="C422" t="s">
        <v>965</v>
      </c>
      <c r="D422" t="s">
        <v>1153</v>
      </c>
      <c r="E422" t="s">
        <v>1317</v>
      </c>
      <c r="F422">
        <v>2</v>
      </c>
      <c r="G422">
        <v>74.63</v>
      </c>
      <c r="H422">
        <v>0.01</v>
      </c>
      <c r="I422" t="s">
        <v>1351</v>
      </c>
      <c r="J422">
        <v>147.76740000000001</v>
      </c>
    </row>
    <row r="423" spans="1:10">
      <c r="A423" t="s">
        <v>1772</v>
      </c>
      <c r="B423" s="1">
        <v>45909</v>
      </c>
      <c r="C423" t="s">
        <v>120</v>
      </c>
      <c r="D423" t="s">
        <v>1243</v>
      </c>
      <c r="E423" t="s">
        <v>1301</v>
      </c>
      <c r="F423">
        <v>3</v>
      </c>
      <c r="G423">
        <v>522.78</v>
      </c>
      <c r="H423">
        <v>0.25</v>
      </c>
      <c r="I423" t="s">
        <v>1351</v>
      </c>
      <c r="J423">
        <v>1176.2550000000001</v>
      </c>
    </row>
    <row r="424" spans="1:10">
      <c r="A424" t="s">
        <v>1773</v>
      </c>
      <c r="B424" s="1">
        <v>45853</v>
      </c>
      <c r="C424" t="s">
        <v>740</v>
      </c>
      <c r="D424" t="s">
        <v>1099</v>
      </c>
      <c r="E424" t="s">
        <v>1326</v>
      </c>
      <c r="F424">
        <v>1</v>
      </c>
      <c r="G424">
        <v>206.45</v>
      </c>
      <c r="H424">
        <v>0.15</v>
      </c>
      <c r="I424" t="s">
        <v>1351</v>
      </c>
      <c r="J424">
        <v>175.48249999999999</v>
      </c>
    </row>
    <row r="425" spans="1:10">
      <c r="A425" t="s">
        <v>1774</v>
      </c>
      <c r="B425" s="1">
        <v>45580</v>
      </c>
      <c r="C425" t="s">
        <v>351</v>
      </c>
      <c r="D425" t="s">
        <v>1211</v>
      </c>
      <c r="E425" t="s">
        <v>1298</v>
      </c>
      <c r="F425">
        <v>1</v>
      </c>
      <c r="G425">
        <v>815.53</v>
      </c>
      <c r="H425">
        <v>0.3</v>
      </c>
      <c r="I425" t="s">
        <v>1351</v>
      </c>
      <c r="J425">
        <v>570.87099999999998</v>
      </c>
    </row>
    <row r="426" spans="1:10">
      <c r="A426" t="s">
        <v>1775</v>
      </c>
      <c r="B426" s="1">
        <v>45220</v>
      </c>
      <c r="C426" t="s">
        <v>111</v>
      </c>
      <c r="D426" t="s">
        <v>1231</v>
      </c>
      <c r="E426" t="s">
        <v>1322</v>
      </c>
      <c r="F426">
        <v>1</v>
      </c>
      <c r="G426">
        <v>823.61</v>
      </c>
      <c r="H426">
        <v>0.28000000000000003</v>
      </c>
      <c r="I426" t="s">
        <v>1354</v>
      </c>
      <c r="J426">
        <v>592.99919999999997</v>
      </c>
    </row>
    <row r="427" spans="1:10">
      <c r="A427" t="s">
        <v>1776</v>
      </c>
      <c r="B427" s="1">
        <v>45807</v>
      </c>
      <c r="C427" t="s">
        <v>1018</v>
      </c>
      <c r="D427" t="s">
        <v>1247</v>
      </c>
      <c r="E427" t="s">
        <v>1311</v>
      </c>
      <c r="F427">
        <v>2</v>
      </c>
      <c r="G427">
        <v>209.96</v>
      </c>
      <c r="H427">
        <v>0</v>
      </c>
      <c r="I427" t="s">
        <v>1349</v>
      </c>
      <c r="J427">
        <v>419.92</v>
      </c>
    </row>
    <row r="428" spans="1:10">
      <c r="A428" t="s">
        <v>1777</v>
      </c>
      <c r="B428" s="1">
        <v>45462</v>
      </c>
      <c r="C428" t="s">
        <v>411</v>
      </c>
      <c r="D428" t="s">
        <v>1068</v>
      </c>
      <c r="E428" t="s">
        <v>1329</v>
      </c>
      <c r="F428">
        <v>4</v>
      </c>
      <c r="G428">
        <v>897.93</v>
      </c>
      <c r="H428">
        <v>0.05</v>
      </c>
      <c r="I428" t="s">
        <v>1354</v>
      </c>
      <c r="J428">
        <v>3412.134</v>
      </c>
    </row>
    <row r="429" spans="1:10">
      <c r="A429" t="s">
        <v>1778</v>
      </c>
      <c r="B429" s="1">
        <v>45646</v>
      </c>
      <c r="C429" t="s">
        <v>424</v>
      </c>
      <c r="D429" t="s">
        <v>1199</v>
      </c>
      <c r="E429" t="s">
        <v>1277</v>
      </c>
      <c r="F429">
        <v>4</v>
      </c>
      <c r="G429">
        <v>925.95</v>
      </c>
      <c r="H429">
        <v>0.16</v>
      </c>
      <c r="I429" t="s">
        <v>1354</v>
      </c>
      <c r="J429">
        <v>3111.192</v>
      </c>
    </row>
    <row r="430" spans="1:10">
      <c r="A430" t="s">
        <v>1779</v>
      </c>
      <c r="B430" s="1">
        <v>45520</v>
      </c>
      <c r="C430" t="s">
        <v>222</v>
      </c>
      <c r="D430" t="s">
        <v>1175</v>
      </c>
      <c r="E430" t="s">
        <v>1301</v>
      </c>
      <c r="F430">
        <v>2</v>
      </c>
      <c r="G430">
        <v>573.09</v>
      </c>
      <c r="H430">
        <v>0.03</v>
      </c>
      <c r="I430" t="s">
        <v>1354</v>
      </c>
      <c r="J430">
        <v>1111.7945999999999</v>
      </c>
    </row>
    <row r="431" spans="1:10">
      <c r="A431" t="s">
        <v>1780</v>
      </c>
      <c r="B431" s="1">
        <v>45731</v>
      </c>
      <c r="C431" t="s">
        <v>428</v>
      </c>
      <c r="D431" t="s">
        <v>1085</v>
      </c>
      <c r="E431" t="s">
        <v>1294</v>
      </c>
      <c r="F431">
        <v>4</v>
      </c>
      <c r="G431">
        <v>149.83000000000001</v>
      </c>
      <c r="H431">
        <v>0.02</v>
      </c>
      <c r="I431" t="s">
        <v>1349</v>
      </c>
      <c r="J431">
        <v>587.33360000000005</v>
      </c>
    </row>
    <row r="432" spans="1:10">
      <c r="A432" t="s">
        <v>1781</v>
      </c>
      <c r="B432" s="1">
        <v>45445</v>
      </c>
      <c r="C432" t="s">
        <v>13</v>
      </c>
      <c r="D432" t="s">
        <v>1175</v>
      </c>
      <c r="E432" t="s">
        <v>1324</v>
      </c>
      <c r="F432">
        <v>3</v>
      </c>
      <c r="G432">
        <v>287.70999999999998</v>
      </c>
      <c r="H432">
        <v>0.03</v>
      </c>
      <c r="I432" t="s">
        <v>1354</v>
      </c>
      <c r="J432">
        <v>837.23609999999985</v>
      </c>
    </row>
    <row r="433" spans="1:10">
      <c r="A433" t="s">
        <v>1782</v>
      </c>
      <c r="B433" s="1">
        <v>45860</v>
      </c>
      <c r="C433" t="s">
        <v>246</v>
      </c>
      <c r="D433" t="s">
        <v>1207</v>
      </c>
      <c r="E433" t="s">
        <v>1301</v>
      </c>
      <c r="F433">
        <v>2</v>
      </c>
      <c r="G433">
        <v>849.8</v>
      </c>
      <c r="H433">
        <v>0.06</v>
      </c>
      <c r="I433" t="s">
        <v>1354</v>
      </c>
      <c r="J433">
        <v>1597.624</v>
      </c>
    </row>
    <row r="434" spans="1:10">
      <c r="A434" t="s">
        <v>1783</v>
      </c>
      <c r="B434" s="1">
        <v>45725</v>
      </c>
      <c r="C434" t="s">
        <v>59</v>
      </c>
      <c r="D434" t="s">
        <v>1155</v>
      </c>
      <c r="E434" t="s">
        <v>1291</v>
      </c>
      <c r="F434">
        <v>3</v>
      </c>
      <c r="G434">
        <v>482.58</v>
      </c>
      <c r="H434">
        <v>0.28000000000000003</v>
      </c>
      <c r="I434" t="s">
        <v>1351</v>
      </c>
      <c r="J434">
        <v>1042.3728000000001</v>
      </c>
    </row>
    <row r="435" spans="1:10">
      <c r="A435" t="s">
        <v>1784</v>
      </c>
      <c r="B435" s="1">
        <v>45699</v>
      </c>
      <c r="C435" t="s">
        <v>288</v>
      </c>
      <c r="D435" t="s">
        <v>1191</v>
      </c>
      <c r="E435" t="s">
        <v>1286</v>
      </c>
      <c r="F435">
        <v>2</v>
      </c>
      <c r="G435">
        <v>64.7</v>
      </c>
      <c r="H435">
        <v>0</v>
      </c>
      <c r="I435" t="s">
        <v>1349</v>
      </c>
      <c r="J435">
        <v>129.4</v>
      </c>
    </row>
    <row r="436" spans="1:10">
      <c r="A436" t="s">
        <v>1785</v>
      </c>
      <c r="B436" s="1">
        <v>45266</v>
      </c>
      <c r="C436" t="s">
        <v>357</v>
      </c>
      <c r="D436" t="s">
        <v>1080</v>
      </c>
      <c r="E436" t="s">
        <v>1298</v>
      </c>
      <c r="F436">
        <v>3</v>
      </c>
      <c r="G436">
        <v>589.83000000000004</v>
      </c>
      <c r="H436">
        <v>0.26</v>
      </c>
      <c r="I436" t="s">
        <v>1349</v>
      </c>
      <c r="J436">
        <v>1309.4226000000001</v>
      </c>
    </row>
    <row r="437" spans="1:10">
      <c r="A437" t="s">
        <v>1786</v>
      </c>
      <c r="B437" s="1">
        <v>45889</v>
      </c>
      <c r="C437" t="s">
        <v>640</v>
      </c>
      <c r="D437" t="s">
        <v>1076</v>
      </c>
      <c r="E437" t="s">
        <v>1311</v>
      </c>
      <c r="F437">
        <v>4</v>
      </c>
      <c r="G437">
        <v>758.49</v>
      </c>
      <c r="H437">
        <v>0.16</v>
      </c>
      <c r="I437" t="s">
        <v>1354</v>
      </c>
      <c r="J437">
        <v>2548.5264000000002</v>
      </c>
    </row>
    <row r="438" spans="1:10">
      <c r="A438" t="s">
        <v>1787</v>
      </c>
      <c r="B438" s="1">
        <v>45555</v>
      </c>
      <c r="C438" t="s">
        <v>150</v>
      </c>
      <c r="D438" t="s">
        <v>1147</v>
      </c>
      <c r="E438" t="s">
        <v>1319</v>
      </c>
      <c r="F438">
        <v>4</v>
      </c>
      <c r="G438">
        <v>747.56</v>
      </c>
      <c r="H438">
        <v>0.09</v>
      </c>
      <c r="I438" t="s">
        <v>1354</v>
      </c>
      <c r="J438">
        <v>2721.1183999999998</v>
      </c>
    </row>
    <row r="439" spans="1:10">
      <c r="A439" t="s">
        <v>1788</v>
      </c>
      <c r="B439" s="1">
        <v>45813</v>
      </c>
      <c r="C439" t="s">
        <v>569</v>
      </c>
      <c r="D439" t="s">
        <v>1153</v>
      </c>
      <c r="E439" t="s">
        <v>1332</v>
      </c>
      <c r="F439">
        <v>3</v>
      </c>
      <c r="G439">
        <v>551.22</v>
      </c>
      <c r="H439">
        <v>0.12</v>
      </c>
      <c r="I439" t="s">
        <v>1351</v>
      </c>
      <c r="J439">
        <v>1455.2208000000001</v>
      </c>
    </row>
    <row r="440" spans="1:10">
      <c r="A440" t="s">
        <v>1789</v>
      </c>
      <c r="B440" s="1">
        <v>45811</v>
      </c>
      <c r="C440" t="s">
        <v>379</v>
      </c>
      <c r="D440" t="s">
        <v>1211</v>
      </c>
      <c r="E440" t="s">
        <v>1324</v>
      </c>
      <c r="F440">
        <v>2</v>
      </c>
      <c r="G440">
        <v>527.05999999999995</v>
      </c>
      <c r="H440">
        <v>0.17</v>
      </c>
      <c r="I440" t="s">
        <v>1351</v>
      </c>
      <c r="J440">
        <v>874.91959999999983</v>
      </c>
    </row>
    <row r="441" spans="1:10">
      <c r="A441" t="s">
        <v>1790</v>
      </c>
      <c r="B441" s="1">
        <v>45670</v>
      </c>
      <c r="C441" t="s">
        <v>254</v>
      </c>
      <c r="D441" t="s">
        <v>1197</v>
      </c>
      <c r="E441" t="s">
        <v>1298</v>
      </c>
      <c r="F441">
        <v>4</v>
      </c>
      <c r="G441">
        <v>875.41</v>
      </c>
      <c r="H441">
        <v>0.27</v>
      </c>
      <c r="I441" t="s">
        <v>1349</v>
      </c>
      <c r="J441">
        <v>2556.1972000000001</v>
      </c>
    </row>
    <row r="442" spans="1:10">
      <c r="A442" t="s">
        <v>1791</v>
      </c>
      <c r="B442" s="1">
        <v>45736</v>
      </c>
      <c r="C442" t="s">
        <v>33</v>
      </c>
      <c r="D442" t="s">
        <v>1243</v>
      </c>
      <c r="E442" t="s">
        <v>1277</v>
      </c>
      <c r="F442">
        <v>2</v>
      </c>
      <c r="G442">
        <v>226.43</v>
      </c>
      <c r="H442">
        <v>0.03</v>
      </c>
      <c r="I442" t="s">
        <v>1349</v>
      </c>
      <c r="J442">
        <v>439.27420000000001</v>
      </c>
    </row>
    <row r="443" spans="1:10">
      <c r="A443" t="s">
        <v>1792</v>
      </c>
      <c r="B443" s="1">
        <v>45480</v>
      </c>
      <c r="C443" t="s">
        <v>107</v>
      </c>
      <c r="D443" t="s">
        <v>1231</v>
      </c>
      <c r="E443" t="s">
        <v>1298</v>
      </c>
      <c r="F443">
        <v>2</v>
      </c>
      <c r="G443">
        <v>285.39</v>
      </c>
      <c r="H443">
        <v>0.1</v>
      </c>
      <c r="I443" t="s">
        <v>1349</v>
      </c>
      <c r="J443">
        <v>513.702</v>
      </c>
    </row>
    <row r="444" spans="1:10">
      <c r="A444" t="s">
        <v>1793</v>
      </c>
      <c r="B444" s="1">
        <v>45929</v>
      </c>
      <c r="C444" t="s">
        <v>732</v>
      </c>
      <c r="D444" t="s">
        <v>1095</v>
      </c>
      <c r="E444" t="s">
        <v>1326</v>
      </c>
      <c r="F444">
        <v>2</v>
      </c>
      <c r="G444">
        <v>298.01</v>
      </c>
      <c r="H444">
        <v>0.05</v>
      </c>
      <c r="I444" t="s">
        <v>1349</v>
      </c>
      <c r="J444">
        <v>566.21899999999994</v>
      </c>
    </row>
    <row r="445" spans="1:10">
      <c r="A445" t="s">
        <v>1794</v>
      </c>
      <c r="B445" s="1">
        <v>45626</v>
      </c>
      <c r="C445" t="s">
        <v>379</v>
      </c>
      <c r="D445" t="s">
        <v>1153</v>
      </c>
      <c r="E445" t="s">
        <v>1294</v>
      </c>
      <c r="F445">
        <v>4</v>
      </c>
      <c r="G445">
        <v>753.49</v>
      </c>
      <c r="H445">
        <v>0.26</v>
      </c>
      <c r="I445" t="s">
        <v>1354</v>
      </c>
      <c r="J445">
        <v>2230.3303999999998</v>
      </c>
    </row>
    <row r="446" spans="1:10">
      <c r="A446" t="s">
        <v>1795</v>
      </c>
      <c r="B446" s="1">
        <v>45460</v>
      </c>
      <c r="C446" t="s">
        <v>1037</v>
      </c>
      <c r="D446" t="s">
        <v>1229</v>
      </c>
      <c r="E446" t="s">
        <v>1319</v>
      </c>
      <c r="F446">
        <v>2</v>
      </c>
      <c r="G446">
        <v>130.38999999999999</v>
      </c>
      <c r="H446">
        <v>0.17</v>
      </c>
      <c r="I446" t="s">
        <v>1351</v>
      </c>
      <c r="J446">
        <v>216.44739999999999</v>
      </c>
    </row>
    <row r="447" spans="1:10">
      <c r="A447" t="s">
        <v>1796</v>
      </c>
      <c r="B447" s="1">
        <v>45709</v>
      </c>
      <c r="C447" t="s">
        <v>754</v>
      </c>
      <c r="D447" t="s">
        <v>1117</v>
      </c>
      <c r="E447" t="s">
        <v>1311</v>
      </c>
      <c r="F447">
        <v>4</v>
      </c>
      <c r="G447">
        <v>164.02</v>
      </c>
      <c r="H447">
        <v>0.01</v>
      </c>
      <c r="I447" t="s">
        <v>1351</v>
      </c>
      <c r="J447">
        <v>649.51920000000007</v>
      </c>
    </row>
    <row r="448" spans="1:10">
      <c r="A448" t="s">
        <v>1797</v>
      </c>
      <c r="B448" s="1">
        <v>45551</v>
      </c>
      <c r="C448" t="s">
        <v>389</v>
      </c>
      <c r="D448" t="s">
        <v>1131</v>
      </c>
      <c r="E448" t="s">
        <v>1294</v>
      </c>
      <c r="F448">
        <v>2</v>
      </c>
      <c r="G448">
        <v>527.51</v>
      </c>
      <c r="H448">
        <v>0.18</v>
      </c>
      <c r="I448" t="s">
        <v>1351</v>
      </c>
      <c r="J448">
        <v>865.1164</v>
      </c>
    </row>
    <row r="449" spans="1:10">
      <c r="A449" t="s">
        <v>1798</v>
      </c>
      <c r="B449" s="1">
        <v>45939</v>
      </c>
      <c r="C449" t="s">
        <v>569</v>
      </c>
      <c r="D449" t="s">
        <v>1187</v>
      </c>
      <c r="E449" t="s">
        <v>1322</v>
      </c>
      <c r="F449">
        <v>3</v>
      </c>
      <c r="G449">
        <v>628.17999999999995</v>
      </c>
      <c r="H449">
        <v>0.26</v>
      </c>
      <c r="I449" t="s">
        <v>1349</v>
      </c>
      <c r="J449">
        <v>1394.5596</v>
      </c>
    </row>
    <row r="450" spans="1:10">
      <c r="A450" t="s">
        <v>1799</v>
      </c>
      <c r="B450" s="1">
        <v>45553</v>
      </c>
      <c r="C450" t="s">
        <v>602</v>
      </c>
      <c r="D450" t="s">
        <v>1185</v>
      </c>
      <c r="E450" t="s">
        <v>1291</v>
      </c>
      <c r="F450">
        <v>1</v>
      </c>
      <c r="G450">
        <v>862.31</v>
      </c>
      <c r="H450">
        <v>0.06</v>
      </c>
      <c r="I450" t="s">
        <v>1349</v>
      </c>
      <c r="J450">
        <v>810.57139999999993</v>
      </c>
    </row>
    <row r="451" spans="1:10">
      <c r="A451" t="s">
        <v>1800</v>
      </c>
      <c r="B451" s="1">
        <v>45806</v>
      </c>
      <c r="C451" t="s">
        <v>192</v>
      </c>
      <c r="D451" t="s">
        <v>1239</v>
      </c>
      <c r="E451" t="s">
        <v>1324</v>
      </c>
      <c r="F451">
        <v>2</v>
      </c>
      <c r="G451">
        <v>541.39</v>
      </c>
      <c r="H451">
        <v>0.03</v>
      </c>
      <c r="I451" t="s">
        <v>1354</v>
      </c>
      <c r="J451">
        <v>1050.2965999999999</v>
      </c>
    </row>
    <row r="452" spans="1:10">
      <c r="A452" t="s">
        <v>1801</v>
      </c>
      <c r="B452" s="1">
        <v>45811</v>
      </c>
      <c r="C452" t="s">
        <v>1016</v>
      </c>
      <c r="D452" t="s">
        <v>1225</v>
      </c>
      <c r="E452" t="s">
        <v>1329</v>
      </c>
      <c r="F452">
        <v>3</v>
      </c>
      <c r="G452">
        <v>761.8</v>
      </c>
      <c r="H452">
        <v>0.06</v>
      </c>
      <c r="I452" t="s">
        <v>1354</v>
      </c>
      <c r="J452">
        <v>2148.2759999999989</v>
      </c>
    </row>
    <row r="453" spans="1:10">
      <c r="A453" t="s">
        <v>1802</v>
      </c>
      <c r="B453" s="1">
        <v>45508</v>
      </c>
      <c r="C453" t="s">
        <v>907</v>
      </c>
      <c r="D453" t="s">
        <v>1171</v>
      </c>
      <c r="E453" t="s">
        <v>1286</v>
      </c>
      <c r="F453">
        <v>4</v>
      </c>
      <c r="G453">
        <v>829.36</v>
      </c>
      <c r="H453">
        <v>0.11</v>
      </c>
      <c r="I453" t="s">
        <v>1351</v>
      </c>
      <c r="J453">
        <v>2952.5216</v>
      </c>
    </row>
    <row r="454" spans="1:10">
      <c r="A454" t="s">
        <v>1803</v>
      </c>
      <c r="B454" s="1">
        <v>45460</v>
      </c>
      <c r="C454" t="s">
        <v>871</v>
      </c>
      <c r="D454" t="s">
        <v>1119</v>
      </c>
      <c r="E454" t="s">
        <v>1329</v>
      </c>
      <c r="F454">
        <v>2</v>
      </c>
      <c r="G454">
        <v>425.06</v>
      </c>
      <c r="H454">
        <v>0.09</v>
      </c>
      <c r="I454" t="s">
        <v>1351</v>
      </c>
      <c r="J454">
        <v>773.60919999999999</v>
      </c>
    </row>
    <row r="455" spans="1:10">
      <c r="A455" t="s">
        <v>1804</v>
      </c>
      <c r="B455" s="1">
        <v>45311</v>
      </c>
      <c r="C455" t="s">
        <v>315</v>
      </c>
      <c r="D455" t="s">
        <v>1183</v>
      </c>
      <c r="E455" t="s">
        <v>1277</v>
      </c>
      <c r="F455">
        <v>2</v>
      </c>
      <c r="G455">
        <v>911.14</v>
      </c>
      <c r="H455">
        <v>0.1</v>
      </c>
      <c r="I455" t="s">
        <v>1349</v>
      </c>
      <c r="J455">
        <v>1640.0519999999999</v>
      </c>
    </row>
    <row r="456" spans="1:10">
      <c r="A456" t="s">
        <v>1805</v>
      </c>
      <c r="B456" s="1">
        <v>45906</v>
      </c>
      <c r="C456" t="s">
        <v>222</v>
      </c>
      <c r="D456" t="s">
        <v>1209</v>
      </c>
      <c r="E456" t="s">
        <v>1307</v>
      </c>
      <c r="F456">
        <v>3</v>
      </c>
      <c r="G456">
        <v>811.96</v>
      </c>
      <c r="H456">
        <v>0.28999999999999998</v>
      </c>
      <c r="I456" t="s">
        <v>1349</v>
      </c>
      <c r="J456">
        <v>1729.4748</v>
      </c>
    </row>
    <row r="457" spans="1:10">
      <c r="A457" t="s">
        <v>1806</v>
      </c>
      <c r="B457" s="1">
        <v>45380</v>
      </c>
      <c r="C457" t="s">
        <v>610</v>
      </c>
      <c r="D457" t="s">
        <v>1135</v>
      </c>
      <c r="E457" t="s">
        <v>1314</v>
      </c>
      <c r="F457">
        <v>2</v>
      </c>
      <c r="G457">
        <v>780.05</v>
      </c>
      <c r="H457">
        <v>0.12</v>
      </c>
      <c r="I457" t="s">
        <v>1354</v>
      </c>
      <c r="J457">
        <v>1372.8879999999999</v>
      </c>
    </row>
    <row r="458" spans="1:10">
      <c r="A458" t="s">
        <v>1807</v>
      </c>
      <c r="B458" s="1">
        <v>45527</v>
      </c>
      <c r="C458" t="s">
        <v>492</v>
      </c>
      <c r="D458" t="s">
        <v>1137</v>
      </c>
      <c r="E458" t="s">
        <v>1311</v>
      </c>
      <c r="F458">
        <v>4</v>
      </c>
      <c r="G458">
        <v>315.95</v>
      </c>
      <c r="H458">
        <v>0.19</v>
      </c>
      <c r="I458" t="s">
        <v>1354</v>
      </c>
      <c r="J458">
        <v>1023.678</v>
      </c>
    </row>
    <row r="459" spans="1:10">
      <c r="A459" t="s">
        <v>1808</v>
      </c>
      <c r="B459" s="1">
        <v>45796</v>
      </c>
      <c r="C459" t="s">
        <v>521</v>
      </c>
      <c r="D459" t="s">
        <v>1177</v>
      </c>
      <c r="E459" t="s">
        <v>1311</v>
      </c>
      <c r="F459">
        <v>2</v>
      </c>
      <c r="G459">
        <v>810.17</v>
      </c>
      <c r="H459">
        <v>0.27</v>
      </c>
      <c r="I459" t="s">
        <v>1349</v>
      </c>
      <c r="J459">
        <v>1182.8481999999999</v>
      </c>
    </row>
    <row r="460" spans="1:10">
      <c r="A460" t="s">
        <v>1809</v>
      </c>
      <c r="B460" s="1">
        <v>45389</v>
      </c>
      <c r="C460" t="s">
        <v>472</v>
      </c>
      <c r="D460" t="s">
        <v>1241</v>
      </c>
      <c r="E460" t="s">
        <v>1294</v>
      </c>
      <c r="F460">
        <v>3</v>
      </c>
      <c r="G460">
        <v>505.01</v>
      </c>
      <c r="H460">
        <v>0.02</v>
      </c>
      <c r="I460" t="s">
        <v>1351</v>
      </c>
      <c r="J460">
        <v>1484.7293999999999</v>
      </c>
    </row>
    <row r="461" spans="1:10">
      <c r="A461" t="s">
        <v>1810</v>
      </c>
      <c r="B461" s="1">
        <v>45315</v>
      </c>
      <c r="C461" t="s">
        <v>996</v>
      </c>
      <c r="D461" t="s">
        <v>1217</v>
      </c>
      <c r="E461" t="s">
        <v>1332</v>
      </c>
      <c r="F461">
        <v>2</v>
      </c>
      <c r="G461">
        <v>736.75</v>
      </c>
      <c r="H461">
        <v>0.18</v>
      </c>
      <c r="I461" t="s">
        <v>1349</v>
      </c>
      <c r="J461">
        <v>1208.27</v>
      </c>
    </row>
    <row r="462" spans="1:10">
      <c r="A462" t="s">
        <v>1811</v>
      </c>
      <c r="B462" s="1">
        <v>45311</v>
      </c>
      <c r="C462" t="s">
        <v>87</v>
      </c>
      <c r="D462" t="s">
        <v>1227</v>
      </c>
      <c r="E462" t="s">
        <v>1311</v>
      </c>
      <c r="F462">
        <v>4</v>
      </c>
      <c r="G462">
        <v>700.31</v>
      </c>
      <c r="H462">
        <v>0.2</v>
      </c>
      <c r="I462" t="s">
        <v>1351</v>
      </c>
      <c r="J462">
        <v>2240.9920000000002</v>
      </c>
    </row>
    <row r="463" spans="1:10">
      <c r="A463" t="s">
        <v>1812</v>
      </c>
      <c r="B463" s="1">
        <v>45270</v>
      </c>
      <c r="C463" t="s">
        <v>319</v>
      </c>
      <c r="D463" t="s">
        <v>1255</v>
      </c>
      <c r="E463" t="s">
        <v>1317</v>
      </c>
      <c r="F463">
        <v>4</v>
      </c>
      <c r="G463">
        <v>202.46</v>
      </c>
      <c r="H463">
        <v>0.24</v>
      </c>
      <c r="I463" t="s">
        <v>1349</v>
      </c>
      <c r="J463">
        <v>615.47840000000008</v>
      </c>
    </row>
    <row r="464" spans="1:10">
      <c r="A464" t="s">
        <v>1813</v>
      </c>
      <c r="B464" s="1">
        <v>45279</v>
      </c>
      <c r="C464" t="s">
        <v>594</v>
      </c>
      <c r="D464" t="s">
        <v>1247</v>
      </c>
      <c r="E464" t="s">
        <v>1282</v>
      </c>
      <c r="F464">
        <v>2</v>
      </c>
      <c r="G464">
        <v>291.83999999999997</v>
      </c>
      <c r="H464">
        <v>0.25</v>
      </c>
      <c r="I464" t="s">
        <v>1351</v>
      </c>
      <c r="J464">
        <v>437.76</v>
      </c>
    </row>
    <row r="465" spans="1:10">
      <c r="A465" t="s">
        <v>1814</v>
      </c>
      <c r="B465" s="1">
        <v>45252</v>
      </c>
      <c r="C465" t="s">
        <v>387</v>
      </c>
      <c r="D465" t="s">
        <v>1267</v>
      </c>
      <c r="E465" t="s">
        <v>1298</v>
      </c>
      <c r="F465">
        <v>2</v>
      </c>
      <c r="G465">
        <v>261.48</v>
      </c>
      <c r="H465">
        <v>0.17</v>
      </c>
      <c r="I465" t="s">
        <v>1349</v>
      </c>
      <c r="J465">
        <v>434.05680000000001</v>
      </c>
    </row>
    <row r="466" spans="1:10">
      <c r="A466" t="s">
        <v>1815</v>
      </c>
      <c r="B466" s="1">
        <v>45938</v>
      </c>
      <c r="C466" t="s">
        <v>664</v>
      </c>
      <c r="D466" t="s">
        <v>1145</v>
      </c>
      <c r="E466" t="s">
        <v>1324</v>
      </c>
      <c r="F466">
        <v>1</v>
      </c>
      <c r="G466">
        <v>850.83</v>
      </c>
      <c r="H466">
        <v>0.28000000000000003</v>
      </c>
      <c r="I466" t="s">
        <v>1351</v>
      </c>
      <c r="J466">
        <v>612.59760000000006</v>
      </c>
    </row>
    <row r="467" spans="1:10">
      <c r="A467" t="s">
        <v>1816</v>
      </c>
      <c r="B467" s="1">
        <v>45711</v>
      </c>
      <c r="C467" t="s">
        <v>873</v>
      </c>
      <c r="D467" t="s">
        <v>1165</v>
      </c>
      <c r="E467" t="s">
        <v>1311</v>
      </c>
      <c r="F467">
        <v>1</v>
      </c>
      <c r="G467">
        <v>83.83</v>
      </c>
      <c r="H467">
        <v>0.05</v>
      </c>
      <c r="I467" t="s">
        <v>1349</v>
      </c>
      <c r="J467">
        <v>79.638499999999993</v>
      </c>
    </row>
    <row r="468" spans="1:10">
      <c r="A468" t="s">
        <v>1817</v>
      </c>
      <c r="B468" s="1">
        <v>45713</v>
      </c>
      <c r="C468" t="s">
        <v>30</v>
      </c>
      <c r="D468" t="s">
        <v>1249</v>
      </c>
      <c r="E468" t="s">
        <v>1329</v>
      </c>
      <c r="F468">
        <v>3</v>
      </c>
      <c r="G468">
        <v>649.95000000000005</v>
      </c>
      <c r="H468">
        <v>0.28000000000000003</v>
      </c>
      <c r="I468" t="s">
        <v>1354</v>
      </c>
      <c r="J468">
        <v>1403.8920000000001</v>
      </c>
    </row>
    <row r="469" spans="1:10">
      <c r="A469" t="s">
        <v>1818</v>
      </c>
      <c r="B469" s="1">
        <v>45565</v>
      </c>
      <c r="C469" t="s">
        <v>795</v>
      </c>
      <c r="D469" t="s">
        <v>1219</v>
      </c>
      <c r="E469" t="s">
        <v>1301</v>
      </c>
      <c r="F469">
        <v>4</v>
      </c>
      <c r="G469">
        <v>934.96</v>
      </c>
      <c r="H469">
        <v>0.18</v>
      </c>
      <c r="I469" t="s">
        <v>1351</v>
      </c>
      <c r="J469">
        <v>3066.6687999999999</v>
      </c>
    </row>
    <row r="470" spans="1:10">
      <c r="A470" t="s">
        <v>1819</v>
      </c>
      <c r="B470" s="1">
        <v>45279</v>
      </c>
      <c r="C470" t="s">
        <v>474</v>
      </c>
      <c r="D470" t="s">
        <v>1107</v>
      </c>
      <c r="E470" t="s">
        <v>1324</v>
      </c>
      <c r="F470">
        <v>1</v>
      </c>
      <c r="G470">
        <v>880.89</v>
      </c>
      <c r="H470">
        <v>0.13</v>
      </c>
      <c r="I470" t="s">
        <v>1354</v>
      </c>
      <c r="J470">
        <v>766.37429999999995</v>
      </c>
    </row>
    <row r="471" spans="1:10">
      <c r="A471" t="s">
        <v>1820</v>
      </c>
      <c r="B471" s="1">
        <v>45614</v>
      </c>
      <c r="C471" t="s">
        <v>1016</v>
      </c>
      <c r="D471" t="s">
        <v>1269</v>
      </c>
      <c r="E471" t="s">
        <v>1307</v>
      </c>
      <c r="F471">
        <v>4</v>
      </c>
      <c r="G471">
        <v>610.6</v>
      </c>
      <c r="H471">
        <v>0.1</v>
      </c>
      <c r="I471" t="s">
        <v>1351</v>
      </c>
      <c r="J471">
        <v>2198.16</v>
      </c>
    </row>
    <row r="472" spans="1:10">
      <c r="A472" t="s">
        <v>1821</v>
      </c>
      <c r="B472" s="1">
        <v>45912</v>
      </c>
      <c r="C472" t="s">
        <v>202</v>
      </c>
      <c r="D472" t="s">
        <v>1129</v>
      </c>
      <c r="E472" t="s">
        <v>1335</v>
      </c>
      <c r="F472">
        <v>1</v>
      </c>
      <c r="G472">
        <v>514.19000000000005</v>
      </c>
      <c r="H472">
        <v>0.2</v>
      </c>
      <c r="I472" t="s">
        <v>1349</v>
      </c>
      <c r="J472">
        <v>411.35200000000009</v>
      </c>
    </row>
    <row r="473" spans="1:10">
      <c r="A473" t="s">
        <v>1822</v>
      </c>
      <c r="B473" s="1">
        <v>45688</v>
      </c>
      <c r="C473" t="s">
        <v>861</v>
      </c>
      <c r="D473" t="s">
        <v>1147</v>
      </c>
      <c r="E473" t="s">
        <v>1322</v>
      </c>
      <c r="F473">
        <v>1</v>
      </c>
      <c r="G473">
        <v>546.20000000000005</v>
      </c>
      <c r="H473">
        <v>0.22</v>
      </c>
      <c r="I473" t="s">
        <v>1351</v>
      </c>
      <c r="J473">
        <v>426.03600000000012</v>
      </c>
    </row>
    <row r="474" spans="1:10">
      <c r="A474" t="s">
        <v>1823</v>
      </c>
      <c r="B474" s="1">
        <v>45591</v>
      </c>
      <c r="C474" t="s">
        <v>456</v>
      </c>
      <c r="D474" t="s">
        <v>1147</v>
      </c>
      <c r="E474" t="s">
        <v>1277</v>
      </c>
      <c r="F474">
        <v>3</v>
      </c>
      <c r="G474">
        <v>416.01</v>
      </c>
      <c r="H474">
        <v>0.02</v>
      </c>
      <c r="I474" t="s">
        <v>1349</v>
      </c>
      <c r="J474">
        <v>1223.0694000000001</v>
      </c>
    </row>
    <row r="475" spans="1:10">
      <c r="A475" t="s">
        <v>1824</v>
      </c>
      <c r="B475" s="1">
        <v>45864</v>
      </c>
      <c r="C475" t="s">
        <v>831</v>
      </c>
      <c r="D475" t="s">
        <v>1221</v>
      </c>
      <c r="E475" t="s">
        <v>1314</v>
      </c>
      <c r="F475">
        <v>1</v>
      </c>
      <c r="G475">
        <v>30.94</v>
      </c>
      <c r="H475">
        <v>0.21</v>
      </c>
      <c r="I475" t="s">
        <v>1354</v>
      </c>
      <c r="J475">
        <v>24.442599999999999</v>
      </c>
    </row>
    <row r="476" spans="1:10">
      <c r="A476" t="s">
        <v>1825</v>
      </c>
      <c r="B476" s="1">
        <v>45875</v>
      </c>
      <c r="C476" t="s">
        <v>462</v>
      </c>
      <c r="D476" t="s">
        <v>1189</v>
      </c>
      <c r="E476" t="s">
        <v>1329</v>
      </c>
      <c r="F476">
        <v>3</v>
      </c>
      <c r="G476">
        <v>666.39</v>
      </c>
      <c r="H476">
        <v>0.21</v>
      </c>
      <c r="I476" t="s">
        <v>1354</v>
      </c>
      <c r="J476">
        <v>1579.3443</v>
      </c>
    </row>
    <row r="477" spans="1:10">
      <c r="A477" t="s">
        <v>1826</v>
      </c>
      <c r="B477" s="1">
        <v>45797</v>
      </c>
      <c r="C477" t="s">
        <v>393</v>
      </c>
      <c r="D477" t="s">
        <v>1235</v>
      </c>
      <c r="E477" t="s">
        <v>1314</v>
      </c>
      <c r="F477">
        <v>2</v>
      </c>
      <c r="G477">
        <v>145.26</v>
      </c>
      <c r="H477">
        <v>0.19</v>
      </c>
      <c r="I477" t="s">
        <v>1351</v>
      </c>
      <c r="J477">
        <v>235.3212</v>
      </c>
    </row>
    <row r="478" spans="1:10">
      <c r="A478" t="s">
        <v>1827</v>
      </c>
      <c r="B478" s="1">
        <v>45364</v>
      </c>
      <c r="C478" t="s">
        <v>296</v>
      </c>
      <c r="D478" t="s">
        <v>1255</v>
      </c>
      <c r="E478" t="s">
        <v>1298</v>
      </c>
      <c r="F478">
        <v>4</v>
      </c>
      <c r="G478">
        <v>940.77</v>
      </c>
      <c r="H478">
        <v>0.24</v>
      </c>
      <c r="I478" t="s">
        <v>1354</v>
      </c>
      <c r="J478">
        <v>2859.9407999999999</v>
      </c>
    </row>
    <row r="479" spans="1:10">
      <c r="A479" t="s">
        <v>1828</v>
      </c>
      <c r="B479" s="1">
        <v>45700</v>
      </c>
      <c r="C479" t="s">
        <v>1000</v>
      </c>
      <c r="D479" t="s">
        <v>1165</v>
      </c>
      <c r="E479" t="s">
        <v>1332</v>
      </c>
      <c r="F479">
        <v>1</v>
      </c>
      <c r="G479">
        <v>708.88</v>
      </c>
      <c r="H479">
        <v>0.09</v>
      </c>
      <c r="I479" t="s">
        <v>1349</v>
      </c>
      <c r="J479">
        <v>645.08080000000007</v>
      </c>
    </row>
    <row r="480" spans="1:10">
      <c r="A480" t="s">
        <v>1829</v>
      </c>
      <c r="B480" s="1">
        <v>45924</v>
      </c>
      <c r="C480" t="s">
        <v>678</v>
      </c>
      <c r="D480" t="s">
        <v>1133</v>
      </c>
      <c r="E480" t="s">
        <v>1286</v>
      </c>
      <c r="F480">
        <v>1</v>
      </c>
      <c r="G480">
        <v>790.73</v>
      </c>
      <c r="H480">
        <v>0.24</v>
      </c>
      <c r="I480" t="s">
        <v>1351</v>
      </c>
      <c r="J480">
        <v>600.95479999999998</v>
      </c>
    </row>
    <row r="481" spans="1:10">
      <c r="A481" t="s">
        <v>1830</v>
      </c>
      <c r="B481" s="1">
        <v>45574</v>
      </c>
      <c r="C481" t="s">
        <v>961</v>
      </c>
      <c r="D481" t="s">
        <v>1103</v>
      </c>
      <c r="E481" t="s">
        <v>1311</v>
      </c>
      <c r="F481">
        <v>3</v>
      </c>
      <c r="G481">
        <v>635.13</v>
      </c>
      <c r="H481">
        <v>0.09</v>
      </c>
      <c r="I481" t="s">
        <v>1351</v>
      </c>
      <c r="J481">
        <v>1733.9049</v>
      </c>
    </row>
    <row r="482" spans="1:10">
      <c r="A482" t="s">
        <v>1831</v>
      </c>
      <c r="B482" s="1">
        <v>45233</v>
      </c>
      <c r="C482" t="s">
        <v>596</v>
      </c>
      <c r="D482" t="s">
        <v>1259</v>
      </c>
      <c r="E482" t="s">
        <v>1324</v>
      </c>
      <c r="F482">
        <v>1</v>
      </c>
      <c r="G482">
        <v>744.88</v>
      </c>
      <c r="H482">
        <v>0.15</v>
      </c>
      <c r="I482" t="s">
        <v>1354</v>
      </c>
      <c r="J482">
        <v>633.14800000000002</v>
      </c>
    </row>
    <row r="483" spans="1:10">
      <c r="A483" t="s">
        <v>1832</v>
      </c>
      <c r="B483" s="1">
        <v>45745</v>
      </c>
      <c r="C483" t="s">
        <v>428</v>
      </c>
      <c r="D483" t="s">
        <v>1129</v>
      </c>
      <c r="E483" t="s">
        <v>1282</v>
      </c>
      <c r="F483">
        <v>3</v>
      </c>
      <c r="G483">
        <v>205.34</v>
      </c>
      <c r="H483">
        <v>0.25</v>
      </c>
      <c r="I483" t="s">
        <v>1349</v>
      </c>
      <c r="J483">
        <v>462.01499999999999</v>
      </c>
    </row>
    <row r="484" spans="1:10">
      <c r="A484" t="s">
        <v>1833</v>
      </c>
      <c r="B484" s="1">
        <v>45851</v>
      </c>
      <c r="C484" t="s">
        <v>901</v>
      </c>
      <c r="D484" t="s">
        <v>1131</v>
      </c>
      <c r="E484" t="s">
        <v>1307</v>
      </c>
      <c r="F484">
        <v>2</v>
      </c>
      <c r="G484">
        <v>756.8</v>
      </c>
      <c r="H484">
        <v>0.15</v>
      </c>
      <c r="I484" t="s">
        <v>1349</v>
      </c>
      <c r="J484">
        <v>1286.56</v>
      </c>
    </row>
    <row r="485" spans="1:10">
      <c r="A485" t="s">
        <v>1834</v>
      </c>
      <c r="B485" s="1">
        <v>45308</v>
      </c>
      <c r="C485" t="s">
        <v>129</v>
      </c>
      <c r="D485" t="s">
        <v>1115</v>
      </c>
      <c r="E485" t="s">
        <v>1314</v>
      </c>
      <c r="F485">
        <v>1</v>
      </c>
      <c r="G485">
        <v>771.73</v>
      </c>
      <c r="H485">
        <v>0.2</v>
      </c>
      <c r="I485" t="s">
        <v>1349</v>
      </c>
      <c r="J485">
        <v>617.38400000000001</v>
      </c>
    </row>
    <row r="486" spans="1:10">
      <c r="A486" t="s">
        <v>1835</v>
      </c>
      <c r="B486" s="1">
        <v>45639</v>
      </c>
      <c r="C486" t="s">
        <v>1020</v>
      </c>
      <c r="D486" t="s">
        <v>1205</v>
      </c>
      <c r="E486" t="s">
        <v>1332</v>
      </c>
      <c r="F486">
        <v>1</v>
      </c>
      <c r="G486">
        <v>440.19</v>
      </c>
      <c r="H486">
        <v>0.03</v>
      </c>
      <c r="I486" t="s">
        <v>1351</v>
      </c>
      <c r="J486">
        <v>426.98430000000002</v>
      </c>
    </row>
    <row r="487" spans="1:10">
      <c r="A487" t="s">
        <v>1836</v>
      </c>
      <c r="B487" s="1">
        <v>45919</v>
      </c>
      <c r="C487" t="s">
        <v>135</v>
      </c>
      <c r="D487" t="s">
        <v>1078</v>
      </c>
      <c r="E487" t="s">
        <v>1286</v>
      </c>
      <c r="F487">
        <v>2</v>
      </c>
      <c r="G487">
        <v>409</v>
      </c>
      <c r="H487">
        <v>0.17</v>
      </c>
      <c r="I487" t="s">
        <v>1349</v>
      </c>
      <c r="J487">
        <v>678.93999999999994</v>
      </c>
    </row>
    <row r="488" spans="1:10">
      <c r="A488" t="s">
        <v>1837</v>
      </c>
      <c r="B488" s="1">
        <v>45333</v>
      </c>
      <c r="C488" t="s">
        <v>750</v>
      </c>
      <c r="D488" t="s">
        <v>1149</v>
      </c>
      <c r="E488" t="s">
        <v>1338</v>
      </c>
      <c r="F488">
        <v>3</v>
      </c>
      <c r="G488">
        <v>134.58000000000001</v>
      </c>
      <c r="H488">
        <v>0.04</v>
      </c>
      <c r="I488" t="s">
        <v>1354</v>
      </c>
      <c r="J488">
        <v>387.59039999999999</v>
      </c>
    </row>
    <row r="489" spans="1:10">
      <c r="A489" t="s">
        <v>1838</v>
      </c>
      <c r="B489" s="1">
        <v>45811</v>
      </c>
      <c r="C489" t="s">
        <v>760</v>
      </c>
      <c r="D489" t="s">
        <v>1151</v>
      </c>
      <c r="E489" t="s">
        <v>1304</v>
      </c>
      <c r="F489">
        <v>4</v>
      </c>
      <c r="G489">
        <v>284.44</v>
      </c>
      <c r="H489">
        <v>0.02</v>
      </c>
      <c r="I489" t="s">
        <v>1349</v>
      </c>
      <c r="J489">
        <v>1115.0047999999999</v>
      </c>
    </row>
    <row r="490" spans="1:10">
      <c r="A490" t="s">
        <v>1839</v>
      </c>
      <c r="B490" s="1">
        <v>45726</v>
      </c>
      <c r="C490" t="s">
        <v>873</v>
      </c>
      <c r="D490" t="s">
        <v>1219</v>
      </c>
      <c r="E490" t="s">
        <v>1322</v>
      </c>
      <c r="F490">
        <v>4</v>
      </c>
      <c r="G490">
        <v>922.69</v>
      </c>
      <c r="H490">
        <v>0.16</v>
      </c>
      <c r="I490" t="s">
        <v>1349</v>
      </c>
      <c r="J490">
        <v>3100.2384000000002</v>
      </c>
    </row>
    <row r="491" spans="1:10">
      <c r="A491" t="s">
        <v>1840</v>
      </c>
      <c r="B491" s="1">
        <v>45644</v>
      </c>
      <c r="C491" t="s">
        <v>614</v>
      </c>
      <c r="D491" t="s">
        <v>1145</v>
      </c>
      <c r="E491" t="s">
        <v>1301</v>
      </c>
      <c r="F491">
        <v>2</v>
      </c>
      <c r="G491">
        <v>992.55</v>
      </c>
      <c r="H491">
        <v>0.28000000000000003</v>
      </c>
      <c r="I491" t="s">
        <v>1349</v>
      </c>
      <c r="J491">
        <v>1429.2719999999999</v>
      </c>
    </row>
    <row r="492" spans="1:10">
      <c r="A492" t="s">
        <v>1841</v>
      </c>
      <c r="B492" s="1">
        <v>45371</v>
      </c>
      <c r="C492" t="s">
        <v>899</v>
      </c>
      <c r="D492" t="s">
        <v>1251</v>
      </c>
      <c r="E492" t="s">
        <v>1335</v>
      </c>
      <c r="F492">
        <v>1</v>
      </c>
      <c r="G492">
        <v>170.43</v>
      </c>
      <c r="H492">
        <v>0.03</v>
      </c>
      <c r="I492" t="s">
        <v>1349</v>
      </c>
      <c r="J492">
        <v>165.31710000000001</v>
      </c>
    </row>
    <row r="493" spans="1:10">
      <c r="A493" t="s">
        <v>1842</v>
      </c>
      <c r="B493" s="1">
        <v>45462</v>
      </c>
      <c r="C493" t="s">
        <v>509</v>
      </c>
      <c r="D493" t="s">
        <v>1217</v>
      </c>
      <c r="E493" t="s">
        <v>1286</v>
      </c>
      <c r="F493">
        <v>3</v>
      </c>
      <c r="G493">
        <v>480.51</v>
      </c>
      <c r="H493">
        <v>0.03</v>
      </c>
      <c r="I493" t="s">
        <v>1349</v>
      </c>
      <c r="J493">
        <v>1398.2841000000001</v>
      </c>
    </row>
    <row r="494" spans="1:10">
      <c r="A494" t="s">
        <v>1843</v>
      </c>
      <c r="B494" s="1">
        <v>45632</v>
      </c>
      <c r="C494" t="s">
        <v>373</v>
      </c>
      <c r="D494" t="s">
        <v>1171</v>
      </c>
      <c r="E494" t="s">
        <v>1304</v>
      </c>
      <c r="F494">
        <v>2</v>
      </c>
      <c r="G494">
        <v>955.66</v>
      </c>
      <c r="H494">
        <v>0.28999999999999998</v>
      </c>
      <c r="I494" t="s">
        <v>1354</v>
      </c>
      <c r="J494">
        <v>1357.0372</v>
      </c>
    </row>
    <row r="495" spans="1:10">
      <c r="A495" t="s">
        <v>1844</v>
      </c>
      <c r="B495" s="1">
        <v>45863</v>
      </c>
      <c r="C495" t="s">
        <v>965</v>
      </c>
      <c r="D495" t="s">
        <v>1217</v>
      </c>
      <c r="E495" t="s">
        <v>1277</v>
      </c>
      <c r="F495">
        <v>2</v>
      </c>
      <c r="G495">
        <v>488.02</v>
      </c>
      <c r="H495">
        <v>0.27</v>
      </c>
      <c r="I495" t="s">
        <v>1351</v>
      </c>
      <c r="J495">
        <v>712.50919999999996</v>
      </c>
    </row>
    <row r="496" spans="1:10">
      <c r="A496" t="s">
        <v>1845</v>
      </c>
      <c r="B496" s="1">
        <v>45501</v>
      </c>
      <c r="C496" t="s">
        <v>543</v>
      </c>
      <c r="D496" t="s">
        <v>1109</v>
      </c>
      <c r="E496" t="s">
        <v>1277</v>
      </c>
      <c r="F496">
        <v>1</v>
      </c>
      <c r="G496">
        <v>917.17</v>
      </c>
      <c r="H496">
        <v>0.13</v>
      </c>
      <c r="I496" t="s">
        <v>1354</v>
      </c>
      <c r="J496">
        <v>797.93790000000001</v>
      </c>
    </row>
    <row r="497" spans="1:10">
      <c r="A497" t="s">
        <v>1846</v>
      </c>
      <c r="B497" s="1">
        <v>45568</v>
      </c>
      <c r="C497" t="s">
        <v>712</v>
      </c>
      <c r="D497" t="s">
        <v>1087</v>
      </c>
      <c r="E497" t="s">
        <v>1298</v>
      </c>
      <c r="F497">
        <v>2</v>
      </c>
      <c r="G497">
        <v>406.46</v>
      </c>
      <c r="H497">
        <v>0.3</v>
      </c>
      <c r="I497" t="s">
        <v>1351</v>
      </c>
      <c r="J497">
        <v>569.04399999999998</v>
      </c>
    </row>
    <row r="498" spans="1:10">
      <c r="A498" t="s">
        <v>1847</v>
      </c>
      <c r="B498" s="1">
        <v>45238</v>
      </c>
      <c r="C498" t="s">
        <v>527</v>
      </c>
      <c r="D498" t="s">
        <v>1263</v>
      </c>
      <c r="E498" t="s">
        <v>1277</v>
      </c>
      <c r="F498">
        <v>2</v>
      </c>
      <c r="G498">
        <v>264.39</v>
      </c>
      <c r="H498">
        <v>0.11</v>
      </c>
      <c r="I498" t="s">
        <v>1354</v>
      </c>
      <c r="J498">
        <v>470.61419999999998</v>
      </c>
    </row>
    <row r="499" spans="1:10">
      <c r="A499" t="s">
        <v>1848</v>
      </c>
      <c r="B499" s="1">
        <v>45754</v>
      </c>
      <c r="C499" t="s">
        <v>444</v>
      </c>
      <c r="D499" t="s">
        <v>1209</v>
      </c>
      <c r="E499" t="s">
        <v>1329</v>
      </c>
      <c r="F499">
        <v>1</v>
      </c>
      <c r="G499">
        <v>414.97</v>
      </c>
      <c r="H499">
        <v>0.22</v>
      </c>
      <c r="I499" t="s">
        <v>1351</v>
      </c>
      <c r="J499">
        <v>323.67660000000001</v>
      </c>
    </row>
    <row r="500" spans="1:10">
      <c r="A500" t="s">
        <v>1849</v>
      </c>
      <c r="B500" s="1">
        <v>45280</v>
      </c>
      <c r="C500" t="s">
        <v>353</v>
      </c>
      <c r="D500" t="s">
        <v>1123</v>
      </c>
      <c r="E500" t="s">
        <v>1319</v>
      </c>
      <c r="F500">
        <v>2</v>
      </c>
      <c r="G500">
        <v>583.51</v>
      </c>
      <c r="H500">
        <v>0.2</v>
      </c>
      <c r="I500" t="s">
        <v>1354</v>
      </c>
      <c r="J500">
        <v>933.61599999999999</v>
      </c>
    </row>
    <row r="501" spans="1:10">
      <c r="A501" t="s">
        <v>1850</v>
      </c>
      <c r="B501" s="1">
        <v>45911</v>
      </c>
      <c r="C501" t="s">
        <v>44</v>
      </c>
      <c r="D501" t="s">
        <v>1135</v>
      </c>
      <c r="E501" t="s">
        <v>1332</v>
      </c>
      <c r="F501">
        <v>1</v>
      </c>
      <c r="G501">
        <v>659.27</v>
      </c>
      <c r="H501">
        <v>0.15</v>
      </c>
      <c r="I501" t="s">
        <v>1351</v>
      </c>
      <c r="J501">
        <v>560.37950000000001</v>
      </c>
    </row>
    <row r="502" spans="1:10">
      <c r="A502" t="s">
        <v>1851</v>
      </c>
      <c r="B502" s="1">
        <v>45627</v>
      </c>
      <c r="C502" t="s">
        <v>953</v>
      </c>
      <c r="D502" t="s">
        <v>1074</v>
      </c>
      <c r="E502" t="s">
        <v>1294</v>
      </c>
      <c r="F502">
        <v>4</v>
      </c>
      <c r="G502">
        <v>106.66</v>
      </c>
      <c r="H502">
        <v>0.2</v>
      </c>
      <c r="I502" t="s">
        <v>1354</v>
      </c>
      <c r="J502">
        <v>341.31200000000001</v>
      </c>
    </row>
    <row r="503" spans="1:10">
      <c r="A503" t="s">
        <v>1852</v>
      </c>
      <c r="B503" s="1">
        <v>45617</v>
      </c>
      <c r="C503" t="s">
        <v>387</v>
      </c>
      <c r="D503" t="s">
        <v>1093</v>
      </c>
      <c r="E503" t="s">
        <v>1298</v>
      </c>
      <c r="F503">
        <v>4</v>
      </c>
      <c r="G503">
        <v>168.55</v>
      </c>
      <c r="H503">
        <v>0.15</v>
      </c>
      <c r="I503" t="s">
        <v>1351</v>
      </c>
      <c r="J503">
        <v>573.07000000000005</v>
      </c>
    </row>
    <row r="504" spans="1:10">
      <c r="A504" t="s">
        <v>1853</v>
      </c>
      <c r="B504" s="1">
        <v>45899</v>
      </c>
      <c r="C504" t="s">
        <v>1037</v>
      </c>
      <c r="D504" t="s">
        <v>1161</v>
      </c>
      <c r="E504" t="s">
        <v>1286</v>
      </c>
      <c r="F504">
        <v>1</v>
      </c>
      <c r="G504">
        <v>230.53</v>
      </c>
      <c r="H504">
        <v>0.06</v>
      </c>
      <c r="I504" t="s">
        <v>1354</v>
      </c>
      <c r="J504">
        <v>216.69820000000001</v>
      </c>
    </row>
    <row r="505" spans="1:10">
      <c r="A505" t="s">
        <v>1854</v>
      </c>
      <c r="B505" s="1">
        <v>45889</v>
      </c>
      <c r="C505" t="s">
        <v>33</v>
      </c>
      <c r="D505" t="s">
        <v>1181</v>
      </c>
      <c r="E505" t="s">
        <v>1282</v>
      </c>
      <c r="F505">
        <v>2</v>
      </c>
      <c r="G505">
        <v>355.41</v>
      </c>
      <c r="H505">
        <v>0.13</v>
      </c>
      <c r="I505" t="s">
        <v>1354</v>
      </c>
      <c r="J505">
        <v>618.41340000000002</v>
      </c>
    </row>
    <row r="506" spans="1:10">
      <c r="A506" t="s">
        <v>1855</v>
      </c>
      <c r="B506" s="1">
        <v>45943</v>
      </c>
      <c r="C506" t="s">
        <v>395</v>
      </c>
      <c r="D506" t="s">
        <v>1167</v>
      </c>
      <c r="E506" t="s">
        <v>1286</v>
      </c>
      <c r="F506">
        <v>3</v>
      </c>
      <c r="G506">
        <v>843.44</v>
      </c>
      <c r="H506">
        <v>0.22</v>
      </c>
      <c r="I506" t="s">
        <v>1349</v>
      </c>
      <c r="J506">
        <v>1973.6496</v>
      </c>
    </row>
    <row r="507" spans="1:10">
      <c r="A507" t="s">
        <v>1856</v>
      </c>
      <c r="B507" s="1">
        <v>45306</v>
      </c>
      <c r="C507" t="s">
        <v>387</v>
      </c>
      <c r="D507" t="s">
        <v>1263</v>
      </c>
      <c r="E507" t="s">
        <v>1282</v>
      </c>
      <c r="F507">
        <v>1</v>
      </c>
      <c r="G507">
        <v>301.60000000000002</v>
      </c>
      <c r="H507">
        <v>0.27</v>
      </c>
      <c r="I507" t="s">
        <v>1349</v>
      </c>
      <c r="J507">
        <v>220.16800000000001</v>
      </c>
    </row>
    <row r="508" spans="1:10">
      <c r="A508" t="s">
        <v>1857</v>
      </c>
      <c r="B508" s="1">
        <v>45772</v>
      </c>
      <c r="C508" t="s">
        <v>123</v>
      </c>
      <c r="D508" t="s">
        <v>1251</v>
      </c>
      <c r="E508" t="s">
        <v>1286</v>
      </c>
      <c r="F508">
        <v>3</v>
      </c>
      <c r="G508">
        <v>21.59</v>
      </c>
      <c r="H508">
        <v>0.16</v>
      </c>
      <c r="I508" t="s">
        <v>1354</v>
      </c>
      <c r="J508">
        <v>54.406799999999997</v>
      </c>
    </row>
    <row r="509" spans="1:10">
      <c r="A509" t="s">
        <v>1858</v>
      </c>
      <c r="B509" s="1">
        <v>45346</v>
      </c>
      <c r="C509" t="s">
        <v>486</v>
      </c>
      <c r="D509" t="s">
        <v>1099</v>
      </c>
      <c r="E509" t="s">
        <v>1286</v>
      </c>
      <c r="F509">
        <v>4</v>
      </c>
      <c r="G509">
        <v>284.24</v>
      </c>
      <c r="H509">
        <v>0.09</v>
      </c>
      <c r="I509" t="s">
        <v>1349</v>
      </c>
      <c r="J509">
        <v>1034.6335999999999</v>
      </c>
    </row>
    <row r="510" spans="1:10">
      <c r="A510" t="s">
        <v>1859</v>
      </c>
      <c r="B510" s="1">
        <v>45656</v>
      </c>
      <c r="C510" t="s">
        <v>799</v>
      </c>
      <c r="D510" t="s">
        <v>1080</v>
      </c>
      <c r="E510" t="s">
        <v>1311</v>
      </c>
      <c r="F510">
        <v>1</v>
      </c>
      <c r="G510">
        <v>191.6</v>
      </c>
      <c r="H510">
        <v>0.27</v>
      </c>
      <c r="I510" t="s">
        <v>1351</v>
      </c>
      <c r="J510">
        <v>139.86799999999999</v>
      </c>
    </row>
    <row r="511" spans="1:10">
      <c r="A511" t="s">
        <v>1860</v>
      </c>
      <c r="B511" s="1">
        <v>45762</v>
      </c>
      <c r="C511" t="s">
        <v>686</v>
      </c>
      <c r="D511" t="s">
        <v>1229</v>
      </c>
      <c r="E511" t="s">
        <v>1319</v>
      </c>
      <c r="F511">
        <v>2</v>
      </c>
      <c r="G511">
        <v>616.97</v>
      </c>
      <c r="H511">
        <v>0.22</v>
      </c>
      <c r="I511" t="s">
        <v>1349</v>
      </c>
      <c r="J511">
        <v>962.47320000000002</v>
      </c>
    </row>
    <row r="512" spans="1:10">
      <c r="A512" t="s">
        <v>1861</v>
      </c>
      <c r="B512" s="1">
        <v>45580</v>
      </c>
      <c r="C512" t="s">
        <v>397</v>
      </c>
      <c r="D512" t="s">
        <v>1129</v>
      </c>
      <c r="E512" t="s">
        <v>1314</v>
      </c>
      <c r="F512">
        <v>3</v>
      </c>
      <c r="G512">
        <v>125.68</v>
      </c>
      <c r="H512">
        <v>0.26</v>
      </c>
      <c r="I512" t="s">
        <v>1354</v>
      </c>
      <c r="J512">
        <v>279.00959999999998</v>
      </c>
    </row>
    <row r="513" spans="1:10">
      <c r="A513" t="s">
        <v>1862</v>
      </c>
      <c r="B513" s="1">
        <v>45676</v>
      </c>
      <c r="C513" t="s">
        <v>768</v>
      </c>
      <c r="D513" t="s">
        <v>1159</v>
      </c>
      <c r="E513" t="s">
        <v>1294</v>
      </c>
      <c r="F513">
        <v>3</v>
      </c>
      <c r="G513">
        <v>307.48</v>
      </c>
      <c r="H513">
        <v>0.24</v>
      </c>
      <c r="I513" t="s">
        <v>1349</v>
      </c>
      <c r="J513">
        <v>701.0544000000001</v>
      </c>
    </row>
    <row r="514" spans="1:10">
      <c r="A514" t="s">
        <v>1863</v>
      </c>
      <c r="B514" s="1">
        <v>45495</v>
      </c>
      <c r="C514" t="s">
        <v>660</v>
      </c>
      <c r="D514" t="s">
        <v>1074</v>
      </c>
      <c r="E514" t="s">
        <v>1338</v>
      </c>
      <c r="F514">
        <v>1</v>
      </c>
      <c r="G514">
        <v>505.23</v>
      </c>
      <c r="H514">
        <v>0.11</v>
      </c>
      <c r="I514" t="s">
        <v>1349</v>
      </c>
      <c r="J514">
        <v>449.65469999999999</v>
      </c>
    </row>
    <row r="515" spans="1:10">
      <c r="A515" t="s">
        <v>1864</v>
      </c>
      <c r="B515" s="1">
        <v>45735</v>
      </c>
      <c r="C515" t="s">
        <v>793</v>
      </c>
      <c r="D515" t="s">
        <v>1163</v>
      </c>
      <c r="E515" t="s">
        <v>1329</v>
      </c>
      <c r="F515">
        <v>1</v>
      </c>
      <c r="G515">
        <v>853.12</v>
      </c>
      <c r="H515">
        <v>0.19</v>
      </c>
      <c r="I515" t="s">
        <v>1354</v>
      </c>
      <c r="J515">
        <v>691.02719999999999</v>
      </c>
    </row>
    <row r="516" spans="1:10">
      <c r="A516" t="s">
        <v>1865</v>
      </c>
      <c r="B516" s="1">
        <v>45312</v>
      </c>
      <c r="C516" t="s">
        <v>319</v>
      </c>
      <c r="D516" t="s">
        <v>1068</v>
      </c>
      <c r="E516" t="s">
        <v>1304</v>
      </c>
      <c r="F516">
        <v>4</v>
      </c>
      <c r="G516">
        <v>191.65</v>
      </c>
      <c r="H516">
        <v>0.19</v>
      </c>
      <c r="I516" t="s">
        <v>1351</v>
      </c>
      <c r="J516">
        <v>620.94600000000003</v>
      </c>
    </row>
    <row r="517" spans="1:10">
      <c r="A517" t="s">
        <v>1866</v>
      </c>
      <c r="B517" s="1">
        <v>45286</v>
      </c>
      <c r="C517" t="s">
        <v>381</v>
      </c>
      <c r="D517" t="s">
        <v>1167</v>
      </c>
      <c r="E517" t="s">
        <v>1291</v>
      </c>
      <c r="F517">
        <v>1</v>
      </c>
      <c r="G517">
        <v>169.69</v>
      </c>
      <c r="H517">
        <v>0.22</v>
      </c>
      <c r="I517" t="s">
        <v>1349</v>
      </c>
      <c r="J517">
        <v>132.35820000000001</v>
      </c>
    </row>
    <row r="518" spans="1:10">
      <c r="A518" t="s">
        <v>1867</v>
      </c>
      <c r="B518" s="1">
        <v>45372</v>
      </c>
      <c r="C518" t="s">
        <v>411</v>
      </c>
      <c r="D518" t="s">
        <v>1197</v>
      </c>
      <c r="E518" t="s">
        <v>1324</v>
      </c>
      <c r="F518">
        <v>1</v>
      </c>
      <c r="G518">
        <v>145.43</v>
      </c>
      <c r="H518">
        <v>0.08</v>
      </c>
      <c r="I518" t="s">
        <v>1349</v>
      </c>
      <c r="J518">
        <v>133.79560000000001</v>
      </c>
    </row>
    <row r="519" spans="1:10">
      <c r="A519" t="s">
        <v>1868</v>
      </c>
      <c r="B519" s="1">
        <v>45633</v>
      </c>
      <c r="C519" t="s">
        <v>222</v>
      </c>
      <c r="D519" t="s">
        <v>1259</v>
      </c>
      <c r="E519" t="s">
        <v>1319</v>
      </c>
      <c r="F519">
        <v>4</v>
      </c>
      <c r="G519">
        <v>828.35</v>
      </c>
      <c r="H519">
        <v>0.17</v>
      </c>
      <c r="I519" t="s">
        <v>1349</v>
      </c>
      <c r="J519">
        <v>2750.1219999999998</v>
      </c>
    </row>
    <row r="520" spans="1:10">
      <c r="A520" t="s">
        <v>1869</v>
      </c>
      <c r="B520" s="1">
        <v>45598</v>
      </c>
      <c r="C520" t="s">
        <v>787</v>
      </c>
      <c r="D520" t="s">
        <v>1263</v>
      </c>
      <c r="E520" t="s">
        <v>1304</v>
      </c>
      <c r="F520">
        <v>3</v>
      </c>
      <c r="G520">
        <v>268.76</v>
      </c>
      <c r="H520">
        <v>0.01</v>
      </c>
      <c r="I520" t="s">
        <v>1351</v>
      </c>
      <c r="J520">
        <v>798.21719999999993</v>
      </c>
    </row>
    <row r="521" spans="1:10">
      <c r="A521" t="s">
        <v>1870</v>
      </c>
      <c r="B521" s="1">
        <v>45495</v>
      </c>
      <c r="C521" t="s">
        <v>529</v>
      </c>
      <c r="D521" t="s">
        <v>1249</v>
      </c>
      <c r="E521" t="s">
        <v>1277</v>
      </c>
      <c r="F521">
        <v>4</v>
      </c>
      <c r="G521">
        <v>370.09</v>
      </c>
      <c r="H521">
        <v>0.22</v>
      </c>
      <c r="I521" t="s">
        <v>1354</v>
      </c>
      <c r="J521">
        <v>1154.6808000000001</v>
      </c>
    </row>
    <row r="522" spans="1:10">
      <c r="A522" t="s">
        <v>1871</v>
      </c>
      <c r="B522" s="1">
        <v>45229</v>
      </c>
      <c r="C522" t="s">
        <v>569</v>
      </c>
      <c r="D522" t="s">
        <v>1229</v>
      </c>
      <c r="E522" t="s">
        <v>1301</v>
      </c>
      <c r="F522">
        <v>3</v>
      </c>
      <c r="G522">
        <v>679.22</v>
      </c>
      <c r="H522">
        <v>0.11</v>
      </c>
      <c r="I522" t="s">
        <v>1351</v>
      </c>
      <c r="J522">
        <v>1813.5174</v>
      </c>
    </row>
    <row r="523" spans="1:10">
      <c r="A523" t="s">
        <v>1872</v>
      </c>
      <c r="B523" s="1">
        <v>45433</v>
      </c>
      <c r="C523" t="s">
        <v>809</v>
      </c>
      <c r="D523" t="s">
        <v>1219</v>
      </c>
      <c r="E523" t="s">
        <v>1277</v>
      </c>
      <c r="F523">
        <v>3</v>
      </c>
      <c r="G523">
        <v>780.69</v>
      </c>
      <c r="H523">
        <v>0.1</v>
      </c>
      <c r="I523" t="s">
        <v>1354</v>
      </c>
      <c r="J523">
        <v>2107.8629999999998</v>
      </c>
    </row>
    <row r="524" spans="1:10">
      <c r="A524" t="s">
        <v>1873</v>
      </c>
      <c r="B524" s="1">
        <v>45766</v>
      </c>
      <c r="C524" t="s">
        <v>585</v>
      </c>
      <c r="D524" t="s">
        <v>1157</v>
      </c>
      <c r="E524" t="s">
        <v>1286</v>
      </c>
      <c r="F524">
        <v>2</v>
      </c>
      <c r="G524">
        <v>42.97</v>
      </c>
      <c r="H524">
        <v>0.18</v>
      </c>
      <c r="I524" t="s">
        <v>1351</v>
      </c>
      <c r="J524">
        <v>70.470799999999997</v>
      </c>
    </row>
    <row r="525" spans="1:10">
      <c r="A525" t="s">
        <v>1874</v>
      </c>
      <c r="B525" s="1">
        <v>45639</v>
      </c>
      <c r="C525" t="s">
        <v>636</v>
      </c>
      <c r="D525" t="s">
        <v>1237</v>
      </c>
      <c r="E525" t="s">
        <v>1277</v>
      </c>
      <c r="F525">
        <v>4</v>
      </c>
      <c r="G525">
        <v>854.37</v>
      </c>
      <c r="H525">
        <v>7.0000000000000007E-2</v>
      </c>
      <c r="I525" t="s">
        <v>1351</v>
      </c>
      <c r="J525">
        <v>3178.2564000000002</v>
      </c>
    </row>
    <row r="526" spans="1:10">
      <c r="A526" t="s">
        <v>1875</v>
      </c>
      <c r="B526" s="1">
        <v>45774</v>
      </c>
      <c r="C526" t="s">
        <v>258</v>
      </c>
      <c r="D526" t="s">
        <v>1121</v>
      </c>
      <c r="E526" t="s">
        <v>1329</v>
      </c>
      <c r="F526">
        <v>2</v>
      </c>
      <c r="G526">
        <v>409.52</v>
      </c>
      <c r="H526">
        <v>0.06</v>
      </c>
      <c r="I526" t="s">
        <v>1354</v>
      </c>
      <c r="J526">
        <v>769.8975999999999</v>
      </c>
    </row>
    <row r="527" spans="1:10">
      <c r="A527" t="s">
        <v>1876</v>
      </c>
      <c r="B527" s="1">
        <v>45569</v>
      </c>
      <c r="C527" t="s">
        <v>389</v>
      </c>
      <c r="D527" t="s">
        <v>1221</v>
      </c>
      <c r="E527" t="s">
        <v>1314</v>
      </c>
      <c r="F527">
        <v>2</v>
      </c>
      <c r="G527">
        <v>407.46</v>
      </c>
      <c r="H527">
        <v>0.21</v>
      </c>
      <c r="I527" t="s">
        <v>1349</v>
      </c>
      <c r="J527">
        <v>643.78679999999997</v>
      </c>
    </row>
    <row r="528" spans="1:10">
      <c r="A528" t="s">
        <v>1877</v>
      </c>
      <c r="B528" s="1">
        <v>45856</v>
      </c>
      <c r="C528" t="s">
        <v>519</v>
      </c>
      <c r="D528" t="s">
        <v>1078</v>
      </c>
      <c r="E528" t="s">
        <v>1307</v>
      </c>
      <c r="F528">
        <v>1</v>
      </c>
      <c r="G528">
        <v>728.84</v>
      </c>
      <c r="H528">
        <v>0.28000000000000003</v>
      </c>
      <c r="I528" t="s">
        <v>1351</v>
      </c>
      <c r="J528">
        <v>524.76480000000004</v>
      </c>
    </row>
    <row r="529" spans="1:10">
      <c r="A529" t="s">
        <v>1878</v>
      </c>
      <c r="B529" s="1">
        <v>45362</v>
      </c>
      <c r="C529" t="s">
        <v>969</v>
      </c>
      <c r="D529" t="s">
        <v>1229</v>
      </c>
      <c r="E529" t="s">
        <v>1301</v>
      </c>
      <c r="F529">
        <v>4</v>
      </c>
      <c r="G529">
        <v>467.24</v>
      </c>
      <c r="H529">
        <v>0.08</v>
      </c>
      <c r="I529" t="s">
        <v>1351</v>
      </c>
      <c r="J529">
        <v>1719.4431999999999</v>
      </c>
    </row>
    <row r="530" spans="1:10">
      <c r="A530" t="s">
        <v>1879</v>
      </c>
      <c r="B530" s="1">
        <v>45457</v>
      </c>
      <c r="C530" t="s">
        <v>242</v>
      </c>
      <c r="D530" t="s">
        <v>1093</v>
      </c>
      <c r="E530" t="s">
        <v>1317</v>
      </c>
      <c r="F530">
        <v>1</v>
      </c>
      <c r="G530">
        <v>57.94</v>
      </c>
      <c r="H530">
        <v>0.13</v>
      </c>
      <c r="I530" t="s">
        <v>1351</v>
      </c>
      <c r="J530">
        <v>50.407799999999988</v>
      </c>
    </row>
    <row r="531" spans="1:10">
      <c r="A531" t="s">
        <v>1880</v>
      </c>
      <c r="B531" s="1">
        <v>45338</v>
      </c>
      <c r="C531" t="s">
        <v>752</v>
      </c>
      <c r="D531" t="s">
        <v>1171</v>
      </c>
      <c r="E531" t="s">
        <v>1332</v>
      </c>
      <c r="F531">
        <v>1</v>
      </c>
      <c r="G531">
        <v>540.1</v>
      </c>
      <c r="H531">
        <v>0.22</v>
      </c>
      <c r="I531" t="s">
        <v>1349</v>
      </c>
      <c r="J531">
        <v>421.27800000000002</v>
      </c>
    </row>
    <row r="532" spans="1:10">
      <c r="A532" t="s">
        <v>1881</v>
      </c>
      <c r="B532" s="1">
        <v>45552</v>
      </c>
      <c r="C532" t="s">
        <v>206</v>
      </c>
      <c r="D532" t="s">
        <v>1087</v>
      </c>
      <c r="E532" t="s">
        <v>1338</v>
      </c>
      <c r="F532">
        <v>4</v>
      </c>
      <c r="G532">
        <v>816.28</v>
      </c>
      <c r="H532">
        <v>0.15</v>
      </c>
      <c r="I532" t="s">
        <v>1354</v>
      </c>
      <c r="J532">
        <v>2775.3519999999999</v>
      </c>
    </row>
    <row r="533" spans="1:10">
      <c r="A533" t="s">
        <v>1882</v>
      </c>
      <c r="B533" s="1">
        <v>45895</v>
      </c>
      <c r="C533" t="s">
        <v>418</v>
      </c>
      <c r="D533" t="s">
        <v>1157</v>
      </c>
      <c r="E533" t="s">
        <v>1307</v>
      </c>
      <c r="F533">
        <v>4</v>
      </c>
      <c r="G533">
        <v>727.49</v>
      </c>
      <c r="H533">
        <v>0.11</v>
      </c>
      <c r="I533" t="s">
        <v>1349</v>
      </c>
      <c r="J533">
        <v>2589.8643999999999</v>
      </c>
    </row>
    <row r="534" spans="1:10">
      <c r="A534" t="s">
        <v>1883</v>
      </c>
      <c r="B534" s="1">
        <v>45447</v>
      </c>
      <c r="C534" t="s">
        <v>403</v>
      </c>
      <c r="D534" t="s">
        <v>1245</v>
      </c>
      <c r="E534" t="s">
        <v>1322</v>
      </c>
      <c r="F534">
        <v>4</v>
      </c>
      <c r="G534">
        <v>817.92</v>
      </c>
      <c r="H534">
        <v>0.21</v>
      </c>
      <c r="I534" t="s">
        <v>1349</v>
      </c>
      <c r="J534">
        <v>2584.6271999999999</v>
      </c>
    </row>
    <row r="535" spans="1:10">
      <c r="A535" t="s">
        <v>1884</v>
      </c>
      <c r="B535" s="1">
        <v>45578</v>
      </c>
      <c r="C535" t="s">
        <v>714</v>
      </c>
      <c r="D535" t="s">
        <v>1149</v>
      </c>
      <c r="E535" t="s">
        <v>1304</v>
      </c>
      <c r="F535">
        <v>2</v>
      </c>
      <c r="G535">
        <v>358.45</v>
      </c>
      <c r="H535">
        <v>7.0000000000000007E-2</v>
      </c>
      <c r="I535" t="s">
        <v>1354</v>
      </c>
      <c r="J535">
        <v>666.71699999999998</v>
      </c>
    </row>
    <row r="536" spans="1:10">
      <c r="A536" t="s">
        <v>1885</v>
      </c>
      <c r="B536" s="1">
        <v>45697</v>
      </c>
      <c r="C536" t="s">
        <v>464</v>
      </c>
      <c r="D536" t="s">
        <v>1247</v>
      </c>
      <c r="E536" t="s">
        <v>1311</v>
      </c>
      <c r="F536">
        <v>1</v>
      </c>
      <c r="G536">
        <v>972.06</v>
      </c>
      <c r="H536">
        <v>0.3</v>
      </c>
      <c r="I536" t="s">
        <v>1354</v>
      </c>
      <c r="J536">
        <v>680.44199999999989</v>
      </c>
    </row>
    <row r="537" spans="1:10">
      <c r="A537" t="s">
        <v>1886</v>
      </c>
      <c r="B537" s="1">
        <v>45281</v>
      </c>
      <c r="C537" t="s">
        <v>99</v>
      </c>
      <c r="D537" t="s">
        <v>1105</v>
      </c>
      <c r="E537" t="s">
        <v>1277</v>
      </c>
      <c r="F537">
        <v>1</v>
      </c>
      <c r="G537">
        <v>791.36</v>
      </c>
      <c r="H537">
        <v>0.06</v>
      </c>
      <c r="I537" t="s">
        <v>1351</v>
      </c>
      <c r="J537">
        <v>743.87839999999994</v>
      </c>
    </row>
    <row r="538" spans="1:10">
      <c r="A538" t="s">
        <v>1887</v>
      </c>
      <c r="B538" s="1">
        <v>45855</v>
      </c>
      <c r="C538" t="s">
        <v>692</v>
      </c>
      <c r="D538" t="s">
        <v>1201</v>
      </c>
      <c r="E538" t="s">
        <v>1298</v>
      </c>
      <c r="F538">
        <v>4</v>
      </c>
      <c r="G538">
        <v>839.65</v>
      </c>
      <c r="H538">
        <v>0.26</v>
      </c>
      <c r="I538" t="s">
        <v>1354</v>
      </c>
      <c r="J538">
        <v>2485.364</v>
      </c>
    </row>
    <row r="539" spans="1:10">
      <c r="A539" t="s">
        <v>1888</v>
      </c>
      <c r="B539" s="1">
        <v>45793</v>
      </c>
      <c r="C539" t="s">
        <v>573</v>
      </c>
      <c r="D539" t="s">
        <v>1217</v>
      </c>
      <c r="E539" t="s">
        <v>1286</v>
      </c>
      <c r="F539">
        <v>2</v>
      </c>
      <c r="G539">
        <v>245.52</v>
      </c>
      <c r="H539">
        <v>0.11</v>
      </c>
      <c r="I539" t="s">
        <v>1354</v>
      </c>
      <c r="J539">
        <v>437.0256</v>
      </c>
    </row>
    <row r="540" spans="1:10">
      <c r="A540" t="s">
        <v>1889</v>
      </c>
      <c r="B540" s="1">
        <v>45881</v>
      </c>
      <c r="C540" t="s">
        <v>839</v>
      </c>
      <c r="D540" t="s">
        <v>1237</v>
      </c>
      <c r="E540" t="s">
        <v>1307</v>
      </c>
      <c r="F540">
        <v>3</v>
      </c>
      <c r="G540">
        <v>787.91</v>
      </c>
      <c r="H540">
        <v>0.06</v>
      </c>
      <c r="I540" t="s">
        <v>1351</v>
      </c>
      <c r="J540">
        <v>2221.9061999999999</v>
      </c>
    </row>
    <row r="541" spans="1:10">
      <c r="A541" t="s">
        <v>1890</v>
      </c>
      <c r="B541" s="1">
        <v>45890</v>
      </c>
      <c r="C541" t="s">
        <v>150</v>
      </c>
      <c r="D541" t="s">
        <v>1223</v>
      </c>
      <c r="E541" t="s">
        <v>1294</v>
      </c>
      <c r="F541">
        <v>2</v>
      </c>
      <c r="G541">
        <v>709.17</v>
      </c>
      <c r="H541">
        <v>0.22</v>
      </c>
      <c r="I541" t="s">
        <v>1349</v>
      </c>
      <c r="J541">
        <v>1106.3052</v>
      </c>
    </row>
    <row r="542" spans="1:10">
      <c r="A542" t="s">
        <v>1891</v>
      </c>
      <c r="B542" s="1">
        <v>45251</v>
      </c>
      <c r="C542" t="s">
        <v>533</v>
      </c>
      <c r="D542" t="s">
        <v>1255</v>
      </c>
      <c r="E542" t="s">
        <v>1304</v>
      </c>
      <c r="F542">
        <v>2</v>
      </c>
      <c r="G542">
        <v>533.91999999999996</v>
      </c>
      <c r="H542">
        <v>0.13</v>
      </c>
      <c r="I542" t="s">
        <v>1349</v>
      </c>
      <c r="J542">
        <v>929.02079999999989</v>
      </c>
    </row>
    <row r="543" spans="1:10">
      <c r="A543" t="s">
        <v>1892</v>
      </c>
      <c r="B543" s="1">
        <v>45695</v>
      </c>
      <c r="C543" t="s">
        <v>1045</v>
      </c>
      <c r="D543" t="s">
        <v>1157</v>
      </c>
      <c r="E543" t="s">
        <v>1277</v>
      </c>
      <c r="F543">
        <v>1</v>
      </c>
      <c r="G543">
        <v>878.84</v>
      </c>
      <c r="H543">
        <v>0.28000000000000003</v>
      </c>
      <c r="I543" t="s">
        <v>1354</v>
      </c>
      <c r="J543">
        <v>632.76480000000004</v>
      </c>
    </row>
    <row r="544" spans="1:10">
      <c r="A544" t="s">
        <v>1893</v>
      </c>
      <c r="B544" s="1">
        <v>45287</v>
      </c>
      <c r="C544" t="s">
        <v>470</v>
      </c>
      <c r="D544" t="s">
        <v>1161</v>
      </c>
      <c r="E544" t="s">
        <v>1329</v>
      </c>
      <c r="F544">
        <v>1</v>
      </c>
      <c r="G544">
        <v>442.36</v>
      </c>
      <c r="H544">
        <v>0.14000000000000001</v>
      </c>
      <c r="I544" t="s">
        <v>1349</v>
      </c>
      <c r="J544">
        <v>380.42959999999999</v>
      </c>
    </row>
    <row r="545" spans="1:10">
      <c r="A545" t="s">
        <v>1894</v>
      </c>
      <c r="B545" s="1">
        <v>45711</v>
      </c>
      <c r="C545" t="s">
        <v>730</v>
      </c>
      <c r="D545" t="s">
        <v>1143</v>
      </c>
      <c r="E545" t="s">
        <v>1301</v>
      </c>
      <c r="F545">
        <v>1</v>
      </c>
      <c r="G545">
        <v>763.34</v>
      </c>
      <c r="H545">
        <v>0.11</v>
      </c>
      <c r="I545" t="s">
        <v>1354</v>
      </c>
      <c r="J545">
        <v>679.37260000000003</v>
      </c>
    </row>
    <row r="546" spans="1:10">
      <c r="A546" t="s">
        <v>1895</v>
      </c>
      <c r="B546" s="1">
        <v>45842</v>
      </c>
      <c r="C546" t="s">
        <v>393</v>
      </c>
      <c r="D546" t="s">
        <v>1191</v>
      </c>
      <c r="E546" t="s">
        <v>1335</v>
      </c>
      <c r="F546">
        <v>3</v>
      </c>
      <c r="G546">
        <v>178.22</v>
      </c>
      <c r="H546">
        <v>0.15</v>
      </c>
      <c r="I546" t="s">
        <v>1354</v>
      </c>
      <c r="J546">
        <v>454.46100000000001</v>
      </c>
    </row>
    <row r="547" spans="1:10">
      <c r="A547" t="s">
        <v>1896</v>
      </c>
      <c r="B547" s="1">
        <v>45255</v>
      </c>
      <c r="C547" t="s">
        <v>265</v>
      </c>
      <c r="D547" t="s">
        <v>1125</v>
      </c>
      <c r="E547" t="s">
        <v>1282</v>
      </c>
      <c r="F547">
        <v>4</v>
      </c>
      <c r="G547">
        <v>90.32</v>
      </c>
      <c r="H547">
        <v>0.08</v>
      </c>
      <c r="I547" t="s">
        <v>1351</v>
      </c>
      <c r="J547">
        <v>332.37759999999997</v>
      </c>
    </row>
    <row r="548" spans="1:10">
      <c r="A548" t="s">
        <v>1897</v>
      </c>
      <c r="B548" s="1">
        <v>45695</v>
      </c>
      <c r="C548" t="s">
        <v>819</v>
      </c>
      <c r="D548" t="s">
        <v>1093</v>
      </c>
      <c r="E548" t="s">
        <v>1301</v>
      </c>
      <c r="F548">
        <v>3</v>
      </c>
      <c r="G548">
        <v>370.93</v>
      </c>
      <c r="H548">
        <v>0</v>
      </c>
      <c r="I548" t="s">
        <v>1349</v>
      </c>
      <c r="J548">
        <v>1112.79</v>
      </c>
    </row>
    <row r="549" spans="1:10">
      <c r="A549" t="s">
        <v>1898</v>
      </c>
      <c r="B549" s="1">
        <v>45281</v>
      </c>
      <c r="C549" t="s">
        <v>133</v>
      </c>
      <c r="D549" t="s">
        <v>1119</v>
      </c>
      <c r="E549" t="s">
        <v>1326</v>
      </c>
      <c r="F549">
        <v>1</v>
      </c>
      <c r="G549">
        <v>352.43</v>
      </c>
      <c r="H549">
        <v>0.14000000000000001</v>
      </c>
      <c r="I549" t="s">
        <v>1351</v>
      </c>
      <c r="J549">
        <v>303.08980000000003</v>
      </c>
    </row>
    <row r="550" spans="1:10">
      <c r="A550" t="s">
        <v>1899</v>
      </c>
      <c r="B550" s="1">
        <v>45295</v>
      </c>
      <c r="C550" t="s">
        <v>306</v>
      </c>
      <c r="D550" t="s">
        <v>1097</v>
      </c>
      <c r="E550" t="s">
        <v>1326</v>
      </c>
      <c r="F550">
        <v>2</v>
      </c>
      <c r="G550">
        <v>562.97</v>
      </c>
      <c r="H550">
        <v>0.2</v>
      </c>
      <c r="I550" t="s">
        <v>1349</v>
      </c>
      <c r="J550">
        <v>900.75200000000007</v>
      </c>
    </row>
    <row r="551" spans="1:10">
      <c r="A551" t="s">
        <v>1900</v>
      </c>
      <c r="B551" s="1">
        <v>45260</v>
      </c>
      <c r="C551" t="s">
        <v>375</v>
      </c>
      <c r="D551" t="s">
        <v>1183</v>
      </c>
      <c r="E551" t="s">
        <v>1304</v>
      </c>
      <c r="F551">
        <v>1</v>
      </c>
      <c r="G551">
        <v>522.85</v>
      </c>
      <c r="H551">
        <v>0.12</v>
      </c>
      <c r="I551" t="s">
        <v>1351</v>
      </c>
      <c r="J551">
        <v>460.108</v>
      </c>
    </row>
    <row r="552" spans="1:10">
      <c r="A552" t="s">
        <v>1901</v>
      </c>
      <c r="B552" s="1">
        <v>45851</v>
      </c>
      <c r="C552" t="s">
        <v>762</v>
      </c>
      <c r="D552" t="s">
        <v>1115</v>
      </c>
      <c r="E552" t="s">
        <v>1329</v>
      </c>
      <c r="F552">
        <v>4</v>
      </c>
      <c r="G552">
        <v>714.89</v>
      </c>
      <c r="H552">
        <v>0.15</v>
      </c>
      <c r="I552" t="s">
        <v>1349</v>
      </c>
      <c r="J552">
        <v>2430.6260000000002</v>
      </c>
    </row>
    <row r="553" spans="1:10">
      <c r="A553" t="s">
        <v>1902</v>
      </c>
      <c r="B553" s="1">
        <v>45222</v>
      </c>
      <c r="C553" t="s">
        <v>436</v>
      </c>
      <c r="D553" t="s">
        <v>1159</v>
      </c>
      <c r="E553" t="s">
        <v>1286</v>
      </c>
      <c r="F553">
        <v>3</v>
      </c>
      <c r="G553">
        <v>137.77000000000001</v>
      </c>
      <c r="H553">
        <v>0.26</v>
      </c>
      <c r="I553" t="s">
        <v>1351</v>
      </c>
      <c r="J553">
        <v>305.84940000000012</v>
      </c>
    </row>
    <row r="554" spans="1:10">
      <c r="A554" t="s">
        <v>1903</v>
      </c>
      <c r="B554" s="1">
        <v>45940</v>
      </c>
      <c r="C554" t="s">
        <v>87</v>
      </c>
      <c r="D554" t="s">
        <v>1257</v>
      </c>
      <c r="E554" t="s">
        <v>1317</v>
      </c>
      <c r="F554">
        <v>3</v>
      </c>
      <c r="G554">
        <v>862.18</v>
      </c>
      <c r="H554">
        <v>0.22</v>
      </c>
      <c r="I554" t="s">
        <v>1351</v>
      </c>
      <c r="J554">
        <v>2017.5011999999999</v>
      </c>
    </row>
    <row r="555" spans="1:10">
      <c r="A555" t="s">
        <v>1904</v>
      </c>
      <c r="B555" s="1">
        <v>45822</v>
      </c>
      <c r="C555" t="s">
        <v>159</v>
      </c>
      <c r="D555" t="s">
        <v>1149</v>
      </c>
      <c r="E555" t="s">
        <v>1324</v>
      </c>
      <c r="F555">
        <v>2</v>
      </c>
      <c r="G555">
        <v>833.64</v>
      </c>
      <c r="H555">
        <v>0.24</v>
      </c>
      <c r="I555" t="s">
        <v>1351</v>
      </c>
      <c r="J555">
        <v>1267.1328000000001</v>
      </c>
    </row>
    <row r="556" spans="1:10">
      <c r="A556" t="s">
        <v>1905</v>
      </c>
      <c r="B556" s="1">
        <v>45752</v>
      </c>
      <c r="C556" t="s">
        <v>604</v>
      </c>
      <c r="D556" t="s">
        <v>1111</v>
      </c>
      <c r="E556" t="s">
        <v>1326</v>
      </c>
      <c r="F556">
        <v>3</v>
      </c>
      <c r="G556">
        <v>543.22</v>
      </c>
      <c r="H556">
        <v>0.05</v>
      </c>
      <c r="I556" t="s">
        <v>1354</v>
      </c>
      <c r="J556">
        <v>1548.1769999999999</v>
      </c>
    </row>
    <row r="557" spans="1:10">
      <c r="A557" t="s">
        <v>1906</v>
      </c>
      <c r="B557" s="1">
        <v>45677</v>
      </c>
      <c r="C557" t="s">
        <v>620</v>
      </c>
      <c r="D557" t="s">
        <v>1249</v>
      </c>
      <c r="E557" t="s">
        <v>1286</v>
      </c>
      <c r="F557">
        <v>3</v>
      </c>
      <c r="G557">
        <v>691.02</v>
      </c>
      <c r="H557">
        <v>0.12</v>
      </c>
      <c r="I557" t="s">
        <v>1354</v>
      </c>
      <c r="J557">
        <v>1824.2927999999999</v>
      </c>
    </row>
    <row r="558" spans="1:10">
      <c r="A558" t="s">
        <v>1907</v>
      </c>
      <c r="B558" s="1">
        <v>45253</v>
      </c>
      <c r="C558" t="s">
        <v>229</v>
      </c>
      <c r="D558" t="s">
        <v>1245</v>
      </c>
      <c r="E558" t="s">
        <v>1332</v>
      </c>
      <c r="F558">
        <v>4</v>
      </c>
      <c r="G558">
        <v>338.73</v>
      </c>
      <c r="H558">
        <v>0.18</v>
      </c>
      <c r="I558" t="s">
        <v>1349</v>
      </c>
      <c r="J558">
        <v>1111.0344</v>
      </c>
    </row>
    <row r="559" spans="1:10">
      <c r="A559" t="s">
        <v>1908</v>
      </c>
      <c r="B559" s="1">
        <v>45389</v>
      </c>
      <c r="C559" t="s">
        <v>170</v>
      </c>
      <c r="D559" t="s">
        <v>1241</v>
      </c>
      <c r="E559" t="s">
        <v>1329</v>
      </c>
      <c r="F559">
        <v>3</v>
      </c>
      <c r="G559">
        <v>366.08</v>
      </c>
      <c r="H559">
        <v>0.05</v>
      </c>
      <c r="I559" t="s">
        <v>1349</v>
      </c>
      <c r="J559">
        <v>1043.328</v>
      </c>
    </row>
    <row r="560" spans="1:10">
      <c r="A560" t="s">
        <v>1909</v>
      </c>
      <c r="B560" s="1">
        <v>45840</v>
      </c>
      <c r="C560" t="s">
        <v>269</v>
      </c>
      <c r="D560" t="s">
        <v>1099</v>
      </c>
      <c r="E560" t="s">
        <v>1322</v>
      </c>
      <c r="F560">
        <v>4</v>
      </c>
      <c r="G560">
        <v>539.48</v>
      </c>
      <c r="H560">
        <v>0.28000000000000003</v>
      </c>
      <c r="I560" t="s">
        <v>1354</v>
      </c>
      <c r="J560">
        <v>1553.7023999999999</v>
      </c>
    </row>
    <row r="561" spans="1:10">
      <c r="A561" t="s">
        <v>1910</v>
      </c>
      <c r="B561" s="1">
        <v>45256</v>
      </c>
      <c r="C561" t="s">
        <v>841</v>
      </c>
      <c r="D561" t="s">
        <v>1255</v>
      </c>
      <c r="E561" t="s">
        <v>1329</v>
      </c>
      <c r="F561">
        <v>1</v>
      </c>
      <c r="G561">
        <v>499.59</v>
      </c>
      <c r="H561">
        <v>0.03</v>
      </c>
      <c r="I561" t="s">
        <v>1354</v>
      </c>
      <c r="J561">
        <v>484.60230000000001</v>
      </c>
    </row>
    <row r="562" spans="1:10">
      <c r="A562" t="s">
        <v>1911</v>
      </c>
      <c r="B562" s="1">
        <v>45326</v>
      </c>
      <c r="C562" t="s">
        <v>438</v>
      </c>
      <c r="D562" t="s">
        <v>1133</v>
      </c>
      <c r="E562" t="s">
        <v>1307</v>
      </c>
      <c r="F562">
        <v>3</v>
      </c>
      <c r="G562">
        <v>330.04</v>
      </c>
      <c r="H562">
        <v>0.2</v>
      </c>
      <c r="I562" t="s">
        <v>1349</v>
      </c>
      <c r="J562">
        <v>792.09600000000012</v>
      </c>
    </row>
    <row r="563" spans="1:10">
      <c r="A563" t="s">
        <v>1912</v>
      </c>
      <c r="B563" s="1">
        <v>45459</v>
      </c>
      <c r="C563" t="s">
        <v>426</v>
      </c>
      <c r="D563" t="s">
        <v>1095</v>
      </c>
      <c r="E563" t="s">
        <v>1332</v>
      </c>
      <c r="F563">
        <v>2</v>
      </c>
      <c r="G563">
        <v>813.01</v>
      </c>
      <c r="H563">
        <v>0.06</v>
      </c>
      <c r="I563" t="s">
        <v>1351</v>
      </c>
      <c r="J563">
        <v>1528.4588000000001</v>
      </c>
    </row>
    <row r="564" spans="1:10">
      <c r="A564" t="s">
        <v>1913</v>
      </c>
      <c r="B564" s="1">
        <v>45715</v>
      </c>
      <c r="C564" t="s">
        <v>84</v>
      </c>
      <c r="D564" t="s">
        <v>1071</v>
      </c>
      <c r="E564" t="s">
        <v>1286</v>
      </c>
      <c r="F564">
        <v>4</v>
      </c>
      <c r="G564">
        <v>204.8</v>
      </c>
      <c r="H564">
        <v>0.03</v>
      </c>
      <c r="I564" t="s">
        <v>1351</v>
      </c>
      <c r="J564">
        <v>794.62400000000002</v>
      </c>
    </row>
    <row r="565" spans="1:10">
      <c r="A565" t="s">
        <v>1914</v>
      </c>
      <c r="B565" s="1">
        <v>45223</v>
      </c>
      <c r="C565" t="s">
        <v>44</v>
      </c>
      <c r="D565" t="s">
        <v>1076</v>
      </c>
      <c r="E565" t="s">
        <v>1291</v>
      </c>
      <c r="F565">
        <v>3</v>
      </c>
      <c r="G565">
        <v>728.32</v>
      </c>
      <c r="H565">
        <v>0.01</v>
      </c>
      <c r="I565" t="s">
        <v>1349</v>
      </c>
      <c r="J565">
        <v>2163.1104</v>
      </c>
    </row>
    <row r="566" spans="1:10">
      <c r="A566" t="s">
        <v>1915</v>
      </c>
      <c r="B566" s="1">
        <v>45507</v>
      </c>
      <c r="C566" t="s">
        <v>967</v>
      </c>
      <c r="D566" t="s">
        <v>1191</v>
      </c>
      <c r="E566" t="s">
        <v>1304</v>
      </c>
      <c r="F566">
        <v>3</v>
      </c>
      <c r="G566">
        <v>836.4</v>
      </c>
      <c r="H566">
        <v>0</v>
      </c>
      <c r="I566" t="s">
        <v>1349</v>
      </c>
      <c r="J566">
        <v>2509.1999999999998</v>
      </c>
    </row>
    <row r="567" spans="1:10">
      <c r="A567" t="s">
        <v>1916</v>
      </c>
      <c r="B567" s="1">
        <v>45843</v>
      </c>
      <c r="C567" t="s">
        <v>359</v>
      </c>
      <c r="D567" t="s">
        <v>1253</v>
      </c>
      <c r="E567" t="s">
        <v>1319</v>
      </c>
      <c r="F567">
        <v>1</v>
      </c>
      <c r="G567">
        <v>780.16</v>
      </c>
      <c r="H567">
        <v>0.02</v>
      </c>
      <c r="I567" t="s">
        <v>1354</v>
      </c>
      <c r="J567">
        <v>764.55679999999995</v>
      </c>
    </row>
    <row r="568" spans="1:10">
      <c r="A568" t="s">
        <v>1917</v>
      </c>
      <c r="B568" s="1">
        <v>45804</v>
      </c>
      <c r="C568" t="s">
        <v>1002</v>
      </c>
      <c r="D568" t="s">
        <v>1165</v>
      </c>
      <c r="E568" t="s">
        <v>1322</v>
      </c>
      <c r="F568">
        <v>4</v>
      </c>
      <c r="G568">
        <v>354.12</v>
      </c>
      <c r="H568">
        <v>0.06</v>
      </c>
      <c r="I568" t="s">
        <v>1351</v>
      </c>
      <c r="J568">
        <v>1331.4911999999999</v>
      </c>
    </row>
    <row r="569" spans="1:10">
      <c r="A569" t="s">
        <v>1918</v>
      </c>
      <c r="B569" s="1">
        <v>45602</v>
      </c>
      <c r="C569" t="s">
        <v>967</v>
      </c>
      <c r="D569" t="s">
        <v>1199</v>
      </c>
      <c r="E569" t="s">
        <v>1286</v>
      </c>
      <c r="F569">
        <v>4</v>
      </c>
      <c r="G569">
        <v>282.48</v>
      </c>
      <c r="H569">
        <v>0.11</v>
      </c>
      <c r="I569" t="s">
        <v>1351</v>
      </c>
      <c r="J569">
        <v>1005.6288</v>
      </c>
    </row>
    <row r="570" spans="1:10">
      <c r="A570" t="s">
        <v>1919</v>
      </c>
      <c r="B570" s="1">
        <v>45446</v>
      </c>
      <c r="C570" t="s">
        <v>720</v>
      </c>
      <c r="D570" t="s">
        <v>1113</v>
      </c>
      <c r="E570" t="s">
        <v>1301</v>
      </c>
      <c r="F570">
        <v>2</v>
      </c>
      <c r="G570">
        <v>740.68</v>
      </c>
      <c r="H570">
        <v>0.02</v>
      </c>
      <c r="I570" t="s">
        <v>1351</v>
      </c>
      <c r="J570">
        <v>1451.7328</v>
      </c>
    </row>
    <row r="571" spans="1:10">
      <c r="A571" t="s">
        <v>1920</v>
      </c>
      <c r="B571" s="1">
        <v>45384</v>
      </c>
      <c r="C571" t="s">
        <v>269</v>
      </c>
      <c r="D571" t="s">
        <v>1185</v>
      </c>
      <c r="E571" t="s">
        <v>1311</v>
      </c>
      <c r="F571">
        <v>3</v>
      </c>
      <c r="G571">
        <v>600.58000000000004</v>
      </c>
      <c r="H571">
        <v>0.28999999999999998</v>
      </c>
      <c r="I571" t="s">
        <v>1354</v>
      </c>
      <c r="J571">
        <v>1279.2354</v>
      </c>
    </row>
    <row r="572" spans="1:10">
      <c r="A572" t="s">
        <v>1921</v>
      </c>
      <c r="B572" s="1">
        <v>45348</v>
      </c>
      <c r="C572" t="s">
        <v>984</v>
      </c>
      <c r="D572" t="s">
        <v>1203</v>
      </c>
      <c r="E572" t="s">
        <v>1291</v>
      </c>
      <c r="F572">
        <v>3</v>
      </c>
      <c r="G572">
        <v>345.58</v>
      </c>
      <c r="H572">
        <v>0.22</v>
      </c>
      <c r="I572" t="s">
        <v>1349</v>
      </c>
      <c r="J572">
        <v>808.65719999999999</v>
      </c>
    </row>
    <row r="573" spans="1:10">
      <c r="A573" t="s">
        <v>1922</v>
      </c>
      <c r="B573" s="1">
        <v>45688</v>
      </c>
      <c r="C573" t="s">
        <v>632</v>
      </c>
      <c r="D573" t="s">
        <v>1109</v>
      </c>
      <c r="E573" t="s">
        <v>1317</v>
      </c>
      <c r="F573">
        <v>1</v>
      </c>
      <c r="G573">
        <v>974.52</v>
      </c>
      <c r="H573">
        <v>0.01</v>
      </c>
      <c r="I573" t="s">
        <v>1351</v>
      </c>
      <c r="J573">
        <v>964.77480000000003</v>
      </c>
    </row>
    <row r="574" spans="1:10">
      <c r="A574" t="s">
        <v>1923</v>
      </c>
      <c r="B574" s="1">
        <v>45249</v>
      </c>
      <c r="C574" t="s">
        <v>118</v>
      </c>
      <c r="D574" t="s">
        <v>1107</v>
      </c>
      <c r="E574" t="s">
        <v>1282</v>
      </c>
      <c r="F574">
        <v>3</v>
      </c>
      <c r="G574">
        <v>282.33</v>
      </c>
      <c r="H574">
        <v>7.0000000000000007E-2</v>
      </c>
      <c r="I574" t="s">
        <v>1349</v>
      </c>
      <c r="J574">
        <v>787.70069999999998</v>
      </c>
    </row>
    <row r="575" spans="1:10">
      <c r="A575" t="s">
        <v>1924</v>
      </c>
      <c r="B575" s="1">
        <v>45726</v>
      </c>
      <c r="C575" t="s">
        <v>827</v>
      </c>
      <c r="D575" t="s">
        <v>1225</v>
      </c>
      <c r="E575" t="s">
        <v>1338</v>
      </c>
      <c r="F575">
        <v>4</v>
      </c>
      <c r="G575">
        <v>158.46</v>
      </c>
      <c r="H575">
        <v>0.09</v>
      </c>
      <c r="I575" t="s">
        <v>1351</v>
      </c>
      <c r="J575">
        <v>576.7944</v>
      </c>
    </row>
    <row r="576" spans="1:10">
      <c r="A576" t="s">
        <v>1925</v>
      </c>
      <c r="B576" s="1">
        <v>45283</v>
      </c>
      <c r="C576" t="s">
        <v>750</v>
      </c>
      <c r="D576" t="s">
        <v>1183</v>
      </c>
      <c r="E576" t="s">
        <v>1304</v>
      </c>
      <c r="F576">
        <v>2</v>
      </c>
      <c r="G576">
        <v>778.56</v>
      </c>
      <c r="H576">
        <v>0.11</v>
      </c>
      <c r="I576" t="s">
        <v>1354</v>
      </c>
      <c r="J576">
        <v>1385.8368</v>
      </c>
    </row>
    <row r="577" spans="1:10">
      <c r="A577" t="s">
        <v>1926</v>
      </c>
      <c r="B577" s="1">
        <v>45353</v>
      </c>
      <c r="C577" t="s">
        <v>537</v>
      </c>
      <c r="D577" t="s">
        <v>1173</v>
      </c>
      <c r="E577" t="s">
        <v>1338</v>
      </c>
      <c r="F577">
        <v>4</v>
      </c>
      <c r="G577">
        <v>280.16000000000003</v>
      </c>
      <c r="H577">
        <v>0.18</v>
      </c>
      <c r="I577" t="s">
        <v>1354</v>
      </c>
      <c r="J577">
        <v>918.92480000000012</v>
      </c>
    </row>
    <row r="578" spans="1:10">
      <c r="A578" t="s">
        <v>1927</v>
      </c>
      <c r="B578" s="1">
        <v>45592</v>
      </c>
      <c r="C578" t="s">
        <v>638</v>
      </c>
      <c r="D578" t="s">
        <v>1215</v>
      </c>
      <c r="E578" t="s">
        <v>1322</v>
      </c>
      <c r="F578">
        <v>2</v>
      </c>
      <c r="G578">
        <v>649.54999999999995</v>
      </c>
      <c r="H578">
        <v>0.28999999999999998</v>
      </c>
      <c r="I578" t="s">
        <v>1351</v>
      </c>
      <c r="J578">
        <v>922.36099999999988</v>
      </c>
    </row>
    <row r="579" spans="1:10">
      <c r="A579" t="s">
        <v>1928</v>
      </c>
      <c r="B579" s="1">
        <v>45360</v>
      </c>
      <c r="C579" t="s">
        <v>33</v>
      </c>
      <c r="D579" t="s">
        <v>1249</v>
      </c>
      <c r="E579" t="s">
        <v>1286</v>
      </c>
      <c r="F579">
        <v>2</v>
      </c>
      <c r="G579">
        <v>994.32</v>
      </c>
      <c r="H579">
        <v>0.27</v>
      </c>
      <c r="I579" t="s">
        <v>1351</v>
      </c>
      <c r="J579">
        <v>1451.7072000000001</v>
      </c>
    </row>
    <row r="580" spans="1:10">
      <c r="A580" t="s">
        <v>1929</v>
      </c>
      <c r="B580" s="1">
        <v>45649</v>
      </c>
      <c r="C580" t="s">
        <v>509</v>
      </c>
      <c r="D580" t="s">
        <v>1235</v>
      </c>
      <c r="E580" t="s">
        <v>1319</v>
      </c>
      <c r="F580">
        <v>1</v>
      </c>
      <c r="G580">
        <v>64.94</v>
      </c>
      <c r="H580">
        <v>0.21</v>
      </c>
      <c r="I580" t="s">
        <v>1351</v>
      </c>
      <c r="J580">
        <v>51.302599999999998</v>
      </c>
    </row>
    <row r="581" spans="1:10">
      <c r="A581" t="s">
        <v>1930</v>
      </c>
      <c r="B581" s="1">
        <v>45709</v>
      </c>
      <c r="C581" t="s">
        <v>333</v>
      </c>
      <c r="D581" t="s">
        <v>1151</v>
      </c>
      <c r="E581" t="s">
        <v>1304</v>
      </c>
      <c r="F581">
        <v>2</v>
      </c>
      <c r="G581">
        <v>507.66</v>
      </c>
      <c r="H581">
        <v>0</v>
      </c>
      <c r="I581" t="s">
        <v>1354</v>
      </c>
      <c r="J581">
        <v>1015.32</v>
      </c>
    </row>
    <row r="582" spans="1:10">
      <c r="A582" t="s">
        <v>1931</v>
      </c>
      <c r="B582" s="1">
        <v>45273</v>
      </c>
      <c r="C582" t="s">
        <v>547</v>
      </c>
      <c r="D582" t="s">
        <v>1235</v>
      </c>
      <c r="E582" t="s">
        <v>1294</v>
      </c>
      <c r="F582">
        <v>4</v>
      </c>
      <c r="G582">
        <v>968.27</v>
      </c>
      <c r="H582">
        <v>0.03</v>
      </c>
      <c r="I582" t="s">
        <v>1351</v>
      </c>
      <c r="J582">
        <v>3756.8876</v>
      </c>
    </row>
    <row r="583" spans="1:10">
      <c r="A583" t="s">
        <v>1932</v>
      </c>
      <c r="B583" s="1">
        <v>45250</v>
      </c>
      <c r="C583" t="s">
        <v>61</v>
      </c>
      <c r="D583" t="s">
        <v>1249</v>
      </c>
      <c r="E583" t="s">
        <v>1298</v>
      </c>
      <c r="F583">
        <v>4</v>
      </c>
      <c r="G583">
        <v>510.33</v>
      </c>
      <c r="H583">
        <v>0.2</v>
      </c>
      <c r="I583" t="s">
        <v>1351</v>
      </c>
      <c r="J583">
        <v>1633.056</v>
      </c>
    </row>
    <row r="584" spans="1:10">
      <c r="A584" t="s">
        <v>1933</v>
      </c>
      <c r="B584" s="1">
        <v>45539</v>
      </c>
      <c r="C584" t="s">
        <v>44</v>
      </c>
      <c r="D584" t="s">
        <v>1161</v>
      </c>
      <c r="E584" t="s">
        <v>1338</v>
      </c>
      <c r="F584">
        <v>2</v>
      </c>
      <c r="G584">
        <v>156.72999999999999</v>
      </c>
      <c r="H584">
        <v>0.18</v>
      </c>
      <c r="I584" t="s">
        <v>1354</v>
      </c>
      <c r="J584">
        <v>257.03719999999998</v>
      </c>
    </row>
    <row r="585" spans="1:10">
      <c r="A585" t="s">
        <v>1934</v>
      </c>
      <c r="B585" s="1">
        <v>45810</v>
      </c>
      <c r="C585" t="s">
        <v>345</v>
      </c>
      <c r="D585" t="s">
        <v>1271</v>
      </c>
      <c r="E585" t="s">
        <v>1314</v>
      </c>
      <c r="F585">
        <v>3</v>
      </c>
      <c r="G585">
        <v>53.83</v>
      </c>
      <c r="H585">
        <v>0.24</v>
      </c>
      <c r="I585" t="s">
        <v>1349</v>
      </c>
      <c r="J585">
        <v>122.7324</v>
      </c>
    </row>
    <row r="586" spans="1:10">
      <c r="A586" t="s">
        <v>1935</v>
      </c>
      <c r="B586" s="1">
        <v>45350</v>
      </c>
      <c r="C586" t="s">
        <v>817</v>
      </c>
      <c r="D586" t="s">
        <v>1229</v>
      </c>
      <c r="E586" t="s">
        <v>1294</v>
      </c>
      <c r="F586">
        <v>1</v>
      </c>
      <c r="G586">
        <v>34.71</v>
      </c>
      <c r="H586">
        <v>0.1</v>
      </c>
      <c r="I586" t="s">
        <v>1354</v>
      </c>
      <c r="J586">
        <v>31.239000000000001</v>
      </c>
    </row>
    <row r="587" spans="1:10">
      <c r="A587" t="s">
        <v>1936</v>
      </c>
      <c r="B587" s="1">
        <v>45633</v>
      </c>
      <c r="C587" t="s">
        <v>521</v>
      </c>
      <c r="D587" t="s">
        <v>1227</v>
      </c>
      <c r="E587" t="s">
        <v>1282</v>
      </c>
      <c r="F587">
        <v>2</v>
      </c>
      <c r="G587">
        <v>829.15</v>
      </c>
      <c r="H587">
        <v>0.11</v>
      </c>
      <c r="I587" t="s">
        <v>1351</v>
      </c>
      <c r="J587">
        <v>1475.8869999999999</v>
      </c>
    </row>
    <row r="588" spans="1:10">
      <c r="A588" t="s">
        <v>1937</v>
      </c>
      <c r="B588" s="1">
        <v>45798</v>
      </c>
      <c r="C588" t="s">
        <v>591</v>
      </c>
      <c r="D588" t="s">
        <v>1269</v>
      </c>
      <c r="E588" t="s">
        <v>1291</v>
      </c>
      <c r="F588">
        <v>2</v>
      </c>
      <c r="G588">
        <v>481.86</v>
      </c>
      <c r="H588">
        <v>0.1</v>
      </c>
      <c r="I588" t="s">
        <v>1354</v>
      </c>
      <c r="J588">
        <v>867.34800000000007</v>
      </c>
    </row>
    <row r="589" spans="1:10">
      <c r="A589" t="s">
        <v>1938</v>
      </c>
      <c r="B589" s="1">
        <v>45354</v>
      </c>
      <c r="C589" t="s">
        <v>355</v>
      </c>
      <c r="D589" t="s">
        <v>1177</v>
      </c>
      <c r="E589" t="s">
        <v>1304</v>
      </c>
      <c r="F589">
        <v>4</v>
      </c>
      <c r="G589">
        <v>915.17</v>
      </c>
      <c r="H589">
        <v>0.19</v>
      </c>
      <c r="I589" t="s">
        <v>1354</v>
      </c>
      <c r="J589">
        <v>2965.1507999999999</v>
      </c>
    </row>
    <row r="590" spans="1:10">
      <c r="A590" t="s">
        <v>1939</v>
      </c>
      <c r="B590" s="1">
        <v>45357</v>
      </c>
      <c r="C590" t="s">
        <v>490</v>
      </c>
      <c r="D590" t="s">
        <v>1215</v>
      </c>
      <c r="E590" t="s">
        <v>1335</v>
      </c>
      <c r="F590">
        <v>1</v>
      </c>
      <c r="G590">
        <v>250.95</v>
      </c>
      <c r="H590">
        <v>0.03</v>
      </c>
      <c r="I590" t="s">
        <v>1351</v>
      </c>
      <c r="J590">
        <v>243.42150000000001</v>
      </c>
    </row>
    <row r="591" spans="1:10">
      <c r="A591" t="s">
        <v>1940</v>
      </c>
      <c r="B591" s="1">
        <v>45257</v>
      </c>
      <c r="C591" t="s">
        <v>714</v>
      </c>
      <c r="D591" t="s">
        <v>1265</v>
      </c>
      <c r="E591" t="s">
        <v>1298</v>
      </c>
      <c r="F591">
        <v>3</v>
      </c>
      <c r="G591">
        <v>882.84</v>
      </c>
      <c r="H591">
        <v>0.1</v>
      </c>
      <c r="I591" t="s">
        <v>1349</v>
      </c>
      <c r="J591">
        <v>2383.6680000000001</v>
      </c>
    </row>
    <row r="592" spans="1:10">
      <c r="A592" t="s">
        <v>1941</v>
      </c>
      <c r="B592" s="1">
        <v>45702</v>
      </c>
      <c r="C592" t="s">
        <v>337</v>
      </c>
      <c r="D592" t="s">
        <v>1111</v>
      </c>
      <c r="E592" t="s">
        <v>1335</v>
      </c>
      <c r="F592">
        <v>4</v>
      </c>
      <c r="G592">
        <v>573.37</v>
      </c>
      <c r="H592">
        <v>0.04</v>
      </c>
      <c r="I592" t="s">
        <v>1354</v>
      </c>
      <c r="J592">
        <v>2201.7408</v>
      </c>
    </row>
    <row r="593" spans="1:10">
      <c r="A593" t="s">
        <v>1942</v>
      </c>
      <c r="B593" s="1">
        <v>45318</v>
      </c>
      <c r="C593" t="s">
        <v>162</v>
      </c>
      <c r="D593" t="s">
        <v>1137</v>
      </c>
      <c r="E593" t="s">
        <v>1319</v>
      </c>
      <c r="F593">
        <v>3</v>
      </c>
      <c r="G593">
        <v>622.72</v>
      </c>
      <c r="H593">
        <v>0.04</v>
      </c>
      <c r="I593" t="s">
        <v>1349</v>
      </c>
      <c r="J593">
        <v>1793.4336000000001</v>
      </c>
    </row>
    <row r="594" spans="1:10">
      <c r="A594" t="s">
        <v>1943</v>
      </c>
      <c r="B594" s="1">
        <v>45943</v>
      </c>
      <c r="C594" t="s">
        <v>839</v>
      </c>
      <c r="D594" t="s">
        <v>1257</v>
      </c>
      <c r="E594" t="s">
        <v>1332</v>
      </c>
      <c r="F594">
        <v>3</v>
      </c>
      <c r="G594">
        <v>259.74</v>
      </c>
      <c r="H594">
        <v>0.24</v>
      </c>
      <c r="I594" t="s">
        <v>1349</v>
      </c>
      <c r="J594">
        <v>592.20720000000006</v>
      </c>
    </row>
    <row r="595" spans="1:10">
      <c r="A595" t="s">
        <v>1944</v>
      </c>
      <c r="B595" s="1">
        <v>45769</v>
      </c>
      <c r="C595" t="s">
        <v>152</v>
      </c>
      <c r="D595" t="s">
        <v>1129</v>
      </c>
      <c r="E595" t="s">
        <v>1322</v>
      </c>
      <c r="F595">
        <v>4</v>
      </c>
      <c r="G595">
        <v>951.09</v>
      </c>
      <c r="H595">
        <v>0.14000000000000001</v>
      </c>
      <c r="I595" t="s">
        <v>1354</v>
      </c>
      <c r="J595">
        <v>3271.7496000000001</v>
      </c>
    </row>
    <row r="596" spans="1:10">
      <c r="A596" t="s">
        <v>1945</v>
      </c>
      <c r="B596" s="1">
        <v>45765</v>
      </c>
      <c r="C596" t="s">
        <v>460</v>
      </c>
      <c r="D596" t="s">
        <v>1271</v>
      </c>
      <c r="E596" t="s">
        <v>1286</v>
      </c>
      <c r="F596">
        <v>1</v>
      </c>
      <c r="G596">
        <v>71.709999999999994</v>
      </c>
      <c r="H596">
        <v>0.23</v>
      </c>
      <c r="I596" t="s">
        <v>1354</v>
      </c>
      <c r="J596">
        <v>55.216700000000003</v>
      </c>
    </row>
    <row r="597" spans="1:10">
      <c r="A597" t="s">
        <v>1946</v>
      </c>
      <c r="B597" s="1">
        <v>45891</v>
      </c>
      <c r="C597" t="s">
        <v>407</v>
      </c>
      <c r="D597" t="s">
        <v>1113</v>
      </c>
      <c r="E597" t="s">
        <v>1304</v>
      </c>
      <c r="F597">
        <v>4</v>
      </c>
      <c r="G597">
        <v>894.93</v>
      </c>
      <c r="H597">
        <v>0.05</v>
      </c>
      <c r="I597" t="s">
        <v>1354</v>
      </c>
      <c r="J597">
        <v>3400.733999999999</v>
      </c>
    </row>
    <row r="598" spans="1:10">
      <c r="A598" t="s">
        <v>1947</v>
      </c>
      <c r="B598" s="1">
        <v>45842</v>
      </c>
      <c r="C598" t="s">
        <v>466</v>
      </c>
      <c r="D598" t="s">
        <v>1229</v>
      </c>
      <c r="E598" t="s">
        <v>1307</v>
      </c>
      <c r="F598">
        <v>4</v>
      </c>
      <c r="G598">
        <v>870.18</v>
      </c>
      <c r="H598">
        <v>0.13</v>
      </c>
      <c r="I598" t="s">
        <v>1354</v>
      </c>
      <c r="J598">
        <v>3028.2264</v>
      </c>
    </row>
    <row r="599" spans="1:10">
      <c r="A599" t="s">
        <v>1948</v>
      </c>
      <c r="B599" s="1">
        <v>45382</v>
      </c>
      <c r="C599" t="s">
        <v>620</v>
      </c>
      <c r="D599" t="s">
        <v>1201</v>
      </c>
      <c r="E599" t="s">
        <v>1286</v>
      </c>
      <c r="F599">
        <v>2</v>
      </c>
      <c r="G599">
        <v>552.72</v>
      </c>
      <c r="H599">
        <v>0.06</v>
      </c>
      <c r="I599" t="s">
        <v>1351</v>
      </c>
      <c r="J599">
        <v>1039.1135999999999</v>
      </c>
    </row>
    <row r="600" spans="1:10">
      <c r="A600" t="s">
        <v>1949</v>
      </c>
      <c r="B600" s="1">
        <v>45236</v>
      </c>
      <c r="C600" t="s">
        <v>555</v>
      </c>
      <c r="D600" t="s">
        <v>1151</v>
      </c>
      <c r="E600" t="s">
        <v>1307</v>
      </c>
      <c r="F600">
        <v>3</v>
      </c>
      <c r="G600">
        <v>700.43</v>
      </c>
      <c r="H600">
        <v>0.01</v>
      </c>
      <c r="I600" t="s">
        <v>1354</v>
      </c>
      <c r="J600">
        <v>2080.2770999999998</v>
      </c>
    </row>
    <row r="601" spans="1:10">
      <c r="A601" t="s">
        <v>1950</v>
      </c>
      <c r="B601" s="1">
        <v>45806</v>
      </c>
      <c r="C601" t="s">
        <v>742</v>
      </c>
      <c r="D601" t="s">
        <v>1090</v>
      </c>
      <c r="E601" t="s">
        <v>1286</v>
      </c>
      <c r="F601">
        <v>2</v>
      </c>
      <c r="G601">
        <v>823.03</v>
      </c>
      <c r="H601">
        <v>0.18</v>
      </c>
      <c r="I601" t="s">
        <v>1351</v>
      </c>
      <c r="J601">
        <v>1349.7692</v>
      </c>
    </row>
    <row r="602" spans="1:10">
      <c r="A602" t="s">
        <v>1951</v>
      </c>
      <c r="B602" s="1">
        <v>45401</v>
      </c>
      <c r="C602" t="s">
        <v>573</v>
      </c>
      <c r="D602" t="s">
        <v>1257</v>
      </c>
      <c r="E602" t="s">
        <v>1301</v>
      </c>
      <c r="F602">
        <v>1</v>
      </c>
      <c r="G602">
        <v>117.37</v>
      </c>
      <c r="H602">
        <v>0.21</v>
      </c>
      <c r="I602" t="s">
        <v>1349</v>
      </c>
      <c r="J602">
        <v>92.722300000000004</v>
      </c>
    </row>
    <row r="603" spans="1:10">
      <c r="A603" t="s">
        <v>1952</v>
      </c>
      <c r="B603" s="1">
        <v>45716</v>
      </c>
      <c r="C603" t="s">
        <v>267</v>
      </c>
      <c r="D603" t="s">
        <v>1185</v>
      </c>
      <c r="E603" t="s">
        <v>1282</v>
      </c>
      <c r="F603">
        <v>4</v>
      </c>
      <c r="G603">
        <v>165.37</v>
      </c>
      <c r="H603">
        <v>0.28999999999999998</v>
      </c>
      <c r="I603" t="s">
        <v>1349</v>
      </c>
      <c r="J603">
        <v>469.6508</v>
      </c>
    </row>
    <row r="604" spans="1:10">
      <c r="A604" t="s">
        <v>1953</v>
      </c>
      <c r="B604" s="1">
        <v>45718</v>
      </c>
      <c r="C604" t="s">
        <v>819</v>
      </c>
      <c r="D604" t="s">
        <v>1082</v>
      </c>
      <c r="E604" t="s">
        <v>1314</v>
      </c>
      <c r="F604">
        <v>3</v>
      </c>
      <c r="G604">
        <v>483.06</v>
      </c>
      <c r="H604">
        <v>0.05</v>
      </c>
      <c r="I604" t="s">
        <v>1349</v>
      </c>
      <c r="J604">
        <v>1376.721</v>
      </c>
    </row>
    <row r="605" spans="1:10">
      <c r="A605" t="s">
        <v>1954</v>
      </c>
      <c r="B605" s="1">
        <v>45379</v>
      </c>
      <c r="C605" t="s">
        <v>650</v>
      </c>
      <c r="D605" t="s">
        <v>1235</v>
      </c>
      <c r="E605" t="s">
        <v>1304</v>
      </c>
      <c r="F605">
        <v>4</v>
      </c>
      <c r="G605">
        <v>262.05</v>
      </c>
      <c r="H605">
        <v>0.24</v>
      </c>
      <c r="I605" t="s">
        <v>1351</v>
      </c>
      <c r="J605">
        <v>796.63200000000006</v>
      </c>
    </row>
    <row r="606" spans="1:10">
      <c r="A606" t="s">
        <v>1955</v>
      </c>
      <c r="B606" s="1">
        <v>45635</v>
      </c>
      <c r="C606" t="s">
        <v>988</v>
      </c>
      <c r="D606" t="s">
        <v>1101</v>
      </c>
      <c r="E606" t="s">
        <v>1324</v>
      </c>
      <c r="F606">
        <v>3</v>
      </c>
      <c r="G606">
        <v>970.89</v>
      </c>
      <c r="H606">
        <v>0.11</v>
      </c>
      <c r="I606" t="s">
        <v>1354</v>
      </c>
      <c r="J606">
        <v>2592.2763</v>
      </c>
    </row>
    <row r="607" spans="1:10">
      <c r="A607" t="s">
        <v>1956</v>
      </c>
      <c r="B607" s="1">
        <v>45222</v>
      </c>
      <c r="C607" t="s">
        <v>494</v>
      </c>
      <c r="D607" t="s">
        <v>1217</v>
      </c>
      <c r="E607" t="s">
        <v>1277</v>
      </c>
      <c r="F607">
        <v>1</v>
      </c>
      <c r="G607">
        <v>61.11</v>
      </c>
      <c r="H607">
        <v>0.1</v>
      </c>
      <c r="I607" t="s">
        <v>1351</v>
      </c>
      <c r="J607">
        <v>54.999000000000002</v>
      </c>
    </row>
    <row r="608" spans="1:10">
      <c r="A608" t="s">
        <v>1957</v>
      </c>
      <c r="B608" s="1">
        <v>45555</v>
      </c>
      <c r="C608" t="s">
        <v>92</v>
      </c>
      <c r="D608" t="s">
        <v>1127</v>
      </c>
      <c r="E608" t="s">
        <v>1307</v>
      </c>
      <c r="F608">
        <v>3</v>
      </c>
      <c r="G608">
        <v>827.88</v>
      </c>
      <c r="H608">
        <v>0.19</v>
      </c>
      <c r="I608" t="s">
        <v>1351</v>
      </c>
      <c r="J608">
        <v>2011.7483999999999</v>
      </c>
    </row>
    <row r="609" spans="1:10">
      <c r="A609" t="s">
        <v>1958</v>
      </c>
      <c r="B609" s="1">
        <v>45583</v>
      </c>
      <c r="C609" t="s">
        <v>923</v>
      </c>
      <c r="D609" t="s">
        <v>1247</v>
      </c>
      <c r="E609" t="s">
        <v>1322</v>
      </c>
      <c r="F609">
        <v>3</v>
      </c>
      <c r="G609">
        <v>926.85</v>
      </c>
      <c r="H609">
        <v>0.18</v>
      </c>
      <c r="I609" t="s">
        <v>1354</v>
      </c>
      <c r="J609">
        <v>2280.0509999999999</v>
      </c>
    </row>
    <row r="610" spans="1:10">
      <c r="A610" t="s">
        <v>1959</v>
      </c>
      <c r="B610" s="1">
        <v>45662</v>
      </c>
      <c r="C610" t="s">
        <v>698</v>
      </c>
      <c r="D610" t="s">
        <v>1093</v>
      </c>
      <c r="E610" t="s">
        <v>1324</v>
      </c>
      <c r="F610">
        <v>1</v>
      </c>
      <c r="G610">
        <v>874.59</v>
      </c>
      <c r="H610">
        <v>0.28999999999999998</v>
      </c>
      <c r="I610" t="s">
        <v>1351</v>
      </c>
      <c r="J610">
        <v>620.95889999999997</v>
      </c>
    </row>
    <row r="611" spans="1:10">
      <c r="A611" t="s">
        <v>1960</v>
      </c>
      <c r="B611" s="1">
        <v>45921</v>
      </c>
      <c r="C611" t="s">
        <v>1002</v>
      </c>
      <c r="D611" t="s">
        <v>1103</v>
      </c>
      <c r="E611" t="s">
        <v>1282</v>
      </c>
      <c r="F611">
        <v>4</v>
      </c>
      <c r="G611">
        <v>479.11</v>
      </c>
      <c r="H611">
        <v>0.24</v>
      </c>
      <c r="I611" t="s">
        <v>1351</v>
      </c>
      <c r="J611">
        <v>1456.4944</v>
      </c>
    </row>
    <row r="612" spans="1:10">
      <c r="A612" t="s">
        <v>1961</v>
      </c>
      <c r="B612" s="1">
        <v>45490</v>
      </c>
      <c r="C612" t="s">
        <v>488</v>
      </c>
      <c r="D612" t="s">
        <v>1137</v>
      </c>
      <c r="E612" t="s">
        <v>1332</v>
      </c>
      <c r="F612">
        <v>3</v>
      </c>
      <c r="G612">
        <v>182.91</v>
      </c>
      <c r="H612">
        <v>0.28999999999999998</v>
      </c>
      <c r="I612" t="s">
        <v>1349</v>
      </c>
      <c r="J612">
        <v>389.59829999999999</v>
      </c>
    </row>
    <row r="613" spans="1:10">
      <c r="A613" t="s">
        <v>1962</v>
      </c>
      <c r="B613" s="1">
        <v>45652</v>
      </c>
      <c r="C613" t="s">
        <v>608</v>
      </c>
      <c r="D613" t="s">
        <v>1141</v>
      </c>
      <c r="E613" t="s">
        <v>1298</v>
      </c>
      <c r="F613">
        <v>4</v>
      </c>
      <c r="G613">
        <v>745.51</v>
      </c>
      <c r="H613">
        <v>0.05</v>
      </c>
      <c r="I613" t="s">
        <v>1349</v>
      </c>
      <c r="J613">
        <v>2832.9380000000001</v>
      </c>
    </row>
    <row r="614" spans="1:10">
      <c r="A614" t="s">
        <v>1963</v>
      </c>
      <c r="B614" s="1">
        <v>45598</v>
      </c>
      <c r="C614" t="s">
        <v>1024</v>
      </c>
      <c r="D614" t="s">
        <v>1249</v>
      </c>
      <c r="E614" t="s">
        <v>1326</v>
      </c>
      <c r="F614">
        <v>3</v>
      </c>
      <c r="G614">
        <v>920.61</v>
      </c>
      <c r="H614">
        <v>0.04</v>
      </c>
      <c r="I614" t="s">
        <v>1349</v>
      </c>
      <c r="J614">
        <v>2651.3568</v>
      </c>
    </row>
    <row r="615" spans="1:10">
      <c r="A615" t="s">
        <v>1964</v>
      </c>
      <c r="B615" s="1">
        <v>45772</v>
      </c>
      <c r="C615" t="s">
        <v>913</v>
      </c>
      <c r="D615" t="s">
        <v>1223</v>
      </c>
      <c r="E615" t="s">
        <v>1314</v>
      </c>
      <c r="F615">
        <v>4</v>
      </c>
      <c r="G615">
        <v>659.03</v>
      </c>
      <c r="H615">
        <v>0.15</v>
      </c>
      <c r="I615" t="s">
        <v>1349</v>
      </c>
      <c r="J615">
        <v>2240.7020000000002</v>
      </c>
    </row>
    <row r="616" spans="1:10">
      <c r="A616" t="s">
        <v>1965</v>
      </c>
      <c r="B616" s="1">
        <v>45338</v>
      </c>
      <c r="C616" t="s">
        <v>1043</v>
      </c>
      <c r="D616" t="s">
        <v>1090</v>
      </c>
      <c r="E616" t="s">
        <v>1286</v>
      </c>
      <c r="F616">
        <v>1</v>
      </c>
      <c r="G616">
        <v>312.91000000000003</v>
      </c>
      <c r="H616">
        <v>0.12</v>
      </c>
      <c r="I616" t="s">
        <v>1351</v>
      </c>
      <c r="J616">
        <v>275.36079999999998</v>
      </c>
    </row>
    <row r="617" spans="1:10">
      <c r="A617" t="s">
        <v>1966</v>
      </c>
      <c r="B617" s="1">
        <v>45524</v>
      </c>
      <c r="C617" t="s">
        <v>519</v>
      </c>
      <c r="D617" t="s">
        <v>1097</v>
      </c>
      <c r="E617" t="s">
        <v>1335</v>
      </c>
      <c r="F617">
        <v>4</v>
      </c>
      <c r="G617">
        <v>705.64</v>
      </c>
      <c r="H617">
        <v>0.11</v>
      </c>
      <c r="I617" t="s">
        <v>1351</v>
      </c>
      <c r="J617">
        <v>2512.0783999999999</v>
      </c>
    </row>
    <row r="618" spans="1:10">
      <c r="A618" t="s">
        <v>1967</v>
      </c>
      <c r="B618" s="1">
        <v>45497</v>
      </c>
      <c r="C618" t="s">
        <v>349</v>
      </c>
      <c r="D618" t="s">
        <v>1090</v>
      </c>
      <c r="E618" t="s">
        <v>1314</v>
      </c>
      <c r="F618">
        <v>4</v>
      </c>
      <c r="G618">
        <v>386.41</v>
      </c>
      <c r="H618">
        <v>0.13</v>
      </c>
      <c r="I618" t="s">
        <v>1354</v>
      </c>
      <c r="J618">
        <v>1344.7067999999999</v>
      </c>
    </row>
    <row r="619" spans="1:10">
      <c r="A619" t="s">
        <v>1968</v>
      </c>
      <c r="B619" s="1">
        <v>45534</v>
      </c>
      <c r="C619" t="s">
        <v>92</v>
      </c>
      <c r="D619" t="s">
        <v>1261</v>
      </c>
      <c r="E619" t="s">
        <v>1317</v>
      </c>
      <c r="F619">
        <v>3</v>
      </c>
      <c r="G619">
        <v>265.89</v>
      </c>
      <c r="H619">
        <v>0.08</v>
      </c>
      <c r="I619" t="s">
        <v>1354</v>
      </c>
      <c r="J619">
        <v>733.85640000000001</v>
      </c>
    </row>
    <row r="620" spans="1:10">
      <c r="A620" t="s">
        <v>1969</v>
      </c>
      <c r="B620" s="1">
        <v>45925</v>
      </c>
      <c r="C620" t="s">
        <v>202</v>
      </c>
      <c r="D620" t="s">
        <v>1133</v>
      </c>
      <c r="E620" t="s">
        <v>1329</v>
      </c>
      <c r="F620">
        <v>1</v>
      </c>
      <c r="G620">
        <v>703.16</v>
      </c>
      <c r="H620">
        <v>0.28999999999999998</v>
      </c>
      <c r="I620" t="s">
        <v>1349</v>
      </c>
      <c r="J620">
        <v>499.24360000000001</v>
      </c>
    </row>
    <row r="621" spans="1:10">
      <c r="A621" t="s">
        <v>1970</v>
      </c>
      <c r="B621" s="1">
        <v>45765</v>
      </c>
      <c r="C621" t="s">
        <v>1004</v>
      </c>
      <c r="D621" t="s">
        <v>1267</v>
      </c>
      <c r="E621" t="s">
        <v>1322</v>
      </c>
      <c r="F621">
        <v>2</v>
      </c>
      <c r="G621">
        <v>394.5</v>
      </c>
      <c r="H621">
        <v>0.28999999999999998</v>
      </c>
      <c r="I621" t="s">
        <v>1354</v>
      </c>
      <c r="J621">
        <v>560.18999999999994</v>
      </c>
    </row>
    <row r="622" spans="1:10">
      <c r="A622" t="s">
        <v>1971</v>
      </c>
      <c r="B622" s="1">
        <v>45882</v>
      </c>
      <c r="C622" t="s">
        <v>294</v>
      </c>
      <c r="D622" t="s">
        <v>1267</v>
      </c>
      <c r="E622" t="s">
        <v>1304</v>
      </c>
      <c r="F622">
        <v>3</v>
      </c>
      <c r="G622">
        <v>411.25</v>
      </c>
      <c r="H622">
        <v>0.05</v>
      </c>
      <c r="I622" t="s">
        <v>1349</v>
      </c>
      <c r="J622">
        <v>1172.0625</v>
      </c>
    </row>
    <row r="623" spans="1:10">
      <c r="A623" t="s">
        <v>1972</v>
      </c>
      <c r="B623" s="1">
        <v>45923</v>
      </c>
      <c r="C623" t="s">
        <v>770</v>
      </c>
      <c r="D623" t="s">
        <v>1169</v>
      </c>
      <c r="E623" t="s">
        <v>1286</v>
      </c>
      <c r="F623">
        <v>4</v>
      </c>
      <c r="G623">
        <v>395.45</v>
      </c>
      <c r="H623">
        <v>0.01</v>
      </c>
      <c r="I623" t="s">
        <v>1349</v>
      </c>
      <c r="J623">
        <v>1565.982</v>
      </c>
    </row>
    <row r="624" spans="1:10">
      <c r="A624" t="s">
        <v>1973</v>
      </c>
      <c r="B624" s="1">
        <v>45421</v>
      </c>
      <c r="C624" t="s">
        <v>109</v>
      </c>
      <c r="D624" t="s">
        <v>1253</v>
      </c>
      <c r="E624" t="s">
        <v>1298</v>
      </c>
      <c r="F624">
        <v>2</v>
      </c>
      <c r="G624">
        <v>678.98</v>
      </c>
      <c r="H624">
        <v>0.23</v>
      </c>
      <c r="I624" t="s">
        <v>1349</v>
      </c>
      <c r="J624">
        <v>1045.6292000000001</v>
      </c>
    </row>
    <row r="625" spans="1:10">
      <c r="A625" t="s">
        <v>1974</v>
      </c>
      <c r="B625" s="1">
        <v>45608</v>
      </c>
      <c r="C625" t="s">
        <v>194</v>
      </c>
      <c r="D625" t="s">
        <v>1127</v>
      </c>
      <c r="E625" t="s">
        <v>1324</v>
      </c>
      <c r="F625">
        <v>4</v>
      </c>
      <c r="G625">
        <v>757.71</v>
      </c>
      <c r="H625">
        <v>0.26</v>
      </c>
      <c r="I625" t="s">
        <v>1354</v>
      </c>
      <c r="J625">
        <v>2242.8216000000002</v>
      </c>
    </row>
    <row r="626" spans="1:10">
      <c r="A626" t="s">
        <v>1975</v>
      </c>
      <c r="B626" s="1">
        <v>45644</v>
      </c>
      <c r="C626" t="s">
        <v>164</v>
      </c>
      <c r="D626" t="s">
        <v>1261</v>
      </c>
      <c r="E626" t="s">
        <v>1294</v>
      </c>
      <c r="F626">
        <v>1</v>
      </c>
      <c r="G626">
        <v>647.86</v>
      </c>
      <c r="H626">
        <v>0.05</v>
      </c>
      <c r="I626" t="s">
        <v>1354</v>
      </c>
      <c r="J626">
        <v>615.46699999999998</v>
      </c>
    </row>
    <row r="627" spans="1:10">
      <c r="A627" t="s">
        <v>1976</v>
      </c>
      <c r="B627" s="1">
        <v>45517</v>
      </c>
      <c r="C627" t="s">
        <v>331</v>
      </c>
      <c r="D627" t="s">
        <v>1097</v>
      </c>
      <c r="E627" t="s">
        <v>1301</v>
      </c>
      <c r="F627">
        <v>2</v>
      </c>
      <c r="G627">
        <v>179.64</v>
      </c>
      <c r="H627">
        <v>0.1</v>
      </c>
      <c r="I627" t="s">
        <v>1351</v>
      </c>
      <c r="J627">
        <v>323.35199999999998</v>
      </c>
    </row>
    <row r="628" spans="1:10">
      <c r="A628" t="s">
        <v>1977</v>
      </c>
      <c r="B628" s="1">
        <v>45545</v>
      </c>
      <c r="C628" t="s">
        <v>855</v>
      </c>
      <c r="D628" t="s">
        <v>1197</v>
      </c>
      <c r="E628" t="s">
        <v>1294</v>
      </c>
      <c r="F628">
        <v>3</v>
      </c>
      <c r="G628">
        <v>392.65</v>
      </c>
      <c r="H628">
        <v>0.17</v>
      </c>
      <c r="I628" t="s">
        <v>1351</v>
      </c>
      <c r="J628">
        <v>977.69849999999985</v>
      </c>
    </row>
    <row r="629" spans="1:10">
      <c r="A629" t="s">
        <v>1978</v>
      </c>
      <c r="B629" s="1">
        <v>45547</v>
      </c>
      <c r="C629" t="s">
        <v>413</v>
      </c>
      <c r="D629" t="s">
        <v>1255</v>
      </c>
      <c r="E629" t="s">
        <v>1329</v>
      </c>
      <c r="F629">
        <v>4</v>
      </c>
      <c r="G629">
        <v>969.55</v>
      </c>
      <c r="H629">
        <v>0.09</v>
      </c>
      <c r="I629" t="s">
        <v>1354</v>
      </c>
      <c r="J629">
        <v>3529.1619999999998</v>
      </c>
    </row>
    <row r="630" spans="1:10">
      <c r="A630" t="s">
        <v>1979</v>
      </c>
      <c r="B630" s="1">
        <v>45433</v>
      </c>
      <c r="C630" t="s">
        <v>986</v>
      </c>
      <c r="D630" t="s">
        <v>1221</v>
      </c>
      <c r="E630" t="s">
        <v>1319</v>
      </c>
      <c r="F630">
        <v>3</v>
      </c>
      <c r="G630">
        <v>322.94</v>
      </c>
      <c r="H630">
        <v>0.01</v>
      </c>
      <c r="I630" t="s">
        <v>1349</v>
      </c>
      <c r="J630">
        <v>959.13179999999988</v>
      </c>
    </row>
    <row r="631" spans="1:10">
      <c r="A631" t="s">
        <v>1980</v>
      </c>
      <c r="B631" s="1">
        <v>45792</v>
      </c>
      <c r="C631" t="s">
        <v>787</v>
      </c>
      <c r="D631" t="s">
        <v>1239</v>
      </c>
      <c r="E631" t="s">
        <v>1277</v>
      </c>
      <c r="F631">
        <v>1</v>
      </c>
      <c r="G631">
        <v>92.83</v>
      </c>
      <c r="H631">
        <v>0.26</v>
      </c>
      <c r="I631" t="s">
        <v>1351</v>
      </c>
      <c r="J631">
        <v>68.694199999999995</v>
      </c>
    </row>
    <row r="632" spans="1:10">
      <c r="A632" t="s">
        <v>1981</v>
      </c>
      <c r="B632" s="1">
        <v>45804</v>
      </c>
      <c r="C632" t="s">
        <v>903</v>
      </c>
      <c r="D632" t="s">
        <v>1087</v>
      </c>
      <c r="E632" t="s">
        <v>1291</v>
      </c>
      <c r="F632">
        <v>4</v>
      </c>
      <c r="G632">
        <v>432.29</v>
      </c>
      <c r="H632">
        <v>0.16</v>
      </c>
      <c r="I632" t="s">
        <v>1354</v>
      </c>
      <c r="J632">
        <v>1452.4944</v>
      </c>
    </row>
    <row r="633" spans="1:10">
      <c r="A633" t="s">
        <v>1982</v>
      </c>
      <c r="B633" s="1">
        <v>45311</v>
      </c>
      <c r="C633" t="s">
        <v>214</v>
      </c>
      <c r="D633" t="s">
        <v>1151</v>
      </c>
      <c r="E633" t="s">
        <v>1322</v>
      </c>
      <c r="F633">
        <v>2</v>
      </c>
      <c r="G633">
        <v>925.78</v>
      </c>
      <c r="H633">
        <v>0.14000000000000001</v>
      </c>
      <c r="I633" t="s">
        <v>1354</v>
      </c>
      <c r="J633">
        <v>1592.3416</v>
      </c>
    </row>
    <row r="634" spans="1:10">
      <c r="A634" t="s">
        <v>1983</v>
      </c>
      <c r="B634" s="1">
        <v>45605</v>
      </c>
      <c r="C634" t="s">
        <v>1016</v>
      </c>
      <c r="D634" t="s">
        <v>1123</v>
      </c>
      <c r="E634" t="s">
        <v>1317</v>
      </c>
      <c r="F634">
        <v>2</v>
      </c>
      <c r="G634">
        <v>151.47</v>
      </c>
      <c r="H634">
        <v>0.21</v>
      </c>
      <c r="I634" t="s">
        <v>1351</v>
      </c>
      <c r="J634">
        <v>239.32259999999999</v>
      </c>
    </row>
    <row r="635" spans="1:10">
      <c r="A635" t="s">
        <v>1984</v>
      </c>
      <c r="B635" s="1">
        <v>45338</v>
      </c>
      <c r="C635" t="s">
        <v>961</v>
      </c>
      <c r="D635" t="s">
        <v>1239</v>
      </c>
      <c r="E635" t="s">
        <v>1314</v>
      </c>
      <c r="F635">
        <v>1</v>
      </c>
      <c r="G635">
        <v>343.05</v>
      </c>
      <c r="H635">
        <v>0.28000000000000003</v>
      </c>
      <c r="I635" t="s">
        <v>1351</v>
      </c>
      <c r="J635">
        <v>246.99600000000001</v>
      </c>
    </row>
    <row r="636" spans="1:10">
      <c r="A636" t="s">
        <v>1985</v>
      </c>
      <c r="B636" s="1">
        <v>45642</v>
      </c>
      <c r="C636" t="s">
        <v>180</v>
      </c>
      <c r="D636" t="s">
        <v>1107</v>
      </c>
      <c r="E636" t="s">
        <v>1294</v>
      </c>
      <c r="F636">
        <v>1</v>
      </c>
      <c r="G636">
        <v>373.06</v>
      </c>
      <c r="H636">
        <v>0.11</v>
      </c>
      <c r="I636" t="s">
        <v>1351</v>
      </c>
      <c r="J636">
        <v>332.02339999999998</v>
      </c>
    </row>
    <row r="637" spans="1:10">
      <c r="A637" t="s">
        <v>1986</v>
      </c>
      <c r="B637" s="1">
        <v>45693</v>
      </c>
      <c r="C637" t="s">
        <v>885</v>
      </c>
      <c r="D637" t="s">
        <v>1109</v>
      </c>
      <c r="E637" t="s">
        <v>1326</v>
      </c>
      <c r="F637">
        <v>1</v>
      </c>
      <c r="G637">
        <v>124.98</v>
      </c>
      <c r="H637">
        <v>7.0000000000000007E-2</v>
      </c>
      <c r="I637" t="s">
        <v>1354</v>
      </c>
      <c r="J637">
        <v>116.23139999999999</v>
      </c>
    </row>
    <row r="638" spans="1:10">
      <c r="A638" t="s">
        <v>1987</v>
      </c>
      <c r="B638" s="1">
        <v>45763</v>
      </c>
      <c r="C638" t="s">
        <v>608</v>
      </c>
      <c r="D638" t="s">
        <v>1219</v>
      </c>
      <c r="E638" t="s">
        <v>1338</v>
      </c>
      <c r="F638">
        <v>4</v>
      </c>
      <c r="G638">
        <v>221.49</v>
      </c>
      <c r="H638">
        <v>0.26</v>
      </c>
      <c r="I638" t="s">
        <v>1351</v>
      </c>
      <c r="J638">
        <v>655.61040000000003</v>
      </c>
    </row>
    <row r="639" spans="1:10">
      <c r="A639" t="s">
        <v>1988</v>
      </c>
      <c r="B639" s="1">
        <v>45572</v>
      </c>
      <c r="C639" t="s">
        <v>401</v>
      </c>
      <c r="D639" t="s">
        <v>1119</v>
      </c>
      <c r="E639" t="s">
        <v>1326</v>
      </c>
      <c r="F639">
        <v>1</v>
      </c>
      <c r="G639">
        <v>563.32000000000005</v>
      </c>
      <c r="H639">
        <v>0.01</v>
      </c>
      <c r="I639" t="s">
        <v>1351</v>
      </c>
      <c r="J639">
        <v>557.68680000000006</v>
      </c>
    </row>
    <row r="640" spans="1:10">
      <c r="A640" t="s">
        <v>1989</v>
      </c>
      <c r="B640" s="1">
        <v>45338</v>
      </c>
      <c r="C640" t="s">
        <v>843</v>
      </c>
      <c r="D640" t="s">
        <v>1095</v>
      </c>
      <c r="E640" t="s">
        <v>1277</v>
      </c>
      <c r="F640">
        <v>1</v>
      </c>
      <c r="G640">
        <v>362.93</v>
      </c>
      <c r="H640">
        <v>0.27</v>
      </c>
      <c r="I640" t="s">
        <v>1349</v>
      </c>
      <c r="J640">
        <v>264.93889999999999</v>
      </c>
    </row>
    <row r="641" spans="1:10">
      <c r="A641" t="s">
        <v>1990</v>
      </c>
      <c r="B641" s="1">
        <v>45373</v>
      </c>
      <c r="C641" t="s">
        <v>736</v>
      </c>
      <c r="D641" t="s">
        <v>1095</v>
      </c>
      <c r="E641" t="s">
        <v>1326</v>
      </c>
      <c r="F641">
        <v>4</v>
      </c>
      <c r="G641">
        <v>369.22</v>
      </c>
      <c r="H641">
        <v>0.18</v>
      </c>
      <c r="I641" t="s">
        <v>1354</v>
      </c>
      <c r="J641">
        <v>1211.0416</v>
      </c>
    </row>
    <row r="642" spans="1:10">
      <c r="A642" t="s">
        <v>1991</v>
      </c>
      <c r="B642" s="1">
        <v>45590</v>
      </c>
      <c r="C642" t="s">
        <v>883</v>
      </c>
      <c r="D642" t="s">
        <v>1265</v>
      </c>
      <c r="E642" t="s">
        <v>1324</v>
      </c>
      <c r="F642">
        <v>3</v>
      </c>
      <c r="G642">
        <v>950.83</v>
      </c>
      <c r="H642">
        <v>0.06</v>
      </c>
      <c r="I642" t="s">
        <v>1351</v>
      </c>
      <c r="J642">
        <v>2681.3406</v>
      </c>
    </row>
    <row r="643" spans="1:10">
      <c r="A643" t="s">
        <v>1992</v>
      </c>
      <c r="B643" s="1">
        <v>45365</v>
      </c>
      <c r="C643" t="s">
        <v>347</v>
      </c>
      <c r="D643" t="s">
        <v>1147</v>
      </c>
      <c r="E643" t="s">
        <v>1322</v>
      </c>
      <c r="F643">
        <v>3</v>
      </c>
      <c r="G643">
        <v>338.79</v>
      </c>
      <c r="H643">
        <v>0.01</v>
      </c>
      <c r="I643" t="s">
        <v>1349</v>
      </c>
      <c r="J643">
        <v>1006.2063000000001</v>
      </c>
    </row>
    <row r="644" spans="1:10">
      <c r="A644" t="s">
        <v>1993</v>
      </c>
      <c r="B644" s="1">
        <v>45711</v>
      </c>
      <c r="C644" t="s">
        <v>353</v>
      </c>
      <c r="D644" t="s">
        <v>1253</v>
      </c>
      <c r="E644" t="s">
        <v>1282</v>
      </c>
      <c r="F644">
        <v>3</v>
      </c>
      <c r="G644">
        <v>853.32</v>
      </c>
      <c r="H644">
        <v>7.0000000000000007E-2</v>
      </c>
      <c r="I644" t="s">
        <v>1354</v>
      </c>
      <c r="J644">
        <v>2380.7628</v>
      </c>
    </row>
    <row r="645" spans="1:10">
      <c r="A645" t="s">
        <v>1994</v>
      </c>
      <c r="B645" s="1">
        <v>45586</v>
      </c>
      <c r="C645" t="s">
        <v>359</v>
      </c>
      <c r="D645" t="s">
        <v>1225</v>
      </c>
      <c r="E645" t="s">
        <v>1301</v>
      </c>
      <c r="F645">
        <v>3</v>
      </c>
      <c r="G645">
        <v>89.78</v>
      </c>
      <c r="H645">
        <v>0.2</v>
      </c>
      <c r="I645" t="s">
        <v>1354</v>
      </c>
      <c r="J645">
        <v>215.47200000000001</v>
      </c>
    </row>
    <row r="646" spans="1:10">
      <c r="A646" t="s">
        <v>1995</v>
      </c>
      <c r="B646" s="1">
        <v>45334</v>
      </c>
      <c r="C646" t="s">
        <v>444</v>
      </c>
      <c r="D646" t="s">
        <v>1183</v>
      </c>
      <c r="E646" t="s">
        <v>1282</v>
      </c>
      <c r="F646">
        <v>1</v>
      </c>
      <c r="G646">
        <v>172.04</v>
      </c>
      <c r="H646">
        <v>0.04</v>
      </c>
      <c r="I646" t="s">
        <v>1351</v>
      </c>
      <c r="J646">
        <v>165.1584</v>
      </c>
    </row>
    <row r="647" spans="1:10">
      <c r="A647" t="s">
        <v>1996</v>
      </c>
      <c r="B647" s="1">
        <v>45333</v>
      </c>
      <c r="C647" t="s">
        <v>996</v>
      </c>
      <c r="D647" t="s">
        <v>1181</v>
      </c>
      <c r="E647" t="s">
        <v>1282</v>
      </c>
      <c r="F647">
        <v>1</v>
      </c>
      <c r="G647">
        <v>389.2</v>
      </c>
      <c r="H647">
        <v>0.05</v>
      </c>
      <c r="I647" t="s">
        <v>1349</v>
      </c>
      <c r="J647">
        <v>369.74</v>
      </c>
    </row>
    <row r="648" spans="1:10">
      <c r="A648" t="s">
        <v>1997</v>
      </c>
      <c r="B648" s="1">
        <v>45778</v>
      </c>
      <c r="C648" t="s">
        <v>984</v>
      </c>
      <c r="D648" t="s">
        <v>1227</v>
      </c>
      <c r="E648" t="s">
        <v>1322</v>
      </c>
      <c r="F648">
        <v>3</v>
      </c>
      <c r="G648">
        <v>865.96</v>
      </c>
      <c r="H648">
        <v>0.12</v>
      </c>
      <c r="I648" t="s">
        <v>1351</v>
      </c>
      <c r="J648">
        <v>2286.1343999999999</v>
      </c>
    </row>
    <row r="649" spans="1:10">
      <c r="A649" t="s">
        <v>1998</v>
      </c>
      <c r="B649" s="1">
        <v>45592</v>
      </c>
      <c r="C649" t="s">
        <v>399</v>
      </c>
      <c r="D649" t="s">
        <v>1111</v>
      </c>
      <c r="E649" t="s">
        <v>1282</v>
      </c>
      <c r="F649">
        <v>3</v>
      </c>
      <c r="G649">
        <v>79.95</v>
      </c>
      <c r="H649">
        <v>0.2</v>
      </c>
      <c r="I649" t="s">
        <v>1354</v>
      </c>
      <c r="J649">
        <v>191.88</v>
      </c>
    </row>
    <row r="650" spans="1:10">
      <c r="A650" t="s">
        <v>1999</v>
      </c>
      <c r="B650" s="1">
        <v>45259</v>
      </c>
      <c r="C650" t="s">
        <v>825</v>
      </c>
      <c r="D650" t="s">
        <v>1125</v>
      </c>
      <c r="E650" t="s">
        <v>1304</v>
      </c>
      <c r="F650">
        <v>1</v>
      </c>
      <c r="G650">
        <v>566.5</v>
      </c>
      <c r="H650">
        <v>0.25</v>
      </c>
      <c r="I650" t="s">
        <v>1354</v>
      </c>
      <c r="J650">
        <v>424.875</v>
      </c>
    </row>
    <row r="651" spans="1:10">
      <c r="A651" t="s">
        <v>2000</v>
      </c>
      <c r="B651" s="1">
        <v>45801</v>
      </c>
      <c r="C651" t="s">
        <v>867</v>
      </c>
      <c r="D651" t="s">
        <v>1115</v>
      </c>
      <c r="E651" t="s">
        <v>1277</v>
      </c>
      <c r="F651">
        <v>2</v>
      </c>
      <c r="G651">
        <v>347.95</v>
      </c>
      <c r="H651">
        <v>0.13</v>
      </c>
      <c r="I651" t="s">
        <v>1354</v>
      </c>
      <c r="J651">
        <v>605.43299999999999</v>
      </c>
    </row>
    <row r="652" spans="1:10">
      <c r="A652" t="s">
        <v>2001</v>
      </c>
      <c r="B652" s="1">
        <v>45347</v>
      </c>
      <c r="C652" t="s">
        <v>480</v>
      </c>
      <c r="D652" t="s">
        <v>1189</v>
      </c>
      <c r="E652" t="s">
        <v>1291</v>
      </c>
      <c r="F652">
        <v>2</v>
      </c>
      <c r="G652">
        <v>250.83</v>
      </c>
      <c r="H652">
        <v>0.15</v>
      </c>
      <c r="I652" t="s">
        <v>1351</v>
      </c>
      <c r="J652">
        <v>426.411</v>
      </c>
    </row>
    <row r="653" spans="1:10">
      <c r="A653" t="s">
        <v>2002</v>
      </c>
      <c r="B653" s="1">
        <v>45721</v>
      </c>
      <c r="C653" t="s">
        <v>359</v>
      </c>
      <c r="D653" t="s">
        <v>1215</v>
      </c>
      <c r="E653" t="s">
        <v>1282</v>
      </c>
      <c r="F653">
        <v>1</v>
      </c>
      <c r="G653">
        <v>888.05</v>
      </c>
      <c r="H653">
        <v>0.2</v>
      </c>
      <c r="I653" t="s">
        <v>1351</v>
      </c>
      <c r="J653">
        <v>710.44</v>
      </c>
    </row>
    <row r="654" spans="1:10">
      <c r="A654" t="s">
        <v>2003</v>
      </c>
      <c r="B654" s="1">
        <v>45531</v>
      </c>
      <c r="C654" t="s">
        <v>30</v>
      </c>
      <c r="D654" t="s">
        <v>1151</v>
      </c>
      <c r="E654" t="s">
        <v>1335</v>
      </c>
      <c r="F654">
        <v>2</v>
      </c>
      <c r="G654">
        <v>673.02</v>
      </c>
      <c r="H654">
        <v>0.11</v>
      </c>
      <c r="I654" t="s">
        <v>1351</v>
      </c>
      <c r="J654">
        <v>1197.9756</v>
      </c>
    </row>
    <row r="655" spans="1:10">
      <c r="A655" t="s">
        <v>2004</v>
      </c>
      <c r="B655" s="1">
        <v>45332</v>
      </c>
      <c r="C655" t="s">
        <v>943</v>
      </c>
      <c r="D655" t="s">
        <v>1201</v>
      </c>
      <c r="E655" t="s">
        <v>1291</v>
      </c>
      <c r="F655">
        <v>2</v>
      </c>
      <c r="G655">
        <v>492.62</v>
      </c>
      <c r="H655">
        <v>0.26</v>
      </c>
      <c r="I655" t="s">
        <v>1354</v>
      </c>
      <c r="J655">
        <v>729.07759999999996</v>
      </c>
    </row>
    <row r="656" spans="1:10">
      <c r="A656" t="s">
        <v>2005</v>
      </c>
      <c r="B656" s="1">
        <v>45344</v>
      </c>
      <c r="C656" t="s">
        <v>815</v>
      </c>
      <c r="D656" t="s">
        <v>1243</v>
      </c>
      <c r="E656" t="s">
        <v>1291</v>
      </c>
      <c r="F656">
        <v>4</v>
      </c>
      <c r="G656">
        <v>986.93</v>
      </c>
      <c r="H656">
        <v>0.01</v>
      </c>
      <c r="I656" t="s">
        <v>1349</v>
      </c>
      <c r="J656">
        <v>3908.2428</v>
      </c>
    </row>
    <row r="657" spans="1:10">
      <c r="A657" t="s">
        <v>2006</v>
      </c>
      <c r="B657" s="1">
        <v>45388</v>
      </c>
      <c r="C657" t="s">
        <v>1020</v>
      </c>
      <c r="D657" t="s">
        <v>1117</v>
      </c>
      <c r="E657" t="s">
        <v>1319</v>
      </c>
      <c r="F657">
        <v>4</v>
      </c>
      <c r="G657">
        <v>411.68</v>
      </c>
      <c r="H657">
        <v>0.06</v>
      </c>
      <c r="I657" t="s">
        <v>1351</v>
      </c>
      <c r="J657">
        <v>1547.9168</v>
      </c>
    </row>
    <row r="658" spans="1:10">
      <c r="A658" t="s">
        <v>2007</v>
      </c>
      <c r="B658" s="1">
        <v>45397</v>
      </c>
      <c r="C658" t="s">
        <v>500</v>
      </c>
      <c r="D658" t="s">
        <v>1145</v>
      </c>
      <c r="E658" t="s">
        <v>1332</v>
      </c>
      <c r="F658">
        <v>2</v>
      </c>
      <c r="G658">
        <v>637.55999999999995</v>
      </c>
      <c r="H658">
        <v>0.05</v>
      </c>
      <c r="I658" t="s">
        <v>1354</v>
      </c>
      <c r="J658">
        <v>1211.364</v>
      </c>
    </row>
    <row r="659" spans="1:10">
      <c r="A659" t="s">
        <v>2008</v>
      </c>
      <c r="B659" s="1">
        <v>45633</v>
      </c>
      <c r="C659" t="s">
        <v>53</v>
      </c>
      <c r="D659" t="s">
        <v>1099</v>
      </c>
      <c r="E659" t="s">
        <v>1291</v>
      </c>
      <c r="F659">
        <v>3</v>
      </c>
      <c r="G659">
        <v>706.87</v>
      </c>
      <c r="H659">
        <v>0.27</v>
      </c>
      <c r="I659" t="s">
        <v>1349</v>
      </c>
      <c r="J659">
        <v>1548.0453</v>
      </c>
    </row>
    <row r="660" spans="1:10">
      <c r="A660" t="s">
        <v>2009</v>
      </c>
      <c r="B660" s="1">
        <v>45629</v>
      </c>
      <c r="C660" t="s">
        <v>155</v>
      </c>
      <c r="D660" t="s">
        <v>1103</v>
      </c>
      <c r="E660" t="s">
        <v>1301</v>
      </c>
      <c r="F660">
        <v>2</v>
      </c>
      <c r="G660">
        <v>884.48</v>
      </c>
      <c r="H660">
        <v>0</v>
      </c>
      <c r="I660" t="s">
        <v>1354</v>
      </c>
      <c r="J660">
        <v>1768.96</v>
      </c>
    </row>
    <row r="661" spans="1:10">
      <c r="A661" t="s">
        <v>2010</v>
      </c>
      <c r="B661" s="1">
        <v>45291</v>
      </c>
      <c r="C661" t="s">
        <v>135</v>
      </c>
      <c r="D661" t="s">
        <v>1257</v>
      </c>
      <c r="E661" t="s">
        <v>1294</v>
      </c>
      <c r="F661">
        <v>3</v>
      </c>
      <c r="G661">
        <v>718.23</v>
      </c>
      <c r="H661">
        <v>0.19</v>
      </c>
      <c r="I661" t="s">
        <v>1351</v>
      </c>
      <c r="J661">
        <v>1745.2989</v>
      </c>
    </row>
    <row r="662" spans="1:10">
      <c r="A662" t="s">
        <v>2011</v>
      </c>
      <c r="B662" s="1">
        <v>45914</v>
      </c>
      <c r="C662" t="s">
        <v>422</v>
      </c>
      <c r="D662" t="s">
        <v>1253</v>
      </c>
      <c r="E662" t="s">
        <v>1335</v>
      </c>
      <c r="F662">
        <v>3</v>
      </c>
      <c r="G662">
        <v>107.44</v>
      </c>
      <c r="H662">
        <v>0.27</v>
      </c>
      <c r="I662" t="s">
        <v>1351</v>
      </c>
      <c r="J662">
        <v>235.2936</v>
      </c>
    </row>
    <row r="663" spans="1:10">
      <c r="A663" t="s">
        <v>2012</v>
      </c>
      <c r="B663" s="1">
        <v>45673</v>
      </c>
      <c r="C663" t="s">
        <v>157</v>
      </c>
      <c r="D663" t="s">
        <v>1165</v>
      </c>
      <c r="E663" t="s">
        <v>1291</v>
      </c>
      <c r="F663">
        <v>4</v>
      </c>
      <c r="G663">
        <v>608.97</v>
      </c>
      <c r="H663">
        <v>0.14000000000000001</v>
      </c>
      <c r="I663" t="s">
        <v>1354</v>
      </c>
      <c r="J663">
        <v>2094.8568</v>
      </c>
    </row>
    <row r="664" spans="1:10">
      <c r="A664" t="s">
        <v>2013</v>
      </c>
      <c r="B664" s="1">
        <v>45689</v>
      </c>
      <c r="C664" t="s">
        <v>771</v>
      </c>
      <c r="D664" t="s">
        <v>1195</v>
      </c>
      <c r="E664" t="s">
        <v>1301</v>
      </c>
      <c r="F664">
        <v>3</v>
      </c>
      <c r="G664">
        <v>260.45999999999998</v>
      </c>
      <c r="H664">
        <v>0.09</v>
      </c>
      <c r="I664" t="s">
        <v>1349</v>
      </c>
      <c r="J664">
        <v>711.05579999999986</v>
      </c>
    </row>
    <row r="665" spans="1:10">
      <c r="A665" t="s">
        <v>2014</v>
      </c>
      <c r="B665" s="1">
        <v>45646</v>
      </c>
      <c r="C665" t="s">
        <v>306</v>
      </c>
      <c r="D665" t="s">
        <v>1117</v>
      </c>
      <c r="E665" t="s">
        <v>1301</v>
      </c>
      <c r="F665">
        <v>1</v>
      </c>
      <c r="G665">
        <v>747.03</v>
      </c>
      <c r="H665">
        <v>0.01</v>
      </c>
      <c r="I665" t="s">
        <v>1349</v>
      </c>
      <c r="J665">
        <v>739.55970000000002</v>
      </c>
    </row>
    <row r="666" spans="1:10">
      <c r="A666" t="s">
        <v>2015</v>
      </c>
      <c r="B666" s="1">
        <v>45475</v>
      </c>
      <c r="C666" t="s">
        <v>871</v>
      </c>
      <c r="D666" t="s">
        <v>1105</v>
      </c>
      <c r="E666" t="s">
        <v>1307</v>
      </c>
      <c r="F666">
        <v>4</v>
      </c>
      <c r="G666">
        <v>700.88</v>
      </c>
      <c r="H666">
        <v>0.23</v>
      </c>
      <c r="I666" t="s">
        <v>1351</v>
      </c>
      <c r="J666">
        <v>2158.7103999999999</v>
      </c>
    </row>
    <row r="667" spans="1:10">
      <c r="A667" t="s">
        <v>2016</v>
      </c>
      <c r="B667" s="1">
        <v>45781</v>
      </c>
      <c r="C667" t="s">
        <v>138</v>
      </c>
      <c r="D667" t="s">
        <v>1263</v>
      </c>
      <c r="E667" t="s">
        <v>1324</v>
      </c>
      <c r="F667">
        <v>4</v>
      </c>
      <c r="G667">
        <v>20.09</v>
      </c>
      <c r="H667">
        <v>0.16</v>
      </c>
      <c r="I667" t="s">
        <v>1351</v>
      </c>
      <c r="J667">
        <v>67.502399999999994</v>
      </c>
    </row>
    <row r="668" spans="1:10">
      <c r="A668" t="s">
        <v>2017</v>
      </c>
      <c r="B668" s="1">
        <v>45654</v>
      </c>
      <c r="C668" t="s">
        <v>170</v>
      </c>
      <c r="D668" t="s">
        <v>1147</v>
      </c>
      <c r="E668" t="s">
        <v>1317</v>
      </c>
      <c r="F668">
        <v>3</v>
      </c>
      <c r="G668">
        <v>917.64</v>
      </c>
      <c r="H668">
        <v>0.24</v>
      </c>
      <c r="I668" t="s">
        <v>1351</v>
      </c>
      <c r="J668">
        <v>2092.2192</v>
      </c>
    </row>
    <row r="669" spans="1:10">
      <c r="A669" t="s">
        <v>2018</v>
      </c>
      <c r="B669" s="1">
        <v>45594</v>
      </c>
      <c r="C669" t="s">
        <v>145</v>
      </c>
      <c r="D669" t="s">
        <v>1115</v>
      </c>
      <c r="E669" t="s">
        <v>1277</v>
      </c>
      <c r="F669">
        <v>1</v>
      </c>
      <c r="G669">
        <v>242.08</v>
      </c>
      <c r="H669">
        <v>0.18</v>
      </c>
      <c r="I669" t="s">
        <v>1351</v>
      </c>
      <c r="J669">
        <v>198.50559999999999</v>
      </c>
    </row>
    <row r="670" spans="1:10">
      <c r="A670" t="s">
        <v>2019</v>
      </c>
      <c r="B670" s="1">
        <v>45581</v>
      </c>
      <c r="C670" t="s">
        <v>159</v>
      </c>
      <c r="D670" t="s">
        <v>1199</v>
      </c>
      <c r="E670" t="s">
        <v>1304</v>
      </c>
      <c r="F670">
        <v>1</v>
      </c>
      <c r="G670">
        <v>536.67999999999995</v>
      </c>
      <c r="H670">
        <v>0.27</v>
      </c>
      <c r="I670" t="s">
        <v>1349</v>
      </c>
      <c r="J670">
        <v>391.77640000000002</v>
      </c>
    </row>
    <row r="671" spans="1:10">
      <c r="A671" t="s">
        <v>2020</v>
      </c>
      <c r="B671" s="1">
        <v>45748</v>
      </c>
      <c r="C671" t="s">
        <v>246</v>
      </c>
      <c r="D671" t="s">
        <v>1131</v>
      </c>
      <c r="E671" t="s">
        <v>1294</v>
      </c>
      <c r="F671">
        <v>2</v>
      </c>
      <c r="G671">
        <v>145.18</v>
      </c>
      <c r="H671">
        <v>0.26</v>
      </c>
      <c r="I671" t="s">
        <v>1351</v>
      </c>
      <c r="J671">
        <v>214.8664</v>
      </c>
    </row>
    <row r="672" spans="1:10">
      <c r="A672" t="s">
        <v>2021</v>
      </c>
      <c r="B672" s="1">
        <v>45369</v>
      </c>
      <c r="C672" t="s">
        <v>505</v>
      </c>
      <c r="D672" t="s">
        <v>1207</v>
      </c>
      <c r="E672" t="s">
        <v>1294</v>
      </c>
      <c r="F672">
        <v>2</v>
      </c>
      <c r="G672">
        <v>132.77000000000001</v>
      </c>
      <c r="H672">
        <v>0.13</v>
      </c>
      <c r="I672" t="s">
        <v>1354</v>
      </c>
      <c r="J672">
        <v>231.0198</v>
      </c>
    </row>
    <row r="673" spans="1:10">
      <c r="A673" t="s">
        <v>2022</v>
      </c>
      <c r="B673" s="1">
        <v>45701</v>
      </c>
      <c r="C673" t="s">
        <v>50</v>
      </c>
      <c r="D673" t="s">
        <v>1155</v>
      </c>
      <c r="E673" t="s">
        <v>1311</v>
      </c>
      <c r="F673">
        <v>4</v>
      </c>
      <c r="G673">
        <v>682.11</v>
      </c>
      <c r="H673">
        <v>0.14000000000000001</v>
      </c>
      <c r="I673" t="s">
        <v>1349</v>
      </c>
      <c r="J673">
        <v>2346.4584</v>
      </c>
    </row>
    <row r="674" spans="1:10">
      <c r="A674" t="s">
        <v>2023</v>
      </c>
      <c r="B674" s="1">
        <v>45510</v>
      </c>
      <c r="C674" t="s">
        <v>1033</v>
      </c>
      <c r="D674" t="s">
        <v>1153</v>
      </c>
      <c r="E674" t="s">
        <v>1332</v>
      </c>
      <c r="F674">
        <v>4</v>
      </c>
      <c r="G674">
        <v>502.95</v>
      </c>
      <c r="H674">
        <v>0.14000000000000001</v>
      </c>
      <c r="I674" t="s">
        <v>1354</v>
      </c>
      <c r="J674">
        <v>1730.1479999999999</v>
      </c>
    </row>
    <row r="675" spans="1:10">
      <c r="A675" t="s">
        <v>2024</v>
      </c>
      <c r="B675" s="1">
        <v>45538</v>
      </c>
      <c r="C675" t="s">
        <v>531</v>
      </c>
      <c r="D675" t="s">
        <v>1147</v>
      </c>
      <c r="E675" t="s">
        <v>1329</v>
      </c>
      <c r="F675">
        <v>2</v>
      </c>
      <c r="G675">
        <v>472.08</v>
      </c>
      <c r="H675">
        <v>7.0000000000000007E-2</v>
      </c>
      <c r="I675" t="s">
        <v>1349</v>
      </c>
      <c r="J675">
        <v>878.0687999999999</v>
      </c>
    </row>
    <row r="676" spans="1:10">
      <c r="A676" t="s">
        <v>2025</v>
      </c>
      <c r="B676" s="1">
        <v>45665</v>
      </c>
      <c r="C676" t="s">
        <v>1008</v>
      </c>
      <c r="D676" t="s">
        <v>1187</v>
      </c>
      <c r="E676" t="s">
        <v>1332</v>
      </c>
      <c r="F676">
        <v>2</v>
      </c>
      <c r="G676">
        <v>218.11</v>
      </c>
      <c r="H676">
        <v>0.02</v>
      </c>
      <c r="I676" t="s">
        <v>1354</v>
      </c>
      <c r="J676">
        <v>427.49560000000002</v>
      </c>
    </row>
    <row r="677" spans="1:10">
      <c r="A677" t="s">
        <v>2026</v>
      </c>
      <c r="B677" s="1">
        <v>45859</v>
      </c>
      <c r="C677" t="s">
        <v>159</v>
      </c>
      <c r="D677" t="s">
        <v>1071</v>
      </c>
      <c r="E677" t="s">
        <v>1301</v>
      </c>
      <c r="F677">
        <v>4</v>
      </c>
      <c r="G677">
        <v>845.58</v>
      </c>
      <c r="H677">
        <v>0.06</v>
      </c>
      <c r="I677" t="s">
        <v>1351</v>
      </c>
      <c r="J677">
        <v>3179.3807999999999</v>
      </c>
    </row>
    <row r="678" spans="1:10">
      <c r="A678" t="s">
        <v>2027</v>
      </c>
      <c r="B678" s="1">
        <v>45255</v>
      </c>
      <c r="C678" t="s">
        <v>317</v>
      </c>
      <c r="D678" t="s">
        <v>1233</v>
      </c>
      <c r="E678" t="s">
        <v>1286</v>
      </c>
      <c r="F678">
        <v>2</v>
      </c>
      <c r="G678">
        <v>111.28</v>
      </c>
      <c r="H678">
        <v>0.14000000000000001</v>
      </c>
      <c r="I678" t="s">
        <v>1349</v>
      </c>
      <c r="J678">
        <v>191.4016</v>
      </c>
    </row>
    <row r="679" spans="1:10">
      <c r="A679" t="s">
        <v>2028</v>
      </c>
      <c r="B679" s="1">
        <v>45842</v>
      </c>
      <c r="C679" t="s">
        <v>415</v>
      </c>
      <c r="D679" t="s">
        <v>1191</v>
      </c>
      <c r="E679" t="s">
        <v>1324</v>
      </c>
      <c r="F679">
        <v>2</v>
      </c>
      <c r="G679">
        <v>37.21</v>
      </c>
      <c r="H679">
        <v>0.19</v>
      </c>
      <c r="I679" t="s">
        <v>1349</v>
      </c>
      <c r="J679">
        <v>60.280200000000008</v>
      </c>
    </row>
    <row r="680" spans="1:10">
      <c r="A680" t="s">
        <v>2029</v>
      </c>
      <c r="B680" s="1">
        <v>45220</v>
      </c>
      <c r="C680" t="s">
        <v>897</v>
      </c>
      <c r="D680" t="s">
        <v>1197</v>
      </c>
      <c r="E680" t="s">
        <v>1322</v>
      </c>
      <c r="F680">
        <v>1</v>
      </c>
      <c r="G680">
        <v>331.73</v>
      </c>
      <c r="H680">
        <v>0.04</v>
      </c>
      <c r="I680" t="s">
        <v>1349</v>
      </c>
      <c r="J680">
        <v>318.46080000000001</v>
      </c>
    </row>
    <row r="681" spans="1:10">
      <c r="A681" t="s">
        <v>2030</v>
      </c>
      <c r="B681" s="1">
        <v>45273</v>
      </c>
      <c r="C681" t="s">
        <v>791</v>
      </c>
      <c r="D681" t="s">
        <v>1213</v>
      </c>
      <c r="E681" t="s">
        <v>1319</v>
      </c>
      <c r="F681">
        <v>3</v>
      </c>
      <c r="G681">
        <v>306.70999999999998</v>
      </c>
      <c r="H681">
        <v>0.09</v>
      </c>
      <c r="I681" t="s">
        <v>1351</v>
      </c>
      <c r="J681">
        <v>837.31829999999991</v>
      </c>
    </row>
    <row r="682" spans="1:10">
      <c r="A682" t="s">
        <v>2031</v>
      </c>
      <c r="B682" s="1">
        <v>45456</v>
      </c>
      <c r="C682" t="s">
        <v>604</v>
      </c>
      <c r="D682" t="s">
        <v>1123</v>
      </c>
      <c r="E682" t="s">
        <v>1301</v>
      </c>
      <c r="F682">
        <v>4</v>
      </c>
      <c r="G682">
        <v>484.92</v>
      </c>
      <c r="H682">
        <v>0.28000000000000003</v>
      </c>
      <c r="I682" t="s">
        <v>1351</v>
      </c>
      <c r="J682">
        <v>1396.5696</v>
      </c>
    </row>
    <row r="683" spans="1:10">
      <c r="A683" t="s">
        <v>2032</v>
      </c>
      <c r="B683" s="1">
        <v>45292</v>
      </c>
      <c r="C683" t="s">
        <v>126</v>
      </c>
      <c r="D683" t="s">
        <v>1173</v>
      </c>
      <c r="E683" t="s">
        <v>1298</v>
      </c>
      <c r="F683">
        <v>2</v>
      </c>
      <c r="G683">
        <v>42.04</v>
      </c>
      <c r="H683">
        <v>7.0000000000000007E-2</v>
      </c>
      <c r="I683" t="s">
        <v>1349</v>
      </c>
      <c r="J683">
        <v>78.194399999999987</v>
      </c>
    </row>
    <row r="684" spans="1:10">
      <c r="A684" t="s">
        <v>2033</v>
      </c>
      <c r="B684" s="1">
        <v>45278</v>
      </c>
      <c r="C684" t="s">
        <v>626</v>
      </c>
      <c r="D684" t="s">
        <v>1183</v>
      </c>
      <c r="E684" t="s">
        <v>1301</v>
      </c>
      <c r="F684">
        <v>3</v>
      </c>
      <c r="G684">
        <v>599.48</v>
      </c>
      <c r="H684">
        <v>0.22</v>
      </c>
      <c r="I684" t="s">
        <v>1351</v>
      </c>
      <c r="J684">
        <v>1402.7832000000001</v>
      </c>
    </row>
    <row r="685" spans="1:10">
      <c r="A685" t="s">
        <v>2034</v>
      </c>
      <c r="B685" s="1">
        <v>45232</v>
      </c>
      <c r="C685" t="s">
        <v>777</v>
      </c>
      <c r="D685" t="s">
        <v>1107</v>
      </c>
      <c r="E685" t="s">
        <v>1282</v>
      </c>
      <c r="F685">
        <v>3</v>
      </c>
      <c r="G685">
        <v>401.42</v>
      </c>
      <c r="H685">
        <v>0.01</v>
      </c>
      <c r="I685" t="s">
        <v>1354</v>
      </c>
      <c r="J685">
        <v>1192.2174</v>
      </c>
    </row>
    <row r="686" spans="1:10">
      <c r="A686" t="s">
        <v>2035</v>
      </c>
      <c r="B686" s="1">
        <v>45907</v>
      </c>
      <c r="C686" t="s">
        <v>446</v>
      </c>
      <c r="D686" t="s">
        <v>1165</v>
      </c>
      <c r="E686" t="s">
        <v>1307</v>
      </c>
      <c r="F686">
        <v>4</v>
      </c>
      <c r="G686">
        <v>442.54</v>
      </c>
      <c r="H686">
        <v>0.06</v>
      </c>
      <c r="I686" t="s">
        <v>1349</v>
      </c>
      <c r="J686">
        <v>1663.9503999999999</v>
      </c>
    </row>
    <row r="687" spans="1:10">
      <c r="A687" t="s">
        <v>2036</v>
      </c>
      <c r="B687" s="1">
        <v>45270</v>
      </c>
      <c r="C687" t="s">
        <v>975</v>
      </c>
      <c r="D687" t="s">
        <v>1249</v>
      </c>
      <c r="E687" t="s">
        <v>1322</v>
      </c>
      <c r="F687">
        <v>4</v>
      </c>
      <c r="G687">
        <v>451.41</v>
      </c>
      <c r="H687">
        <v>0.06</v>
      </c>
      <c r="I687" t="s">
        <v>1351</v>
      </c>
      <c r="J687">
        <v>1697.3016</v>
      </c>
    </row>
    <row r="688" spans="1:10">
      <c r="A688" t="s">
        <v>2037</v>
      </c>
      <c r="B688" s="1">
        <v>45942</v>
      </c>
      <c r="C688" t="s">
        <v>594</v>
      </c>
      <c r="D688" t="s">
        <v>1255</v>
      </c>
      <c r="E688" t="s">
        <v>1311</v>
      </c>
      <c r="F688">
        <v>4</v>
      </c>
      <c r="G688">
        <v>547.21</v>
      </c>
      <c r="H688">
        <v>0.25</v>
      </c>
      <c r="I688" t="s">
        <v>1349</v>
      </c>
      <c r="J688">
        <v>1641.63</v>
      </c>
    </row>
    <row r="689" spans="1:10">
      <c r="A689" t="s">
        <v>2038</v>
      </c>
      <c r="B689" s="1">
        <v>45750</v>
      </c>
      <c r="C689" t="s">
        <v>468</v>
      </c>
      <c r="D689" t="s">
        <v>1247</v>
      </c>
      <c r="E689" t="s">
        <v>1294</v>
      </c>
      <c r="F689">
        <v>1</v>
      </c>
      <c r="G689">
        <v>979.28</v>
      </c>
      <c r="H689">
        <v>0.2</v>
      </c>
      <c r="I689" t="s">
        <v>1351</v>
      </c>
      <c r="J689">
        <v>783.42399999999998</v>
      </c>
    </row>
    <row r="690" spans="1:10">
      <c r="A690" t="s">
        <v>2039</v>
      </c>
      <c r="B690" s="1">
        <v>45300</v>
      </c>
      <c r="C690" t="s">
        <v>990</v>
      </c>
      <c r="D690" t="s">
        <v>1185</v>
      </c>
      <c r="E690" t="s">
        <v>1304</v>
      </c>
      <c r="F690">
        <v>4</v>
      </c>
      <c r="G690">
        <v>263.58999999999997</v>
      </c>
      <c r="H690">
        <v>0.04</v>
      </c>
      <c r="I690" t="s">
        <v>1349</v>
      </c>
      <c r="J690">
        <v>1012.1856</v>
      </c>
    </row>
    <row r="691" spans="1:10">
      <c r="A691" t="s">
        <v>2040</v>
      </c>
      <c r="B691" s="1">
        <v>45876</v>
      </c>
      <c r="C691" t="s">
        <v>18</v>
      </c>
      <c r="D691" t="s">
        <v>1181</v>
      </c>
      <c r="E691" t="s">
        <v>1298</v>
      </c>
      <c r="F691">
        <v>1</v>
      </c>
      <c r="G691">
        <v>692.75</v>
      </c>
      <c r="H691">
        <v>0.11</v>
      </c>
      <c r="I691" t="s">
        <v>1354</v>
      </c>
      <c r="J691">
        <v>616.54750000000001</v>
      </c>
    </row>
    <row r="692" spans="1:10">
      <c r="A692" t="s">
        <v>2041</v>
      </c>
      <c r="B692" s="1">
        <v>45301</v>
      </c>
      <c r="C692" t="s">
        <v>387</v>
      </c>
      <c r="D692" t="s">
        <v>1199</v>
      </c>
      <c r="E692" t="s">
        <v>1291</v>
      </c>
      <c r="F692">
        <v>3</v>
      </c>
      <c r="G692">
        <v>142.83000000000001</v>
      </c>
      <c r="H692">
        <v>0.01</v>
      </c>
      <c r="I692" t="s">
        <v>1349</v>
      </c>
      <c r="J692">
        <v>424.20510000000002</v>
      </c>
    </row>
    <row r="693" spans="1:10">
      <c r="A693" t="s">
        <v>2042</v>
      </c>
      <c r="B693" s="1">
        <v>45857</v>
      </c>
      <c r="C693" t="s">
        <v>308</v>
      </c>
      <c r="D693" t="s">
        <v>1117</v>
      </c>
      <c r="E693" t="s">
        <v>1286</v>
      </c>
      <c r="F693">
        <v>2</v>
      </c>
      <c r="G693">
        <v>419.25</v>
      </c>
      <c r="H693">
        <v>0.17</v>
      </c>
      <c r="I693" t="s">
        <v>1351</v>
      </c>
      <c r="J693">
        <v>695.95499999999993</v>
      </c>
    </row>
    <row r="694" spans="1:10">
      <c r="A694" t="s">
        <v>2043</v>
      </c>
      <c r="B694" s="1">
        <v>45650</v>
      </c>
      <c r="C694" t="s">
        <v>543</v>
      </c>
      <c r="D694" t="s">
        <v>1125</v>
      </c>
      <c r="E694" t="s">
        <v>1338</v>
      </c>
      <c r="F694">
        <v>2</v>
      </c>
      <c r="G694">
        <v>800.84</v>
      </c>
      <c r="H694">
        <v>0.27</v>
      </c>
      <c r="I694" t="s">
        <v>1354</v>
      </c>
      <c r="J694">
        <v>1169.2264</v>
      </c>
    </row>
    <row r="695" spans="1:10">
      <c r="A695" t="s">
        <v>2044</v>
      </c>
      <c r="B695" s="1">
        <v>45520</v>
      </c>
      <c r="C695" t="s">
        <v>13</v>
      </c>
      <c r="D695" t="s">
        <v>1169</v>
      </c>
      <c r="E695" t="s">
        <v>1286</v>
      </c>
      <c r="F695">
        <v>1</v>
      </c>
      <c r="G695">
        <v>301.24</v>
      </c>
      <c r="H695">
        <v>0.11</v>
      </c>
      <c r="I695" t="s">
        <v>1351</v>
      </c>
      <c r="J695">
        <v>268.10359999999997</v>
      </c>
    </row>
    <row r="696" spans="1:10">
      <c r="A696" t="s">
        <v>2045</v>
      </c>
      <c r="B696" s="1">
        <v>45497</v>
      </c>
      <c r="C696" t="s">
        <v>640</v>
      </c>
      <c r="D696" t="s">
        <v>1243</v>
      </c>
      <c r="E696" t="s">
        <v>1298</v>
      </c>
      <c r="F696">
        <v>2</v>
      </c>
      <c r="G696">
        <v>701.49</v>
      </c>
      <c r="H696">
        <v>0.09</v>
      </c>
      <c r="I696" t="s">
        <v>1351</v>
      </c>
      <c r="J696">
        <v>1276.7118</v>
      </c>
    </row>
    <row r="697" spans="1:10">
      <c r="A697" t="s">
        <v>2046</v>
      </c>
      <c r="B697" s="1">
        <v>45615</v>
      </c>
      <c r="C697" t="s">
        <v>766</v>
      </c>
      <c r="D697" t="s">
        <v>1125</v>
      </c>
      <c r="E697" t="s">
        <v>1314</v>
      </c>
      <c r="F697">
        <v>4</v>
      </c>
      <c r="G697">
        <v>413.48</v>
      </c>
      <c r="H697">
        <v>0.02</v>
      </c>
      <c r="I697" t="s">
        <v>1351</v>
      </c>
      <c r="J697">
        <v>1620.8416</v>
      </c>
    </row>
    <row r="698" spans="1:10">
      <c r="A698" t="s">
        <v>2047</v>
      </c>
      <c r="B698" s="1">
        <v>45365</v>
      </c>
      <c r="C698" t="s">
        <v>456</v>
      </c>
      <c r="D698" t="s">
        <v>1087</v>
      </c>
      <c r="E698" t="s">
        <v>1282</v>
      </c>
      <c r="F698">
        <v>4</v>
      </c>
      <c r="G698">
        <v>167.83</v>
      </c>
      <c r="H698">
        <v>0.15</v>
      </c>
      <c r="I698" t="s">
        <v>1349</v>
      </c>
      <c r="J698">
        <v>570.62200000000007</v>
      </c>
    </row>
    <row r="699" spans="1:10">
      <c r="A699" t="s">
        <v>2048</v>
      </c>
      <c r="B699" s="1">
        <v>45832</v>
      </c>
      <c r="C699" t="s">
        <v>339</v>
      </c>
      <c r="D699" t="s">
        <v>1103</v>
      </c>
      <c r="E699" t="s">
        <v>1335</v>
      </c>
      <c r="F699">
        <v>2</v>
      </c>
      <c r="G699">
        <v>669.12</v>
      </c>
      <c r="H699">
        <v>0.22</v>
      </c>
      <c r="I699" t="s">
        <v>1349</v>
      </c>
      <c r="J699">
        <v>1043.8271999999999</v>
      </c>
    </row>
    <row r="700" spans="1:10">
      <c r="A700" t="s">
        <v>2049</v>
      </c>
      <c r="B700" s="1">
        <v>45530</v>
      </c>
      <c r="C700" t="s">
        <v>115</v>
      </c>
      <c r="D700" t="s">
        <v>1147</v>
      </c>
      <c r="E700" t="s">
        <v>1304</v>
      </c>
      <c r="F700">
        <v>3</v>
      </c>
      <c r="G700">
        <v>346.77</v>
      </c>
      <c r="H700">
        <v>0.18</v>
      </c>
      <c r="I700" t="s">
        <v>1351</v>
      </c>
      <c r="J700">
        <v>853.05420000000004</v>
      </c>
    </row>
    <row r="701" spans="1:10">
      <c r="A701" t="s">
        <v>2050</v>
      </c>
      <c r="B701" s="1">
        <v>45939</v>
      </c>
      <c r="C701" t="s">
        <v>164</v>
      </c>
      <c r="D701" t="s">
        <v>1119</v>
      </c>
      <c r="E701" t="s">
        <v>1338</v>
      </c>
      <c r="F701">
        <v>3</v>
      </c>
      <c r="G701">
        <v>648.33000000000004</v>
      </c>
      <c r="H701">
        <v>0.2</v>
      </c>
      <c r="I701" t="s">
        <v>1354</v>
      </c>
      <c r="J701">
        <v>1555.992</v>
      </c>
    </row>
    <row r="702" spans="1:10">
      <c r="A702" t="s">
        <v>2051</v>
      </c>
      <c r="B702" s="1">
        <v>45401</v>
      </c>
      <c r="C702" t="s">
        <v>634</v>
      </c>
      <c r="D702" t="s">
        <v>1082</v>
      </c>
      <c r="E702" t="s">
        <v>1286</v>
      </c>
      <c r="F702">
        <v>4</v>
      </c>
      <c r="G702">
        <v>254.94</v>
      </c>
      <c r="H702">
        <v>0.06</v>
      </c>
      <c r="I702" t="s">
        <v>1351</v>
      </c>
      <c r="J702">
        <v>958.57439999999997</v>
      </c>
    </row>
    <row r="703" spans="1:10">
      <c r="A703" t="s">
        <v>2052</v>
      </c>
      <c r="B703" s="1">
        <v>45420</v>
      </c>
      <c r="C703" t="s">
        <v>740</v>
      </c>
      <c r="D703" t="s">
        <v>1235</v>
      </c>
      <c r="E703" t="s">
        <v>1294</v>
      </c>
      <c r="F703">
        <v>1</v>
      </c>
      <c r="G703">
        <v>445.5</v>
      </c>
      <c r="H703">
        <v>0.28000000000000003</v>
      </c>
      <c r="I703" t="s">
        <v>1349</v>
      </c>
      <c r="J703">
        <v>320.76</v>
      </c>
    </row>
    <row r="704" spans="1:10">
      <c r="A704" t="s">
        <v>2053</v>
      </c>
      <c r="B704" s="1">
        <v>45459</v>
      </c>
      <c r="C704" t="s">
        <v>505</v>
      </c>
      <c r="D704" t="s">
        <v>1253</v>
      </c>
      <c r="E704" t="s">
        <v>1294</v>
      </c>
      <c r="F704">
        <v>1</v>
      </c>
      <c r="G704">
        <v>900.94</v>
      </c>
      <c r="H704">
        <v>0.1</v>
      </c>
      <c r="I704" t="s">
        <v>1349</v>
      </c>
      <c r="J704">
        <v>810.84600000000012</v>
      </c>
    </row>
    <row r="705" spans="1:10">
      <c r="A705" t="s">
        <v>2054</v>
      </c>
      <c r="B705" s="1">
        <v>45429</v>
      </c>
      <c r="C705" t="s">
        <v>454</v>
      </c>
      <c r="D705" t="s">
        <v>1103</v>
      </c>
      <c r="E705" t="s">
        <v>1329</v>
      </c>
      <c r="F705">
        <v>3</v>
      </c>
      <c r="G705">
        <v>262.69</v>
      </c>
      <c r="H705">
        <v>0.04</v>
      </c>
      <c r="I705" t="s">
        <v>1351</v>
      </c>
      <c r="J705">
        <v>756.54719999999986</v>
      </c>
    </row>
    <row r="706" spans="1:10">
      <c r="A706" t="s">
        <v>2055</v>
      </c>
      <c r="B706" s="1">
        <v>45386</v>
      </c>
      <c r="C706" t="s">
        <v>1026</v>
      </c>
      <c r="D706" t="s">
        <v>1209</v>
      </c>
      <c r="E706" t="s">
        <v>1286</v>
      </c>
      <c r="F706">
        <v>3</v>
      </c>
      <c r="G706">
        <v>212.72</v>
      </c>
      <c r="H706">
        <v>0.22</v>
      </c>
      <c r="I706" t="s">
        <v>1351</v>
      </c>
      <c r="J706">
        <v>497.76479999999998</v>
      </c>
    </row>
    <row r="707" spans="1:10">
      <c r="A707" t="s">
        <v>2056</v>
      </c>
      <c r="B707" s="1">
        <v>45803</v>
      </c>
      <c r="C707" t="s">
        <v>363</v>
      </c>
      <c r="D707" t="s">
        <v>1121</v>
      </c>
      <c r="E707" t="s">
        <v>1335</v>
      </c>
      <c r="F707">
        <v>4</v>
      </c>
      <c r="G707">
        <v>757.9</v>
      </c>
      <c r="H707">
        <v>0.22</v>
      </c>
      <c r="I707" t="s">
        <v>1351</v>
      </c>
      <c r="J707">
        <v>2364.6480000000001</v>
      </c>
    </row>
    <row r="708" spans="1:10">
      <c r="A708" t="s">
        <v>2057</v>
      </c>
      <c r="B708" s="1">
        <v>45346</v>
      </c>
      <c r="C708" t="s">
        <v>61</v>
      </c>
      <c r="D708" t="s">
        <v>1233</v>
      </c>
      <c r="E708" t="s">
        <v>1332</v>
      </c>
      <c r="F708">
        <v>1</v>
      </c>
      <c r="G708">
        <v>846.04</v>
      </c>
      <c r="H708">
        <v>0.08</v>
      </c>
      <c r="I708" t="s">
        <v>1351</v>
      </c>
      <c r="J708">
        <v>778.35680000000002</v>
      </c>
    </row>
    <row r="709" spans="1:10">
      <c r="A709" t="s">
        <v>2058</v>
      </c>
      <c r="B709" s="1">
        <v>45267</v>
      </c>
      <c r="C709" t="s">
        <v>379</v>
      </c>
      <c r="D709" t="s">
        <v>1149</v>
      </c>
      <c r="E709" t="s">
        <v>1304</v>
      </c>
      <c r="F709">
        <v>3</v>
      </c>
      <c r="G709">
        <v>179.7</v>
      </c>
      <c r="H709">
        <v>0.17</v>
      </c>
      <c r="I709" t="s">
        <v>1354</v>
      </c>
      <c r="J709">
        <v>447.45299999999992</v>
      </c>
    </row>
    <row r="710" spans="1:10">
      <c r="A710" t="s">
        <v>2059</v>
      </c>
      <c r="B710" s="1">
        <v>45572</v>
      </c>
      <c r="C710" t="s">
        <v>955</v>
      </c>
      <c r="D710" t="s">
        <v>1135</v>
      </c>
      <c r="E710" t="s">
        <v>1294</v>
      </c>
      <c r="F710">
        <v>4</v>
      </c>
      <c r="G710">
        <v>681.08</v>
      </c>
      <c r="H710">
        <v>0</v>
      </c>
      <c r="I710" t="s">
        <v>1351</v>
      </c>
      <c r="J710">
        <v>2724.32</v>
      </c>
    </row>
    <row r="711" spans="1:10">
      <c r="A711" t="s">
        <v>2060</v>
      </c>
      <c r="B711" s="1">
        <v>45252</v>
      </c>
      <c r="C711" t="s">
        <v>869</v>
      </c>
      <c r="D711" t="s">
        <v>1078</v>
      </c>
      <c r="E711" t="s">
        <v>1304</v>
      </c>
      <c r="F711">
        <v>4</v>
      </c>
      <c r="G711">
        <v>723.44</v>
      </c>
      <c r="H711">
        <v>0.14000000000000001</v>
      </c>
      <c r="I711" t="s">
        <v>1351</v>
      </c>
      <c r="J711">
        <v>2488.6336000000001</v>
      </c>
    </row>
    <row r="712" spans="1:10">
      <c r="A712" t="s">
        <v>2061</v>
      </c>
      <c r="B712" s="1">
        <v>45939</v>
      </c>
      <c r="C712" t="s">
        <v>313</v>
      </c>
      <c r="D712" t="s">
        <v>1135</v>
      </c>
      <c r="E712" t="s">
        <v>1324</v>
      </c>
      <c r="F712">
        <v>4</v>
      </c>
      <c r="G712">
        <v>471.89</v>
      </c>
      <c r="H712">
        <v>0.12</v>
      </c>
      <c r="I712" t="s">
        <v>1354</v>
      </c>
      <c r="J712">
        <v>1661.0527999999999</v>
      </c>
    </row>
    <row r="713" spans="1:10">
      <c r="A713" t="s">
        <v>2062</v>
      </c>
      <c r="B713" s="1">
        <v>45559</v>
      </c>
      <c r="C713" t="s">
        <v>795</v>
      </c>
      <c r="D713" t="s">
        <v>1215</v>
      </c>
      <c r="E713" t="s">
        <v>1332</v>
      </c>
      <c r="F713">
        <v>1</v>
      </c>
      <c r="G713">
        <v>613.17999999999995</v>
      </c>
      <c r="H713">
        <v>0.14000000000000001</v>
      </c>
      <c r="I713" t="s">
        <v>1354</v>
      </c>
      <c r="J713">
        <v>527.33479999999997</v>
      </c>
    </row>
    <row r="714" spans="1:10">
      <c r="A714" t="s">
        <v>2063</v>
      </c>
      <c r="B714" s="1">
        <v>45229</v>
      </c>
      <c r="C714" t="s">
        <v>145</v>
      </c>
      <c r="D714" t="s">
        <v>1159</v>
      </c>
      <c r="E714" t="s">
        <v>1294</v>
      </c>
      <c r="F714">
        <v>1</v>
      </c>
      <c r="G714">
        <v>651.30999999999995</v>
      </c>
      <c r="H714">
        <v>0.24</v>
      </c>
      <c r="I714" t="s">
        <v>1351</v>
      </c>
      <c r="J714">
        <v>494.99560000000002</v>
      </c>
    </row>
    <row r="715" spans="1:10">
      <c r="A715" t="s">
        <v>2064</v>
      </c>
      <c r="B715" s="1">
        <v>45333</v>
      </c>
      <c r="C715" t="s">
        <v>79</v>
      </c>
      <c r="D715" t="s">
        <v>1076</v>
      </c>
      <c r="E715" t="s">
        <v>1301</v>
      </c>
      <c r="F715">
        <v>2</v>
      </c>
      <c r="G715">
        <v>635.14</v>
      </c>
      <c r="H715">
        <v>0.1</v>
      </c>
      <c r="I715" t="s">
        <v>1354</v>
      </c>
      <c r="J715">
        <v>1143.252</v>
      </c>
    </row>
    <row r="716" spans="1:10">
      <c r="A716" t="s">
        <v>2065</v>
      </c>
      <c r="B716" s="1">
        <v>45752</v>
      </c>
      <c r="C716" t="s">
        <v>823</v>
      </c>
      <c r="D716" t="s">
        <v>1269</v>
      </c>
      <c r="E716" t="s">
        <v>1324</v>
      </c>
      <c r="F716">
        <v>4</v>
      </c>
      <c r="G716">
        <v>912.61</v>
      </c>
      <c r="H716">
        <v>0.14000000000000001</v>
      </c>
      <c r="I716" t="s">
        <v>1349</v>
      </c>
      <c r="J716">
        <v>3139.3784000000001</v>
      </c>
    </row>
    <row r="717" spans="1:10">
      <c r="A717" t="s">
        <v>2066</v>
      </c>
      <c r="B717" s="1">
        <v>45795</v>
      </c>
      <c r="C717" t="s">
        <v>612</v>
      </c>
      <c r="D717" t="s">
        <v>1167</v>
      </c>
      <c r="E717" t="s">
        <v>1304</v>
      </c>
      <c r="F717">
        <v>3</v>
      </c>
      <c r="G717">
        <v>79.77</v>
      </c>
      <c r="H717">
        <v>0.09</v>
      </c>
      <c r="I717" t="s">
        <v>1349</v>
      </c>
      <c r="J717">
        <v>217.77209999999999</v>
      </c>
    </row>
    <row r="718" spans="1:10">
      <c r="A718" t="s">
        <v>2067</v>
      </c>
      <c r="B718" s="1">
        <v>45755</v>
      </c>
      <c r="C718" t="s">
        <v>618</v>
      </c>
      <c r="D718" t="s">
        <v>1261</v>
      </c>
      <c r="E718" t="s">
        <v>1326</v>
      </c>
      <c r="F718">
        <v>4</v>
      </c>
      <c r="G718">
        <v>603.52</v>
      </c>
      <c r="H718">
        <v>0.25</v>
      </c>
      <c r="I718" t="s">
        <v>1349</v>
      </c>
      <c r="J718">
        <v>1810.56</v>
      </c>
    </row>
    <row r="719" spans="1:10">
      <c r="A719" t="s">
        <v>2068</v>
      </c>
      <c r="B719" s="1">
        <v>45625</v>
      </c>
      <c r="C719" t="s">
        <v>206</v>
      </c>
      <c r="D719" t="s">
        <v>1227</v>
      </c>
      <c r="E719" t="s">
        <v>1319</v>
      </c>
      <c r="F719">
        <v>4</v>
      </c>
      <c r="G719">
        <v>453.12</v>
      </c>
      <c r="H719">
        <v>0.23</v>
      </c>
      <c r="I719" t="s">
        <v>1354</v>
      </c>
      <c r="J719">
        <v>1395.6096</v>
      </c>
    </row>
    <row r="720" spans="1:10">
      <c r="A720" t="s">
        <v>2069</v>
      </c>
      <c r="B720" s="1">
        <v>45656</v>
      </c>
      <c r="C720" t="s">
        <v>1055</v>
      </c>
      <c r="D720" t="s">
        <v>1139</v>
      </c>
      <c r="E720" t="s">
        <v>1311</v>
      </c>
      <c r="F720">
        <v>2</v>
      </c>
      <c r="G720">
        <v>974.35</v>
      </c>
      <c r="H720">
        <v>0.15</v>
      </c>
      <c r="I720" t="s">
        <v>1349</v>
      </c>
      <c r="J720">
        <v>1656.395</v>
      </c>
    </row>
    <row r="721" spans="1:10">
      <c r="A721" t="s">
        <v>2070</v>
      </c>
      <c r="B721" s="1">
        <v>45824</v>
      </c>
      <c r="C721" t="s">
        <v>1014</v>
      </c>
      <c r="D721" t="s">
        <v>1263</v>
      </c>
      <c r="E721" t="s">
        <v>1332</v>
      </c>
      <c r="F721">
        <v>4</v>
      </c>
      <c r="G721">
        <v>52.35</v>
      </c>
      <c r="H721">
        <v>0.23</v>
      </c>
      <c r="I721" t="s">
        <v>1354</v>
      </c>
      <c r="J721">
        <v>161.238</v>
      </c>
    </row>
    <row r="722" spans="1:10">
      <c r="A722" t="s">
        <v>2071</v>
      </c>
      <c r="B722" s="1">
        <v>45824</v>
      </c>
      <c r="C722" t="s">
        <v>803</v>
      </c>
      <c r="D722" t="s">
        <v>1203</v>
      </c>
      <c r="E722" t="s">
        <v>1332</v>
      </c>
      <c r="F722">
        <v>3</v>
      </c>
      <c r="G722">
        <v>681.58</v>
      </c>
      <c r="H722">
        <v>0.23</v>
      </c>
      <c r="I722" t="s">
        <v>1349</v>
      </c>
      <c r="J722">
        <v>1574.4498000000001</v>
      </c>
    </row>
    <row r="723" spans="1:10">
      <c r="A723" t="s">
        <v>2072</v>
      </c>
      <c r="B723" s="1">
        <v>45384</v>
      </c>
      <c r="C723" t="s">
        <v>415</v>
      </c>
      <c r="D723" t="s">
        <v>1239</v>
      </c>
      <c r="E723" t="s">
        <v>1326</v>
      </c>
      <c r="F723">
        <v>3</v>
      </c>
      <c r="G723">
        <v>71.23</v>
      </c>
      <c r="H723">
        <v>0.03</v>
      </c>
      <c r="I723" t="s">
        <v>1349</v>
      </c>
      <c r="J723">
        <v>207.27930000000001</v>
      </c>
    </row>
    <row r="724" spans="1:10">
      <c r="A724" t="s">
        <v>2073</v>
      </c>
      <c r="B724" s="1">
        <v>45379</v>
      </c>
      <c r="C724" t="s">
        <v>545</v>
      </c>
      <c r="D724" t="s">
        <v>1103</v>
      </c>
      <c r="E724" t="s">
        <v>1324</v>
      </c>
      <c r="F724">
        <v>1</v>
      </c>
      <c r="G724">
        <v>31.36</v>
      </c>
      <c r="H724">
        <v>0.21</v>
      </c>
      <c r="I724" t="s">
        <v>1354</v>
      </c>
      <c r="J724">
        <v>24.7744</v>
      </c>
    </row>
    <row r="725" spans="1:10">
      <c r="A725" t="s">
        <v>2074</v>
      </c>
      <c r="B725" s="1">
        <v>45674</v>
      </c>
      <c r="C725" t="s">
        <v>746</v>
      </c>
      <c r="D725" t="s">
        <v>1155</v>
      </c>
      <c r="E725" t="s">
        <v>1322</v>
      </c>
      <c r="F725">
        <v>2</v>
      </c>
      <c r="G725">
        <v>555.54999999999995</v>
      </c>
      <c r="H725">
        <v>0.14000000000000001</v>
      </c>
      <c r="I725" t="s">
        <v>1349</v>
      </c>
      <c r="J725">
        <v>955.54599999999994</v>
      </c>
    </row>
    <row r="726" spans="1:10">
      <c r="A726" t="s">
        <v>2075</v>
      </c>
      <c r="B726" s="1">
        <v>45760</v>
      </c>
      <c r="C726" t="s">
        <v>565</v>
      </c>
      <c r="D726" t="s">
        <v>1205</v>
      </c>
      <c r="E726" t="s">
        <v>1329</v>
      </c>
      <c r="F726">
        <v>4</v>
      </c>
      <c r="G726">
        <v>805.99</v>
      </c>
      <c r="H726">
        <v>0.06</v>
      </c>
      <c r="I726" t="s">
        <v>1349</v>
      </c>
      <c r="J726">
        <v>3030.5223999999998</v>
      </c>
    </row>
    <row r="727" spans="1:10">
      <c r="A727" t="s">
        <v>2076</v>
      </c>
      <c r="B727" s="1">
        <v>45474</v>
      </c>
      <c r="C727" t="s">
        <v>839</v>
      </c>
      <c r="D727" t="s">
        <v>1215</v>
      </c>
      <c r="E727" t="s">
        <v>1282</v>
      </c>
      <c r="F727">
        <v>1</v>
      </c>
      <c r="G727">
        <v>506.55</v>
      </c>
      <c r="H727">
        <v>0.28000000000000003</v>
      </c>
      <c r="I727" t="s">
        <v>1349</v>
      </c>
      <c r="J727">
        <v>364.71600000000001</v>
      </c>
    </row>
    <row r="728" spans="1:10">
      <c r="A728" t="s">
        <v>2077</v>
      </c>
      <c r="B728" s="1">
        <v>45640</v>
      </c>
      <c r="C728" t="s">
        <v>321</v>
      </c>
      <c r="D728" t="s">
        <v>1155</v>
      </c>
      <c r="E728" t="s">
        <v>1317</v>
      </c>
      <c r="F728">
        <v>3</v>
      </c>
      <c r="G728">
        <v>28.69</v>
      </c>
      <c r="H728">
        <v>0.02</v>
      </c>
      <c r="I728" t="s">
        <v>1349</v>
      </c>
      <c r="J728">
        <v>84.348600000000005</v>
      </c>
    </row>
    <row r="729" spans="1:10">
      <c r="A729" t="s">
        <v>2078</v>
      </c>
      <c r="B729" s="1">
        <v>45253</v>
      </c>
      <c r="C729" t="s">
        <v>837</v>
      </c>
      <c r="D729" t="s">
        <v>1225</v>
      </c>
      <c r="E729" t="s">
        <v>1294</v>
      </c>
      <c r="F729">
        <v>1</v>
      </c>
      <c r="G729">
        <v>106.07</v>
      </c>
      <c r="H729">
        <v>0.23</v>
      </c>
      <c r="I729" t="s">
        <v>1354</v>
      </c>
      <c r="J729">
        <v>81.673900000000003</v>
      </c>
    </row>
    <row r="730" spans="1:10">
      <c r="A730" t="s">
        <v>2079</v>
      </c>
      <c r="B730" s="1">
        <v>45225</v>
      </c>
      <c r="C730" t="s">
        <v>583</v>
      </c>
      <c r="D730" t="s">
        <v>1255</v>
      </c>
      <c r="E730" t="s">
        <v>1277</v>
      </c>
      <c r="F730">
        <v>4</v>
      </c>
      <c r="G730">
        <v>289.77</v>
      </c>
      <c r="H730">
        <v>0.06</v>
      </c>
      <c r="I730" t="s">
        <v>1351</v>
      </c>
      <c r="J730">
        <v>1089.5352</v>
      </c>
    </row>
    <row r="731" spans="1:10">
      <c r="A731" t="s">
        <v>2080</v>
      </c>
      <c r="B731" s="1">
        <v>45263</v>
      </c>
      <c r="C731" t="s">
        <v>373</v>
      </c>
      <c r="D731" t="s">
        <v>1239</v>
      </c>
      <c r="E731" t="s">
        <v>1335</v>
      </c>
      <c r="F731">
        <v>2</v>
      </c>
      <c r="G731">
        <v>354.26</v>
      </c>
      <c r="H731">
        <v>0.01</v>
      </c>
      <c r="I731" t="s">
        <v>1354</v>
      </c>
      <c r="J731">
        <v>701.4348</v>
      </c>
    </row>
    <row r="732" spans="1:10">
      <c r="A732" t="s">
        <v>2081</v>
      </c>
      <c r="B732" s="1">
        <v>45554</v>
      </c>
      <c r="C732" t="s">
        <v>833</v>
      </c>
      <c r="D732" t="s">
        <v>1209</v>
      </c>
      <c r="E732" t="s">
        <v>1324</v>
      </c>
      <c r="F732">
        <v>1</v>
      </c>
      <c r="G732">
        <v>522.72</v>
      </c>
      <c r="H732">
        <v>0.25</v>
      </c>
      <c r="I732" t="s">
        <v>1351</v>
      </c>
      <c r="J732">
        <v>392.04</v>
      </c>
    </row>
    <row r="733" spans="1:10">
      <c r="A733" t="s">
        <v>2082</v>
      </c>
      <c r="B733" s="1">
        <v>45569</v>
      </c>
      <c r="C733" t="s">
        <v>159</v>
      </c>
      <c r="D733" t="s">
        <v>1080</v>
      </c>
      <c r="E733" t="s">
        <v>1311</v>
      </c>
      <c r="F733">
        <v>3</v>
      </c>
      <c r="G733">
        <v>966.02</v>
      </c>
      <c r="H733">
        <v>0.03</v>
      </c>
      <c r="I733" t="s">
        <v>1354</v>
      </c>
      <c r="J733">
        <v>2811.1181999999999</v>
      </c>
    </row>
    <row r="734" spans="1:10">
      <c r="A734" t="s">
        <v>2083</v>
      </c>
      <c r="B734" s="1">
        <v>45217</v>
      </c>
      <c r="C734" t="s">
        <v>511</v>
      </c>
      <c r="D734" t="s">
        <v>1173</v>
      </c>
      <c r="E734" t="s">
        <v>1332</v>
      </c>
      <c r="F734">
        <v>1</v>
      </c>
      <c r="G734">
        <v>498.61</v>
      </c>
      <c r="H734">
        <v>0.04</v>
      </c>
      <c r="I734" t="s">
        <v>1351</v>
      </c>
      <c r="J734">
        <v>478.66559999999998</v>
      </c>
    </row>
    <row r="735" spans="1:10">
      <c r="A735" t="s">
        <v>2084</v>
      </c>
      <c r="B735" s="1">
        <v>45783</v>
      </c>
      <c r="C735" t="s">
        <v>724</v>
      </c>
      <c r="D735" t="s">
        <v>1157</v>
      </c>
      <c r="E735" t="s">
        <v>1301</v>
      </c>
      <c r="F735">
        <v>4</v>
      </c>
      <c r="G735">
        <v>758.27</v>
      </c>
      <c r="H735">
        <v>0.05</v>
      </c>
      <c r="I735" t="s">
        <v>1351</v>
      </c>
      <c r="J735">
        <v>2881.4259999999999</v>
      </c>
    </row>
    <row r="736" spans="1:10">
      <c r="A736" t="s">
        <v>2085</v>
      </c>
      <c r="B736" s="1">
        <v>45371</v>
      </c>
      <c r="C736" t="s">
        <v>458</v>
      </c>
      <c r="D736" t="s">
        <v>1076</v>
      </c>
      <c r="E736" t="s">
        <v>1286</v>
      </c>
      <c r="F736">
        <v>2</v>
      </c>
      <c r="G736">
        <v>371.03</v>
      </c>
      <c r="H736">
        <v>0.23</v>
      </c>
      <c r="I736" t="s">
        <v>1351</v>
      </c>
      <c r="J736">
        <v>571.38619999999992</v>
      </c>
    </row>
    <row r="737" spans="1:10">
      <c r="A737" t="s">
        <v>2086</v>
      </c>
      <c r="B737" s="1">
        <v>45453</v>
      </c>
      <c r="C737" t="s">
        <v>773</v>
      </c>
      <c r="D737" t="s">
        <v>1255</v>
      </c>
      <c r="E737" t="s">
        <v>1332</v>
      </c>
      <c r="F737">
        <v>1</v>
      </c>
      <c r="G737">
        <v>230.32</v>
      </c>
      <c r="H737">
        <v>0.05</v>
      </c>
      <c r="I737" t="s">
        <v>1354</v>
      </c>
      <c r="J737">
        <v>218.804</v>
      </c>
    </row>
    <row r="738" spans="1:10">
      <c r="A738" t="s">
        <v>2087</v>
      </c>
      <c r="B738" s="1">
        <v>45526</v>
      </c>
      <c r="C738" t="s">
        <v>748</v>
      </c>
      <c r="D738" t="s">
        <v>1195</v>
      </c>
      <c r="E738" t="s">
        <v>1301</v>
      </c>
      <c r="F738">
        <v>2</v>
      </c>
      <c r="G738">
        <v>985.43</v>
      </c>
      <c r="H738">
        <v>0.28000000000000003</v>
      </c>
      <c r="I738" t="s">
        <v>1354</v>
      </c>
      <c r="J738">
        <v>1419.0192</v>
      </c>
    </row>
    <row r="739" spans="1:10">
      <c r="A739" t="s">
        <v>2088</v>
      </c>
      <c r="B739" s="1">
        <v>45756</v>
      </c>
      <c r="C739" t="s">
        <v>907</v>
      </c>
      <c r="D739" t="s">
        <v>1090</v>
      </c>
      <c r="E739" t="s">
        <v>1294</v>
      </c>
      <c r="F739">
        <v>2</v>
      </c>
      <c r="G739">
        <v>492.5</v>
      </c>
      <c r="H739">
        <v>0.3</v>
      </c>
      <c r="I739" t="s">
        <v>1351</v>
      </c>
      <c r="J739">
        <v>689.5</v>
      </c>
    </row>
    <row r="740" spans="1:10">
      <c r="A740" t="s">
        <v>2089</v>
      </c>
      <c r="B740" s="1">
        <v>45657</v>
      </c>
      <c r="C740" t="s">
        <v>791</v>
      </c>
      <c r="D740" t="s">
        <v>1165</v>
      </c>
      <c r="E740" t="s">
        <v>1317</v>
      </c>
      <c r="F740">
        <v>2</v>
      </c>
      <c r="G740">
        <v>213.69</v>
      </c>
      <c r="H740">
        <v>0.28000000000000003</v>
      </c>
      <c r="I740" t="s">
        <v>1351</v>
      </c>
      <c r="J740">
        <v>307.71359999999999</v>
      </c>
    </row>
    <row r="741" spans="1:10">
      <c r="A741" t="s">
        <v>2090</v>
      </c>
      <c r="B741" s="1">
        <v>45716</v>
      </c>
      <c r="C741" t="s">
        <v>178</v>
      </c>
      <c r="D741" t="s">
        <v>1113</v>
      </c>
      <c r="E741" t="s">
        <v>1307</v>
      </c>
      <c r="F741">
        <v>4</v>
      </c>
      <c r="G741">
        <v>618.83000000000004</v>
      </c>
      <c r="H741">
        <v>0.08</v>
      </c>
      <c r="I741" t="s">
        <v>1351</v>
      </c>
      <c r="J741">
        <v>2277.2944000000002</v>
      </c>
    </row>
    <row r="742" spans="1:10">
      <c r="A742" t="s">
        <v>2091</v>
      </c>
      <c r="B742" s="1">
        <v>45313</v>
      </c>
      <c r="C742" t="s">
        <v>244</v>
      </c>
      <c r="D742" t="s">
        <v>1191</v>
      </c>
      <c r="E742" t="s">
        <v>1317</v>
      </c>
      <c r="F742">
        <v>2</v>
      </c>
      <c r="G742">
        <v>81.16</v>
      </c>
      <c r="H742">
        <v>0.16</v>
      </c>
      <c r="I742" t="s">
        <v>1351</v>
      </c>
      <c r="J742">
        <v>136.34880000000001</v>
      </c>
    </row>
    <row r="743" spans="1:10">
      <c r="A743" t="s">
        <v>2092</v>
      </c>
      <c r="B743" s="1">
        <v>45372</v>
      </c>
      <c r="C743" t="s">
        <v>18</v>
      </c>
      <c r="D743" t="s">
        <v>1245</v>
      </c>
      <c r="E743" t="s">
        <v>1311</v>
      </c>
      <c r="F743">
        <v>1</v>
      </c>
      <c r="G743">
        <v>431.69</v>
      </c>
      <c r="H743">
        <v>0.09</v>
      </c>
      <c r="I743" t="s">
        <v>1349</v>
      </c>
      <c r="J743">
        <v>392.83789999999999</v>
      </c>
    </row>
    <row r="744" spans="1:10">
      <c r="A744" t="s">
        <v>2093</v>
      </c>
      <c r="B744" s="1">
        <v>45648</v>
      </c>
      <c r="C744" t="s">
        <v>873</v>
      </c>
      <c r="D744" t="s">
        <v>1109</v>
      </c>
      <c r="E744" t="s">
        <v>1298</v>
      </c>
      <c r="F744">
        <v>3</v>
      </c>
      <c r="G744">
        <v>438.65</v>
      </c>
      <c r="H744">
        <v>0.28999999999999998</v>
      </c>
      <c r="I744" t="s">
        <v>1351</v>
      </c>
      <c r="J744">
        <v>934.32449999999983</v>
      </c>
    </row>
    <row r="745" spans="1:10">
      <c r="A745" t="s">
        <v>2094</v>
      </c>
      <c r="B745" s="1">
        <v>45384</v>
      </c>
      <c r="C745" t="s">
        <v>405</v>
      </c>
      <c r="D745" t="s">
        <v>1231</v>
      </c>
      <c r="E745" t="s">
        <v>1291</v>
      </c>
      <c r="F745">
        <v>3</v>
      </c>
      <c r="G745">
        <v>339.41</v>
      </c>
      <c r="H745">
        <v>0.26</v>
      </c>
      <c r="I745" t="s">
        <v>1349</v>
      </c>
      <c r="J745">
        <v>753.49019999999996</v>
      </c>
    </row>
    <row r="746" spans="1:10">
      <c r="A746" t="s">
        <v>2095</v>
      </c>
      <c r="B746" s="1">
        <v>45687</v>
      </c>
      <c r="C746" t="s">
        <v>1002</v>
      </c>
      <c r="D746" t="s">
        <v>1231</v>
      </c>
      <c r="E746" t="s">
        <v>1311</v>
      </c>
      <c r="F746">
        <v>4</v>
      </c>
      <c r="G746">
        <v>848.47</v>
      </c>
      <c r="H746">
        <v>0.21</v>
      </c>
      <c r="I746" t="s">
        <v>1354</v>
      </c>
      <c r="J746">
        <v>2681.1651999999999</v>
      </c>
    </row>
    <row r="747" spans="1:10">
      <c r="A747" t="s">
        <v>2096</v>
      </c>
      <c r="B747" s="1">
        <v>45747</v>
      </c>
      <c r="C747" t="s">
        <v>446</v>
      </c>
      <c r="D747" t="s">
        <v>1207</v>
      </c>
      <c r="E747" t="s">
        <v>1307</v>
      </c>
      <c r="F747">
        <v>1</v>
      </c>
      <c r="G747">
        <v>664.87</v>
      </c>
      <c r="H747">
        <v>0.08</v>
      </c>
      <c r="I747" t="s">
        <v>1351</v>
      </c>
      <c r="J747">
        <v>611.68040000000008</v>
      </c>
    </row>
    <row r="748" spans="1:10">
      <c r="A748" t="s">
        <v>2097</v>
      </c>
      <c r="B748" s="1">
        <v>45687</v>
      </c>
      <c r="C748" t="s">
        <v>256</v>
      </c>
      <c r="D748" t="s">
        <v>1121</v>
      </c>
      <c r="E748" t="s">
        <v>1304</v>
      </c>
      <c r="F748">
        <v>1</v>
      </c>
      <c r="G748">
        <v>412.11</v>
      </c>
      <c r="H748">
        <v>0.23</v>
      </c>
      <c r="I748" t="s">
        <v>1351</v>
      </c>
      <c r="J748">
        <v>317.32470000000001</v>
      </c>
    </row>
    <row r="749" spans="1:10">
      <c r="A749" t="s">
        <v>2098</v>
      </c>
      <c r="B749" s="1">
        <v>45916</v>
      </c>
      <c r="C749" t="s">
        <v>304</v>
      </c>
      <c r="D749" t="s">
        <v>1261</v>
      </c>
      <c r="E749" t="s">
        <v>1282</v>
      </c>
      <c r="F749">
        <v>1</v>
      </c>
      <c r="G749">
        <v>126.09</v>
      </c>
      <c r="H749">
        <v>0.05</v>
      </c>
      <c r="I749" t="s">
        <v>1354</v>
      </c>
      <c r="J749">
        <v>119.7855</v>
      </c>
    </row>
    <row r="750" spans="1:10">
      <c r="A750" t="s">
        <v>2099</v>
      </c>
      <c r="B750" s="1">
        <v>45917</v>
      </c>
      <c r="C750" t="s">
        <v>458</v>
      </c>
      <c r="D750" t="s">
        <v>1207</v>
      </c>
      <c r="E750" t="s">
        <v>1314</v>
      </c>
      <c r="F750">
        <v>4</v>
      </c>
      <c r="G750">
        <v>602.39</v>
      </c>
      <c r="H750">
        <v>0.19</v>
      </c>
      <c r="I750" t="s">
        <v>1354</v>
      </c>
      <c r="J750">
        <v>1951.7436</v>
      </c>
    </row>
    <row r="751" spans="1:10">
      <c r="A751" t="s">
        <v>2100</v>
      </c>
      <c r="B751" s="1">
        <v>45941</v>
      </c>
      <c r="C751" t="s">
        <v>714</v>
      </c>
      <c r="D751" t="s">
        <v>1237</v>
      </c>
      <c r="E751" t="s">
        <v>1291</v>
      </c>
      <c r="F751">
        <v>3</v>
      </c>
      <c r="G751">
        <v>447.69</v>
      </c>
      <c r="H751">
        <v>0.02</v>
      </c>
      <c r="I751" t="s">
        <v>1354</v>
      </c>
      <c r="J751">
        <v>1316.2085999999999</v>
      </c>
    </row>
    <row r="752" spans="1:10">
      <c r="A752" t="s">
        <v>2101</v>
      </c>
      <c r="B752" s="1">
        <v>45778</v>
      </c>
      <c r="C752" t="s">
        <v>559</v>
      </c>
      <c r="D752" t="s">
        <v>1141</v>
      </c>
      <c r="E752" t="s">
        <v>1291</v>
      </c>
      <c r="F752">
        <v>3</v>
      </c>
      <c r="G752">
        <v>35.159999999999997</v>
      </c>
      <c r="H752">
        <v>0.04</v>
      </c>
      <c r="I752" t="s">
        <v>1354</v>
      </c>
      <c r="J752">
        <v>101.2608</v>
      </c>
    </row>
    <row r="753" spans="1:10">
      <c r="A753" t="s">
        <v>2102</v>
      </c>
      <c r="B753" s="1">
        <v>45740</v>
      </c>
      <c r="C753" t="s">
        <v>724</v>
      </c>
      <c r="D753" t="s">
        <v>1217</v>
      </c>
      <c r="E753" t="s">
        <v>1317</v>
      </c>
      <c r="F753">
        <v>2</v>
      </c>
      <c r="G753">
        <v>838.59</v>
      </c>
      <c r="H753">
        <v>0.18</v>
      </c>
      <c r="I753" t="s">
        <v>1354</v>
      </c>
      <c r="J753">
        <v>1375.2876000000001</v>
      </c>
    </row>
    <row r="754" spans="1:10">
      <c r="A754" t="s">
        <v>2103</v>
      </c>
      <c r="B754" s="1">
        <v>45598</v>
      </c>
      <c r="C754" t="s">
        <v>234</v>
      </c>
      <c r="D754" t="s">
        <v>1191</v>
      </c>
      <c r="E754" t="s">
        <v>1301</v>
      </c>
      <c r="F754">
        <v>4</v>
      </c>
      <c r="G754">
        <v>867.94</v>
      </c>
      <c r="H754">
        <v>0.26</v>
      </c>
      <c r="I754" t="s">
        <v>1351</v>
      </c>
      <c r="J754">
        <v>2569.1024000000002</v>
      </c>
    </row>
    <row r="755" spans="1:10">
      <c r="A755" t="s">
        <v>2104</v>
      </c>
      <c r="B755" s="1">
        <v>45591</v>
      </c>
      <c r="C755" t="s">
        <v>454</v>
      </c>
      <c r="D755" t="s">
        <v>1151</v>
      </c>
      <c r="E755" t="s">
        <v>1332</v>
      </c>
      <c r="F755">
        <v>1</v>
      </c>
      <c r="G755">
        <v>623.88</v>
      </c>
      <c r="H755">
        <v>0.25</v>
      </c>
      <c r="I755" t="s">
        <v>1349</v>
      </c>
      <c r="J755">
        <v>467.91</v>
      </c>
    </row>
    <row r="756" spans="1:10">
      <c r="A756" t="s">
        <v>2105</v>
      </c>
      <c r="B756" s="1">
        <v>45546</v>
      </c>
      <c r="C756" t="s">
        <v>415</v>
      </c>
      <c r="D756" t="s">
        <v>1157</v>
      </c>
      <c r="E756" t="s">
        <v>1324</v>
      </c>
      <c r="F756">
        <v>2</v>
      </c>
      <c r="G756">
        <v>567.95000000000005</v>
      </c>
      <c r="H756">
        <v>0.12</v>
      </c>
      <c r="I756" t="s">
        <v>1351</v>
      </c>
      <c r="J756">
        <v>999.5920000000001</v>
      </c>
    </row>
    <row r="757" spans="1:10">
      <c r="A757" t="s">
        <v>2106</v>
      </c>
      <c r="B757" s="1">
        <v>45483</v>
      </c>
      <c r="C757" t="s">
        <v>710</v>
      </c>
      <c r="D757" t="s">
        <v>1135</v>
      </c>
      <c r="E757" t="s">
        <v>1335</v>
      </c>
      <c r="F757">
        <v>2</v>
      </c>
      <c r="G757">
        <v>671.69</v>
      </c>
      <c r="H757">
        <v>0.19</v>
      </c>
      <c r="I757" t="s">
        <v>1349</v>
      </c>
      <c r="J757">
        <v>1088.1378</v>
      </c>
    </row>
    <row r="758" spans="1:10">
      <c r="A758" t="s">
        <v>2107</v>
      </c>
      <c r="B758" s="1">
        <v>45786</v>
      </c>
      <c r="C758" t="s">
        <v>474</v>
      </c>
      <c r="D758" t="s">
        <v>1082</v>
      </c>
      <c r="E758" t="s">
        <v>1304</v>
      </c>
      <c r="F758">
        <v>2</v>
      </c>
      <c r="G758">
        <v>257.95999999999998</v>
      </c>
      <c r="H758">
        <v>0.21</v>
      </c>
      <c r="I758" t="s">
        <v>1351</v>
      </c>
      <c r="J758">
        <v>407.57679999999999</v>
      </c>
    </row>
    <row r="759" spans="1:10">
      <c r="A759" t="s">
        <v>2108</v>
      </c>
      <c r="B759" s="1">
        <v>45475</v>
      </c>
      <c r="C759" t="s">
        <v>470</v>
      </c>
      <c r="D759" t="s">
        <v>1269</v>
      </c>
      <c r="E759" t="s">
        <v>1338</v>
      </c>
      <c r="F759">
        <v>4</v>
      </c>
      <c r="G759">
        <v>281.48</v>
      </c>
      <c r="H759">
        <v>0.27</v>
      </c>
      <c r="I759" t="s">
        <v>1351</v>
      </c>
      <c r="J759">
        <v>821.92160000000001</v>
      </c>
    </row>
    <row r="760" spans="1:10">
      <c r="A760" t="s">
        <v>2109</v>
      </c>
      <c r="B760" s="1">
        <v>45470</v>
      </c>
      <c r="C760" t="s">
        <v>696</v>
      </c>
      <c r="D760" t="s">
        <v>1113</v>
      </c>
      <c r="E760" t="s">
        <v>1317</v>
      </c>
      <c r="F760">
        <v>1</v>
      </c>
      <c r="G760">
        <v>202.13</v>
      </c>
      <c r="H760">
        <v>0.13</v>
      </c>
      <c r="I760" t="s">
        <v>1354</v>
      </c>
      <c r="J760">
        <v>175.85310000000001</v>
      </c>
    </row>
    <row r="761" spans="1:10">
      <c r="A761" t="s">
        <v>2110</v>
      </c>
      <c r="B761" s="1">
        <v>45243</v>
      </c>
      <c r="C761" t="s">
        <v>606</v>
      </c>
      <c r="D761" t="s">
        <v>1221</v>
      </c>
      <c r="E761" t="s">
        <v>1298</v>
      </c>
      <c r="F761">
        <v>1</v>
      </c>
      <c r="G761">
        <v>370.66</v>
      </c>
      <c r="H761">
        <v>0.01</v>
      </c>
      <c r="I761" t="s">
        <v>1351</v>
      </c>
      <c r="J761">
        <v>366.95339999999999</v>
      </c>
    </row>
    <row r="762" spans="1:10">
      <c r="A762" t="s">
        <v>2111</v>
      </c>
      <c r="B762" s="1">
        <v>45341</v>
      </c>
      <c r="C762" t="s">
        <v>27</v>
      </c>
      <c r="D762" t="s">
        <v>1195</v>
      </c>
      <c r="E762" t="s">
        <v>1319</v>
      </c>
      <c r="F762">
        <v>4</v>
      </c>
      <c r="G762">
        <v>731.53</v>
      </c>
      <c r="H762">
        <v>0.12</v>
      </c>
      <c r="I762" t="s">
        <v>1349</v>
      </c>
      <c r="J762">
        <v>2574.9856</v>
      </c>
    </row>
    <row r="763" spans="1:10">
      <c r="A763" t="s">
        <v>2112</v>
      </c>
      <c r="B763" s="1">
        <v>45371</v>
      </c>
      <c r="C763" t="s">
        <v>391</v>
      </c>
      <c r="D763" t="s">
        <v>1229</v>
      </c>
      <c r="E763" t="s">
        <v>1282</v>
      </c>
      <c r="F763">
        <v>3</v>
      </c>
      <c r="G763">
        <v>468.25</v>
      </c>
      <c r="H763">
        <v>7.0000000000000007E-2</v>
      </c>
      <c r="I763" t="s">
        <v>1351</v>
      </c>
      <c r="J763">
        <v>1306.4175</v>
      </c>
    </row>
    <row r="764" spans="1:10">
      <c r="A764" t="s">
        <v>2113</v>
      </c>
      <c r="B764" s="1">
        <v>45360</v>
      </c>
      <c r="C764" t="s">
        <v>13</v>
      </c>
      <c r="D764" t="s">
        <v>1207</v>
      </c>
      <c r="E764" t="s">
        <v>1277</v>
      </c>
      <c r="F764">
        <v>1</v>
      </c>
      <c r="G764">
        <v>928.72</v>
      </c>
      <c r="H764">
        <v>0.1</v>
      </c>
      <c r="I764" t="s">
        <v>1354</v>
      </c>
      <c r="J764">
        <v>835.84800000000007</v>
      </c>
    </row>
    <row r="765" spans="1:10">
      <c r="A765" t="s">
        <v>2114</v>
      </c>
      <c r="B765" s="1">
        <v>45499</v>
      </c>
      <c r="C765" t="s">
        <v>261</v>
      </c>
      <c r="D765" t="s">
        <v>1078</v>
      </c>
      <c r="E765" t="s">
        <v>1335</v>
      </c>
      <c r="F765">
        <v>3</v>
      </c>
      <c r="G765">
        <v>217.22</v>
      </c>
      <c r="H765">
        <v>0.06</v>
      </c>
      <c r="I765" t="s">
        <v>1351</v>
      </c>
      <c r="J765">
        <v>612.56039999999996</v>
      </c>
    </row>
    <row r="766" spans="1:10">
      <c r="A766" t="s">
        <v>2115</v>
      </c>
      <c r="B766" s="1">
        <v>45745</v>
      </c>
      <c r="C766" t="s">
        <v>873</v>
      </c>
      <c r="D766" t="s">
        <v>1121</v>
      </c>
      <c r="E766" t="s">
        <v>1291</v>
      </c>
      <c r="F766">
        <v>1</v>
      </c>
      <c r="G766">
        <v>387.99</v>
      </c>
      <c r="H766">
        <v>0.3</v>
      </c>
      <c r="I766" t="s">
        <v>1349</v>
      </c>
      <c r="J766">
        <v>271.59300000000002</v>
      </c>
    </row>
    <row r="767" spans="1:10">
      <c r="A767" t="s">
        <v>2116</v>
      </c>
      <c r="B767" s="1">
        <v>45718</v>
      </c>
      <c r="C767" t="s">
        <v>1014</v>
      </c>
      <c r="D767" t="s">
        <v>1109</v>
      </c>
      <c r="E767" t="s">
        <v>1301</v>
      </c>
      <c r="F767">
        <v>4</v>
      </c>
      <c r="G767">
        <v>186.24</v>
      </c>
      <c r="H767">
        <v>0.23</v>
      </c>
      <c r="I767" t="s">
        <v>1349</v>
      </c>
      <c r="J767">
        <v>573.61920000000009</v>
      </c>
    </row>
    <row r="768" spans="1:10">
      <c r="A768" t="s">
        <v>2117</v>
      </c>
      <c r="B768" s="1">
        <v>45454</v>
      </c>
      <c r="C768" t="s">
        <v>656</v>
      </c>
      <c r="D768" t="s">
        <v>1153</v>
      </c>
      <c r="E768" t="s">
        <v>1307</v>
      </c>
      <c r="F768">
        <v>4</v>
      </c>
      <c r="G768">
        <v>609.05999999999995</v>
      </c>
      <c r="H768">
        <v>0.22</v>
      </c>
      <c r="I768" t="s">
        <v>1354</v>
      </c>
      <c r="J768">
        <v>1900.2672</v>
      </c>
    </row>
    <row r="769" spans="1:10">
      <c r="A769" t="s">
        <v>2118</v>
      </c>
      <c r="B769" s="1">
        <v>45434</v>
      </c>
      <c r="C769" t="s">
        <v>937</v>
      </c>
      <c r="D769" t="s">
        <v>1139</v>
      </c>
      <c r="E769" t="s">
        <v>1317</v>
      </c>
      <c r="F769">
        <v>1</v>
      </c>
      <c r="G769">
        <v>827.91</v>
      </c>
      <c r="H769">
        <v>0.21</v>
      </c>
      <c r="I769" t="s">
        <v>1351</v>
      </c>
      <c r="J769">
        <v>654.0489</v>
      </c>
    </row>
    <row r="770" spans="1:10">
      <c r="A770" t="s">
        <v>2119</v>
      </c>
      <c r="B770" s="1">
        <v>45486</v>
      </c>
      <c r="C770" t="s">
        <v>413</v>
      </c>
      <c r="D770" t="s">
        <v>1239</v>
      </c>
      <c r="E770" t="s">
        <v>1277</v>
      </c>
      <c r="F770">
        <v>1</v>
      </c>
      <c r="G770">
        <v>303.79000000000002</v>
      </c>
      <c r="H770">
        <v>0.24</v>
      </c>
      <c r="I770" t="s">
        <v>1351</v>
      </c>
      <c r="J770">
        <v>230.88040000000001</v>
      </c>
    </row>
    <row r="771" spans="1:10">
      <c r="A771" t="s">
        <v>2120</v>
      </c>
      <c r="B771" s="1">
        <v>45902</v>
      </c>
      <c r="C771" t="s">
        <v>267</v>
      </c>
      <c r="D771" t="s">
        <v>1147</v>
      </c>
      <c r="E771" t="s">
        <v>1301</v>
      </c>
      <c r="F771">
        <v>2</v>
      </c>
      <c r="G771">
        <v>365.91</v>
      </c>
      <c r="H771">
        <v>0.14000000000000001</v>
      </c>
      <c r="I771" t="s">
        <v>1354</v>
      </c>
      <c r="J771">
        <v>629.36520000000007</v>
      </c>
    </row>
    <row r="772" spans="1:10">
      <c r="A772" t="s">
        <v>2121</v>
      </c>
      <c r="B772" s="1">
        <v>45762</v>
      </c>
      <c r="C772" t="s">
        <v>188</v>
      </c>
      <c r="D772" t="s">
        <v>1123</v>
      </c>
      <c r="E772" t="s">
        <v>1332</v>
      </c>
      <c r="F772">
        <v>3</v>
      </c>
      <c r="G772">
        <v>852.72</v>
      </c>
      <c r="H772">
        <v>0.16</v>
      </c>
      <c r="I772" t="s">
        <v>1349</v>
      </c>
      <c r="J772">
        <v>2148.8544000000002</v>
      </c>
    </row>
    <row r="773" spans="1:10">
      <c r="A773" t="s">
        <v>2122</v>
      </c>
      <c r="B773" s="1">
        <v>45752</v>
      </c>
      <c r="C773" t="s">
        <v>557</v>
      </c>
      <c r="D773" t="s">
        <v>1093</v>
      </c>
      <c r="E773" t="s">
        <v>1294</v>
      </c>
      <c r="F773">
        <v>1</v>
      </c>
      <c r="G773">
        <v>768.25</v>
      </c>
      <c r="H773">
        <v>0.18</v>
      </c>
      <c r="I773" t="s">
        <v>1349</v>
      </c>
      <c r="J773">
        <v>629.96500000000003</v>
      </c>
    </row>
    <row r="774" spans="1:10">
      <c r="A774" t="s">
        <v>2123</v>
      </c>
      <c r="B774" s="1">
        <v>45254</v>
      </c>
      <c r="C774" t="s">
        <v>764</v>
      </c>
      <c r="D774" t="s">
        <v>1257</v>
      </c>
      <c r="E774" t="s">
        <v>1338</v>
      </c>
      <c r="F774">
        <v>2</v>
      </c>
      <c r="G774">
        <v>318.62</v>
      </c>
      <c r="H774">
        <v>0.02</v>
      </c>
      <c r="I774" t="s">
        <v>1354</v>
      </c>
      <c r="J774">
        <v>624.49519999999995</v>
      </c>
    </row>
    <row r="775" spans="1:10">
      <c r="A775" t="s">
        <v>2124</v>
      </c>
      <c r="B775" s="1">
        <v>45683</v>
      </c>
      <c r="C775" t="s">
        <v>140</v>
      </c>
      <c r="D775" t="s">
        <v>1225</v>
      </c>
      <c r="E775" t="s">
        <v>1286</v>
      </c>
      <c r="F775">
        <v>4</v>
      </c>
      <c r="G775">
        <v>402.11</v>
      </c>
      <c r="H775">
        <v>0.14000000000000001</v>
      </c>
      <c r="I775" t="s">
        <v>1351</v>
      </c>
      <c r="J775">
        <v>1383.2583999999999</v>
      </c>
    </row>
    <row r="776" spans="1:10">
      <c r="A776" t="s">
        <v>2125</v>
      </c>
      <c r="B776" s="1">
        <v>45804</v>
      </c>
      <c r="C776" t="s">
        <v>879</v>
      </c>
      <c r="D776" t="s">
        <v>1241</v>
      </c>
      <c r="E776" t="s">
        <v>1332</v>
      </c>
      <c r="F776">
        <v>3</v>
      </c>
      <c r="G776">
        <v>846.31</v>
      </c>
      <c r="H776">
        <v>0.18</v>
      </c>
      <c r="I776" t="s">
        <v>1354</v>
      </c>
      <c r="J776">
        <v>2081.9225999999999</v>
      </c>
    </row>
    <row r="777" spans="1:10">
      <c r="A777" t="s">
        <v>2126</v>
      </c>
      <c r="B777" s="1">
        <v>45821</v>
      </c>
      <c r="C777" t="s">
        <v>397</v>
      </c>
      <c r="D777" t="s">
        <v>1261</v>
      </c>
      <c r="E777" t="s">
        <v>1324</v>
      </c>
      <c r="F777">
        <v>1</v>
      </c>
      <c r="G777">
        <v>269.94</v>
      </c>
      <c r="H777">
        <v>7.0000000000000007E-2</v>
      </c>
      <c r="I777" t="s">
        <v>1354</v>
      </c>
      <c r="J777">
        <v>251.04419999999999</v>
      </c>
    </row>
    <row r="778" spans="1:10">
      <c r="A778" t="s">
        <v>2127</v>
      </c>
      <c r="B778" s="1">
        <v>45472</v>
      </c>
      <c r="C778" t="s">
        <v>545</v>
      </c>
      <c r="D778" t="s">
        <v>1113</v>
      </c>
      <c r="E778" t="s">
        <v>1294</v>
      </c>
      <c r="F778">
        <v>3</v>
      </c>
      <c r="G778">
        <v>909.25</v>
      </c>
      <c r="H778">
        <v>0.28999999999999998</v>
      </c>
      <c r="I778" t="s">
        <v>1354</v>
      </c>
      <c r="J778">
        <v>1936.7025000000001</v>
      </c>
    </row>
    <row r="779" spans="1:10">
      <c r="A779" t="s">
        <v>2128</v>
      </c>
      <c r="B779" s="1">
        <v>45331</v>
      </c>
      <c r="C779" t="s">
        <v>789</v>
      </c>
      <c r="D779" t="s">
        <v>1255</v>
      </c>
      <c r="E779" t="s">
        <v>1319</v>
      </c>
      <c r="F779">
        <v>2</v>
      </c>
      <c r="G779">
        <v>229.81</v>
      </c>
      <c r="H779">
        <v>0.21</v>
      </c>
      <c r="I779" t="s">
        <v>1354</v>
      </c>
      <c r="J779">
        <v>363.09980000000002</v>
      </c>
    </row>
    <row r="780" spans="1:10">
      <c r="A780" t="s">
        <v>2129</v>
      </c>
      <c r="B780" s="1">
        <v>45451</v>
      </c>
      <c r="C780" t="s">
        <v>111</v>
      </c>
      <c r="D780" t="s">
        <v>1229</v>
      </c>
      <c r="E780" t="s">
        <v>1326</v>
      </c>
      <c r="F780">
        <v>3</v>
      </c>
      <c r="G780">
        <v>442.36</v>
      </c>
      <c r="H780">
        <v>0.06</v>
      </c>
      <c r="I780" t="s">
        <v>1351</v>
      </c>
      <c r="J780">
        <v>1247.4552000000001</v>
      </c>
    </row>
    <row r="781" spans="1:10">
      <c r="A781" t="s">
        <v>2130</v>
      </c>
      <c r="B781" s="1">
        <v>45386</v>
      </c>
      <c r="C781" t="s">
        <v>541</v>
      </c>
      <c r="D781" t="s">
        <v>1245</v>
      </c>
      <c r="E781" t="s">
        <v>1291</v>
      </c>
      <c r="F781">
        <v>3</v>
      </c>
      <c r="G781">
        <v>413.74</v>
      </c>
      <c r="H781">
        <v>0.01</v>
      </c>
      <c r="I781" t="s">
        <v>1349</v>
      </c>
      <c r="J781">
        <v>1228.8078</v>
      </c>
    </row>
    <row r="782" spans="1:10">
      <c r="A782" t="s">
        <v>2131</v>
      </c>
      <c r="B782" s="1">
        <v>45477</v>
      </c>
      <c r="C782" t="s">
        <v>1053</v>
      </c>
      <c r="D782" t="s">
        <v>1251</v>
      </c>
      <c r="E782" t="s">
        <v>1324</v>
      </c>
      <c r="F782">
        <v>4</v>
      </c>
      <c r="G782">
        <v>79.75</v>
      </c>
      <c r="H782">
        <v>0.18</v>
      </c>
      <c r="I782" t="s">
        <v>1351</v>
      </c>
      <c r="J782">
        <v>261.58</v>
      </c>
    </row>
    <row r="783" spans="1:10">
      <c r="A783" t="s">
        <v>2132</v>
      </c>
      <c r="B783" s="1">
        <v>45433</v>
      </c>
      <c r="C783" t="s">
        <v>1051</v>
      </c>
      <c r="D783" t="s">
        <v>1153</v>
      </c>
      <c r="E783" t="s">
        <v>1319</v>
      </c>
      <c r="F783">
        <v>4</v>
      </c>
      <c r="G783">
        <v>95.06</v>
      </c>
      <c r="H783">
        <v>0.03</v>
      </c>
      <c r="I783" t="s">
        <v>1349</v>
      </c>
      <c r="J783">
        <v>368.83280000000002</v>
      </c>
    </row>
    <row r="784" spans="1:10">
      <c r="A784" t="s">
        <v>2133</v>
      </c>
      <c r="B784" s="1">
        <v>45759</v>
      </c>
      <c r="C784" t="s">
        <v>895</v>
      </c>
      <c r="D784" t="s">
        <v>1269</v>
      </c>
      <c r="E784" t="s">
        <v>1304</v>
      </c>
      <c r="F784">
        <v>4</v>
      </c>
      <c r="G784">
        <v>107.08</v>
      </c>
      <c r="H784">
        <v>0.27</v>
      </c>
      <c r="I784" t="s">
        <v>1354</v>
      </c>
      <c r="J784">
        <v>312.67360000000002</v>
      </c>
    </row>
    <row r="785" spans="1:10">
      <c r="A785" t="s">
        <v>2134</v>
      </c>
      <c r="B785" s="1">
        <v>45794</v>
      </c>
      <c r="C785" t="s">
        <v>1010</v>
      </c>
      <c r="D785" t="s">
        <v>1271</v>
      </c>
      <c r="E785" t="s">
        <v>1335</v>
      </c>
      <c r="F785">
        <v>1</v>
      </c>
      <c r="G785">
        <v>873.18</v>
      </c>
      <c r="H785">
        <v>0.03</v>
      </c>
      <c r="I785" t="s">
        <v>1354</v>
      </c>
      <c r="J785">
        <v>846.98459999999989</v>
      </c>
    </row>
    <row r="786" spans="1:10">
      <c r="A786" t="s">
        <v>2135</v>
      </c>
      <c r="B786" s="1">
        <v>45764</v>
      </c>
      <c r="C786" t="s">
        <v>817</v>
      </c>
      <c r="D786" t="s">
        <v>1213</v>
      </c>
      <c r="E786" t="s">
        <v>1335</v>
      </c>
      <c r="F786">
        <v>1</v>
      </c>
      <c r="G786">
        <v>914.75</v>
      </c>
      <c r="H786">
        <v>0.1</v>
      </c>
      <c r="I786" t="s">
        <v>1354</v>
      </c>
      <c r="J786">
        <v>823.27499999999998</v>
      </c>
    </row>
    <row r="787" spans="1:10">
      <c r="A787" t="s">
        <v>2136</v>
      </c>
      <c r="B787" s="1">
        <v>45279</v>
      </c>
      <c r="C787" t="s">
        <v>140</v>
      </c>
      <c r="D787" t="s">
        <v>1219</v>
      </c>
      <c r="E787" t="s">
        <v>1322</v>
      </c>
      <c r="F787">
        <v>4</v>
      </c>
      <c r="G787">
        <v>457.33</v>
      </c>
      <c r="H787">
        <v>0.1</v>
      </c>
      <c r="I787" t="s">
        <v>1349</v>
      </c>
      <c r="J787">
        <v>1646.3879999999999</v>
      </c>
    </row>
    <row r="788" spans="1:10">
      <c r="A788" t="s">
        <v>2137</v>
      </c>
      <c r="B788" s="1">
        <v>45602</v>
      </c>
      <c r="C788" t="s">
        <v>648</v>
      </c>
      <c r="D788" t="s">
        <v>1271</v>
      </c>
      <c r="E788" t="s">
        <v>1291</v>
      </c>
      <c r="F788">
        <v>3</v>
      </c>
      <c r="G788">
        <v>761.88</v>
      </c>
      <c r="H788">
        <v>0.23</v>
      </c>
      <c r="I788" t="s">
        <v>1351</v>
      </c>
      <c r="J788">
        <v>1759.9428</v>
      </c>
    </row>
    <row r="789" spans="1:10">
      <c r="A789" t="s">
        <v>2138</v>
      </c>
      <c r="B789" s="1">
        <v>45793</v>
      </c>
      <c r="C789" t="s">
        <v>415</v>
      </c>
      <c r="D789" t="s">
        <v>1147</v>
      </c>
      <c r="E789" t="s">
        <v>1338</v>
      </c>
      <c r="F789">
        <v>4</v>
      </c>
      <c r="G789">
        <v>122.87</v>
      </c>
      <c r="H789">
        <v>0.13</v>
      </c>
      <c r="I789" t="s">
        <v>1349</v>
      </c>
      <c r="J789">
        <v>427.58760000000001</v>
      </c>
    </row>
    <row r="790" spans="1:10">
      <c r="A790" t="s">
        <v>2139</v>
      </c>
      <c r="B790" s="1">
        <v>45778</v>
      </c>
      <c r="C790" t="s">
        <v>1012</v>
      </c>
      <c r="D790" t="s">
        <v>1219</v>
      </c>
      <c r="E790" t="s">
        <v>1294</v>
      </c>
      <c r="F790">
        <v>4</v>
      </c>
      <c r="G790">
        <v>753</v>
      </c>
      <c r="H790">
        <v>0.28000000000000003</v>
      </c>
      <c r="I790" t="s">
        <v>1354</v>
      </c>
      <c r="J790">
        <v>2168.64</v>
      </c>
    </row>
    <row r="791" spans="1:10">
      <c r="A791" t="s">
        <v>2140</v>
      </c>
      <c r="B791" s="1">
        <v>45325</v>
      </c>
      <c r="C791" t="s">
        <v>803</v>
      </c>
      <c r="D791" t="s">
        <v>1080</v>
      </c>
      <c r="E791" t="s">
        <v>1298</v>
      </c>
      <c r="F791">
        <v>2</v>
      </c>
      <c r="G791">
        <v>788.05</v>
      </c>
      <c r="H791">
        <v>0.21</v>
      </c>
      <c r="I791" t="s">
        <v>1349</v>
      </c>
      <c r="J791">
        <v>1245.1189999999999</v>
      </c>
    </row>
    <row r="792" spans="1:10">
      <c r="A792" t="s">
        <v>2141</v>
      </c>
      <c r="B792" s="1">
        <v>45875</v>
      </c>
      <c r="C792" t="s">
        <v>986</v>
      </c>
      <c r="D792" t="s">
        <v>1237</v>
      </c>
      <c r="E792" t="s">
        <v>1314</v>
      </c>
      <c r="F792">
        <v>2</v>
      </c>
      <c r="G792">
        <v>807.1</v>
      </c>
      <c r="H792">
        <v>0.28999999999999998</v>
      </c>
      <c r="I792" t="s">
        <v>1349</v>
      </c>
      <c r="J792">
        <v>1146.0820000000001</v>
      </c>
    </row>
    <row r="793" spans="1:10">
      <c r="A793" t="s">
        <v>2142</v>
      </c>
      <c r="B793" s="1">
        <v>45320</v>
      </c>
      <c r="C793" t="s">
        <v>329</v>
      </c>
      <c r="D793" t="s">
        <v>1087</v>
      </c>
      <c r="E793" t="s">
        <v>1282</v>
      </c>
      <c r="F793">
        <v>2</v>
      </c>
      <c r="G793">
        <v>443.09</v>
      </c>
      <c r="H793">
        <v>0.02</v>
      </c>
      <c r="I793" t="s">
        <v>1351</v>
      </c>
      <c r="J793">
        <v>868.45639999999992</v>
      </c>
    </row>
    <row r="794" spans="1:10">
      <c r="A794" t="s">
        <v>2143</v>
      </c>
      <c r="B794" s="1">
        <v>45870</v>
      </c>
      <c r="C794" t="s">
        <v>998</v>
      </c>
      <c r="D794" t="s">
        <v>1111</v>
      </c>
      <c r="E794" t="s">
        <v>1326</v>
      </c>
      <c r="F794">
        <v>1</v>
      </c>
      <c r="G794">
        <v>512.16</v>
      </c>
      <c r="H794">
        <v>0.02</v>
      </c>
      <c r="I794" t="s">
        <v>1354</v>
      </c>
      <c r="J794">
        <v>501.91680000000002</v>
      </c>
    </row>
    <row r="795" spans="1:10">
      <c r="A795" t="s">
        <v>2144</v>
      </c>
      <c r="B795" s="1">
        <v>45577</v>
      </c>
      <c r="C795" t="s">
        <v>478</v>
      </c>
      <c r="D795" t="s">
        <v>1155</v>
      </c>
      <c r="E795" t="s">
        <v>1335</v>
      </c>
      <c r="F795">
        <v>2</v>
      </c>
      <c r="G795">
        <v>602.54999999999995</v>
      </c>
      <c r="H795">
        <v>0.23</v>
      </c>
      <c r="I795" t="s">
        <v>1354</v>
      </c>
      <c r="J795">
        <v>927.92699999999991</v>
      </c>
    </row>
    <row r="796" spans="1:10">
      <c r="A796" t="s">
        <v>2145</v>
      </c>
      <c r="B796" s="1">
        <v>45745</v>
      </c>
      <c r="C796" t="s">
        <v>389</v>
      </c>
      <c r="D796" t="s">
        <v>1157</v>
      </c>
      <c r="E796" t="s">
        <v>1277</v>
      </c>
      <c r="F796">
        <v>3</v>
      </c>
      <c r="G796">
        <v>846.19</v>
      </c>
      <c r="H796">
        <v>0.09</v>
      </c>
      <c r="I796" t="s">
        <v>1354</v>
      </c>
      <c r="J796">
        <v>2310.0987</v>
      </c>
    </row>
    <row r="797" spans="1:10">
      <c r="A797" t="s">
        <v>2146</v>
      </c>
      <c r="B797" s="1">
        <v>45772</v>
      </c>
      <c r="C797" t="s">
        <v>716</v>
      </c>
      <c r="D797" t="s">
        <v>1211</v>
      </c>
      <c r="E797" t="s">
        <v>1307</v>
      </c>
      <c r="F797">
        <v>1</v>
      </c>
      <c r="G797">
        <v>506.73</v>
      </c>
      <c r="H797">
        <v>0.28999999999999998</v>
      </c>
      <c r="I797" t="s">
        <v>1349</v>
      </c>
      <c r="J797">
        <v>359.7783</v>
      </c>
    </row>
    <row r="798" spans="1:10">
      <c r="A798" t="s">
        <v>2147</v>
      </c>
      <c r="B798" s="1">
        <v>45299</v>
      </c>
      <c r="C798" t="s">
        <v>147</v>
      </c>
      <c r="D798" t="s">
        <v>1175</v>
      </c>
      <c r="E798" t="s">
        <v>1329</v>
      </c>
      <c r="F798">
        <v>1</v>
      </c>
      <c r="G798">
        <v>408.66</v>
      </c>
      <c r="H798">
        <v>0.13</v>
      </c>
      <c r="I798" t="s">
        <v>1354</v>
      </c>
      <c r="J798">
        <v>355.5342</v>
      </c>
    </row>
    <row r="799" spans="1:10">
      <c r="A799" t="s">
        <v>2148</v>
      </c>
      <c r="B799" s="1">
        <v>45447</v>
      </c>
      <c r="C799" t="s">
        <v>279</v>
      </c>
      <c r="D799" t="s">
        <v>1087</v>
      </c>
      <c r="E799" t="s">
        <v>1332</v>
      </c>
      <c r="F799">
        <v>3</v>
      </c>
      <c r="G799">
        <v>170.48</v>
      </c>
      <c r="H799">
        <v>0.06</v>
      </c>
      <c r="I799" t="s">
        <v>1354</v>
      </c>
      <c r="J799">
        <v>480.75359999999989</v>
      </c>
    </row>
    <row r="800" spans="1:10">
      <c r="A800" t="s">
        <v>2149</v>
      </c>
      <c r="B800" s="1">
        <v>45717</v>
      </c>
      <c r="C800" t="s">
        <v>252</v>
      </c>
      <c r="D800" t="s">
        <v>1109</v>
      </c>
      <c r="E800" t="s">
        <v>1311</v>
      </c>
      <c r="F800">
        <v>1</v>
      </c>
      <c r="G800">
        <v>423.48</v>
      </c>
      <c r="H800">
        <v>0.18</v>
      </c>
      <c r="I800" t="s">
        <v>1351</v>
      </c>
      <c r="J800">
        <v>347.25360000000012</v>
      </c>
    </row>
    <row r="801" spans="1:10">
      <c r="A801" t="s">
        <v>2150</v>
      </c>
      <c r="B801" s="1">
        <v>45213</v>
      </c>
      <c r="C801" t="s">
        <v>533</v>
      </c>
      <c r="D801" t="s">
        <v>1257</v>
      </c>
      <c r="E801" t="s">
        <v>1317</v>
      </c>
      <c r="F801">
        <v>4</v>
      </c>
      <c r="G801">
        <v>23.57</v>
      </c>
      <c r="H801">
        <v>0.1</v>
      </c>
      <c r="I801" t="s">
        <v>1349</v>
      </c>
      <c r="J801">
        <v>84.852000000000004</v>
      </c>
    </row>
    <row r="802" spans="1:10">
      <c r="A802" t="s">
        <v>2151</v>
      </c>
      <c r="B802" s="1">
        <v>45837</v>
      </c>
      <c r="C802" t="s">
        <v>825</v>
      </c>
      <c r="D802" t="s">
        <v>1157</v>
      </c>
      <c r="E802" t="s">
        <v>1335</v>
      </c>
      <c r="F802">
        <v>2</v>
      </c>
      <c r="G802">
        <v>953.26</v>
      </c>
      <c r="H802">
        <v>0.1</v>
      </c>
      <c r="I802" t="s">
        <v>1354</v>
      </c>
      <c r="J802">
        <v>1715.8679999999999</v>
      </c>
    </row>
    <row r="803" spans="1:10">
      <c r="A803" t="s">
        <v>2152</v>
      </c>
      <c r="B803" s="1">
        <v>45277</v>
      </c>
      <c r="C803" t="s">
        <v>758</v>
      </c>
      <c r="D803" t="s">
        <v>1219</v>
      </c>
      <c r="E803" t="s">
        <v>1304</v>
      </c>
      <c r="F803">
        <v>3</v>
      </c>
      <c r="G803">
        <v>405.13</v>
      </c>
      <c r="H803">
        <v>0.14000000000000001</v>
      </c>
      <c r="I803" t="s">
        <v>1354</v>
      </c>
      <c r="J803">
        <v>1045.2354</v>
      </c>
    </row>
    <row r="804" spans="1:10">
      <c r="A804" t="s">
        <v>2153</v>
      </c>
      <c r="B804" s="1">
        <v>45248</v>
      </c>
      <c r="C804" t="s">
        <v>742</v>
      </c>
      <c r="D804" t="s">
        <v>1074</v>
      </c>
      <c r="E804" t="s">
        <v>1294</v>
      </c>
      <c r="F804">
        <v>2</v>
      </c>
      <c r="G804">
        <v>333.83</v>
      </c>
      <c r="H804">
        <v>0.26</v>
      </c>
      <c r="I804" t="s">
        <v>1351</v>
      </c>
      <c r="J804">
        <v>494.0684</v>
      </c>
    </row>
    <row r="805" spans="1:10">
      <c r="A805" t="s">
        <v>2154</v>
      </c>
      <c r="B805" s="1">
        <v>45741</v>
      </c>
      <c r="C805" t="s">
        <v>730</v>
      </c>
      <c r="D805" t="s">
        <v>1255</v>
      </c>
      <c r="E805" t="s">
        <v>1291</v>
      </c>
      <c r="F805">
        <v>2</v>
      </c>
      <c r="G805">
        <v>727.18</v>
      </c>
      <c r="H805">
        <v>0.22</v>
      </c>
      <c r="I805" t="s">
        <v>1351</v>
      </c>
      <c r="J805">
        <v>1134.4007999999999</v>
      </c>
    </row>
    <row r="806" spans="1:10">
      <c r="A806" t="s">
        <v>2155</v>
      </c>
      <c r="B806" s="1">
        <v>45778</v>
      </c>
      <c r="C806" t="s">
        <v>676</v>
      </c>
      <c r="D806" t="s">
        <v>1080</v>
      </c>
      <c r="E806" t="s">
        <v>1314</v>
      </c>
      <c r="F806">
        <v>2</v>
      </c>
      <c r="G806">
        <v>516.02</v>
      </c>
      <c r="H806">
        <v>0.19</v>
      </c>
      <c r="I806" t="s">
        <v>1354</v>
      </c>
      <c r="J806">
        <v>835.95240000000001</v>
      </c>
    </row>
    <row r="807" spans="1:10">
      <c r="A807" t="s">
        <v>2156</v>
      </c>
      <c r="B807" s="1">
        <v>45361</v>
      </c>
      <c r="C807" t="s">
        <v>652</v>
      </c>
      <c r="D807" t="s">
        <v>1157</v>
      </c>
      <c r="E807" t="s">
        <v>1317</v>
      </c>
      <c r="F807">
        <v>2</v>
      </c>
      <c r="G807">
        <v>705.61</v>
      </c>
      <c r="H807">
        <v>0.28000000000000003</v>
      </c>
      <c r="I807" t="s">
        <v>1349</v>
      </c>
      <c r="J807">
        <v>1016.0784</v>
      </c>
    </row>
    <row r="808" spans="1:10">
      <c r="A808" t="s">
        <v>2157</v>
      </c>
      <c r="B808" s="1">
        <v>45414</v>
      </c>
      <c r="C808" t="s">
        <v>614</v>
      </c>
      <c r="D808" t="s">
        <v>1241</v>
      </c>
      <c r="E808" t="s">
        <v>1307</v>
      </c>
      <c r="F808">
        <v>3</v>
      </c>
      <c r="G808">
        <v>654.47</v>
      </c>
      <c r="H808">
        <v>0.18</v>
      </c>
      <c r="I808" t="s">
        <v>1354</v>
      </c>
      <c r="J808">
        <v>1609.9962</v>
      </c>
    </row>
    <row r="809" spans="1:10">
      <c r="A809" t="s">
        <v>2158</v>
      </c>
      <c r="B809" s="1">
        <v>45734</v>
      </c>
      <c r="C809" t="s">
        <v>403</v>
      </c>
      <c r="D809" t="s">
        <v>1249</v>
      </c>
      <c r="E809" t="s">
        <v>1326</v>
      </c>
      <c r="F809">
        <v>2</v>
      </c>
      <c r="G809">
        <v>315.27</v>
      </c>
      <c r="H809">
        <v>0.23</v>
      </c>
      <c r="I809" t="s">
        <v>1349</v>
      </c>
      <c r="J809">
        <v>485.51580000000001</v>
      </c>
    </row>
    <row r="810" spans="1:10">
      <c r="A810" t="s">
        <v>2159</v>
      </c>
      <c r="B810" s="1">
        <v>45623</v>
      </c>
      <c r="C810" t="s">
        <v>507</v>
      </c>
      <c r="D810" t="s">
        <v>1129</v>
      </c>
      <c r="E810" t="s">
        <v>1286</v>
      </c>
      <c r="F810">
        <v>1</v>
      </c>
      <c r="G810">
        <v>974.47</v>
      </c>
      <c r="H810">
        <v>0.05</v>
      </c>
      <c r="I810" t="s">
        <v>1349</v>
      </c>
      <c r="J810">
        <v>925.74649999999997</v>
      </c>
    </row>
    <row r="811" spans="1:10">
      <c r="A811" t="s">
        <v>2160</v>
      </c>
      <c r="B811" s="1">
        <v>45340</v>
      </c>
      <c r="C811" t="s">
        <v>182</v>
      </c>
      <c r="D811" t="s">
        <v>1074</v>
      </c>
      <c r="E811" t="s">
        <v>1294</v>
      </c>
      <c r="F811">
        <v>2</v>
      </c>
      <c r="G811">
        <v>803.3</v>
      </c>
      <c r="H811">
        <v>0.17</v>
      </c>
      <c r="I811" t="s">
        <v>1349</v>
      </c>
      <c r="J811">
        <v>1333.4780000000001</v>
      </c>
    </row>
    <row r="812" spans="1:10">
      <c r="A812" t="s">
        <v>2161</v>
      </c>
      <c r="B812" s="1">
        <v>45447</v>
      </c>
      <c r="C812" t="s">
        <v>50</v>
      </c>
      <c r="D812" t="s">
        <v>1074</v>
      </c>
      <c r="E812" t="s">
        <v>1314</v>
      </c>
      <c r="F812">
        <v>4</v>
      </c>
      <c r="G812">
        <v>863.87</v>
      </c>
      <c r="H812">
        <v>0.21</v>
      </c>
      <c r="I812" t="s">
        <v>1354</v>
      </c>
      <c r="J812">
        <v>2729.8292000000001</v>
      </c>
    </row>
    <row r="813" spans="1:10">
      <c r="A813" t="s">
        <v>2162</v>
      </c>
      <c r="B813" s="1">
        <v>45513</v>
      </c>
      <c r="C813" t="s">
        <v>1000</v>
      </c>
      <c r="D813" t="s">
        <v>1233</v>
      </c>
      <c r="E813" t="s">
        <v>1335</v>
      </c>
      <c r="F813">
        <v>1</v>
      </c>
      <c r="G813">
        <v>450.11</v>
      </c>
      <c r="H813">
        <v>0.17</v>
      </c>
      <c r="I813" t="s">
        <v>1349</v>
      </c>
      <c r="J813">
        <v>373.59129999999999</v>
      </c>
    </row>
    <row r="814" spans="1:10">
      <c r="A814" t="s">
        <v>2163</v>
      </c>
      <c r="B814" s="1">
        <v>45486</v>
      </c>
      <c r="C814" t="s">
        <v>523</v>
      </c>
      <c r="D814" t="s">
        <v>1209</v>
      </c>
      <c r="E814" t="s">
        <v>1322</v>
      </c>
      <c r="F814">
        <v>1</v>
      </c>
      <c r="G814">
        <v>289.82</v>
      </c>
      <c r="H814">
        <v>0.18</v>
      </c>
      <c r="I814" t="s">
        <v>1354</v>
      </c>
      <c r="J814">
        <v>237.6524</v>
      </c>
    </row>
    <row r="815" spans="1:10">
      <c r="A815" t="s">
        <v>2164</v>
      </c>
      <c r="B815" s="1">
        <v>45890</v>
      </c>
      <c r="C815" t="s">
        <v>732</v>
      </c>
      <c r="D815" t="s">
        <v>1181</v>
      </c>
      <c r="E815" t="s">
        <v>1314</v>
      </c>
      <c r="F815">
        <v>4</v>
      </c>
      <c r="G815">
        <v>250.64</v>
      </c>
      <c r="H815">
        <v>0.1</v>
      </c>
      <c r="I815" t="s">
        <v>1351</v>
      </c>
      <c r="J815">
        <v>902.30399999999997</v>
      </c>
    </row>
    <row r="816" spans="1:10">
      <c r="A816" t="s">
        <v>2165</v>
      </c>
      <c r="B816" s="1">
        <v>45876</v>
      </c>
      <c r="C816" t="s">
        <v>638</v>
      </c>
      <c r="D816" t="s">
        <v>1211</v>
      </c>
      <c r="E816" t="s">
        <v>1338</v>
      </c>
      <c r="F816">
        <v>4</v>
      </c>
      <c r="G816">
        <v>373.49</v>
      </c>
      <c r="H816">
        <v>0.16</v>
      </c>
      <c r="I816" t="s">
        <v>1354</v>
      </c>
      <c r="J816">
        <v>1254.9264000000001</v>
      </c>
    </row>
    <row r="817" spans="1:10">
      <c r="A817" t="s">
        <v>2166</v>
      </c>
      <c r="B817" s="1">
        <v>45398</v>
      </c>
      <c r="C817" t="s">
        <v>180</v>
      </c>
      <c r="D817" t="s">
        <v>1076</v>
      </c>
      <c r="E817" t="s">
        <v>1311</v>
      </c>
      <c r="F817">
        <v>4</v>
      </c>
      <c r="G817">
        <v>348.91</v>
      </c>
      <c r="H817">
        <v>0.18</v>
      </c>
      <c r="I817" t="s">
        <v>1351</v>
      </c>
      <c r="J817">
        <v>1144.4248</v>
      </c>
    </row>
    <row r="818" spans="1:10">
      <c r="A818" t="s">
        <v>2167</v>
      </c>
      <c r="B818" s="1">
        <v>45390</v>
      </c>
      <c r="C818" t="s">
        <v>279</v>
      </c>
      <c r="D818" t="s">
        <v>1261</v>
      </c>
      <c r="E818" t="s">
        <v>1332</v>
      </c>
      <c r="F818">
        <v>4</v>
      </c>
      <c r="G818">
        <v>212.96</v>
      </c>
      <c r="H818">
        <v>0.17</v>
      </c>
      <c r="I818" t="s">
        <v>1349</v>
      </c>
      <c r="J818">
        <v>707.02719999999999</v>
      </c>
    </row>
    <row r="819" spans="1:10">
      <c r="A819" t="s">
        <v>2168</v>
      </c>
      <c r="B819" s="1">
        <v>45406</v>
      </c>
      <c r="C819" t="s">
        <v>442</v>
      </c>
      <c r="D819" t="s">
        <v>1127</v>
      </c>
      <c r="E819" t="s">
        <v>1338</v>
      </c>
      <c r="F819">
        <v>3</v>
      </c>
      <c r="G819">
        <v>871.34</v>
      </c>
      <c r="H819">
        <v>0.11</v>
      </c>
      <c r="I819" t="s">
        <v>1354</v>
      </c>
      <c r="J819">
        <v>2326.4778000000001</v>
      </c>
    </row>
    <row r="820" spans="1:10">
      <c r="A820" t="s">
        <v>2169</v>
      </c>
      <c r="B820" s="1">
        <v>45844</v>
      </c>
      <c r="C820" t="s">
        <v>258</v>
      </c>
      <c r="D820" t="s">
        <v>1261</v>
      </c>
      <c r="E820" t="s">
        <v>1277</v>
      </c>
      <c r="F820">
        <v>2</v>
      </c>
      <c r="G820">
        <v>698.94</v>
      </c>
      <c r="H820">
        <v>0.06</v>
      </c>
      <c r="I820" t="s">
        <v>1349</v>
      </c>
      <c r="J820">
        <v>1314.0072</v>
      </c>
    </row>
    <row r="821" spans="1:10">
      <c r="A821" t="s">
        <v>2170</v>
      </c>
      <c r="B821" s="1">
        <v>45697</v>
      </c>
      <c r="C821" t="s">
        <v>696</v>
      </c>
      <c r="D821" t="s">
        <v>1221</v>
      </c>
      <c r="E821" t="s">
        <v>1277</v>
      </c>
      <c r="F821">
        <v>1</v>
      </c>
      <c r="G821">
        <v>719.94</v>
      </c>
      <c r="H821">
        <v>0.23</v>
      </c>
      <c r="I821" t="s">
        <v>1354</v>
      </c>
      <c r="J821">
        <v>554.35380000000009</v>
      </c>
    </row>
    <row r="822" spans="1:10">
      <c r="A822" t="s">
        <v>2171</v>
      </c>
      <c r="B822" s="1">
        <v>45607</v>
      </c>
      <c r="C822" t="s">
        <v>30</v>
      </c>
      <c r="D822" t="s">
        <v>1129</v>
      </c>
      <c r="E822" t="s">
        <v>1294</v>
      </c>
      <c r="F822">
        <v>2</v>
      </c>
      <c r="G822">
        <v>278.16000000000003</v>
      </c>
      <c r="H822">
        <v>0.22</v>
      </c>
      <c r="I822" t="s">
        <v>1351</v>
      </c>
      <c r="J822">
        <v>433.92960000000011</v>
      </c>
    </row>
    <row r="823" spans="1:10">
      <c r="A823" t="s">
        <v>2172</v>
      </c>
      <c r="B823" s="1">
        <v>45307</v>
      </c>
      <c r="C823" t="s">
        <v>150</v>
      </c>
      <c r="D823" t="s">
        <v>1171</v>
      </c>
      <c r="E823" t="s">
        <v>1298</v>
      </c>
      <c r="F823">
        <v>1</v>
      </c>
      <c r="G823">
        <v>678.9</v>
      </c>
      <c r="H823">
        <v>0.17</v>
      </c>
      <c r="I823" t="s">
        <v>1349</v>
      </c>
      <c r="J823">
        <v>563.48699999999997</v>
      </c>
    </row>
    <row r="824" spans="1:10">
      <c r="A824" t="s">
        <v>2173</v>
      </c>
      <c r="B824" s="1">
        <v>45520</v>
      </c>
      <c r="C824" t="s">
        <v>56</v>
      </c>
      <c r="D824" t="s">
        <v>1123</v>
      </c>
      <c r="E824" t="s">
        <v>1326</v>
      </c>
      <c r="F824">
        <v>4</v>
      </c>
      <c r="G824">
        <v>94.13</v>
      </c>
      <c r="H824">
        <v>0.15</v>
      </c>
      <c r="I824" t="s">
        <v>1349</v>
      </c>
      <c r="J824">
        <v>320.04199999999997</v>
      </c>
    </row>
    <row r="825" spans="1:10">
      <c r="A825" t="s">
        <v>2174</v>
      </c>
      <c r="B825" s="1">
        <v>45933</v>
      </c>
      <c r="C825" t="s">
        <v>945</v>
      </c>
      <c r="D825" t="s">
        <v>1161</v>
      </c>
      <c r="E825" t="s">
        <v>1282</v>
      </c>
      <c r="F825">
        <v>4</v>
      </c>
      <c r="G825">
        <v>415.02</v>
      </c>
      <c r="H825">
        <v>0.01</v>
      </c>
      <c r="I825" t="s">
        <v>1351</v>
      </c>
      <c r="J825">
        <v>1643.4792</v>
      </c>
    </row>
    <row r="826" spans="1:10">
      <c r="A826" t="s">
        <v>2175</v>
      </c>
      <c r="B826" s="1">
        <v>45841</v>
      </c>
      <c r="C826" t="s">
        <v>145</v>
      </c>
      <c r="D826" t="s">
        <v>1095</v>
      </c>
      <c r="E826" t="s">
        <v>1294</v>
      </c>
      <c r="F826">
        <v>4</v>
      </c>
      <c r="G826">
        <v>780.07</v>
      </c>
      <c r="H826">
        <v>0.03</v>
      </c>
      <c r="I826" t="s">
        <v>1349</v>
      </c>
      <c r="J826">
        <v>3026.6716000000001</v>
      </c>
    </row>
    <row r="827" spans="1:10">
      <c r="A827" t="s">
        <v>2176</v>
      </c>
      <c r="B827" s="1">
        <v>45877</v>
      </c>
      <c r="C827" t="s">
        <v>919</v>
      </c>
      <c r="D827" t="s">
        <v>1147</v>
      </c>
      <c r="E827" t="s">
        <v>1326</v>
      </c>
      <c r="F827">
        <v>4</v>
      </c>
      <c r="G827">
        <v>184.57</v>
      </c>
      <c r="H827">
        <v>0.28000000000000003</v>
      </c>
      <c r="I827" t="s">
        <v>1349</v>
      </c>
      <c r="J827">
        <v>531.5616</v>
      </c>
    </row>
    <row r="828" spans="1:10">
      <c r="A828" t="s">
        <v>2177</v>
      </c>
      <c r="B828" s="1">
        <v>45532</v>
      </c>
      <c r="C828" t="s">
        <v>638</v>
      </c>
      <c r="D828" t="s">
        <v>1203</v>
      </c>
      <c r="E828" t="s">
        <v>1294</v>
      </c>
      <c r="F828">
        <v>4</v>
      </c>
      <c r="G828">
        <v>277.58</v>
      </c>
      <c r="H828">
        <v>0.22</v>
      </c>
      <c r="I828" t="s">
        <v>1351</v>
      </c>
      <c r="J828">
        <v>866.04959999999994</v>
      </c>
    </row>
    <row r="829" spans="1:10">
      <c r="A829" t="s">
        <v>2178</v>
      </c>
      <c r="B829" s="1">
        <v>45734</v>
      </c>
      <c r="C829" t="s">
        <v>267</v>
      </c>
      <c r="D829" t="s">
        <v>1135</v>
      </c>
      <c r="E829" t="s">
        <v>1291</v>
      </c>
      <c r="F829">
        <v>1</v>
      </c>
      <c r="G829">
        <v>36.799999999999997</v>
      </c>
      <c r="H829">
        <v>0.18</v>
      </c>
      <c r="I829" t="s">
        <v>1349</v>
      </c>
      <c r="J829">
        <v>30.175999999999998</v>
      </c>
    </row>
    <row r="830" spans="1:10">
      <c r="A830" t="s">
        <v>2179</v>
      </c>
      <c r="B830" s="1">
        <v>45809</v>
      </c>
      <c r="C830" t="s">
        <v>775</v>
      </c>
      <c r="D830" t="s">
        <v>1249</v>
      </c>
      <c r="E830" t="s">
        <v>1301</v>
      </c>
      <c r="F830">
        <v>1</v>
      </c>
      <c r="G830">
        <v>539.37</v>
      </c>
      <c r="H830">
        <v>0.14000000000000001</v>
      </c>
      <c r="I830" t="s">
        <v>1349</v>
      </c>
      <c r="J830">
        <v>463.85820000000001</v>
      </c>
    </row>
    <row r="831" spans="1:10">
      <c r="A831" t="s">
        <v>2180</v>
      </c>
      <c r="B831" s="1">
        <v>45760</v>
      </c>
      <c r="C831" t="s">
        <v>234</v>
      </c>
      <c r="D831" t="s">
        <v>1113</v>
      </c>
      <c r="E831" t="s">
        <v>1335</v>
      </c>
      <c r="F831">
        <v>1</v>
      </c>
      <c r="G831">
        <v>27.83</v>
      </c>
      <c r="H831">
        <v>0.3</v>
      </c>
      <c r="I831" t="s">
        <v>1351</v>
      </c>
      <c r="J831">
        <v>19.481000000000002</v>
      </c>
    </row>
    <row r="832" spans="1:10">
      <c r="A832" t="s">
        <v>2181</v>
      </c>
      <c r="B832" s="1">
        <v>45456</v>
      </c>
      <c r="C832" t="s">
        <v>630</v>
      </c>
      <c r="D832" t="s">
        <v>1213</v>
      </c>
      <c r="E832" t="s">
        <v>1294</v>
      </c>
      <c r="F832">
        <v>3</v>
      </c>
      <c r="G832">
        <v>698.72</v>
      </c>
      <c r="H832">
        <v>0.28000000000000003</v>
      </c>
      <c r="I832" t="s">
        <v>1354</v>
      </c>
      <c r="J832">
        <v>1509.2352000000001</v>
      </c>
    </row>
    <row r="833" spans="1:10">
      <c r="A833" t="s">
        <v>2182</v>
      </c>
      <c r="B833" s="1">
        <v>45698</v>
      </c>
      <c r="C833" t="s">
        <v>47</v>
      </c>
      <c r="D833" t="s">
        <v>1225</v>
      </c>
      <c r="E833" t="s">
        <v>1322</v>
      </c>
      <c r="F833">
        <v>4</v>
      </c>
      <c r="G833">
        <v>528.23</v>
      </c>
      <c r="H833">
        <v>0.15</v>
      </c>
      <c r="I833" t="s">
        <v>1354</v>
      </c>
      <c r="J833">
        <v>1795.982</v>
      </c>
    </row>
    <row r="834" spans="1:10">
      <c r="A834" t="s">
        <v>2183</v>
      </c>
      <c r="B834" s="1">
        <v>45548</v>
      </c>
      <c r="C834" t="s">
        <v>1045</v>
      </c>
      <c r="D834" t="s">
        <v>1165</v>
      </c>
      <c r="E834" t="s">
        <v>1329</v>
      </c>
      <c r="F834">
        <v>2</v>
      </c>
      <c r="G834">
        <v>780.9</v>
      </c>
      <c r="H834">
        <v>0.24</v>
      </c>
      <c r="I834" t="s">
        <v>1351</v>
      </c>
      <c r="J834">
        <v>1186.9680000000001</v>
      </c>
    </row>
    <row r="835" spans="1:10">
      <c r="A835" t="s">
        <v>2184</v>
      </c>
      <c r="B835" s="1">
        <v>45236</v>
      </c>
      <c r="C835" t="s">
        <v>422</v>
      </c>
      <c r="D835" t="s">
        <v>1115</v>
      </c>
      <c r="E835" t="s">
        <v>1324</v>
      </c>
      <c r="F835">
        <v>1</v>
      </c>
      <c r="G835">
        <v>977.97</v>
      </c>
      <c r="H835">
        <v>0.06</v>
      </c>
      <c r="I835" t="s">
        <v>1354</v>
      </c>
      <c r="J835">
        <v>919.29179999999997</v>
      </c>
    </row>
    <row r="836" spans="1:10">
      <c r="A836" t="s">
        <v>2185</v>
      </c>
      <c r="B836" s="1">
        <v>45310</v>
      </c>
      <c r="C836" t="s">
        <v>801</v>
      </c>
      <c r="D836" t="s">
        <v>1239</v>
      </c>
      <c r="E836" t="s">
        <v>1319</v>
      </c>
      <c r="F836">
        <v>4</v>
      </c>
      <c r="G836">
        <v>354.65</v>
      </c>
      <c r="H836">
        <v>0.19</v>
      </c>
      <c r="I836" t="s">
        <v>1349</v>
      </c>
      <c r="J836">
        <v>1149.066</v>
      </c>
    </row>
    <row r="837" spans="1:10">
      <c r="A837" t="s">
        <v>2186</v>
      </c>
      <c r="B837" s="1">
        <v>45376</v>
      </c>
      <c r="C837" t="s">
        <v>630</v>
      </c>
      <c r="D837" t="s">
        <v>1209</v>
      </c>
      <c r="E837" t="s">
        <v>1338</v>
      </c>
      <c r="F837">
        <v>1</v>
      </c>
      <c r="G837">
        <v>671.62</v>
      </c>
      <c r="H837">
        <v>0.09</v>
      </c>
      <c r="I837" t="s">
        <v>1354</v>
      </c>
      <c r="J837">
        <v>611.17420000000004</v>
      </c>
    </row>
    <row r="838" spans="1:10">
      <c r="A838" t="s">
        <v>2187</v>
      </c>
      <c r="B838" s="1">
        <v>45914</v>
      </c>
      <c r="C838" t="s">
        <v>698</v>
      </c>
      <c r="D838" t="s">
        <v>1237</v>
      </c>
      <c r="E838" t="s">
        <v>1291</v>
      </c>
      <c r="F838">
        <v>1</v>
      </c>
      <c r="G838">
        <v>867.32</v>
      </c>
      <c r="H838">
        <v>0.28999999999999998</v>
      </c>
      <c r="I838" t="s">
        <v>1351</v>
      </c>
      <c r="J838">
        <v>615.79719999999998</v>
      </c>
    </row>
    <row r="839" spans="1:10">
      <c r="A839" t="s">
        <v>2188</v>
      </c>
      <c r="B839" s="1">
        <v>45336</v>
      </c>
      <c r="C839" t="s">
        <v>216</v>
      </c>
      <c r="D839" t="s">
        <v>1093</v>
      </c>
      <c r="E839" t="s">
        <v>1319</v>
      </c>
      <c r="F839">
        <v>3</v>
      </c>
      <c r="G839">
        <v>240.27</v>
      </c>
      <c r="H839">
        <v>0.15</v>
      </c>
      <c r="I839" t="s">
        <v>1351</v>
      </c>
      <c r="J839">
        <v>612.68850000000009</v>
      </c>
    </row>
    <row r="840" spans="1:10">
      <c r="A840" t="s">
        <v>2189</v>
      </c>
      <c r="B840" s="1">
        <v>45728</v>
      </c>
      <c r="C840" t="s">
        <v>202</v>
      </c>
      <c r="D840" t="s">
        <v>1129</v>
      </c>
      <c r="E840" t="s">
        <v>1329</v>
      </c>
      <c r="F840">
        <v>2</v>
      </c>
      <c r="G840">
        <v>619.12</v>
      </c>
      <c r="H840">
        <v>0.28000000000000003</v>
      </c>
      <c r="I840" t="s">
        <v>1354</v>
      </c>
      <c r="J840">
        <v>891.53279999999995</v>
      </c>
    </row>
    <row r="841" spans="1:10">
      <c r="A841" t="s">
        <v>2190</v>
      </c>
      <c r="B841" s="1">
        <v>45755</v>
      </c>
      <c r="C841" t="s">
        <v>488</v>
      </c>
      <c r="D841" t="s">
        <v>1247</v>
      </c>
      <c r="E841" t="s">
        <v>1277</v>
      </c>
      <c r="F841">
        <v>3</v>
      </c>
      <c r="G841">
        <v>693.42</v>
      </c>
      <c r="H841">
        <v>0.08</v>
      </c>
      <c r="I841" t="s">
        <v>1351</v>
      </c>
      <c r="J841">
        <v>1913.8391999999999</v>
      </c>
    </row>
    <row r="842" spans="1:10">
      <c r="A842" t="s">
        <v>2191</v>
      </c>
      <c r="B842" s="1">
        <v>45695</v>
      </c>
      <c r="C842" t="s">
        <v>275</v>
      </c>
      <c r="D842" t="s">
        <v>1169</v>
      </c>
      <c r="E842" t="s">
        <v>1314</v>
      </c>
      <c r="F842">
        <v>4</v>
      </c>
      <c r="G842">
        <v>751.63</v>
      </c>
      <c r="H842">
        <v>0.28000000000000003</v>
      </c>
      <c r="I842" t="s">
        <v>1354</v>
      </c>
      <c r="J842">
        <v>2164.6943999999999</v>
      </c>
    </row>
    <row r="843" spans="1:10">
      <c r="A843" t="s">
        <v>2192</v>
      </c>
      <c r="B843" s="1">
        <v>45380</v>
      </c>
      <c r="C843" t="s">
        <v>279</v>
      </c>
      <c r="D843" t="s">
        <v>1135</v>
      </c>
      <c r="E843" t="s">
        <v>1326</v>
      </c>
      <c r="F843">
        <v>3</v>
      </c>
      <c r="G843">
        <v>108.14</v>
      </c>
      <c r="H843">
        <v>0.19</v>
      </c>
      <c r="I843" t="s">
        <v>1354</v>
      </c>
      <c r="J843">
        <v>262.78019999999998</v>
      </c>
    </row>
    <row r="844" spans="1:10">
      <c r="A844" t="s">
        <v>2193</v>
      </c>
      <c r="B844" s="1">
        <v>45446</v>
      </c>
      <c r="C844" t="s">
        <v>575</v>
      </c>
      <c r="D844" t="s">
        <v>1127</v>
      </c>
      <c r="E844" t="s">
        <v>1294</v>
      </c>
      <c r="F844">
        <v>1</v>
      </c>
      <c r="G844">
        <v>964.11</v>
      </c>
      <c r="H844">
        <v>0.17</v>
      </c>
      <c r="I844" t="s">
        <v>1354</v>
      </c>
      <c r="J844">
        <v>800.21129999999994</v>
      </c>
    </row>
    <row r="845" spans="1:10">
      <c r="A845" t="s">
        <v>2194</v>
      </c>
      <c r="B845" s="1">
        <v>45525</v>
      </c>
      <c r="C845" t="s">
        <v>323</v>
      </c>
      <c r="D845" t="s">
        <v>1111</v>
      </c>
      <c r="E845" t="s">
        <v>1277</v>
      </c>
      <c r="F845">
        <v>1</v>
      </c>
      <c r="G845">
        <v>346.2</v>
      </c>
      <c r="H845">
        <v>0.28999999999999998</v>
      </c>
      <c r="I845" t="s">
        <v>1349</v>
      </c>
      <c r="J845">
        <v>245.80199999999999</v>
      </c>
    </row>
    <row r="846" spans="1:10">
      <c r="A846" t="s">
        <v>2195</v>
      </c>
      <c r="B846" s="1">
        <v>45527</v>
      </c>
      <c r="C846" t="s">
        <v>977</v>
      </c>
      <c r="D846" t="s">
        <v>1159</v>
      </c>
      <c r="E846" t="s">
        <v>1326</v>
      </c>
      <c r="F846">
        <v>3</v>
      </c>
      <c r="G846">
        <v>791.75</v>
      </c>
      <c r="H846">
        <v>0.28999999999999998</v>
      </c>
      <c r="I846" t="s">
        <v>1349</v>
      </c>
      <c r="J846">
        <v>1686.4275</v>
      </c>
    </row>
    <row r="847" spans="1:10">
      <c r="A847" t="s">
        <v>2196</v>
      </c>
      <c r="B847" s="1">
        <v>45265</v>
      </c>
      <c r="C847" t="s">
        <v>702</v>
      </c>
      <c r="D847" t="s">
        <v>1151</v>
      </c>
      <c r="E847" t="s">
        <v>1322</v>
      </c>
      <c r="F847">
        <v>1</v>
      </c>
      <c r="G847">
        <v>529.84</v>
      </c>
      <c r="H847">
        <v>0.13</v>
      </c>
      <c r="I847" t="s">
        <v>1351</v>
      </c>
      <c r="J847">
        <v>460.96080000000001</v>
      </c>
    </row>
    <row r="848" spans="1:10">
      <c r="A848" t="s">
        <v>2197</v>
      </c>
      <c r="B848" s="1">
        <v>45936</v>
      </c>
      <c r="C848" t="s">
        <v>1004</v>
      </c>
      <c r="D848" t="s">
        <v>1181</v>
      </c>
      <c r="E848" t="s">
        <v>1291</v>
      </c>
      <c r="F848">
        <v>3</v>
      </c>
      <c r="G848">
        <v>582.57000000000005</v>
      </c>
      <c r="H848">
        <v>0.11</v>
      </c>
      <c r="I848" t="s">
        <v>1351</v>
      </c>
      <c r="J848">
        <v>1555.4619</v>
      </c>
    </row>
    <row r="849" spans="1:10">
      <c r="A849" t="s">
        <v>2198</v>
      </c>
      <c r="B849" s="1">
        <v>45242</v>
      </c>
      <c r="C849" t="s">
        <v>484</v>
      </c>
      <c r="D849" t="s">
        <v>1263</v>
      </c>
      <c r="E849" t="s">
        <v>1332</v>
      </c>
      <c r="F849">
        <v>1</v>
      </c>
      <c r="G849">
        <v>219.81</v>
      </c>
      <c r="H849">
        <v>0.22</v>
      </c>
      <c r="I849" t="s">
        <v>1354</v>
      </c>
      <c r="J849">
        <v>171.45179999999999</v>
      </c>
    </row>
    <row r="850" spans="1:10">
      <c r="A850" t="s">
        <v>2199</v>
      </c>
      <c r="B850" s="1">
        <v>45437</v>
      </c>
      <c r="C850" t="s">
        <v>1055</v>
      </c>
      <c r="D850" t="s">
        <v>1213</v>
      </c>
      <c r="E850" t="s">
        <v>1335</v>
      </c>
      <c r="F850">
        <v>4</v>
      </c>
      <c r="G850">
        <v>883.31</v>
      </c>
      <c r="H850">
        <v>0.27</v>
      </c>
      <c r="I850" t="s">
        <v>1349</v>
      </c>
      <c r="J850">
        <v>2579.2651999999998</v>
      </c>
    </row>
    <row r="851" spans="1:10">
      <c r="A851" t="s">
        <v>2200</v>
      </c>
      <c r="B851" s="1">
        <v>45627</v>
      </c>
      <c r="C851" t="s">
        <v>531</v>
      </c>
      <c r="D851" t="s">
        <v>1107</v>
      </c>
      <c r="E851" t="s">
        <v>1324</v>
      </c>
      <c r="F851">
        <v>4</v>
      </c>
      <c r="G851">
        <v>329.06</v>
      </c>
      <c r="H851">
        <v>0.04</v>
      </c>
      <c r="I851" t="s">
        <v>1354</v>
      </c>
      <c r="J851">
        <v>1263.5904</v>
      </c>
    </row>
    <row r="852" spans="1:10">
      <c r="A852" t="s">
        <v>2201</v>
      </c>
      <c r="B852" s="1">
        <v>45678</v>
      </c>
      <c r="C852" t="s">
        <v>269</v>
      </c>
      <c r="D852" t="s">
        <v>1209</v>
      </c>
      <c r="E852" t="s">
        <v>1317</v>
      </c>
      <c r="F852">
        <v>1</v>
      </c>
      <c r="G852">
        <v>935.78</v>
      </c>
      <c r="H852">
        <v>0.03</v>
      </c>
      <c r="I852" t="s">
        <v>1351</v>
      </c>
      <c r="J852">
        <v>907.70659999999998</v>
      </c>
    </row>
    <row r="853" spans="1:10">
      <c r="A853" t="s">
        <v>2202</v>
      </c>
      <c r="B853" s="1">
        <v>45484</v>
      </c>
      <c r="C853" t="s">
        <v>704</v>
      </c>
      <c r="D853" t="s">
        <v>1193</v>
      </c>
      <c r="E853" t="s">
        <v>1314</v>
      </c>
      <c r="F853">
        <v>4</v>
      </c>
      <c r="G853">
        <v>597.79999999999995</v>
      </c>
      <c r="H853">
        <v>0.2</v>
      </c>
      <c r="I853" t="s">
        <v>1349</v>
      </c>
      <c r="J853">
        <v>1912.96</v>
      </c>
    </row>
    <row r="854" spans="1:10">
      <c r="A854" t="s">
        <v>2203</v>
      </c>
      <c r="B854" s="1">
        <v>45700</v>
      </c>
      <c r="C854" t="s">
        <v>581</v>
      </c>
      <c r="D854" t="s">
        <v>1099</v>
      </c>
      <c r="E854" t="s">
        <v>1335</v>
      </c>
      <c r="F854">
        <v>4</v>
      </c>
      <c r="G854">
        <v>266.98</v>
      </c>
      <c r="H854">
        <v>0.16</v>
      </c>
      <c r="I854" t="s">
        <v>1349</v>
      </c>
      <c r="J854">
        <v>897.05280000000005</v>
      </c>
    </row>
    <row r="855" spans="1:10">
      <c r="A855" t="s">
        <v>2204</v>
      </c>
      <c r="B855" s="1">
        <v>45873</v>
      </c>
      <c r="C855" t="s">
        <v>877</v>
      </c>
      <c r="D855" t="s">
        <v>1213</v>
      </c>
      <c r="E855" t="s">
        <v>1326</v>
      </c>
      <c r="F855">
        <v>3</v>
      </c>
      <c r="G855">
        <v>360.18</v>
      </c>
      <c r="H855">
        <v>0.03</v>
      </c>
      <c r="I855" t="s">
        <v>1349</v>
      </c>
      <c r="J855">
        <v>1048.1238000000001</v>
      </c>
    </row>
    <row r="856" spans="1:10">
      <c r="A856" t="s">
        <v>2205</v>
      </c>
      <c r="B856" s="1">
        <v>45860</v>
      </c>
      <c r="C856" t="s">
        <v>789</v>
      </c>
      <c r="D856" t="s">
        <v>1185</v>
      </c>
      <c r="E856" t="s">
        <v>1277</v>
      </c>
      <c r="F856">
        <v>3</v>
      </c>
      <c r="G856">
        <v>247.41</v>
      </c>
      <c r="H856">
        <v>0.05</v>
      </c>
      <c r="I856" t="s">
        <v>1354</v>
      </c>
      <c r="J856">
        <v>705.11850000000004</v>
      </c>
    </row>
    <row r="857" spans="1:10">
      <c r="A857" t="s">
        <v>2206</v>
      </c>
      <c r="B857" s="1">
        <v>45235</v>
      </c>
      <c r="C857" t="s">
        <v>208</v>
      </c>
      <c r="D857" t="s">
        <v>1163</v>
      </c>
      <c r="E857" t="s">
        <v>1326</v>
      </c>
      <c r="F857">
        <v>3</v>
      </c>
      <c r="G857">
        <v>674.66</v>
      </c>
      <c r="H857">
        <v>0.23</v>
      </c>
      <c r="I857" t="s">
        <v>1349</v>
      </c>
      <c r="J857">
        <v>1558.4646</v>
      </c>
    </row>
    <row r="858" spans="1:10">
      <c r="A858" t="s">
        <v>2207</v>
      </c>
      <c r="B858" s="1">
        <v>45874</v>
      </c>
      <c r="C858" t="s">
        <v>893</v>
      </c>
      <c r="D858" t="s">
        <v>1157</v>
      </c>
      <c r="E858" t="s">
        <v>1294</v>
      </c>
      <c r="F858">
        <v>1</v>
      </c>
      <c r="G858">
        <v>913.98</v>
      </c>
      <c r="H858">
        <v>0.27</v>
      </c>
      <c r="I858" t="s">
        <v>1351</v>
      </c>
      <c r="J858">
        <v>667.20539999999994</v>
      </c>
    </row>
    <row r="859" spans="1:10">
      <c r="A859" t="s">
        <v>2208</v>
      </c>
      <c r="B859" s="1">
        <v>45769</v>
      </c>
      <c r="C859" t="s">
        <v>692</v>
      </c>
      <c r="D859" t="s">
        <v>1259</v>
      </c>
      <c r="E859" t="s">
        <v>1314</v>
      </c>
      <c r="F859">
        <v>4</v>
      </c>
      <c r="G859">
        <v>370.5</v>
      </c>
      <c r="H859">
        <v>0.13</v>
      </c>
      <c r="I859" t="s">
        <v>1351</v>
      </c>
      <c r="J859">
        <v>1289.3399999999999</v>
      </c>
    </row>
    <row r="860" spans="1:10">
      <c r="A860" t="s">
        <v>2209</v>
      </c>
      <c r="B860" s="1">
        <v>45619</v>
      </c>
      <c r="C860" t="s">
        <v>779</v>
      </c>
      <c r="D860" t="s">
        <v>1217</v>
      </c>
      <c r="E860" t="s">
        <v>1322</v>
      </c>
      <c r="F860">
        <v>1</v>
      </c>
      <c r="G860">
        <v>735.1</v>
      </c>
      <c r="H860">
        <v>0.1</v>
      </c>
      <c r="I860" t="s">
        <v>1351</v>
      </c>
      <c r="J860">
        <v>661.59</v>
      </c>
    </row>
    <row r="861" spans="1:10">
      <c r="A861" t="s">
        <v>2210</v>
      </c>
      <c r="B861" s="1">
        <v>45614</v>
      </c>
      <c r="C861" t="s">
        <v>331</v>
      </c>
      <c r="D861" t="s">
        <v>1231</v>
      </c>
      <c r="E861" t="s">
        <v>1286</v>
      </c>
      <c r="F861">
        <v>3</v>
      </c>
      <c r="G861">
        <v>448.55</v>
      </c>
      <c r="H861">
        <v>0.05</v>
      </c>
      <c r="I861" t="s">
        <v>1349</v>
      </c>
      <c r="J861">
        <v>1278.3675000000001</v>
      </c>
    </row>
    <row r="862" spans="1:10">
      <c r="A862" t="s">
        <v>2211</v>
      </c>
      <c r="B862" s="1">
        <v>45691</v>
      </c>
      <c r="C862" t="s">
        <v>164</v>
      </c>
      <c r="D862" t="s">
        <v>1241</v>
      </c>
      <c r="E862" t="s">
        <v>1322</v>
      </c>
      <c r="F862">
        <v>3</v>
      </c>
      <c r="G862">
        <v>904.96</v>
      </c>
      <c r="H862">
        <v>7.0000000000000007E-2</v>
      </c>
      <c r="I862" t="s">
        <v>1354</v>
      </c>
      <c r="J862">
        <v>2524.8384000000001</v>
      </c>
    </row>
    <row r="863" spans="1:10">
      <c r="A863" t="s">
        <v>2212</v>
      </c>
      <c r="B863" s="1">
        <v>45608</v>
      </c>
      <c r="C863" t="s">
        <v>823</v>
      </c>
      <c r="D863" t="s">
        <v>1209</v>
      </c>
      <c r="E863" t="s">
        <v>1322</v>
      </c>
      <c r="F863">
        <v>4</v>
      </c>
      <c r="G863">
        <v>408.72</v>
      </c>
      <c r="H863">
        <v>0.16</v>
      </c>
      <c r="I863" t="s">
        <v>1354</v>
      </c>
      <c r="J863">
        <v>1373.2991999999999</v>
      </c>
    </row>
    <row r="864" spans="1:10">
      <c r="A864" t="s">
        <v>2213</v>
      </c>
      <c r="B864" s="1">
        <v>45412</v>
      </c>
      <c r="C864" t="s">
        <v>628</v>
      </c>
      <c r="D864" t="s">
        <v>1215</v>
      </c>
      <c r="E864" t="s">
        <v>1291</v>
      </c>
      <c r="F864">
        <v>4</v>
      </c>
      <c r="G864">
        <v>770.65</v>
      </c>
      <c r="H864">
        <v>0.27</v>
      </c>
      <c r="I864" t="s">
        <v>1349</v>
      </c>
      <c r="J864">
        <v>2250.2979999999998</v>
      </c>
    </row>
    <row r="865" spans="1:10">
      <c r="A865" t="s">
        <v>2214</v>
      </c>
      <c r="B865" s="1">
        <v>45767</v>
      </c>
      <c r="C865" t="s">
        <v>468</v>
      </c>
      <c r="D865" t="s">
        <v>1133</v>
      </c>
      <c r="E865" t="s">
        <v>1301</v>
      </c>
      <c r="F865">
        <v>1</v>
      </c>
      <c r="G865">
        <v>649.22</v>
      </c>
      <c r="H865">
        <v>0.03</v>
      </c>
      <c r="I865" t="s">
        <v>1354</v>
      </c>
      <c r="J865">
        <v>629.74340000000007</v>
      </c>
    </row>
    <row r="866" spans="1:10">
      <c r="A866" t="s">
        <v>2215</v>
      </c>
      <c r="B866" s="1">
        <v>45428</v>
      </c>
      <c r="C866" t="s">
        <v>760</v>
      </c>
      <c r="D866" t="s">
        <v>1139</v>
      </c>
      <c r="E866" t="s">
        <v>1314</v>
      </c>
      <c r="F866">
        <v>2</v>
      </c>
      <c r="G866">
        <v>379.78</v>
      </c>
      <c r="H866">
        <v>0.2</v>
      </c>
      <c r="I866" t="s">
        <v>1349</v>
      </c>
      <c r="J866">
        <v>607.64800000000002</v>
      </c>
    </row>
    <row r="867" spans="1:10">
      <c r="A867" t="s">
        <v>2216</v>
      </c>
      <c r="B867" s="1">
        <v>45770</v>
      </c>
      <c r="C867" t="s">
        <v>559</v>
      </c>
      <c r="D867" t="s">
        <v>1159</v>
      </c>
      <c r="E867" t="s">
        <v>1307</v>
      </c>
      <c r="F867">
        <v>3</v>
      </c>
      <c r="G867">
        <v>924.15</v>
      </c>
      <c r="H867">
        <v>0.1</v>
      </c>
      <c r="I867" t="s">
        <v>1351</v>
      </c>
      <c r="J867">
        <v>2495.2049999999999</v>
      </c>
    </row>
    <row r="868" spans="1:10">
      <c r="A868" t="s">
        <v>2217</v>
      </c>
      <c r="B868" s="1">
        <v>45571</v>
      </c>
      <c r="C868" t="s">
        <v>1000</v>
      </c>
      <c r="D868" t="s">
        <v>1163</v>
      </c>
      <c r="E868" t="s">
        <v>1332</v>
      </c>
      <c r="F868">
        <v>3</v>
      </c>
      <c r="G868">
        <v>144.66999999999999</v>
      </c>
      <c r="H868">
        <v>0.28999999999999998</v>
      </c>
      <c r="I868" t="s">
        <v>1354</v>
      </c>
      <c r="J868">
        <v>308.14710000000002</v>
      </c>
    </row>
    <row r="869" spans="1:10">
      <c r="A869" t="s">
        <v>2218</v>
      </c>
      <c r="B869" s="1">
        <v>45700</v>
      </c>
      <c r="C869" t="s">
        <v>302</v>
      </c>
      <c r="D869" t="s">
        <v>1139</v>
      </c>
      <c r="E869" t="s">
        <v>1326</v>
      </c>
      <c r="F869">
        <v>2</v>
      </c>
      <c r="G869">
        <v>667.17</v>
      </c>
      <c r="H869">
        <v>0.1</v>
      </c>
      <c r="I869" t="s">
        <v>1351</v>
      </c>
      <c r="J869">
        <v>1200.9059999999999</v>
      </c>
    </row>
    <row r="870" spans="1:10">
      <c r="A870" t="s">
        <v>2219</v>
      </c>
      <c r="B870" s="1">
        <v>45382</v>
      </c>
      <c r="C870" t="s">
        <v>867</v>
      </c>
      <c r="D870" t="s">
        <v>1205</v>
      </c>
      <c r="E870" t="s">
        <v>1291</v>
      </c>
      <c r="F870">
        <v>1</v>
      </c>
      <c r="G870">
        <v>984.6</v>
      </c>
      <c r="H870">
        <v>0.22</v>
      </c>
      <c r="I870" t="s">
        <v>1349</v>
      </c>
      <c r="J870">
        <v>767.98800000000006</v>
      </c>
    </row>
    <row r="871" spans="1:10">
      <c r="A871" t="s">
        <v>2220</v>
      </c>
      <c r="B871" s="1">
        <v>45260</v>
      </c>
      <c r="C871" t="s">
        <v>622</v>
      </c>
      <c r="D871" t="s">
        <v>1099</v>
      </c>
      <c r="E871" t="s">
        <v>1307</v>
      </c>
      <c r="F871">
        <v>1</v>
      </c>
      <c r="G871">
        <v>139.29</v>
      </c>
      <c r="H871">
        <v>0</v>
      </c>
      <c r="I871" t="s">
        <v>1349</v>
      </c>
      <c r="J871">
        <v>139.29</v>
      </c>
    </row>
    <row r="872" spans="1:10">
      <c r="A872" t="s">
        <v>2221</v>
      </c>
      <c r="B872" s="1">
        <v>45702</v>
      </c>
      <c r="C872" t="s">
        <v>102</v>
      </c>
      <c r="D872" t="s">
        <v>1105</v>
      </c>
      <c r="E872" t="s">
        <v>1307</v>
      </c>
      <c r="F872">
        <v>3</v>
      </c>
      <c r="G872">
        <v>459.57</v>
      </c>
      <c r="H872">
        <v>0.1</v>
      </c>
      <c r="I872" t="s">
        <v>1354</v>
      </c>
      <c r="J872">
        <v>1240.8389999999999</v>
      </c>
    </row>
    <row r="873" spans="1:10">
      <c r="A873" t="s">
        <v>2222</v>
      </c>
      <c r="B873" s="1">
        <v>45302</v>
      </c>
      <c r="C873" t="s">
        <v>180</v>
      </c>
      <c r="D873" t="s">
        <v>1153</v>
      </c>
      <c r="E873" t="s">
        <v>1326</v>
      </c>
      <c r="F873">
        <v>1</v>
      </c>
      <c r="G873">
        <v>517.82000000000005</v>
      </c>
      <c r="H873">
        <v>0.28999999999999998</v>
      </c>
      <c r="I873" t="s">
        <v>1349</v>
      </c>
      <c r="J873">
        <v>367.65219999999999</v>
      </c>
    </row>
    <row r="874" spans="1:10">
      <c r="A874" t="s">
        <v>2223</v>
      </c>
      <c r="B874" s="1">
        <v>45653</v>
      </c>
      <c r="C874" t="s">
        <v>821</v>
      </c>
      <c r="D874" t="s">
        <v>1225</v>
      </c>
      <c r="E874" t="s">
        <v>1301</v>
      </c>
      <c r="F874">
        <v>4</v>
      </c>
      <c r="G874">
        <v>282.45</v>
      </c>
      <c r="H874">
        <v>0.28999999999999998</v>
      </c>
      <c r="I874" t="s">
        <v>1354</v>
      </c>
      <c r="J874">
        <v>802.1579999999999</v>
      </c>
    </row>
    <row r="875" spans="1:10">
      <c r="A875" t="s">
        <v>2224</v>
      </c>
      <c r="B875" s="1">
        <v>45250</v>
      </c>
      <c r="C875" t="s">
        <v>973</v>
      </c>
      <c r="D875" t="s">
        <v>1247</v>
      </c>
      <c r="E875" t="s">
        <v>1304</v>
      </c>
      <c r="F875">
        <v>2</v>
      </c>
      <c r="G875">
        <v>386.46</v>
      </c>
      <c r="H875">
        <v>0.23</v>
      </c>
      <c r="I875" t="s">
        <v>1354</v>
      </c>
      <c r="J875">
        <v>595.14840000000004</v>
      </c>
    </row>
    <row r="876" spans="1:10">
      <c r="A876" t="s">
        <v>2225</v>
      </c>
      <c r="B876" s="1">
        <v>45661</v>
      </c>
      <c r="C876" t="s">
        <v>452</v>
      </c>
      <c r="D876" t="s">
        <v>1111</v>
      </c>
      <c r="E876" t="s">
        <v>1291</v>
      </c>
      <c r="F876">
        <v>1</v>
      </c>
      <c r="G876">
        <v>270.45</v>
      </c>
      <c r="H876">
        <v>0.15</v>
      </c>
      <c r="I876" t="s">
        <v>1354</v>
      </c>
      <c r="J876">
        <v>229.88249999999999</v>
      </c>
    </row>
    <row r="877" spans="1:10">
      <c r="A877" t="s">
        <v>2226</v>
      </c>
      <c r="B877" s="1">
        <v>45493</v>
      </c>
      <c r="C877" t="s">
        <v>120</v>
      </c>
      <c r="D877" t="s">
        <v>1225</v>
      </c>
      <c r="E877" t="s">
        <v>1314</v>
      </c>
      <c r="F877">
        <v>4</v>
      </c>
      <c r="G877">
        <v>762.94</v>
      </c>
      <c r="H877">
        <v>0.09</v>
      </c>
      <c r="I877" t="s">
        <v>1354</v>
      </c>
      <c r="J877">
        <v>2777.1016</v>
      </c>
    </row>
    <row r="878" spans="1:10">
      <c r="A878" t="s">
        <v>2227</v>
      </c>
      <c r="B878" s="1">
        <v>45242</v>
      </c>
      <c r="C878" t="s">
        <v>1049</v>
      </c>
      <c r="D878" t="s">
        <v>1155</v>
      </c>
      <c r="E878" t="s">
        <v>1322</v>
      </c>
      <c r="F878">
        <v>1</v>
      </c>
      <c r="G878">
        <v>409.03</v>
      </c>
      <c r="H878">
        <v>0.25</v>
      </c>
      <c r="I878" t="s">
        <v>1354</v>
      </c>
      <c r="J878">
        <v>306.77249999999998</v>
      </c>
    </row>
    <row r="879" spans="1:10">
      <c r="A879" t="s">
        <v>2228</v>
      </c>
      <c r="B879" s="1">
        <v>45411</v>
      </c>
      <c r="C879" t="s">
        <v>500</v>
      </c>
      <c r="D879" t="s">
        <v>1265</v>
      </c>
      <c r="E879" t="s">
        <v>1335</v>
      </c>
      <c r="F879">
        <v>2</v>
      </c>
      <c r="G879">
        <v>891.13</v>
      </c>
      <c r="H879">
        <v>0.13</v>
      </c>
      <c r="I879" t="s">
        <v>1349</v>
      </c>
      <c r="J879">
        <v>1550.5662</v>
      </c>
    </row>
    <row r="880" spans="1:10">
      <c r="A880" t="s">
        <v>2229</v>
      </c>
      <c r="B880" s="1">
        <v>45593</v>
      </c>
      <c r="C880" t="s">
        <v>99</v>
      </c>
      <c r="D880" t="s">
        <v>1257</v>
      </c>
      <c r="E880" t="s">
        <v>1329</v>
      </c>
      <c r="F880">
        <v>1</v>
      </c>
      <c r="G880">
        <v>553.38</v>
      </c>
      <c r="H880">
        <v>0.21</v>
      </c>
      <c r="I880" t="s">
        <v>1351</v>
      </c>
      <c r="J880">
        <v>437.17020000000002</v>
      </c>
    </row>
    <row r="881" spans="1:10">
      <c r="A881" t="s">
        <v>2230</v>
      </c>
      <c r="B881" s="1">
        <v>45281</v>
      </c>
      <c r="C881" t="s">
        <v>381</v>
      </c>
      <c r="D881" t="s">
        <v>1243</v>
      </c>
      <c r="E881" t="s">
        <v>1322</v>
      </c>
      <c r="F881">
        <v>2</v>
      </c>
      <c r="G881">
        <v>652.29999999999995</v>
      </c>
      <c r="H881">
        <v>0.16</v>
      </c>
      <c r="I881" t="s">
        <v>1354</v>
      </c>
      <c r="J881">
        <v>1095.864</v>
      </c>
    </row>
    <row r="882" spans="1:10">
      <c r="A882" t="s">
        <v>2231</v>
      </c>
      <c r="B882" s="1">
        <v>45575</v>
      </c>
      <c r="C882" t="s">
        <v>304</v>
      </c>
      <c r="D882" t="s">
        <v>1157</v>
      </c>
      <c r="E882" t="s">
        <v>1311</v>
      </c>
      <c r="F882">
        <v>4</v>
      </c>
      <c r="G882">
        <v>194.36</v>
      </c>
      <c r="H882">
        <v>0.18</v>
      </c>
      <c r="I882" t="s">
        <v>1354</v>
      </c>
      <c r="J882">
        <v>637.50080000000014</v>
      </c>
    </row>
    <row r="883" spans="1:10">
      <c r="A883" t="s">
        <v>2232</v>
      </c>
      <c r="B883" s="1">
        <v>45660</v>
      </c>
      <c r="C883" t="s">
        <v>367</v>
      </c>
      <c r="D883" t="s">
        <v>1257</v>
      </c>
      <c r="E883" t="s">
        <v>1282</v>
      </c>
      <c r="F883">
        <v>3</v>
      </c>
      <c r="G883">
        <v>476.37</v>
      </c>
      <c r="H883">
        <v>0.21</v>
      </c>
      <c r="I883" t="s">
        <v>1354</v>
      </c>
      <c r="J883">
        <v>1128.9969000000001</v>
      </c>
    </row>
    <row r="884" spans="1:10">
      <c r="A884" t="s">
        <v>2233</v>
      </c>
      <c r="B884" s="1">
        <v>45360</v>
      </c>
      <c r="C884" t="s">
        <v>793</v>
      </c>
      <c r="D884" t="s">
        <v>1153</v>
      </c>
      <c r="E884" t="s">
        <v>1298</v>
      </c>
      <c r="F884">
        <v>3</v>
      </c>
      <c r="G884">
        <v>174.57</v>
      </c>
      <c r="H884">
        <v>0</v>
      </c>
      <c r="I884" t="s">
        <v>1351</v>
      </c>
      <c r="J884">
        <v>523.71</v>
      </c>
    </row>
    <row r="885" spans="1:10">
      <c r="A885" t="s">
        <v>2234</v>
      </c>
      <c r="B885" s="1">
        <v>45526</v>
      </c>
      <c r="C885" t="s">
        <v>298</v>
      </c>
      <c r="D885" t="s">
        <v>1243</v>
      </c>
      <c r="E885" t="s">
        <v>1277</v>
      </c>
      <c r="F885">
        <v>3</v>
      </c>
      <c r="G885">
        <v>762</v>
      </c>
      <c r="H885">
        <v>0.02</v>
      </c>
      <c r="I885" t="s">
        <v>1351</v>
      </c>
      <c r="J885">
        <v>2240.2800000000002</v>
      </c>
    </row>
    <row r="886" spans="1:10">
      <c r="A886" t="s">
        <v>2235</v>
      </c>
      <c r="B886" s="1">
        <v>45395</v>
      </c>
      <c r="C886" t="s">
        <v>913</v>
      </c>
      <c r="D886" t="s">
        <v>1217</v>
      </c>
      <c r="E886" t="s">
        <v>1338</v>
      </c>
      <c r="F886">
        <v>1</v>
      </c>
      <c r="G886">
        <v>44.08</v>
      </c>
      <c r="H886">
        <v>0.05</v>
      </c>
      <c r="I886" t="s">
        <v>1349</v>
      </c>
      <c r="J886">
        <v>41.875999999999998</v>
      </c>
    </row>
    <row r="887" spans="1:10">
      <c r="A887" t="s">
        <v>2236</v>
      </c>
      <c r="B887" s="1">
        <v>45466</v>
      </c>
      <c r="C887" t="s">
        <v>1051</v>
      </c>
      <c r="D887" t="s">
        <v>1191</v>
      </c>
      <c r="E887" t="s">
        <v>1322</v>
      </c>
      <c r="F887">
        <v>1</v>
      </c>
      <c r="G887">
        <v>992.37</v>
      </c>
      <c r="H887">
        <v>0.24</v>
      </c>
      <c r="I887" t="s">
        <v>1354</v>
      </c>
      <c r="J887">
        <v>754.20119999999997</v>
      </c>
    </row>
    <row r="888" spans="1:10">
      <c r="A888" t="s">
        <v>2237</v>
      </c>
      <c r="B888" s="1">
        <v>45876</v>
      </c>
      <c r="C888" t="s">
        <v>464</v>
      </c>
      <c r="D888" t="s">
        <v>1135</v>
      </c>
      <c r="E888" t="s">
        <v>1314</v>
      </c>
      <c r="F888">
        <v>3</v>
      </c>
      <c r="G888">
        <v>465.4</v>
      </c>
      <c r="H888">
        <v>0.28999999999999998</v>
      </c>
      <c r="I888" t="s">
        <v>1354</v>
      </c>
      <c r="J888">
        <v>991.30199999999979</v>
      </c>
    </row>
    <row r="889" spans="1:10">
      <c r="A889" t="s">
        <v>2238</v>
      </c>
      <c r="B889" s="1">
        <v>45724</v>
      </c>
      <c r="C889" t="s">
        <v>738</v>
      </c>
      <c r="D889" t="s">
        <v>1105</v>
      </c>
      <c r="E889" t="s">
        <v>1314</v>
      </c>
      <c r="F889">
        <v>2</v>
      </c>
      <c r="G889">
        <v>693.61</v>
      </c>
      <c r="H889">
        <v>0.15</v>
      </c>
      <c r="I889" t="s">
        <v>1351</v>
      </c>
      <c r="J889">
        <v>1179.1369999999999</v>
      </c>
    </row>
    <row r="890" spans="1:10">
      <c r="A890" t="s">
        <v>2239</v>
      </c>
      <c r="B890" s="1">
        <v>45801</v>
      </c>
      <c r="C890" t="s">
        <v>992</v>
      </c>
      <c r="D890" t="s">
        <v>1207</v>
      </c>
      <c r="E890" t="s">
        <v>1307</v>
      </c>
      <c r="F890">
        <v>2</v>
      </c>
      <c r="G890">
        <v>995.11</v>
      </c>
      <c r="H890">
        <v>0.13</v>
      </c>
      <c r="I890" t="s">
        <v>1351</v>
      </c>
      <c r="J890">
        <v>1731.4914000000001</v>
      </c>
    </row>
    <row r="891" spans="1:10">
      <c r="A891" t="s">
        <v>2240</v>
      </c>
      <c r="B891" s="1">
        <v>45749</v>
      </c>
      <c r="C891" t="s">
        <v>825</v>
      </c>
      <c r="D891" t="s">
        <v>1119</v>
      </c>
      <c r="E891" t="s">
        <v>1294</v>
      </c>
      <c r="F891">
        <v>3</v>
      </c>
      <c r="G891">
        <v>70.97</v>
      </c>
      <c r="H891">
        <v>0.06</v>
      </c>
      <c r="I891" t="s">
        <v>1354</v>
      </c>
      <c r="J891">
        <v>200.1354</v>
      </c>
    </row>
    <row r="892" spans="1:10">
      <c r="A892" t="s">
        <v>2241</v>
      </c>
      <c r="B892" s="1">
        <v>45325</v>
      </c>
      <c r="C892" t="s">
        <v>286</v>
      </c>
      <c r="D892" t="s">
        <v>1239</v>
      </c>
      <c r="E892" t="s">
        <v>1311</v>
      </c>
      <c r="F892">
        <v>3</v>
      </c>
      <c r="G892">
        <v>470.42</v>
      </c>
      <c r="H892">
        <v>0.16</v>
      </c>
      <c r="I892" t="s">
        <v>1349</v>
      </c>
      <c r="J892">
        <v>1185.4584</v>
      </c>
    </row>
    <row r="893" spans="1:10">
      <c r="A893" t="s">
        <v>2242</v>
      </c>
      <c r="B893" s="1">
        <v>45932</v>
      </c>
      <c r="C893" t="s">
        <v>692</v>
      </c>
      <c r="D893" t="s">
        <v>1245</v>
      </c>
      <c r="E893" t="s">
        <v>1329</v>
      </c>
      <c r="F893">
        <v>2</v>
      </c>
      <c r="G893">
        <v>215.59</v>
      </c>
      <c r="H893">
        <v>0.18</v>
      </c>
      <c r="I893" t="s">
        <v>1349</v>
      </c>
      <c r="J893">
        <v>353.56760000000003</v>
      </c>
    </row>
    <row r="894" spans="1:10">
      <c r="A894" t="s">
        <v>2243</v>
      </c>
      <c r="B894" s="1">
        <v>45895</v>
      </c>
      <c r="C894" t="s">
        <v>541</v>
      </c>
      <c r="D894" t="s">
        <v>1257</v>
      </c>
      <c r="E894" t="s">
        <v>1277</v>
      </c>
      <c r="F894">
        <v>1</v>
      </c>
      <c r="G894">
        <v>533.79999999999995</v>
      </c>
      <c r="H894">
        <v>0.27</v>
      </c>
      <c r="I894" t="s">
        <v>1354</v>
      </c>
      <c r="J894">
        <v>389.67399999999998</v>
      </c>
    </row>
    <row r="895" spans="1:10">
      <c r="A895" t="s">
        <v>2244</v>
      </c>
      <c r="B895" s="1">
        <v>45614</v>
      </c>
      <c r="C895" t="s">
        <v>244</v>
      </c>
      <c r="D895" t="s">
        <v>1137</v>
      </c>
      <c r="E895" t="s">
        <v>1291</v>
      </c>
      <c r="F895">
        <v>2</v>
      </c>
      <c r="G895">
        <v>732.67</v>
      </c>
      <c r="H895">
        <v>0.24</v>
      </c>
      <c r="I895" t="s">
        <v>1351</v>
      </c>
      <c r="J895">
        <v>1113.6584</v>
      </c>
    </row>
    <row r="896" spans="1:10">
      <c r="A896" t="s">
        <v>2245</v>
      </c>
      <c r="B896" s="1">
        <v>45247</v>
      </c>
      <c r="C896" t="s">
        <v>1039</v>
      </c>
      <c r="D896" t="s">
        <v>1193</v>
      </c>
      <c r="E896" t="s">
        <v>1322</v>
      </c>
      <c r="F896">
        <v>4</v>
      </c>
      <c r="G896">
        <v>106.48</v>
      </c>
      <c r="H896">
        <v>0.1</v>
      </c>
      <c r="I896" t="s">
        <v>1354</v>
      </c>
      <c r="J896">
        <v>383.32799999999997</v>
      </c>
    </row>
    <row r="897" spans="1:10">
      <c r="A897" t="s">
        <v>2246</v>
      </c>
      <c r="B897" s="1">
        <v>45696</v>
      </c>
      <c r="C897" t="s">
        <v>269</v>
      </c>
      <c r="D897" t="s">
        <v>1187</v>
      </c>
      <c r="E897" t="s">
        <v>1291</v>
      </c>
      <c r="F897">
        <v>1</v>
      </c>
      <c r="G897">
        <v>38.950000000000003</v>
      </c>
      <c r="H897">
        <v>0.28000000000000003</v>
      </c>
      <c r="I897" t="s">
        <v>1349</v>
      </c>
      <c r="J897">
        <v>28.044</v>
      </c>
    </row>
    <row r="898" spans="1:10">
      <c r="A898" t="s">
        <v>2247</v>
      </c>
      <c r="B898" s="1">
        <v>45294</v>
      </c>
      <c r="C898" t="s">
        <v>925</v>
      </c>
      <c r="D898" t="s">
        <v>1265</v>
      </c>
      <c r="E898" t="s">
        <v>1329</v>
      </c>
      <c r="F898">
        <v>1</v>
      </c>
      <c r="G898">
        <v>835.17</v>
      </c>
      <c r="H898">
        <v>0.02</v>
      </c>
      <c r="I898" t="s">
        <v>1354</v>
      </c>
      <c r="J898">
        <v>818.46659999999997</v>
      </c>
    </row>
    <row r="899" spans="1:10">
      <c r="A899" t="s">
        <v>2248</v>
      </c>
      <c r="B899" s="1">
        <v>45389</v>
      </c>
      <c r="C899" t="s">
        <v>329</v>
      </c>
      <c r="D899" t="s">
        <v>1239</v>
      </c>
      <c r="E899" t="s">
        <v>1291</v>
      </c>
      <c r="F899">
        <v>1</v>
      </c>
      <c r="G899">
        <v>113.07</v>
      </c>
      <c r="H899">
        <v>0.24</v>
      </c>
      <c r="I899" t="s">
        <v>1349</v>
      </c>
      <c r="J899">
        <v>85.933199999999999</v>
      </c>
    </row>
    <row r="900" spans="1:10">
      <c r="A900" t="s">
        <v>2249</v>
      </c>
      <c r="B900" s="1">
        <v>45930</v>
      </c>
      <c r="C900" t="s">
        <v>994</v>
      </c>
      <c r="D900" t="s">
        <v>1261</v>
      </c>
      <c r="E900" t="s">
        <v>1319</v>
      </c>
      <c r="F900">
        <v>2</v>
      </c>
      <c r="G900">
        <v>451.33</v>
      </c>
      <c r="H900">
        <v>0.23</v>
      </c>
      <c r="I900" t="s">
        <v>1354</v>
      </c>
      <c r="J900">
        <v>695.04819999999995</v>
      </c>
    </row>
    <row r="901" spans="1:10">
      <c r="A901" t="s">
        <v>2250</v>
      </c>
      <c r="B901" s="1">
        <v>45456</v>
      </c>
      <c r="C901" t="s">
        <v>807</v>
      </c>
      <c r="D901" t="s">
        <v>1245</v>
      </c>
      <c r="E901" t="s">
        <v>1301</v>
      </c>
      <c r="F901">
        <v>3</v>
      </c>
      <c r="G901">
        <v>619.80999999999995</v>
      </c>
      <c r="H901">
        <v>0.16</v>
      </c>
      <c r="I901" t="s">
        <v>1354</v>
      </c>
      <c r="J901">
        <v>1561.9212</v>
      </c>
    </row>
    <row r="902" spans="1:10">
      <c r="A902" t="s">
        <v>2251</v>
      </c>
      <c r="B902" s="1">
        <v>45713</v>
      </c>
      <c r="C902" t="s">
        <v>275</v>
      </c>
      <c r="D902" t="s">
        <v>1197</v>
      </c>
      <c r="E902" t="s">
        <v>1304</v>
      </c>
      <c r="F902">
        <v>4</v>
      </c>
      <c r="G902">
        <v>46.97</v>
      </c>
      <c r="H902">
        <v>0.26</v>
      </c>
      <c r="I902" t="s">
        <v>1351</v>
      </c>
      <c r="J902">
        <v>139.03120000000001</v>
      </c>
    </row>
    <row r="903" spans="1:10">
      <c r="A903" t="s">
        <v>2252</v>
      </c>
      <c r="B903" s="1">
        <v>45784</v>
      </c>
      <c r="C903" t="s">
        <v>430</v>
      </c>
      <c r="D903" t="s">
        <v>1165</v>
      </c>
      <c r="E903" t="s">
        <v>1286</v>
      </c>
      <c r="F903">
        <v>2</v>
      </c>
      <c r="G903">
        <v>71.48</v>
      </c>
      <c r="H903">
        <v>0.14000000000000001</v>
      </c>
      <c r="I903" t="s">
        <v>1354</v>
      </c>
      <c r="J903">
        <v>122.9456</v>
      </c>
    </row>
    <row r="904" spans="1:10">
      <c r="A904" t="s">
        <v>2253</v>
      </c>
      <c r="B904" s="1">
        <v>45812</v>
      </c>
      <c r="C904" t="s">
        <v>8</v>
      </c>
      <c r="D904" t="s">
        <v>1185</v>
      </c>
      <c r="E904" t="s">
        <v>1338</v>
      </c>
      <c r="F904">
        <v>2</v>
      </c>
      <c r="G904">
        <v>404.08</v>
      </c>
      <c r="H904">
        <v>7.0000000000000007E-2</v>
      </c>
      <c r="I904" t="s">
        <v>1349</v>
      </c>
      <c r="J904">
        <v>751.58879999999988</v>
      </c>
    </row>
    <row r="905" spans="1:10">
      <c r="A905" t="s">
        <v>2254</v>
      </c>
      <c r="B905" s="1">
        <v>45653</v>
      </c>
      <c r="C905" t="s">
        <v>591</v>
      </c>
      <c r="D905" t="s">
        <v>1107</v>
      </c>
      <c r="E905" t="s">
        <v>1329</v>
      </c>
      <c r="F905">
        <v>1</v>
      </c>
      <c r="G905">
        <v>519.91</v>
      </c>
      <c r="H905">
        <v>0.05</v>
      </c>
      <c r="I905" t="s">
        <v>1354</v>
      </c>
      <c r="J905">
        <v>493.91449999999992</v>
      </c>
    </row>
    <row r="906" spans="1:10">
      <c r="A906" t="s">
        <v>2255</v>
      </c>
      <c r="B906" s="1">
        <v>45672</v>
      </c>
      <c r="C906" t="s">
        <v>351</v>
      </c>
      <c r="D906" t="s">
        <v>1169</v>
      </c>
      <c r="E906" t="s">
        <v>1322</v>
      </c>
      <c r="F906">
        <v>3</v>
      </c>
      <c r="G906">
        <v>566.16</v>
      </c>
      <c r="H906">
        <v>0.05</v>
      </c>
      <c r="I906" t="s">
        <v>1351</v>
      </c>
      <c r="J906">
        <v>1613.556</v>
      </c>
    </row>
    <row r="907" spans="1:10">
      <c r="A907" t="s">
        <v>2256</v>
      </c>
      <c r="B907" s="1">
        <v>45799</v>
      </c>
      <c r="C907" t="s">
        <v>847</v>
      </c>
      <c r="D907" t="s">
        <v>1177</v>
      </c>
      <c r="E907" t="s">
        <v>1314</v>
      </c>
      <c r="F907">
        <v>2</v>
      </c>
      <c r="G907">
        <v>295.12</v>
      </c>
      <c r="H907">
        <v>0.09</v>
      </c>
      <c r="I907" t="s">
        <v>1354</v>
      </c>
      <c r="J907">
        <v>537.11840000000007</v>
      </c>
    </row>
    <row r="908" spans="1:10">
      <c r="A908" t="s">
        <v>2257</v>
      </c>
      <c r="B908" s="1">
        <v>45848</v>
      </c>
      <c r="C908" t="s">
        <v>277</v>
      </c>
      <c r="D908" t="s">
        <v>1141</v>
      </c>
      <c r="E908" t="s">
        <v>1317</v>
      </c>
      <c r="F908">
        <v>2</v>
      </c>
      <c r="G908">
        <v>414.18</v>
      </c>
      <c r="H908">
        <v>0.25</v>
      </c>
      <c r="I908" t="s">
        <v>1351</v>
      </c>
      <c r="J908">
        <v>621.27</v>
      </c>
    </row>
    <row r="909" spans="1:10">
      <c r="A909" t="s">
        <v>2258</v>
      </c>
      <c r="B909" s="1">
        <v>45918</v>
      </c>
      <c r="C909" t="s">
        <v>600</v>
      </c>
      <c r="D909" t="s">
        <v>1189</v>
      </c>
      <c r="E909" t="s">
        <v>1307</v>
      </c>
      <c r="F909">
        <v>2</v>
      </c>
      <c r="G909">
        <v>433.75</v>
      </c>
      <c r="H909">
        <v>0</v>
      </c>
      <c r="I909" t="s">
        <v>1349</v>
      </c>
      <c r="J909">
        <v>867.5</v>
      </c>
    </row>
    <row r="910" spans="1:10">
      <c r="A910" t="s">
        <v>2259</v>
      </c>
      <c r="B910" s="1">
        <v>45288</v>
      </c>
      <c r="C910" t="s">
        <v>626</v>
      </c>
      <c r="D910" t="s">
        <v>1243</v>
      </c>
      <c r="E910" t="s">
        <v>1338</v>
      </c>
      <c r="F910">
        <v>3</v>
      </c>
      <c r="G910">
        <v>104.33</v>
      </c>
      <c r="H910">
        <v>0.13</v>
      </c>
      <c r="I910" t="s">
        <v>1354</v>
      </c>
      <c r="J910">
        <v>272.30130000000003</v>
      </c>
    </row>
    <row r="911" spans="1:10">
      <c r="A911" t="s">
        <v>2260</v>
      </c>
      <c r="B911" s="1">
        <v>45477</v>
      </c>
      <c r="C911" t="s">
        <v>990</v>
      </c>
      <c r="D911" t="s">
        <v>1078</v>
      </c>
      <c r="E911" t="s">
        <v>1319</v>
      </c>
      <c r="F911">
        <v>1</v>
      </c>
      <c r="G911">
        <v>221.7</v>
      </c>
      <c r="H911">
        <v>0.04</v>
      </c>
      <c r="I911" t="s">
        <v>1349</v>
      </c>
      <c r="J911">
        <v>212.83199999999999</v>
      </c>
    </row>
    <row r="912" spans="1:10">
      <c r="A912" t="s">
        <v>2261</v>
      </c>
      <c r="B912" s="1">
        <v>45796</v>
      </c>
      <c r="C912" t="s">
        <v>484</v>
      </c>
      <c r="D912" t="s">
        <v>1207</v>
      </c>
      <c r="E912" t="s">
        <v>1298</v>
      </c>
      <c r="F912">
        <v>2</v>
      </c>
      <c r="G912">
        <v>491.26</v>
      </c>
      <c r="H912">
        <v>0.14000000000000001</v>
      </c>
      <c r="I912" t="s">
        <v>1354</v>
      </c>
      <c r="J912">
        <v>844.96719999999993</v>
      </c>
    </row>
    <row r="913" spans="1:10">
      <c r="A913" t="s">
        <v>2262</v>
      </c>
      <c r="B913" s="1">
        <v>45630</v>
      </c>
      <c r="C913" t="s">
        <v>424</v>
      </c>
      <c r="D913" t="s">
        <v>1147</v>
      </c>
      <c r="E913" t="s">
        <v>1307</v>
      </c>
      <c r="F913">
        <v>4</v>
      </c>
      <c r="G913">
        <v>923.14</v>
      </c>
      <c r="H913">
        <v>0.15</v>
      </c>
      <c r="I913" t="s">
        <v>1349</v>
      </c>
      <c r="J913">
        <v>3138.6759999999999</v>
      </c>
    </row>
    <row r="914" spans="1:10">
      <c r="A914" t="s">
        <v>2263</v>
      </c>
      <c r="B914" s="1">
        <v>45625</v>
      </c>
      <c r="C914" t="s">
        <v>448</v>
      </c>
      <c r="D914" t="s">
        <v>1201</v>
      </c>
      <c r="E914" t="s">
        <v>1304</v>
      </c>
      <c r="F914">
        <v>2</v>
      </c>
      <c r="G914">
        <v>747.65</v>
      </c>
      <c r="H914">
        <v>0.08</v>
      </c>
      <c r="I914" t="s">
        <v>1349</v>
      </c>
      <c r="J914">
        <v>1375.6759999999999</v>
      </c>
    </row>
    <row r="915" spans="1:10">
      <c r="A915" t="s">
        <v>2264</v>
      </c>
      <c r="B915" s="1">
        <v>45773</v>
      </c>
      <c r="C915" t="s">
        <v>277</v>
      </c>
      <c r="D915" t="s">
        <v>1157</v>
      </c>
      <c r="E915" t="s">
        <v>1304</v>
      </c>
      <c r="F915">
        <v>3</v>
      </c>
      <c r="G915">
        <v>94.55</v>
      </c>
      <c r="H915">
        <v>0.13</v>
      </c>
      <c r="I915" t="s">
        <v>1354</v>
      </c>
      <c r="J915">
        <v>246.77549999999999</v>
      </c>
    </row>
    <row r="916" spans="1:10">
      <c r="A916" t="s">
        <v>2265</v>
      </c>
      <c r="B916" s="1">
        <v>45308</v>
      </c>
      <c r="C916" t="s">
        <v>115</v>
      </c>
      <c r="D916" t="s">
        <v>1103</v>
      </c>
      <c r="E916" t="s">
        <v>1338</v>
      </c>
      <c r="F916">
        <v>3</v>
      </c>
      <c r="G916">
        <v>620.12</v>
      </c>
      <c r="H916">
        <v>0.06</v>
      </c>
      <c r="I916" t="s">
        <v>1349</v>
      </c>
      <c r="J916">
        <v>1748.7384</v>
      </c>
    </row>
    <row r="917" spans="1:10">
      <c r="A917" t="s">
        <v>2266</v>
      </c>
      <c r="B917" s="1">
        <v>45869</v>
      </c>
      <c r="C917" t="s">
        <v>1033</v>
      </c>
      <c r="D917" t="s">
        <v>1211</v>
      </c>
      <c r="E917" t="s">
        <v>1301</v>
      </c>
      <c r="F917">
        <v>2</v>
      </c>
      <c r="G917">
        <v>354.09</v>
      </c>
      <c r="H917">
        <v>0.12</v>
      </c>
      <c r="I917" t="s">
        <v>1354</v>
      </c>
      <c r="J917">
        <v>623.19839999999999</v>
      </c>
    </row>
    <row r="918" spans="1:10">
      <c r="A918" t="s">
        <v>2267</v>
      </c>
      <c r="B918" s="1">
        <v>45621</v>
      </c>
      <c r="C918" t="s">
        <v>321</v>
      </c>
      <c r="D918" t="s">
        <v>1179</v>
      </c>
      <c r="E918" t="s">
        <v>1298</v>
      </c>
      <c r="F918">
        <v>3</v>
      </c>
      <c r="G918">
        <v>214.94</v>
      </c>
      <c r="H918">
        <v>0.22</v>
      </c>
      <c r="I918" t="s">
        <v>1354</v>
      </c>
      <c r="J918">
        <v>502.95960000000002</v>
      </c>
    </row>
    <row r="919" spans="1:10">
      <c r="A919" t="s">
        <v>2268</v>
      </c>
      <c r="B919" s="1">
        <v>45428</v>
      </c>
      <c r="C919" t="s">
        <v>460</v>
      </c>
      <c r="D919" t="s">
        <v>1090</v>
      </c>
      <c r="E919" t="s">
        <v>1319</v>
      </c>
      <c r="F919">
        <v>2</v>
      </c>
      <c r="G919">
        <v>309.77999999999997</v>
      </c>
      <c r="H919">
        <v>0.16</v>
      </c>
      <c r="I919" t="s">
        <v>1349</v>
      </c>
      <c r="J919">
        <v>520.43039999999996</v>
      </c>
    </row>
    <row r="920" spans="1:10">
      <c r="A920" t="s">
        <v>2269</v>
      </c>
      <c r="B920" s="1">
        <v>45807</v>
      </c>
      <c r="C920" t="s">
        <v>188</v>
      </c>
      <c r="D920" t="s">
        <v>1099</v>
      </c>
      <c r="E920" t="s">
        <v>1291</v>
      </c>
      <c r="F920">
        <v>2</v>
      </c>
      <c r="G920">
        <v>183.85</v>
      </c>
      <c r="H920">
        <v>0.14000000000000001</v>
      </c>
      <c r="I920" t="s">
        <v>1351</v>
      </c>
      <c r="J920">
        <v>316.22199999999998</v>
      </c>
    </row>
    <row r="921" spans="1:10">
      <c r="A921" t="s">
        <v>2270</v>
      </c>
      <c r="B921" s="1">
        <v>45238</v>
      </c>
      <c r="C921" t="s">
        <v>881</v>
      </c>
      <c r="D921" t="s">
        <v>1213</v>
      </c>
      <c r="E921" t="s">
        <v>1277</v>
      </c>
      <c r="F921">
        <v>1</v>
      </c>
      <c r="G921">
        <v>550.05999999999995</v>
      </c>
      <c r="H921">
        <v>0.01</v>
      </c>
      <c r="I921" t="s">
        <v>1349</v>
      </c>
      <c r="J921">
        <v>544.55939999999998</v>
      </c>
    </row>
    <row r="922" spans="1:10">
      <c r="A922" t="s">
        <v>2271</v>
      </c>
      <c r="B922" s="1">
        <v>45253</v>
      </c>
      <c r="C922" t="s">
        <v>92</v>
      </c>
      <c r="D922" t="s">
        <v>1231</v>
      </c>
      <c r="E922" t="s">
        <v>1294</v>
      </c>
      <c r="F922">
        <v>2</v>
      </c>
      <c r="G922">
        <v>32.19</v>
      </c>
      <c r="H922">
        <v>0.13</v>
      </c>
      <c r="I922" t="s">
        <v>1354</v>
      </c>
      <c r="J922">
        <v>56.010599999999997</v>
      </c>
    </row>
    <row r="923" spans="1:10">
      <c r="A923" t="s">
        <v>2272</v>
      </c>
      <c r="B923" s="1">
        <v>45460</v>
      </c>
      <c r="C923" t="s">
        <v>337</v>
      </c>
      <c r="D923" t="s">
        <v>1139</v>
      </c>
      <c r="E923" t="s">
        <v>1338</v>
      </c>
      <c r="F923">
        <v>2</v>
      </c>
      <c r="G923">
        <v>892.06</v>
      </c>
      <c r="H923">
        <v>0.08</v>
      </c>
      <c r="I923" t="s">
        <v>1349</v>
      </c>
      <c r="J923">
        <v>1641.3904</v>
      </c>
    </row>
    <row r="924" spans="1:10">
      <c r="A924" t="s">
        <v>2273</v>
      </c>
      <c r="B924" s="1">
        <v>45628</v>
      </c>
      <c r="C924" t="s">
        <v>1006</v>
      </c>
      <c r="D924" t="s">
        <v>1189</v>
      </c>
      <c r="E924" t="s">
        <v>1301</v>
      </c>
      <c r="F924">
        <v>1</v>
      </c>
      <c r="G924">
        <v>127.47</v>
      </c>
      <c r="H924">
        <v>0.16</v>
      </c>
      <c r="I924" t="s">
        <v>1354</v>
      </c>
      <c r="J924">
        <v>107.0748</v>
      </c>
    </row>
    <row r="925" spans="1:10">
      <c r="A925" t="s">
        <v>2274</v>
      </c>
      <c r="B925" s="1">
        <v>45778</v>
      </c>
      <c r="C925" t="s">
        <v>839</v>
      </c>
      <c r="D925" t="s">
        <v>1227</v>
      </c>
      <c r="E925" t="s">
        <v>1324</v>
      </c>
      <c r="F925">
        <v>3</v>
      </c>
      <c r="G925">
        <v>212.87</v>
      </c>
      <c r="H925">
        <v>0.18</v>
      </c>
      <c r="I925" t="s">
        <v>1349</v>
      </c>
      <c r="J925">
        <v>523.66020000000003</v>
      </c>
    </row>
    <row r="926" spans="1:10">
      <c r="A926" t="s">
        <v>2275</v>
      </c>
      <c r="B926" s="1">
        <v>45471</v>
      </c>
      <c r="C926" t="s">
        <v>424</v>
      </c>
      <c r="D926" t="s">
        <v>1235</v>
      </c>
      <c r="E926" t="s">
        <v>1304</v>
      </c>
      <c r="F926">
        <v>1</v>
      </c>
      <c r="G926">
        <v>26.37</v>
      </c>
      <c r="H926">
        <v>0.3</v>
      </c>
      <c r="I926" t="s">
        <v>1354</v>
      </c>
      <c r="J926">
        <v>18.459</v>
      </c>
    </row>
    <row r="927" spans="1:10">
      <c r="A927" t="s">
        <v>2276</v>
      </c>
      <c r="B927" s="1">
        <v>45770</v>
      </c>
      <c r="C927" t="s">
        <v>994</v>
      </c>
      <c r="D927" t="s">
        <v>1141</v>
      </c>
      <c r="E927" t="s">
        <v>1335</v>
      </c>
      <c r="F927">
        <v>4</v>
      </c>
      <c r="G927">
        <v>953.98</v>
      </c>
      <c r="H927">
        <v>0.16</v>
      </c>
      <c r="I927" t="s">
        <v>1349</v>
      </c>
      <c r="J927">
        <v>3205.3728000000001</v>
      </c>
    </row>
    <row r="928" spans="1:10">
      <c r="A928" t="s">
        <v>2277</v>
      </c>
      <c r="B928" s="1">
        <v>45369</v>
      </c>
      <c r="C928" t="s">
        <v>492</v>
      </c>
      <c r="D928" t="s">
        <v>1207</v>
      </c>
      <c r="E928" t="s">
        <v>1338</v>
      </c>
      <c r="F928">
        <v>3</v>
      </c>
      <c r="G928">
        <v>968.88</v>
      </c>
      <c r="H928">
        <v>0.15</v>
      </c>
      <c r="I928" t="s">
        <v>1349</v>
      </c>
      <c r="J928">
        <v>2470.6439999999998</v>
      </c>
    </row>
    <row r="929" spans="1:10">
      <c r="A929" t="s">
        <v>2278</v>
      </c>
      <c r="B929" s="1">
        <v>45910</v>
      </c>
      <c r="C929" t="s">
        <v>436</v>
      </c>
      <c r="D929" t="s">
        <v>1225</v>
      </c>
      <c r="E929" t="s">
        <v>1335</v>
      </c>
      <c r="F929">
        <v>1</v>
      </c>
      <c r="G929">
        <v>533.04999999999995</v>
      </c>
      <c r="H929">
        <v>0.11</v>
      </c>
      <c r="I929" t="s">
        <v>1351</v>
      </c>
      <c r="J929">
        <v>474.41449999999998</v>
      </c>
    </row>
    <row r="930" spans="1:10">
      <c r="A930" t="s">
        <v>2279</v>
      </c>
      <c r="B930" s="1">
        <v>45637</v>
      </c>
      <c r="C930" t="s">
        <v>825</v>
      </c>
      <c r="D930" t="s">
        <v>1235</v>
      </c>
      <c r="E930" t="s">
        <v>1282</v>
      </c>
      <c r="F930">
        <v>3</v>
      </c>
      <c r="G930">
        <v>138.86000000000001</v>
      </c>
      <c r="H930">
        <v>0.11</v>
      </c>
      <c r="I930" t="s">
        <v>1351</v>
      </c>
      <c r="J930">
        <v>370.75619999999998</v>
      </c>
    </row>
    <row r="931" spans="1:10">
      <c r="A931" t="s">
        <v>2280</v>
      </c>
      <c r="B931" s="1">
        <v>45706</v>
      </c>
      <c r="C931" t="s">
        <v>379</v>
      </c>
      <c r="D931" t="s">
        <v>1117</v>
      </c>
      <c r="E931" t="s">
        <v>1277</v>
      </c>
      <c r="F931">
        <v>1</v>
      </c>
      <c r="G931">
        <v>588.92999999999995</v>
      </c>
      <c r="H931">
        <v>0.03</v>
      </c>
      <c r="I931" t="s">
        <v>1354</v>
      </c>
      <c r="J931">
        <v>571.26209999999992</v>
      </c>
    </row>
    <row r="932" spans="1:10">
      <c r="A932" t="s">
        <v>2281</v>
      </c>
      <c r="B932" s="1">
        <v>45557</v>
      </c>
      <c r="C932" t="s">
        <v>869</v>
      </c>
      <c r="D932" t="s">
        <v>1177</v>
      </c>
      <c r="E932" t="s">
        <v>1298</v>
      </c>
      <c r="F932">
        <v>2</v>
      </c>
      <c r="G932">
        <v>576.83000000000004</v>
      </c>
      <c r="H932">
        <v>0.19</v>
      </c>
      <c r="I932" t="s">
        <v>1351</v>
      </c>
      <c r="J932">
        <v>934.46460000000013</v>
      </c>
    </row>
    <row r="933" spans="1:10">
      <c r="A933" t="s">
        <v>2282</v>
      </c>
      <c r="B933" s="1">
        <v>45338</v>
      </c>
      <c r="C933" t="s">
        <v>710</v>
      </c>
      <c r="D933" t="s">
        <v>1203</v>
      </c>
      <c r="E933" t="s">
        <v>1319</v>
      </c>
      <c r="F933">
        <v>1</v>
      </c>
      <c r="G933">
        <v>681.3</v>
      </c>
      <c r="H933">
        <v>0.05</v>
      </c>
      <c r="I933" t="s">
        <v>1349</v>
      </c>
      <c r="J933">
        <v>647.2349999999999</v>
      </c>
    </row>
    <row r="934" spans="1:10">
      <c r="A934" t="s">
        <v>2283</v>
      </c>
      <c r="B934" s="1">
        <v>45441</v>
      </c>
      <c r="C934" t="s">
        <v>977</v>
      </c>
      <c r="D934" t="s">
        <v>1123</v>
      </c>
      <c r="E934" t="s">
        <v>1326</v>
      </c>
      <c r="F934">
        <v>3</v>
      </c>
      <c r="G934">
        <v>504.97</v>
      </c>
      <c r="H934">
        <v>0.3</v>
      </c>
      <c r="I934" t="s">
        <v>1349</v>
      </c>
      <c r="J934">
        <v>1060.4369999999999</v>
      </c>
    </row>
    <row r="935" spans="1:10">
      <c r="A935" t="s">
        <v>2284</v>
      </c>
      <c r="B935" s="1">
        <v>45396</v>
      </c>
      <c r="C935" t="s">
        <v>166</v>
      </c>
      <c r="D935" t="s">
        <v>1149</v>
      </c>
      <c r="E935" t="s">
        <v>1317</v>
      </c>
      <c r="F935">
        <v>3</v>
      </c>
      <c r="G935">
        <v>649.78</v>
      </c>
      <c r="H935">
        <v>0.1</v>
      </c>
      <c r="I935" t="s">
        <v>1351</v>
      </c>
      <c r="J935">
        <v>1754.4059999999999</v>
      </c>
    </row>
    <row r="936" spans="1:10">
      <c r="A936" t="s">
        <v>2285</v>
      </c>
      <c r="B936" s="1">
        <v>45317</v>
      </c>
      <c r="C936" t="s">
        <v>553</v>
      </c>
      <c r="D936" t="s">
        <v>1151</v>
      </c>
      <c r="E936" t="s">
        <v>1311</v>
      </c>
      <c r="F936">
        <v>2</v>
      </c>
      <c r="G936">
        <v>986.73</v>
      </c>
      <c r="H936">
        <v>0.05</v>
      </c>
      <c r="I936" t="s">
        <v>1351</v>
      </c>
      <c r="J936">
        <v>1874.787</v>
      </c>
    </row>
    <row r="937" spans="1:10">
      <c r="A937" t="s">
        <v>2286</v>
      </c>
      <c r="B937" s="1">
        <v>45235</v>
      </c>
      <c r="C937" t="s">
        <v>298</v>
      </c>
      <c r="D937" t="s">
        <v>1099</v>
      </c>
      <c r="E937" t="s">
        <v>1326</v>
      </c>
      <c r="F937">
        <v>2</v>
      </c>
      <c r="G937">
        <v>65.44</v>
      </c>
      <c r="H937">
        <v>0.05</v>
      </c>
      <c r="I937" t="s">
        <v>1351</v>
      </c>
      <c r="J937">
        <v>124.336</v>
      </c>
    </row>
    <row r="938" spans="1:10">
      <c r="A938" t="s">
        <v>2287</v>
      </c>
      <c r="B938" s="1">
        <v>45824</v>
      </c>
      <c r="C938" t="s">
        <v>829</v>
      </c>
      <c r="D938" t="s">
        <v>1199</v>
      </c>
      <c r="E938" t="s">
        <v>1322</v>
      </c>
      <c r="F938">
        <v>3</v>
      </c>
      <c r="G938">
        <v>953.74</v>
      </c>
      <c r="H938">
        <v>0.04</v>
      </c>
      <c r="I938" t="s">
        <v>1349</v>
      </c>
      <c r="J938">
        <v>2746.7712000000001</v>
      </c>
    </row>
    <row r="939" spans="1:10">
      <c r="A939" t="s">
        <v>2288</v>
      </c>
      <c r="B939" s="1">
        <v>45543</v>
      </c>
      <c r="C939" t="s">
        <v>182</v>
      </c>
      <c r="D939" t="s">
        <v>1225</v>
      </c>
      <c r="E939" t="s">
        <v>1314</v>
      </c>
      <c r="F939">
        <v>3</v>
      </c>
      <c r="G939">
        <v>904.48</v>
      </c>
      <c r="H939">
        <v>0.21</v>
      </c>
      <c r="I939" t="s">
        <v>1351</v>
      </c>
      <c r="J939">
        <v>2143.6176</v>
      </c>
    </row>
    <row r="940" spans="1:10">
      <c r="A940" t="s">
        <v>2289</v>
      </c>
      <c r="B940" s="1">
        <v>45595</v>
      </c>
      <c r="C940" t="s">
        <v>1045</v>
      </c>
      <c r="D940" t="s">
        <v>1197</v>
      </c>
      <c r="E940" t="s">
        <v>1326</v>
      </c>
      <c r="F940">
        <v>3</v>
      </c>
      <c r="G940">
        <v>920.82</v>
      </c>
      <c r="H940">
        <v>0.1</v>
      </c>
      <c r="I940" t="s">
        <v>1351</v>
      </c>
      <c r="J940">
        <v>2486.2139999999999</v>
      </c>
    </row>
    <row r="941" spans="1:10">
      <c r="A941" t="s">
        <v>2290</v>
      </c>
      <c r="B941" s="1">
        <v>45803</v>
      </c>
      <c r="C941" t="s">
        <v>674</v>
      </c>
      <c r="D941" t="s">
        <v>1129</v>
      </c>
      <c r="E941" t="s">
        <v>1282</v>
      </c>
      <c r="F941">
        <v>1</v>
      </c>
      <c r="G941">
        <v>182.28</v>
      </c>
      <c r="H941">
        <v>0.15</v>
      </c>
      <c r="I941" t="s">
        <v>1354</v>
      </c>
      <c r="J941">
        <v>154.93799999999999</v>
      </c>
    </row>
    <row r="942" spans="1:10">
      <c r="A942" t="s">
        <v>2291</v>
      </c>
      <c r="B942" s="1">
        <v>45880</v>
      </c>
      <c r="C942" t="s">
        <v>953</v>
      </c>
      <c r="D942" t="s">
        <v>1135</v>
      </c>
      <c r="E942" t="s">
        <v>1329</v>
      </c>
      <c r="F942">
        <v>3</v>
      </c>
      <c r="G942">
        <v>938.68</v>
      </c>
      <c r="H942">
        <v>0.14000000000000001</v>
      </c>
      <c r="I942" t="s">
        <v>1349</v>
      </c>
      <c r="J942">
        <v>2421.7944000000002</v>
      </c>
    </row>
    <row r="943" spans="1:10">
      <c r="A943" t="s">
        <v>2292</v>
      </c>
      <c r="B943" s="1">
        <v>45690</v>
      </c>
      <c r="C943" t="s">
        <v>216</v>
      </c>
      <c r="D943" t="s">
        <v>1255</v>
      </c>
      <c r="E943" t="s">
        <v>1298</v>
      </c>
      <c r="F943">
        <v>3</v>
      </c>
      <c r="G943">
        <v>219.96</v>
      </c>
      <c r="H943">
        <v>0.18</v>
      </c>
      <c r="I943" t="s">
        <v>1351</v>
      </c>
      <c r="J943">
        <v>541.10160000000008</v>
      </c>
    </row>
    <row r="944" spans="1:10">
      <c r="A944" t="s">
        <v>2293</v>
      </c>
      <c r="B944" s="1">
        <v>45841</v>
      </c>
      <c r="C944" t="s">
        <v>1008</v>
      </c>
      <c r="D944" t="s">
        <v>1215</v>
      </c>
      <c r="E944" t="s">
        <v>1335</v>
      </c>
      <c r="F944">
        <v>3</v>
      </c>
      <c r="G944">
        <v>385.74</v>
      </c>
      <c r="H944">
        <v>0.27</v>
      </c>
      <c r="I944" t="s">
        <v>1349</v>
      </c>
      <c r="J944">
        <v>844.77059999999994</v>
      </c>
    </row>
    <row r="945" spans="1:10">
      <c r="A945" t="s">
        <v>2294</v>
      </c>
      <c r="B945" s="1">
        <v>45380</v>
      </c>
      <c r="C945" t="s">
        <v>969</v>
      </c>
      <c r="D945" t="s">
        <v>1235</v>
      </c>
      <c r="E945" t="s">
        <v>1335</v>
      </c>
      <c r="F945">
        <v>2</v>
      </c>
      <c r="G945">
        <v>830.94</v>
      </c>
      <c r="H945">
        <v>0.28000000000000003</v>
      </c>
      <c r="I945" t="s">
        <v>1351</v>
      </c>
      <c r="J945">
        <v>1196.5536</v>
      </c>
    </row>
    <row r="946" spans="1:10">
      <c r="A946" t="s">
        <v>2295</v>
      </c>
      <c r="B946" s="1">
        <v>45503</v>
      </c>
      <c r="C946" t="s">
        <v>829</v>
      </c>
      <c r="D946" t="s">
        <v>1076</v>
      </c>
      <c r="E946" t="s">
        <v>1311</v>
      </c>
      <c r="F946">
        <v>3</v>
      </c>
      <c r="G946">
        <v>462.75</v>
      </c>
      <c r="H946">
        <v>0.22</v>
      </c>
      <c r="I946" t="s">
        <v>1351</v>
      </c>
      <c r="J946">
        <v>1082.835</v>
      </c>
    </row>
    <row r="947" spans="1:10">
      <c r="A947" t="s">
        <v>2296</v>
      </c>
      <c r="B947" s="1">
        <v>45567</v>
      </c>
      <c r="C947" t="s">
        <v>182</v>
      </c>
      <c r="D947" t="s">
        <v>1101</v>
      </c>
      <c r="E947" t="s">
        <v>1326</v>
      </c>
      <c r="F947">
        <v>4</v>
      </c>
      <c r="G947">
        <v>973.9</v>
      </c>
      <c r="H947">
        <v>0.02</v>
      </c>
      <c r="I947" t="s">
        <v>1354</v>
      </c>
      <c r="J947">
        <v>3817.6880000000001</v>
      </c>
    </row>
    <row r="948" spans="1:10">
      <c r="A948" t="s">
        <v>2297</v>
      </c>
      <c r="B948" s="1">
        <v>45600</v>
      </c>
      <c r="C948" t="s">
        <v>341</v>
      </c>
      <c r="D948" t="s">
        <v>1143</v>
      </c>
      <c r="E948" t="s">
        <v>1282</v>
      </c>
      <c r="F948">
        <v>2</v>
      </c>
      <c r="G948">
        <v>157.18</v>
      </c>
      <c r="H948">
        <v>0.15</v>
      </c>
      <c r="I948" t="s">
        <v>1349</v>
      </c>
      <c r="J948">
        <v>267.20600000000002</v>
      </c>
    </row>
    <row r="949" spans="1:10">
      <c r="A949" t="s">
        <v>2298</v>
      </c>
      <c r="B949" s="1">
        <v>45415</v>
      </c>
      <c r="C949" t="s">
        <v>50</v>
      </c>
      <c r="D949" t="s">
        <v>1219</v>
      </c>
      <c r="E949" t="s">
        <v>1322</v>
      </c>
      <c r="F949">
        <v>3</v>
      </c>
      <c r="G949">
        <v>239.57</v>
      </c>
      <c r="H949">
        <v>0.16</v>
      </c>
      <c r="I949" t="s">
        <v>1349</v>
      </c>
      <c r="J949">
        <v>603.71640000000002</v>
      </c>
    </row>
    <row r="950" spans="1:10">
      <c r="A950" t="s">
        <v>2299</v>
      </c>
      <c r="B950" s="1">
        <v>45343</v>
      </c>
      <c r="C950" t="s">
        <v>718</v>
      </c>
      <c r="D950" t="s">
        <v>1090</v>
      </c>
      <c r="E950" t="s">
        <v>1329</v>
      </c>
      <c r="F950">
        <v>4</v>
      </c>
      <c r="G950">
        <v>583.21</v>
      </c>
      <c r="H950">
        <v>0.2</v>
      </c>
      <c r="I950" t="s">
        <v>1349</v>
      </c>
      <c r="J950">
        <v>1866.2719999999999</v>
      </c>
    </row>
    <row r="951" spans="1:10">
      <c r="A951" t="s">
        <v>2300</v>
      </c>
      <c r="B951" s="1">
        <v>45399</v>
      </c>
      <c r="C951" t="s">
        <v>889</v>
      </c>
      <c r="D951" t="s">
        <v>1235</v>
      </c>
      <c r="E951" t="s">
        <v>1307</v>
      </c>
      <c r="F951">
        <v>3</v>
      </c>
      <c r="G951">
        <v>758.75</v>
      </c>
      <c r="H951">
        <v>0.27</v>
      </c>
      <c r="I951" t="s">
        <v>1351</v>
      </c>
      <c r="J951">
        <v>1661.6624999999999</v>
      </c>
    </row>
    <row r="952" spans="1:10">
      <c r="A952" t="s">
        <v>2301</v>
      </c>
      <c r="B952" s="1">
        <v>45689</v>
      </c>
      <c r="C952" t="s">
        <v>682</v>
      </c>
      <c r="D952" t="s">
        <v>1195</v>
      </c>
      <c r="E952" t="s">
        <v>1298</v>
      </c>
      <c r="F952">
        <v>4</v>
      </c>
      <c r="G952">
        <v>372.42</v>
      </c>
      <c r="H952">
        <v>0.19</v>
      </c>
      <c r="I952" t="s">
        <v>1349</v>
      </c>
      <c r="J952">
        <v>1206.6407999999999</v>
      </c>
    </row>
    <row r="953" spans="1:10">
      <c r="A953" t="s">
        <v>2302</v>
      </c>
      <c r="B953" s="1">
        <v>45699</v>
      </c>
      <c r="C953" t="s">
        <v>369</v>
      </c>
      <c r="D953" t="s">
        <v>1199</v>
      </c>
      <c r="E953" t="s">
        <v>1338</v>
      </c>
      <c r="F953">
        <v>4</v>
      </c>
      <c r="G953">
        <v>286.27999999999997</v>
      </c>
      <c r="H953">
        <v>0.28000000000000003</v>
      </c>
      <c r="I953" t="s">
        <v>1351</v>
      </c>
      <c r="J953">
        <v>824.48639999999989</v>
      </c>
    </row>
    <row r="954" spans="1:10">
      <c r="A954" t="s">
        <v>2303</v>
      </c>
      <c r="B954" s="1">
        <v>45663</v>
      </c>
      <c r="C954" t="s">
        <v>622</v>
      </c>
      <c r="D954" t="s">
        <v>1219</v>
      </c>
      <c r="E954" t="s">
        <v>1317</v>
      </c>
      <c r="F954">
        <v>3</v>
      </c>
      <c r="G954">
        <v>488.37</v>
      </c>
      <c r="H954">
        <v>0.27</v>
      </c>
      <c r="I954" t="s">
        <v>1354</v>
      </c>
      <c r="J954">
        <v>1069.5302999999999</v>
      </c>
    </row>
    <row r="955" spans="1:10">
      <c r="A955" t="s">
        <v>2304</v>
      </c>
      <c r="B955" s="1">
        <v>45377</v>
      </c>
      <c r="C955" t="s">
        <v>1000</v>
      </c>
      <c r="D955" t="s">
        <v>1247</v>
      </c>
      <c r="E955" t="s">
        <v>1307</v>
      </c>
      <c r="F955">
        <v>3</v>
      </c>
      <c r="G955">
        <v>662.82</v>
      </c>
      <c r="H955">
        <v>0.01</v>
      </c>
      <c r="I955" t="s">
        <v>1354</v>
      </c>
      <c r="J955">
        <v>1968.5753999999999</v>
      </c>
    </row>
    <row r="956" spans="1:10">
      <c r="A956" t="s">
        <v>2305</v>
      </c>
      <c r="B956" s="1">
        <v>45412</v>
      </c>
      <c r="C956" t="s">
        <v>1055</v>
      </c>
      <c r="D956" t="s">
        <v>1082</v>
      </c>
      <c r="E956" t="s">
        <v>1329</v>
      </c>
      <c r="F956">
        <v>2</v>
      </c>
      <c r="G956">
        <v>824.34</v>
      </c>
      <c r="H956">
        <v>0.1</v>
      </c>
      <c r="I956" t="s">
        <v>1354</v>
      </c>
      <c r="J956">
        <v>1483.8119999999999</v>
      </c>
    </row>
    <row r="957" spans="1:10">
      <c r="A957" t="s">
        <v>2306</v>
      </c>
      <c r="B957" s="1">
        <v>45349</v>
      </c>
      <c r="C957" t="s">
        <v>286</v>
      </c>
      <c r="D957" t="s">
        <v>1191</v>
      </c>
      <c r="E957" t="s">
        <v>1307</v>
      </c>
      <c r="F957">
        <v>1</v>
      </c>
      <c r="G957">
        <v>437.12</v>
      </c>
      <c r="H957">
        <v>0.21</v>
      </c>
      <c r="I957" t="s">
        <v>1349</v>
      </c>
      <c r="J957">
        <v>345.32479999999998</v>
      </c>
    </row>
    <row r="958" spans="1:10">
      <c r="A958" t="s">
        <v>2307</v>
      </c>
      <c r="B958" s="1">
        <v>45486</v>
      </c>
      <c r="C958" t="s">
        <v>777</v>
      </c>
      <c r="D958" t="s">
        <v>1249</v>
      </c>
      <c r="E958" t="s">
        <v>1301</v>
      </c>
      <c r="F958">
        <v>3</v>
      </c>
      <c r="G958">
        <v>23.37</v>
      </c>
      <c r="H958">
        <v>0.15</v>
      </c>
      <c r="I958" t="s">
        <v>1351</v>
      </c>
      <c r="J958">
        <v>59.593499999999999</v>
      </c>
    </row>
    <row r="959" spans="1:10">
      <c r="A959" t="s">
        <v>2308</v>
      </c>
      <c r="B959" s="1">
        <v>45761</v>
      </c>
      <c r="C959" t="s">
        <v>436</v>
      </c>
      <c r="D959" t="s">
        <v>1145</v>
      </c>
      <c r="E959" t="s">
        <v>1307</v>
      </c>
      <c r="F959">
        <v>1</v>
      </c>
      <c r="G959">
        <v>579.69000000000005</v>
      </c>
      <c r="H959">
        <v>0.02</v>
      </c>
      <c r="I959" t="s">
        <v>1349</v>
      </c>
      <c r="J959">
        <v>568.09620000000007</v>
      </c>
    </row>
    <row r="960" spans="1:10">
      <c r="A960" t="s">
        <v>2309</v>
      </c>
      <c r="B960" s="1">
        <v>45639</v>
      </c>
      <c r="C960" t="s">
        <v>923</v>
      </c>
      <c r="D960" t="s">
        <v>1229</v>
      </c>
      <c r="E960" t="s">
        <v>1324</v>
      </c>
      <c r="F960">
        <v>3</v>
      </c>
      <c r="G960">
        <v>240.51</v>
      </c>
      <c r="H960">
        <v>7.0000000000000007E-2</v>
      </c>
      <c r="I960" t="s">
        <v>1349</v>
      </c>
      <c r="J960">
        <v>671.02289999999994</v>
      </c>
    </row>
    <row r="961" spans="1:10">
      <c r="A961" t="s">
        <v>2310</v>
      </c>
      <c r="B961" s="1">
        <v>45893</v>
      </c>
      <c r="C961" t="s">
        <v>827</v>
      </c>
      <c r="D961" t="s">
        <v>1123</v>
      </c>
      <c r="E961" t="s">
        <v>1324</v>
      </c>
      <c r="F961">
        <v>2</v>
      </c>
      <c r="G961">
        <v>855.4</v>
      </c>
      <c r="H961">
        <v>0.08</v>
      </c>
      <c r="I961" t="s">
        <v>1354</v>
      </c>
      <c r="J961">
        <v>1573.9359999999999</v>
      </c>
    </row>
    <row r="962" spans="1:10">
      <c r="A962" t="s">
        <v>2311</v>
      </c>
      <c r="B962" s="1">
        <v>45227</v>
      </c>
      <c r="C962" t="s">
        <v>33</v>
      </c>
      <c r="D962" t="s">
        <v>1253</v>
      </c>
      <c r="E962" t="s">
        <v>1304</v>
      </c>
      <c r="F962">
        <v>1</v>
      </c>
      <c r="G962">
        <v>537.26</v>
      </c>
      <c r="H962">
        <v>0.09</v>
      </c>
      <c r="I962" t="s">
        <v>1349</v>
      </c>
      <c r="J962">
        <v>488.90660000000003</v>
      </c>
    </row>
    <row r="963" spans="1:10">
      <c r="A963" t="s">
        <v>2312</v>
      </c>
      <c r="B963" s="1">
        <v>45637</v>
      </c>
      <c r="C963" t="s">
        <v>831</v>
      </c>
      <c r="D963" t="s">
        <v>1175</v>
      </c>
      <c r="E963" t="s">
        <v>1314</v>
      </c>
      <c r="F963">
        <v>3</v>
      </c>
      <c r="G963">
        <v>918.26</v>
      </c>
      <c r="H963">
        <v>0.17</v>
      </c>
      <c r="I963" t="s">
        <v>1354</v>
      </c>
      <c r="J963">
        <v>2286.4674</v>
      </c>
    </row>
    <row r="964" spans="1:10">
      <c r="A964" t="s">
        <v>2313</v>
      </c>
      <c r="B964" s="1">
        <v>45472</v>
      </c>
      <c r="C964" t="s">
        <v>248</v>
      </c>
      <c r="D964" t="s">
        <v>1082</v>
      </c>
      <c r="E964" t="s">
        <v>1311</v>
      </c>
      <c r="F964">
        <v>4</v>
      </c>
      <c r="G964">
        <v>579.70000000000005</v>
      </c>
      <c r="H964">
        <v>0.18</v>
      </c>
      <c r="I964" t="s">
        <v>1351</v>
      </c>
      <c r="J964">
        <v>1901.4159999999999</v>
      </c>
    </row>
    <row r="965" spans="1:10">
      <c r="A965" t="s">
        <v>2314</v>
      </c>
      <c r="B965" s="1">
        <v>45710</v>
      </c>
      <c r="C965" t="s">
        <v>351</v>
      </c>
      <c r="D965" t="s">
        <v>1159</v>
      </c>
      <c r="E965" t="s">
        <v>1301</v>
      </c>
      <c r="F965">
        <v>1</v>
      </c>
      <c r="G965">
        <v>824.32</v>
      </c>
      <c r="H965">
        <v>0.18</v>
      </c>
      <c r="I965" t="s">
        <v>1349</v>
      </c>
      <c r="J965">
        <v>675.94240000000013</v>
      </c>
    </row>
    <row r="966" spans="1:10">
      <c r="A966" t="s">
        <v>2315</v>
      </c>
      <c r="B966" s="1">
        <v>45682</v>
      </c>
      <c r="C966" t="s">
        <v>277</v>
      </c>
      <c r="D966" t="s">
        <v>1165</v>
      </c>
      <c r="E966" t="s">
        <v>1326</v>
      </c>
      <c r="F966">
        <v>4</v>
      </c>
      <c r="G966">
        <v>614.99</v>
      </c>
      <c r="H966">
        <v>0.16</v>
      </c>
      <c r="I966" t="s">
        <v>1351</v>
      </c>
      <c r="J966">
        <v>2066.3663999999999</v>
      </c>
    </row>
    <row r="967" spans="1:10">
      <c r="A967" t="s">
        <v>2316</v>
      </c>
      <c r="B967" s="1">
        <v>45730</v>
      </c>
      <c r="C967" t="s">
        <v>317</v>
      </c>
      <c r="D967" t="s">
        <v>1197</v>
      </c>
      <c r="E967" t="s">
        <v>1277</v>
      </c>
      <c r="F967">
        <v>4</v>
      </c>
      <c r="G967">
        <v>189.21</v>
      </c>
      <c r="H967">
        <v>0.06</v>
      </c>
      <c r="I967" t="s">
        <v>1354</v>
      </c>
      <c r="J967">
        <v>711.42959999999994</v>
      </c>
    </row>
    <row r="968" spans="1:10">
      <c r="A968" t="s">
        <v>2317</v>
      </c>
      <c r="B968" s="1">
        <v>45629</v>
      </c>
      <c r="C968" t="s">
        <v>369</v>
      </c>
      <c r="D968" t="s">
        <v>1197</v>
      </c>
      <c r="E968" t="s">
        <v>1324</v>
      </c>
      <c r="F968">
        <v>2</v>
      </c>
      <c r="G968">
        <v>233.33</v>
      </c>
      <c r="H968">
        <v>0.05</v>
      </c>
      <c r="I968" t="s">
        <v>1349</v>
      </c>
      <c r="J968">
        <v>443.327</v>
      </c>
    </row>
    <row r="969" spans="1:10">
      <c r="A969" t="s">
        <v>2318</v>
      </c>
      <c r="B969" s="1">
        <v>45783</v>
      </c>
      <c r="C969" t="s">
        <v>559</v>
      </c>
      <c r="D969" t="s">
        <v>1151</v>
      </c>
      <c r="E969" t="s">
        <v>1335</v>
      </c>
      <c r="F969">
        <v>3</v>
      </c>
      <c r="G969">
        <v>529.89</v>
      </c>
      <c r="H969">
        <v>0.21</v>
      </c>
      <c r="I969" t="s">
        <v>1349</v>
      </c>
      <c r="J969">
        <v>1255.8393000000001</v>
      </c>
    </row>
    <row r="970" spans="1:10">
      <c r="A970" t="s">
        <v>2319</v>
      </c>
      <c r="B970" s="1">
        <v>45518</v>
      </c>
      <c r="C970" t="s">
        <v>1039</v>
      </c>
      <c r="D970" t="s">
        <v>1257</v>
      </c>
      <c r="E970" t="s">
        <v>1282</v>
      </c>
      <c r="F970">
        <v>2</v>
      </c>
      <c r="G970">
        <v>954.1</v>
      </c>
      <c r="H970">
        <v>0.17</v>
      </c>
      <c r="I970" t="s">
        <v>1351</v>
      </c>
      <c r="J970">
        <v>1583.806</v>
      </c>
    </row>
    <row r="971" spans="1:10">
      <c r="A971" t="s">
        <v>2320</v>
      </c>
      <c r="B971" s="1">
        <v>45274</v>
      </c>
      <c r="C971" t="s">
        <v>710</v>
      </c>
      <c r="D971" t="s">
        <v>1203</v>
      </c>
      <c r="E971" t="s">
        <v>1304</v>
      </c>
      <c r="F971">
        <v>1</v>
      </c>
      <c r="G971">
        <v>370.04</v>
      </c>
      <c r="H971">
        <v>0.04</v>
      </c>
      <c r="I971" t="s">
        <v>1354</v>
      </c>
      <c r="J971">
        <v>355.23840000000001</v>
      </c>
    </row>
    <row r="972" spans="1:10">
      <c r="A972" t="s">
        <v>2321</v>
      </c>
      <c r="B972" s="1">
        <v>45297</v>
      </c>
      <c r="C972" t="s">
        <v>168</v>
      </c>
      <c r="D972" t="s">
        <v>1265</v>
      </c>
      <c r="E972" t="s">
        <v>1338</v>
      </c>
      <c r="F972">
        <v>4</v>
      </c>
      <c r="G972">
        <v>492.71</v>
      </c>
      <c r="H972">
        <v>0.08</v>
      </c>
      <c r="I972" t="s">
        <v>1349</v>
      </c>
      <c r="J972">
        <v>1813.1728000000001</v>
      </c>
    </row>
    <row r="973" spans="1:10">
      <c r="A973" t="s">
        <v>2322</v>
      </c>
      <c r="B973" s="1">
        <v>45530</v>
      </c>
      <c r="C973" t="s">
        <v>624</v>
      </c>
      <c r="D973" t="s">
        <v>1255</v>
      </c>
      <c r="E973" t="s">
        <v>1322</v>
      </c>
      <c r="F973">
        <v>4</v>
      </c>
      <c r="G973">
        <v>853.26</v>
      </c>
      <c r="H973">
        <v>0.24</v>
      </c>
      <c r="I973" t="s">
        <v>1354</v>
      </c>
      <c r="J973">
        <v>2593.9104000000002</v>
      </c>
    </row>
    <row r="974" spans="1:10">
      <c r="A974" t="s">
        <v>2323</v>
      </c>
      <c r="B974" s="1">
        <v>45740</v>
      </c>
      <c r="C974" t="s">
        <v>875</v>
      </c>
      <c r="D974" t="s">
        <v>1076</v>
      </c>
      <c r="E974" t="s">
        <v>1329</v>
      </c>
      <c r="F974">
        <v>1</v>
      </c>
      <c r="G974">
        <v>402.47</v>
      </c>
      <c r="H974">
        <v>0.19</v>
      </c>
      <c r="I974" t="s">
        <v>1351</v>
      </c>
      <c r="J974">
        <v>326.00070000000011</v>
      </c>
    </row>
    <row r="975" spans="1:10">
      <c r="A975" t="s">
        <v>2324</v>
      </c>
      <c r="B975" s="1">
        <v>45311</v>
      </c>
      <c r="C975" t="s">
        <v>867</v>
      </c>
      <c r="D975" t="s">
        <v>1181</v>
      </c>
      <c r="E975" t="s">
        <v>1335</v>
      </c>
      <c r="F975">
        <v>2</v>
      </c>
      <c r="G975">
        <v>528.29999999999995</v>
      </c>
      <c r="H975">
        <v>0.24</v>
      </c>
      <c r="I975" t="s">
        <v>1349</v>
      </c>
      <c r="J975">
        <v>803.01599999999996</v>
      </c>
    </row>
    <row r="976" spans="1:10">
      <c r="A976" t="s">
        <v>2325</v>
      </c>
      <c r="B976" s="1">
        <v>45667</v>
      </c>
      <c r="C976" t="s">
        <v>951</v>
      </c>
      <c r="D976" t="s">
        <v>1093</v>
      </c>
      <c r="E976" t="s">
        <v>1301</v>
      </c>
      <c r="F976">
        <v>4</v>
      </c>
      <c r="G976">
        <v>599.85</v>
      </c>
      <c r="H976">
        <v>0.25</v>
      </c>
      <c r="I976" t="s">
        <v>1349</v>
      </c>
      <c r="J976">
        <v>1799.55</v>
      </c>
    </row>
    <row r="977" spans="1:10">
      <c r="A977" t="s">
        <v>2326</v>
      </c>
      <c r="B977" s="1">
        <v>45281</v>
      </c>
      <c r="C977" t="s">
        <v>670</v>
      </c>
      <c r="D977" t="s">
        <v>1105</v>
      </c>
      <c r="E977" t="s">
        <v>1311</v>
      </c>
      <c r="F977">
        <v>2</v>
      </c>
      <c r="G977">
        <v>61.42</v>
      </c>
      <c r="H977">
        <v>0.08</v>
      </c>
      <c r="I977" t="s">
        <v>1351</v>
      </c>
      <c r="J977">
        <v>113.0128</v>
      </c>
    </row>
    <row r="978" spans="1:10">
      <c r="A978" t="s">
        <v>2327</v>
      </c>
      <c r="B978" s="1">
        <v>45693</v>
      </c>
      <c r="C978" t="s">
        <v>561</v>
      </c>
      <c r="D978" t="s">
        <v>1111</v>
      </c>
      <c r="E978" t="s">
        <v>1314</v>
      </c>
      <c r="F978">
        <v>2</v>
      </c>
      <c r="G978">
        <v>466.42</v>
      </c>
      <c r="H978">
        <v>0.12</v>
      </c>
      <c r="I978" t="s">
        <v>1351</v>
      </c>
      <c r="J978">
        <v>820.89920000000006</v>
      </c>
    </row>
    <row r="979" spans="1:10">
      <c r="A979" t="s">
        <v>2328</v>
      </c>
      <c r="B979" s="1">
        <v>45857</v>
      </c>
      <c r="C979" t="s">
        <v>256</v>
      </c>
      <c r="D979" t="s">
        <v>1135</v>
      </c>
      <c r="E979" t="s">
        <v>1298</v>
      </c>
      <c r="F979">
        <v>4</v>
      </c>
      <c r="G979">
        <v>540.69000000000005</v>
      </c>
      <c r="H979">
        <v>0.09</v>
      </c>
      <c r="I979" t="s">
        <v>1354</v>
      </c>
      <c r="J979">
        <v>1968.1116</v>
      </c>
    </row>
    <row r="980" spans="1:10">
      <c r="A980" t="s">
        <v>2329</v>
      </c>
      <c r="B980" s="1">
        <v>45737</v>
      </c>
      <c r="C980" t="s">
        <v>660</v>
      </c>
      <c r="D980" t="s">
        <v>1111</v>
      </c>
      <c r="E980" t="s">
        <v>1322</v>
      </c>
      <c r="F980">
        <v>3</v>
      </c>
      <c r="G980">
        <v>677.46</v>
      </c>
      <c r="H980">
        <v>0.05</v>
      </c>
      <c r="I980" t="s">
        <v>1349</v>
      </c>
      <c r="J980">
        <v>1930.761</v>
      </c>
    </row>
    <row r="981" spans="1:10">
      <c r="A981" t="s">
        <v>2330</v>
      </c>
      <c r="B981" s="1">
        <v>45771</v>
      </c>
      <c r="C981" t="s">
        <v>720</v>
      </c>
      <c r="D981" t="s">
        <v>1115</v>
      </c>
      <c r="E981" t="s">
        <v>1282</v>
      </c>
      <c r="F981">
        <v>3</v>
      </c>
      <c r="G981">
        <v>614.63</v>
      </c>
      <c r="H981">
        <v>0.06</v>
      </c>
      <c r="I981" t="s">
        <v>1351</v>
      </c>
      <c r="J981">
        <v>1733.2565999999999</v>
      </c>
    </row>
    <row r="982" spans="1:10">
      <c r="A982" t="s">
        <v>2331</v>
      </c>
      <c r="B982" s="1">
        <v>45272</v>
      </c>
      <c r="C982" t="s">
        <v>527</v>
      </c>
      <c r="D982" t="s">
        <v>1205</v>
      </c>
      <c r="E982" t="s">
        <v>1307</v>
      </c>
      <c r="F982">
        <v>4</v>
      </c>
      <c r="G982">
        <v>649.52</v>
      </c>
      <c r="H982">
        <v>0.11</v>
      </c>
      <c r="I982" t="s">
        <v>1349</v>
      </c>
      <c r="J982">
        <v>2312.2912000000001</v>
      </c>
    </row>
    <row r="983" spans="1:10">
      <c r="A983" t="s">
        <v>2332</v>
      </c>
      <c r="B983" s="1">
        <v>45481</v>
      </c>
      <c r="C983" t="s">
        <v>953</v>
      </c>
      <c r="D983" t="s">
        <v>1243</v>
      </c>
      <c r="E983" t="s">
        <v>1307</v>
      </c>
      <c r="F983">
        <v>2</v>
      </c>
      <c r="G983">
        <v>943.93</v>
      </c>
      <c r="H983">
        <v>0.22</v>
      </c>
      <c r="I983" t="s">
        <v>1351</v>
      </c>
      <c r="J983">
        <v>1472.5308</v>
      </c>
    </row>
    <row r="984" spans="1:10">
      <c r="A984" t="s">
        <v>2333</v>
      </c>
      <c r="B984" s="1">
        <v>45228</v>
      </c>
      <c r="C984" t="s">
        <v>391</v>
      </c>
      <c r="D984" t="s">
        <v>1135</v>
      </c>
      <c r="E984" t="s">
        <v>1307</v>
      </c>
      <c r="F984">
        <v>4</v>
      </c>
      <c r="G984">
        <v>538.73</v>
      </c>
      <c r="H984">
        <v>0.03</v>
      </c>
      <c r="I984" t="s">
        <v>1349</v>
      </c>
      <c r="J984">
        <v>2090.2723999999998</v>
      </c>
    </row>
    <row r="985" spans="1:10">
      <c r="A985" t="s">
        <v>2334</v>
      </c>
      <c r="B985" s="1">
        <v>45432</v>
      </c>
      <c r="C985" t="s">
        <v>232</v>
      </c>
      <c r="D985" t="s">
        <v>1205</v>
      </c>
      <c r="E985" t="s">
        <v>1307</v>
      </c>
      <c r="F985">
        <v>2</v>
      </c>
      <c r="G985">
        <v>853.93</v>
      </c>
      <c r="H985">
        <v>0.01</v>
      </c>
      <c r="I985" t="s">
        <v>1351</v>
      </c>
      <c r="J985">
        <v>1690.7814000000001</v>
      </c>
    </row>
    <row r="986" spans="1:10">
      <c r="A986" t="s">
        <v>2335</v>
      </c>
      <c r="B986" s="1">
        <v>45914</v>
      </c>
      <c r="C986" t="s">
        <v>1043</v>
      </c>
      <c r="D986" t="s">
        <v>1131</v>
      </c>
      <c r="E986" t="s">
        <v>1294</v>
      </c>
      <c r="F986">
        <v>4</v>
      </c>
      <c r="G986">
        <v>465.42</v>
      </c>
      <c r="H986">
        <v>0.26</v>
      </c>
      <c r="I986" t="s">
        <v>1354</v>
      </c>
      <c r="J986">
        <v>1377.6432</v>
      </c>
    </row>
    <row r="987" spans="1:10">
      <c r="A987" t="s">
        <v>2336</v>
      </c>
      <c r="B987" s="1">
        <v>45758</v>
      </c>
      <c r="C987" t="s">
        <v>155</v>
      </c>
      <c r="D987" t="s">
        <v>1071</v>
      </c>
      <c r="E987" t="s">
        <v>1317</v>
      </c>
      <c r="F987">
        <v>4</v>
      </c>
      <c r="G987">
        <v>880.26</v>
      </c>
      <c r="H987">
        <v>0.11</v>
      </c>
      <c r="I987" t="s">
        <v>1354</v>
      </c>
      <c r="J987">
        <v>3133.7256000000002</v>
      </c>
    </row>
    <row r="988" spans="1:10">
      <c r="A988" t="s">
        <v>2337</v>
      </c>
      <c r="B988" s="1">
        <v>45429</v>
      </c>
      <c r="C988" t="s">
        <v>1028</v>
      </c>
      <c r="D988" t="s">
        <v>1175</v>
      </c>
      <c r="E988" t="s">
        <v>1317</v>
      </c>
      <c r="F988">
        <v>3</v>
      </c>
      <c r="G988">
        <v>461.02</v>
      </c>
      <c r="H988">
        <v>0.28999999999999998</v>
      </c>
      <c r="I988" t="s">
        <v>1351</v>
      </c>
      <c r="J988">
        <v>981.97259999999994</v>
      </c>
    </row>
    <row r="989" spans="1:10">
      <c r="A989" t="s">
        <v>2338</v>
      </c>
      <c r="B989" s="1">
        <v>45578</v>
      </c>
      <c r="C989" t="s">
        <v>84</v>
      </c>
      <c r="D989" t="s">
        <v>1123</v>
      </c>
      <c r="E989" t="s">
        <v>1322</v>
      </c>
      <c r="F989">
        <v>1</v>
      </c>
      <c r="G989">
        <v>531.99</v>
      </c>
      <c r="H989">
        <v>0.17</v>
      </c>
      <c r="I989" t="s">
        <v>1351</v>
      </c>
      <c r="J989">
        <v>441.55169999999998</v>
      </c>
    </row>
    <row r="990" spans="1:10">
      <c r="A990" t="s">
        <v>2339</v>
      </c>
      <c r="B990" s="1">
        <v>45486</v>
      </c>
      <c r="C990" t="s">
        <v>23</v>
      </c>
      <c r="D990" t="s">
        <v>1167</v>
      </c>
      <c r="E990" t="s">
        <v>1332</v>
      </c>
      <c r="F990">
        <v>2</v>
      </c>
      <c r="G990">
        <v>274.08999999999997</v>
      </c>
      <c r="H990">
        <v>0.13</v>
      </c>
      <c r="I990" t="s">
        <v>1351</v>
      </c>
      <c r="J990">
        <v>476.91660000000002</v>
      </c>
    </row>
    <row r="991" spans="1:10">
      <c r="A991" t="s">
        <v>2340</v>
      </c>
      <c r="B991" s="1">
        <v>45694</v>
      </c>
      <c r="C991" t="s">
        <v>949</v>
      </c>
      <c r="D991" t="s">
        <v>1249</v>
      </c>
      <c r="E991" t="s">
        <v>1314</v>
      </c>
      <c r="F991">
        <v>1</v>
      </c>
      <c r="G991">
        <v>66.14</v>
      </c>
      <c r="H991">
        <v>0.14000000000000001</v>
      </c>
      <c r="I991" t="s">
        <v>1354</v>
      </c>
      <c r="J991">
        <v>56.880400000000002</v>
      </c>
    </row>
    <row r="992" spans="1:10">
      <c r="A992" t="s">
        <v>2341</v>
      </c>
      <c r="B992" s="1">
        <v>45875</v>
      </c>
      <c r="C992" t="s">
        <v>206</v>
      </c>
      <c r="D992" t="s">
        <v>1113</v>
      </c>
      <c r="E992" t="s">
        <v>1311</v>
      </c>
      <c r="F992">
        <v>3</v>
      </c>
      <c r="G992">
        <v>955.82</v>
      </c>
      <c r="H992">
        <v>0.16</v>
      </c>
      <c r="I992" t="s">
        <v>1354</v>
      </c>
      <c r="J992">
        <v>2408.6664000000001</v>
      </c>
    </row>
    <row r="993" spans="1:10">
      <c r="A993" t="s">
        <v>2342</v>
      </c>
      <c r="B993" s="1">
        <v>45432</v>
      </c>
      <c r="C993" t="s">
        <v>702</v>
      </c>
      <c r="D993" t="s">
        <v>1117</v>
      </c>
      <c r="E993" t="s">
        <v>1319</v>
      </c>
      <c r="F993">
        <v>1</v>
      </c>
      <c r="G993">
        <v>904.92</v>
      </c>
      <c r="H993">
        <v>0.13</v>
      </c>
      <c r="I993" t="s">
        <v>1349</v>
      </c>
      <c r="J993">
        <v>787.28039999999999</v>
      </c>
    </row>
    <row r="994" spans="1:10">
      <c r="A994" t="s">
        <v>2343</v>
      </c>
      <c r="B994" s="1">
        <v>45575</v>
      </c>
      <c r="C994" t="s">
        <v>8</v>
      </c>
      <c r="D994" t="s">
        <v>1153</v>
      </c>
      <c r="E994" t="s">
        <v>1304</v>
      </c>
      <c r="F994">
        <v>3</v>
      </c>
      <c r="G994">
        <v>490.02</v>
      </c>
      <c r="H994">
        <v>0.26</v>
      </c>
      <c r="I994" t="s">
        <v>1349</v>
      </c>
      <c r="J994">
        <v>1087.8444</v>
      </c>
    </row>
    <row r="995" spans="1:10">
      <c r="A995" t="s">
        <v>2344</v>
      </c>
      <c r="B995" s="1">
        <v>45340</v>
      </c>
      <c r="C995" t="s">
        <v>789</v>
      </c>
      <c r="D995" t="s">
        <v>1111</v>
      </c>
      <c r="E995" t="s">
        <v>1301</v>
      </c>
      <c r="F995">
        <v>2</v>
      </c>
      <c r="G995">
        <v>957.54</v>
      </c>
      <c r="H995">
        <v>0.1</v>
      </c>
      <c r="I995" t="s">
        <v>1354</v>
      </c>
      <c r="J995">
        <v>1723.5719999999999</v>
      </c>
    </row>
    <row r="996" spans="1:10">
      <c r="A996" t="s">
        <v>2345</v>
      </c>
      <c r="B996" s="1">
        <v>45926</v>
      </c>
      <c r="C996" t="s">
        <v>722</v>
      </c>
      <c r="D996" t="s">
        <v>1271</v>
      </c>
      <c r="E996" t="s">
        <v>1322</v>
      </c>
      <c r="F996">
        <v>2</v>
      </c>
      <c r="G996">
        <v>314.39999999999998</v>
      </c>
      <c r="H996">
        <v>7.0000000000000007E-2</v>
      </c>
      <c r="I996" t="s">
        <v>1351</v>
      </c>
      <c r="J996">
        <v>584.78399999999988</v>
      </c>
    </row>
    <row r="997" spans="1:10">
      <c r="A997" t="s">
        <v>2346</v>
      </c>
      <c r="B997" s="1">
        <v>45373</v>
      </c>
      <c r="C997" t="s">
        <v>851</v>
      </c>
      <c r="D997" t="s">
        <v>1121</v>
      </c>
      <c r="E997" t="s">
        <v>1301</v>
      </c>
      <c r="F997">
        <v>3</v>
      </c>
      <c r="G997">
        <v>480.11</v>
      </c>
      <c r="H997">
        <v>0.11</v>
      </c>
      <c r="I997" t="s">
        <v>1351</v>
      </c>
      <c r="J997">
        <v>1281.8937000000001</v>
      </c>
    </row>
    <row r="998" spans="1:10">
      <c r="A998" t="s">
        <v>2347</v>
      </c>
      <c r="B998" s="1">
        <v>45579</v>
      </c>
      <c r="C998" t="s">
        <v>839</v>
      </c>
      <c r="D998" t="s">
        <v>1169</v>
      </c>
      <c r="E998" t="s">
        <v>1301</v>
      </c>
      <c r="F998">
        <v>4</v>
      </c>
      <c r="G998">
        <v>826.55</v>
      </c>
      <c r="H998">
        <v>0.28000000000000003</v>
      </c>
      <c r="I998" t="s">
        <v>1349</v>
      </c>
      <c r="J998">
        <v>2380.4639999999999</v>
      </c>
    </row>
    <row r="999" spans="1:10">
      <c r="A999" t="s">
        <v>2348</v>
      </c>
      <c r="B999" s="1">
        <v>45805</v>
      </c>
      <c r="C999" t="s">
        <v>442</v>
      </c>
      <c r="D999" t="s">
        <v>1127</v>
      </c>
      <c r="E999" t="s">
        <v>1291</v>
      </c>
      <c r="F999">
        <v>3</v>
      </c>
      <c r="G999">
        <v>530.16999999999996</v>
      </c>
      <c r="H999">
        <v>0.18</v>
      </c>
      <c r="I999" t="s">
        <v>1351</v>
      </c>
      <c r="J999">
        <v>1304.2182</v>
      </c>
    </row>
    <row r="1000" spans="1:10">
      <c r="A1000" t="s">
        <v>2349</v>
      </c>
      <c r="B1000" s="1">
        <v>45522</v>
      </c>
      <c r="C1000" t="s">
        <v>877</v>
      </c>
      <c r="D1000" t="s">
        <v>1141</v>
      </c>
      <c r="E1000" t="s">
        <v>1332</v>
      </c>
      <c r="F1000">
        <v>3</v>
      </c>
      <c r="G1000">
        <v>336.17</v>
      </c>
      <c r="H1000">
        <v>0.04</v>
      </c>
      <c r="I1000" t="s">
        <v>1354</v>
      </c>
      <c r="J1000">
        <v>968.16959999999995</v>
      </c>
    </row>
    <row r="1001" spans="1:10">
      <c r="A1001" t="s">
        <v>2350</v>
      </c>
      <c r="B1001" s="1">
        <v>45304</v>
      </c>
      <c r="C1001" t="s">
        <v>905</v>
      </c>
      <c r="D1001" t="s">
        <v>1235</v>
      </c>
      <c r="E1001" t="s">
        <v>1307</v>
      </c>
      <c r="F1001">
        <v>4</v>
      </c>
      <c r="G1001">
        <v>22.51</v>
      </c>
      <c r="H1001">
        <v>0.27</v>
      </c>
      <c r="I1001" t="s">
        <v>1351</v>
      </c>
      <c r="J1001">
        <v>65.729200000000006</v>
      </c>
    </row>
    <row r="1002" spans="1:10">
      <c r="A1002" t="s">
        <v>2351</v>
      </c>
      <c r="B1002" s="1">
        <v>45456</v>
      </c>
      <c r="C1002" t="s">
        <v>442</v>
      </c>
      <c r="D1002" t="s">
        <v>1191</v>
      </c>
      <c r="E1002" t="s">
        <v>1286</v>
      </c>
      <c r="F1002">
        <v>2</v>
      </c>
      <c r="G1002">
        <v>909.51</v>
      </c>
      <c r="H1002">
        <v>0.27</v>
      </c>
      <c r="I1002" t="s">
        <v>1349</v>
      </c>
      <c r="J1002">
        <v>1327.8846000000001</v>
      </c>
    </row>
    <row r="1003" spans="1:10">
      <c r="A1003" t="s">
        <v>2352</v>
      </c>
      <c r="B1003" s="1">
        <v>45776</v>
      </c>
      <c r="C1003" t="s">
        <v>147</v>
      </c>
      <c r="D1003" t="s">
        <v>1211</v>
      </c>
      <c r="E1003" t="s">
        <v>1324</v>
      </c>
      <c r="F1003">
        <v>4</v>
      </c>
      <c r="G1003">
        <v>593.84</v>
      </c>
      <c r="H1003">
        <v>0.24</v>
      </c>
      <c r="I1003" t="s">
        <v>1351</v>
      </c>
      <c r="J1003">
        <v>1805.2736</v>
      </c>
    </row>
    <row r="1004" spans="1:10">
      <c r="A1004" t="s">
        <v>2353</v>
      </c>
      <c r="B1004" s="1">
        <v>45566</v>
      </c>
      <c r="C1004" t="s">
        <v>277</v>
      </c>
      <c r="D1004" t="s">
        <v>1219</v>
      </c>
      <c r="E1004" t="s">
        <v>1314</v>
      </c>
      <c r="F1004">
        <v>3</v>
      </c>
      <c r="G1004">
        <v>909.11</v>
      </c>
      <c r="H1004">
        <v>0.23</v>
      </c>
      <c r="I1004" t="s">
        <v>1354</v>
      </c>
      <c r="J1004">
        <v>2100.0441000000001</v>
      </c>
    </row>
    <row r="1005" spans="1:10">
      <c r="A1005" t="s">
        <v>2354</v>
      </c>
      <c r="B1005" s="1">
        <v>45542</v>
      </c>
      <c r="C1005" t="s">
        <v>861</v>
      </c>
      <c r="D1005" t="s">
        <v>1121</v>
      </c>
      <c r="E1005" t="s">
        <v>1282</v>
      </c>
      <c r="F1005">
        <v>4</v>
      </c>
      <c r="G1005">
        <v>996.85</v>
      </c>
      <c r="H1005">
        <v>0.24</v>
      </c>
      <c r="I1005" t="s">
        <v>1351</v>
      </c>
      <c r="J1005">
        <v>3030.424</v>
      </c>
    </row>
    <row r="1006" spans="1:10">
      <c r="A1006" t="s">
        <v>2355</v>
      </c>
      <c r="B1006" s="1">
        <v>45834</v>
      </c>
      <c r="C1006" t="s">
        <v>664</v>
      </c>
      <c r="D1006" t="s">
        <v>1068</v>
      </c>
      <c r="E1006" t="s">
        <v>1332</v>
      </c>
      <c r="F1006">
        <v>1</v>
      </c>
      <c r="G1006">
        <v>522.69000000000005</v>
      </c>
      <c r="H1006">
        <v>0.06</v>
      </c>
      <c r="I1006" t="s">
        <v>1354</v>
      </c>
      <c r="J1006">
        <v>491.32860000000011</v>
      </c>
    </row>
    <row r="1007" spans="1:10">
      <c r="A1007" t="s">
        <v>2356</v>
      </c>
      <c r="B1007" s="1">
        <v>45405</v>
      </c>
      <c r="C1007" t="s">
        <v>450</v>
      </c>
      <c r="D1007" t="s">
        <v>1181</v>
      </c>
      <c r="E1007" t="s">
        <v>1291</v>
      </c>
      <c r="F1007">
        <v>3</v>
      </c>
      <c r="G1007">
        <v>261.05</v>
      </c>
      <c r="H1007">
        <v>0.12</v>
      </c>
      <c r="I1007" t="s">
        <v>1351</v>
      </c>
      <c r="J1007">
        <v>689.17200000000014</v>
      </c>
    </row>
    <row r="1008" spans="1:10">
      <c r="A1008" t="s">
        <v>2357</v>
      </c>
      <c r="B1008" s="1">
        <v>45918</v>
      </c>
      <c r="C1008" t="s">
        <v>229</v>
      </c>
      <c r="D1008" t="s">
        <v>1119</v>
      </c>
      <c r="E1008" t="s">
        <v>1332</v>
      </c>
      <c r="F1008">
        <v>3</v>
      </c>
      <c r="G1008">
        <v>644.73</v>
      </c>
      <c r="H1008">
        <v>0.01</v>
      </c>
      <c r="I1008" t="s">
        <v>1354</v>
      </c>
      <c r="J1008">
        <v>1914.8480999999999</v>
      </c>
    </row>
    <row r="1009" spans="1:10">
      <c r="A1009" t="s">
        <v>2358</v>
      </c>
      <c r="B1009" s="1">
        <v>45217</v>
      </c>
      <c r="C1009" t="s">
        <v>458</v>
      </c>
      <c r="D1009" t="s">
        <v>1223</v>
      </c>
      <c r="E1009" t="s">
        <v>1286</v>
      </c>
      <c r="F1009">
        <v>2</v>
      </c>
      <c r="G1009">
        <v>541.52</v>
      </c>
      <c r="H1009">
        <v>0.26</v>
      </c>
      <c r="I1009" t="s">
        <v>1351</v>
      </c>
      <c r="J1009">
        <v>801.44959999999992</v>
      </c>
    </row>
    <row r="1010" spans="1:10">
      <c r="A1010" t="s">
        <v>2359</v>
      </c>
      <c r="B1010" s="1">
        <v>45259</v>
      </c>
      <c r="C1010" t="s">
        <v>915</v>
      </c>
      <c r="D1010" t="s">
        <v>1199</v>
      </c>
      <c r="E1010" t="s">
        <v>1314</v>
      </c>
      <c r="F1010">
        <v>1</v>
      </c>
      <c r="G1010">
        <v>395.18</v>
      </c>
      <c r="H1010">
        <v>0.09</v>
      </c>
      <c r="I1010" t="s">
        <v>1351</v>
      </c>
      <c r="J1010">
        <v>359.61380000000003</v>
      </c>
    </row>
    <row r="1011" spans="1:10">
      <c r="A1011" t="s">
        <v>2360</v>
      </c>
      <c r="B1011" s="1">
        <v>45740</v>
      </c>
      <c r="C1011" t="s">
        <v>258</v>
      </c>
      <c r="D1011" t="s">
        <v>1087</v>
      </c>
      <c r="E1011" t="s">
        <v>1307</v>
      </c>
      <c r="F1011">
        <v>4</v>
      </c>
      <c r="G1011">
        <v>56.37</v>
      </c>
      <c r="H1011">
        <v>0.17</v>
      </c>
      <c r="I1011" t="s">
        <v>1349</v>
      </c>
      <c r="J1011">
        <v>187.14840000000001</v>
      </c>
    </row>
    <row r="1012" spans="1:10">
      <c r="A1012" t="s">
        <v>2361</v>
      </c>
      <c r="B1012" s="1">
        <v>45908</v>
      </c>
      <c r="C1012" t="s">
        <v>480</v>
      </c>
      <c r="D1012" t="s">
        <v>1231</v>
      </c>
      <c r="E1012" t="s">
        <v>1311</v>
      </c>
      <c r="F1012">
        <v>4</v>
      </c>
      <c r="G1012">
        <v>202.59</v>
      </c>
      <c r="H1012">
        <v>0.06</v>
      </c>
      <c r="I1012" t="s">
        <v>1354</v>
      </c>
      <c r="J1012">
        <v>761.73839999999996</v>
      </c>
    </row>
    <row r="1013" spans="1:10">
      <c r="A1013" t="s">
        <v>2362</v>
      </c>
      <c r="B1013" s="1">
        <v>45601</v>
      </c>
      <c r="C1013" t="s">
        <v>23</v>
      </c>
      <c r="D1013" t="s">
        <v>1235</v>
      </c>
      <c r="E1013" t="s">
        <v>1298</v>
      </c>
      <c r="F1013">
        <v>2</v>
      </c>
      <c r="G1013">
        <v>358.36</v>
      </c>
      <c r="H1013">
        <v>0.05</v>
      </c>
      <c r="I1013" t="s">
        <v>1351</v>
      </c>
      <c r="J1013">
        <v>680.88400000000001</v>
      </c>
    </row>
    <row r="1014" spans="1:10">
      <c r="A1014" t="s">
        <v>2363</v>
      </c>
      <c r="B1014" s="1">
        <v>45535</v>
      </c>
      <c r="C1014" t="s">
        <v>194</v>
      </c>
      <c r="D1014" t="s">
        <v>1147</v>
      </c>
      <c r="E1014" t="s">
        <v>1335</v>
      </c>
      <c r="F1014">
        <v>4</v>
      </c>
      <c r="G1014">
        <v>85.62</v>
      </c>
      <c r="H1014">
        <v>0.28000000000000003</v>
      </c>
      <c r="I1014" t="s">
        <v>1354</v>
      </c>
      <c r="J1014">
        <v>246.5856</v>
      </c>
    </row>
    <row r="1015" spans="1:10">
      <c r="A1015" t="s">
        <v>2364</v>
      </c>
      <c r="B1015" s="1">
        <v>45459</v>
      </c>
      <c r="C1015" t="s">
        <v>432</v>
      </c>
      <c r="D1015" t="s">
        <v>1085</v>
      </c>
      <c r="E1015" t="s">
        <v>1332</v>
      </c>
      <c r="F1015">
        <v>4</v>
      </c>
      <c r="G1015">
        <v>929.26</v>
      </c>
      <c r="H1015">
        <v>0.23</v>
      </c>
      <c r="I1015" t="s">
        <v>1351</v>
      </c>
      <c r="J1015">
        <v>2862.1208000000001</v>
      </c>
    </row>
    <row r="1016" spans="1:10">
      <c r="A1016" t="s">
        <v>2365</v>
      </c>
      <c r="B1016" s="1">
        <v>45681</v>
      </c>
      <c r="C1016" t="s">
        <v>682</v>
      </c>
      <c r="D1016" t="s">
        <v>1193</v>
      </c>
      <c r="E1016" t="s">
        <v>1322</v>
      </c>
      <c r="F1016">
        <v>2</v>
      </c>
      <c r="G1016">
        <v>92.64</v>
      </c>
      <c r="H1016">
        <v>0.14000000000000001</v>
      </c>
      <c r="I1016" t="s">
        <v>1354</v>
      </c>
      <c r="J1016">
        <v>159.3408</v>
      </c>
    </row>
    <row r="1017" spans="1:10">
      <c r="A1017" t="s">
        <v>2366</v>
      </c>
      <c r="B1017" s="1">
        <v>45725</v>
      </c>
      <c r="C1017" t="s">
        <v>559</v>
      </c>
      <c r="D1017" t="s">
        <v>1197</v>
      </c>
      <c r="E1017" t="s">
        <v>1294</v>
      </c>
      <c r="F1017">
        <v>4</v>
      </c>
      <c r="G1017">
        <v>139.05000000000001</v>
      </c>
      <c r="H1017">
        <v>0.28999999999999998</v>
      </c>
      <c r="I1017" t="s">
        <v>1354</v>
      </c>
      <c r="J1017">
        <v>394.90199999999999</v>
      </c>
    </row>
    <row r="1018" spans="1:10">
      <c r="A1018" t="s">
        <v>2367</v>
      </c>
      <c r="B1018" s="1">
        <v>45461</v>
      </c>
      <c r="C1018" t="s">
        <v>341</v>
      </c>
      <c r="D1018" t="s">
        <v>1179</v>
      </c>
      <c r="E1018" t="s">
        <v>1294</v>
      </c>
      <c r="F1018">
        <v>3</v>
      </c>
      <c r="G1018">
        <v>155.87</v>
      </c>
      <c r="H1018">
        <v>0.03</v>
      </c>
      <c r="I1018" t="s">
        <v>1354</v>
      </c>
      <c r="J1018">
        <v>453.58170000000001</v>
      </c>
    </row>
    <row r="1019" spans="1:10">
      <c r="A1019" t="s">
        <v>2368</v>
      </c>
      <c r="B1019" s="1">
        <v>45837</v>
      </c>
      <c r="C1019" t="s">
        <v>947</v>
      </c>
      <c r="D1019" t="s">
        <v>1141</v>
      </c>
      <c r="E1019" t="s">
        <v>1329</v>
      </c>
      <c r="F1019">
        <v>4</v>
      </c>
      <c r="G1019">
        <v>115.42</v>
      </c>
      <c r="H1019">
        <v>0.03</v>
      </c>
      <c r="I1019" t="s">
        <v>1354</v>
      </c>
      <c r="J1019">
        <v>447.82960000000003</v>
      </c>
    </row>
    <row r="1020" spans="1:10">
      <c r="A1020" t="s">
        <v>2369</v>
      </c>
      <c r="B1020" s="1">
        <v>45823</v>
      </c>
      <c r="C1020" t="s">
        <v>304</v>
      </c>
      <c r="D1020" t="s">
        <v>1177</v>
      </c>
      <c r="E1020" t="s">
        <v>1301</v>
      </c>
      <c r="F1020">
        <v>3</v>
      </c>
      <c r="G1020">
        <v>593.62</v>
      </c>
      <c r="H1020">
        <v>0.08</v>
      </c>
      <c r="I1020" t="s">
        <v>1349</v>
      </c>
      <c r="J1020">
        <v>1638.3912</v>
      </c>
    </row>
    <row r="1021" spans="1:10">
      <c r="A1021" t="s">
        <v>2370</v>
      </c>
      <c r="B1021" s="1">
        <v>45733</v>
      </c>
      <c r="C1021" t="s">
        <v>770</v>
      </c>
      <c r="D1021" t="s">
        <v>1163</v>
      </c>
      <c r="E1021" t="s">
        <v>1294</v>
      </c>
      <c r="F1021">
        <v>2</v>
      </c>
      <c r="G1021">
        <v>825.04</v>
      </c>
      <c r="H1021">
        <v>0.2</v>
      </c>
      <c r="I1021" t="s">
        <v>1349</v>
      </c>
      <c r="J1021">
        <v>1320.0640000000001</v>
      </c>
    </row>
    <row r="1022" spans="1:10">
      <c r="A1022" t="s">
        <v>2371</v>
      </c>
      <c r="B1022" s="1">
        <v>45322</v>
      </c>
      <c r="C1022" t="s">
        <v>990</v>
      </c>
      <c r="D1022" t="s">
        <v>1123</v>
      </c>
      <c r="E1022" t="s">
        <v>1322</v>
      </c>
      <c r="F1022">
        <v>1</v>
      </c>
      <c r="G1022">
        <v>963.76</v>
      </c>
      <c r="H1022">
        <v>0.14000000000000001</v>
      </c>
      <c r="I1022" t="s">
        <v>1351</v>
      </c>
      <c r="J1022">
        <v>828.83359999999993</v>
      </c>
    </row>
    <row r="1023" spans="1:10">
      <c r="A1023" t="s">
        <v>2372</v>
      </c>
      <c r="B1023" s="1">
        <v>45415</v>
      </c>
      <c r="C1023" t="s">
        <v>648</v>
      </c>
      <c r="D1023" t="s">
        <v>1183</v>
      </c>
      <c r="E1023" t="s">
        <v>1301</v>
      </c>
      <c r="F1023">
        <v>1</v>
      </c>
      <c r="G1023">
        <v>238.24</v>
      </c>
      <c r="H1023">
        <v>0.12</v>
      </c>
      <c r="I1023" t="s">
        <v>1351</v>
      </c>
      <c r="J1023">
        <v>209.65119999999999</v>
      </c>
    </row>
    <row r="1024" spans="1:10">
      <c r="A1024" t="s">
        <v>2373</v>
      </c>
      <c r="B1024" s="1">
        <v>45644</v>
      </c>
      <c r="C1024" t="s">
        <v>977</v>
      </c>
      <c r="D1024" t="s">
        <v>1237</v>
      </c>
      <c r="E1024" t="s">
        <v>1329</v>
      </c>
      <c r="F1024">
        <v>1</v>
      </c>
      <c r="G1024">
        <v>756.63</v>
      </c>
      <c r="H1024">
        <v>0.04</v>
      </c>
      <c r="I1024" t="s">
        <v>1351</v>
      </c>
      <c r="J1024">
        <v>726.36479999999995</v>
      </c>
    </row>
    <row r="1025" spans="1:10">
      <c r="A1025" t="s">
        <v>2374</v>
      </c>
      <c r="B1025" s="1">
        <v>45845</v>
      </c>
      <c r="C1025" t="s">
        <v>66</v>
      </c>
      <c r="D1025" t="s">
        <v>1259</v>
      </c>
      <c r="E1025" t="s">
        <v>1304</v>
      </c>
      <c r="F1025">
        <v>3</v>
      </c>
      <c r="G1025">
        <v>159.76</v>
      </c>
      <c r="H1025">
        <v>0.22</v>
      </c>
      <c r="I1025" t="s">
        <v>1349</v>
      </c>
      <c r="J1025">
        <v>373.83839999999998</v>
      </c>
    </row>
    <row r="1026" spans="1:10">
      <c r="A1026" t="s">
        <v>2375</v>
      </c>
      <c r="B1026" s="1">
        <v>45354</v>
      </c>
      <c r="C1026" t="s">
        <v>799</v>
      </c>
      <c r="D1026" t="s">
        <v>1263</v>
      </c>
      <c r="E1026" t="s">
        <v>1307</v>
      </c>
      <c r="F1026">
        <v>1</v>
      </c>
      <c r="G1026">
        <v>329.94</v>
      </c>
      <c r="H1026">
        <v>0.14000000000000001</v>
      </c>
      <c r="I1026" t="s">
        <v>1354</v>
      </c>
      <c r="J1026">
        <v>283.7484</v>
      </c>
    </row>
    <row r="1027" spans="1:10">
      <c r="A1027" t="s">
        <v>2376</v>
      </c>
      <c r="B1027" s="1">
        <v>45720</v>
      </c>
      <c r="C1027" t="s">
        <v>166</v>
      </c>
      <c r="D1027" t="s">
        <v>1107</v>
      </c>
      <c r="E1027" t="s">
        <v>1307</v>
      </c>
      <c r="F1027">
        <v>1</v>
      </c>
      <c r="G1027">
        <v>234.06</v>
      </c>
      <c r="H1027">
        <v>0.11</v>
      </c>
      <c r="I1027" t="s">
        <v>1351</v>
      </c>
      <c r="J1027">
        <v>208.3134</v>
      </c>
    </row>
    <row r="1028" spans="1:10">
      <c r="A1028" t="s">
        <v>2377</v>
      </c>
      <c r="B1028" s="1">
        <v>45278</v>
      </c>
      <c r="C1028" t="s">
        <v>698</v>
      </c>
      <c r="D1028" t="s">
        <v>1235</v>
      </c>
      <c r="E1028" t="s">
        <v>1277</v>
      </c>
      <c r="F1028">
        <v>2</v>
      </c>
      <c r="G1028">
        <v>773.75</v>
      </c>
      <c r="H1028">
        <v>0.16</v>
      </c>
      <c r="I1028" t="s">
        <v>1351</v>
      </c>
      <c r="J1028">
        <v>1299.9000000000001</v>
      </c>
    </row>
    <row r="1029" spans="1:10">
      <c r="A1029" t="s">
        <v>2378</v>
      </c>
      <c r="B1029" s="1">
        <v>45422</v>
      </c>
      <c r="C1029" t="s">
        <v>935</v>
      </c>
      <c r="D1029" t="s">
        <v>1177</v>
      </c>
      <c r="E1029" t="s">
        <v>1335</v>
      </c>
      <c r="F1029">
        <v>1</v>
      </c>
      <c r="G1029">
        <v>73.88</v>
      </c>
      <c r="H1029">
        <v>0.04</v>
      </c>
      <c r="I1029" t="s">
        <v>1349</v>
      </c>
      <c r="J1029">
        <v>70.924799999999991</v>
      </c>
    </row>
    <row r="1030" spans="1:10">
      <c r="A1030" t="s">
        <v>2379</v>
      </c>
      <c r="B1030" s="1">
        <v>45337</v>
      </c>
      <c r="C1030" t="s">
        <v>27</v>
      </c>
      <c r="D1030" t="s">
        <v>1245</v>
      </c>
      <c r="E1030" t="s">
        <v>1335</v>
      </c>
      <c r="F1030">
        <v>1</v>
      </c>
      <c r="G1030">
        <v>859.3</v>
      </c>
      <c r="H1030">
        <v>0.16</v>
      </c>
      <c r="I1030" t="s">
        <v>1351</v>
      </c>
      <c r="J1030">
        <v>721.8119999999999</v>
      </c>
    </row>
    <row r="1031" spans="1:10">
      <c r="A1031" t="s">
        <v>2380</v>
      </c>
      <c r="B1031" s="1">
        <v>45564</v>
      </c>
      <c r="C1031" t="s">
        <v>319</v>
      </c>
      <c r="D1031" t="s">
        <v>1235</v>
      </c>
      <c r="E1031" t="s">
        <v>1301</v>
      </c>
      <c r="F1031">
        <v>4</v>
      </c>
      <c r="G1031">
        <v>762.43</v>
      </c>
      <c r="H1031">
        <v>0.05</v>
      </c>
      <c r="I1031" t="s">
        <v>1349</v>
      </c>
      <c r="J1031">
        <v>2897.233999999999</v>
      </c>
    </row>
    <row r="1032" spans="1:10">
      <c r="A1032" t="s">
        <v>2381</v>
      </c>
      <c r="B1032" s="1">
        <v>45424</v>
      </c>
      <c r="C1032" t="s">
        <v>308</v>
      </c>
      <c r="D1032" t="s">
        <v>1219</v>
      </c>
      <c r="E1032" t="s">
        <v>1277</v>
      </c>
      <c r="F1032">
        <v>1</v>
      </c>
      <c r="G1032">
        <v>328.51</v>
      </c>
      <c r="H1032">
        <v>0.2</v>
      </c>
      <c r="I1032" t="s">
        <v>1354</v>
      </c>
      <c r="J1032">
        <v>262.80799999999999</v>
      </c>
    </row>
    <row r="1033" spans="1:10">
      <c r="A1033" t="s">
        <v>2382</v>
      </c>
      <c r="B1033" s="1">
        <v>45719</v>
      </c>
      <c r="C1033" t="s">
        <v>612</v>
      </c>
      <c r="D1033" t="s">
        <v>1161</v>
      </c>
      <c r="E1033" t="s">
        <v>1294</v>
      </c>
      <c r="F1033">
        <v>1</v>
      </c>
      <c r="G1033">
        <v>34.51</v>
      </c>
      <c r="H1033">
        <v>0.04</v>
      </c>
      <c r="I1033" t="s">
        <v>1354</v>
      </c>
      <c r="J1033">
        <v>33.129600000000003</v>
      </c>
    </row>
    <row r="1034" spans="1:10">
      <c r="A1034" t="s">
        <v>2383</v>
      </c>
      <c r="B1034" s="1">
        <v>45250</v>
      </c>
      <c r="C1034" t="s">
        <v>269</v>
      </c>
      <c r="D1034" t="s">
        <v>1111</v>
      </c>
      <c r="E1034" t="s">
        <v>1317</v>
      </c>
      <c r="F1034">
        <v>3</v>
      </c>
      <c r="G1034">
        <v>663.73</v>
      </c>
      <c r="H1034">
        <v>0.06</v>
      </c>
      <c r="I1034" t="s">
        <v>1354</v>
      </c>
      <c r="J1034">
        <v>1871.7185999999999</v>
      </c>
    </row>
    <row r="1035" spans="1:10">
      <c r="A1035" t="s">
        <v>2384</v>
      </c>
      <c r="B1035" s="1">
        <v>45479</v>
      </c>
      <c r="C1035" t="s">
        <v>555</v>
      </c>
      <c r="D1035" t="s">
        <v>1139</v>
      </c>
      <c r="E1035" t="s">
        <v>1311</v>
      </c>
      <c r="F1035">
        <v>1</v>
      </c>
      <c r="G1035">
        <v>409.41</v>
      </c>
      <c r="H1035">
        <v>0.13</v>
      </c>
      <c r="I1035" t="s">
        <v>1351</v>
      </c>
      <c r="J1035">
        <v>356.18669999999997</v>
      </c>
    </row>
    <row r="1036" spans="1:10">
      <c r="A1036" t="s">
        <v>2385</v>
      </c>
      <c r="B1036" s="1">
        <v>45727</v>
      </c>
      <c r="C1036" t="s">
        <v>242</v>
      </c>
      <c r="D1036" t="s">
        <v>1229</v>
      </c>
      <c r="E1036" t="s">
        <v>1291</v>
      </c>
      <c r="F1036">
        <v>3</v>
      </c>
      <c r="G1036">
        <v>461.03</v>
      </c>
      <c r="H1036">
        <v>0.11</v>
      </c>
      <c r="I1036" t="s">
        <v>1351</v>
      </c>
      <c r="J1036">
        <v>1230.9501</v>
      </c>
    </row>
    <row r="1037" spans="1:10">
      <c r="A1037" t="s">
        <v>2386</v>
      </c>
      <c r="B1037" s="1">
        <v>45394</v>
      </c>
      <c r="C1037" t="s">
        <v>799</v>
      </c>
      <c r="D1037" t="s">
        <v>1111</v>
      </c>
      <c r="E1037" t="s">
        <v>1324</v>
      </c>
      <c r="F1037">
        <v>2</v>
      </c>
      <c r="G1037">
        <v>760.14</v>
      </c>
      <c r="H1037">
        <v>0.02</v>
      </c>
      <c r="I1037" t="s">
        <v>1354</v>
      </c>
      <c r="J1037">
        <v>1489.8743999999999</v>
      </c>
    </row>
    <row r="1038" spans="1:10">
      <c r="A1038" t="s">
        <v>2387</v>
      </c>
      <c r="B1038" s="1">
        <v>45773</v>
      </c>
      <c r="C1038" t="s">
        <v>620</v>
      </c>
      <c r="D1038" t="s">
        <v>1119</v>
      </c>
      <c r="E1038" t="s">
        <v>1282</v>
      </c>
      <c r="F1038">
        <v>3</v>
      </c>
      <c r="G1038">
        <v>688.76</v>
      </c>
      <c r="H1038">
        <v>0.12</v>
      </c>
      <c r="I1038" t="s">
        <v>1351</v>
      </c>
      <c r="J1038">
        <v>1818.3263999999999</v>
      </c>
    </row>
    <row r="1039" spans="1:10">
      <c r="A1039" t="s">
        <v>2388</v>
      </c>
      <c r="B1039" s="1">
        <v>45779</v>
      </c>
      <c r="C1039" t="s">
        <v>379</v>
      </c>
      <c r="D1039" t="s">
        <v>1159</v>
      </c>
      <c r="E1039" t="s">
        <v>1311</v>
      </c>
      <c r="F1039">
        <v>2</v>
      </c>
      <c r="G1039">
        <v>257.77999999999997</v>
      </c>
      <c r="H1039">
        <v>0.05</v>
      </c>
      <c r="I1039" t="s">
        <v>1349</v>
      </c>
      <c r="J1039">
        <v>489.78199999999993</v>
      </c>
    </row>
    <row r="1040" spans="1:10">
      <c r="A1040" t="s">
        <v>2389</v>
      </c>
      <c r="B1040" s="1">
        <v>45400</v>
      </c>
      <c r="C1040" t="s">
        <v>147</v>
      </c>
      <c r="D1040" t="s">
        <v>1179</v>
      </c>
      <c r="E1040" t="s">
        <v>1304</v>
      </c>
      <c r="F1040">
        <v>2</v>
      </c>
      <c r="G1040">
        <v>314.29000000000002</v>
      </c>
      <c r="H1040">
        <v>0.19</v>
      </c>
      <c r="I1040" t="s">
        <v>1354</v>
      </c>
      <c r="J1040">
        <v>509.14980000000008</v>
      </c>
    </row>
    <row r="1041" spans="1:10">
      <c r="A1041" t="s">
        <v>2390</v>
      </c>
      <c r="B1041" s="1">
        <v>45520</v>
      </c>
      <c r="C1041" t="s">
        <v>371</v>
      </c>
      <c r="D1041" t="s">
        <v>1217</v>
      </c>
      <c r="E1041" t="s">
        <v>1324</v>
      </c>
      <c r="F1041">
        <v>3</v>
      </c>
      <c r="G1041">
        <v>336.09</v>
      </c>
      <c r="H1041">
        <v>0.01</v>
      </c>
      <c r="I1041" t="s">
        <v>1351</v>
      </c>
      <c r="J1041">
        <v>998.18729999999994</v>
      </c>
    </row>
    <row r="1042" spans="1:10">
      <c r="A1042" t="s">
        <v>2391</v>
      </c>
      <c r="B1042" s="1">
        <v>45861</v>
      </c>
      <c r="C1042" t="s">
        <v>18</v>
      </c>
      <c r="D1042" t="s">
        <v>1223</v>
      </c>
      <c r="E1042" t="s">
        <v>1332</v>
      </c>
      <c r="F1042">
        <v>3</v>
      </c>
      <c r="G1042">
        <v>202.07</v>
      </c>
      <c r="H1042">
        <v>0.23</v>
      </c>
      <c r="I1042" t="s">
        <v>1351</v>
      </c>
      <c r="J1042">
        <v>466.78170000000011</v>
      </c>
    </row>
    <row r="1043" spans="1:10">
      <c r="A1043" t="s">
        <v>2392</v>
      </c>
      <c r="B1043" s="1">
        <v>45781</v>
      </c>
      <c r="C1043" t="s">
        <v>684</v>
      </c>
      <c r="D1043" t="s">
        <v>1107</v>
      </c>
      <c r="E1043" t="s">
        <v>1307</v>
      </c>
      <c r="F1043">
        <v>2</v>
      </c>
      <c r="G1043">
        <v>485.25</v>
      </c>
      <c r="H1043">
        <v>0.28000000000000003</v>
      </c>
      <c r="I1043" t="s">
        <v>1349</v>
      </c>
      <c r="J1043">
        <v>698.76</v>
      </c>
    </row>
    <row r="1044" spans="1:10">
      <c r="A1044" t="s">
        <v>2393</v>
      </c>
      <c r="B1044" s="1">
        <v>45906</v>
      </c>
      <c r="C1044" t="s">
        <v>403</v>
      </c>
      <c r="D1044" t="s">
        <v>1223</v>
      </c>
      <c r="E1044" t="s">
        <v>1314</v>
      </c>
      <c r="F1044">
        <v>4</v>
      </c>
      <c r="G1044">
        <v>552.38</v>
      </c>
      <c r="H1044">
        <v>0.1</v>
      </c>
      <c r="I1044" t="s">
        <v>1351</v>
      </c>
      <c r="J1044">
        <v>1988.568</v>
      </c>
    </row>
    <row r="1045" spans="1:10">
      <c r="A1045" t="s">
        <v>2394</v>
      </c>
      <c r="B1045" s="1">
        <v>45251</v>
      </c>
      <c r="C1045" t="s">
        <v>273</v>
      </c>
      <c r="D1045" t="s">
        <v>1189</v>
      </c>
      <c r="E1045" t="s">
        <v>1332</v>
      </c>
      <c r="F1045">
        <v>4</v>
      </c>
      <c r="G1045">
        <v>377.26</v>
      </c>
      <c r="H1045">
        <v>0.22</v>
      </c>
      <c r="I1045" t="s">
        <v>1354</v>
      </c>
      <c r="J1045">
        <v>1177.0512000000001</v>
      </c>
    </row>
    <row r="1046" spans="1:10">
      <c r="A1046" t="s">
        <v>2395</v>
      </c>
      <c r="B1046" s="1">
        <v>45257</v>
      </c>
      <c r="C1046" t="s">
        <v>150</v>
      </c>
      <c r="D1046" t="s">
        <v>1167</v>
      </c>
      <c r="E1046" t="s">
        <v>1338</v>
      </c>
      <c r="F1046">
        <v>4</v>
      </c>
      <c r="G1046">
        <v>189.07</v>
      </c>
      <c r="H1046">
        <v>0.1</v>
      </c>
      <c r="I1046" t="s">
        <v>1354</v>
      </c>
      <c r="J1046">
        <v>680.65200000000004</v>
      </c>
    </row>
    <row r="1047" spans="1:10">
      <c r="A1047" t="s">
        <v>2396</v>
      </c>
      <c r="B1047" s="1">
        <v>45818</v>
      </c>
      <c r="C1047" t="s">
        <v>1059</v>
      </c>
      <c r="D1047" t="s">
        <v>1133</v>
      </c>
      <c r="E1047" t="s">
        <v>1294</v>
      </c>
      <c r="F1047">
        <v>3</v>
      </c>
      <c r="G1047">
        <v>272.27</v>
      </c>
      <c r="H1047">
        <v>0.01</v>
      </c>
      <c r="I1047" t="s">
        <v>1349</v>
      </c>
      <c r="J1047">
        <v>808.64189999999996</v>
      </c>
    </row>
    <row r="1048" spans="1:10">
      <c r="A1048" t="s">
        <v>2397</v>
      </c>
      <c r="B1048" s="1">
        <v>45806</v>
      </c>
      <c r="C1048" t="s">
        <v>591</v>
      </c>
      <c r="D1048" t="s">
        <v>1257</v>
      </c>
      <c r="E1048" t="s">
        <v>1317</v>
      </c>
      <c r="F1048">
        <v>1</v>
      </c>
      <c r="G1048">
        <v>209.39</v>
      </c>
      <c r="H1048">
        <v>0.28000000000000003</v>
      </c>
      <c r="I1048" t="s">
        <v>1351</v>
      </c>
      <c r="J1048">
        <v>150.76079999999999</v>
      </c>
    </row>
    <row r="1049" spans="1:10">
      <c r="A1049" t="s">
        <v>2398</v>
      </c>
      <c r="B1049" s="1">
        <v>45288</v>
      </c>
      <c r="C1049" t="s">
        <v>150</v>
      </c>
      <c r="D1049" t="s">
        <v>1233</v>
      </c>
      <c r="E1049" t="s">
        <v>1311</v>
      </c>
      <c r="F1049">
        <v>1</v>
      </c>
      <c r="G1049">
        <v>813.87</v>
      </c>
      <c r="H1049">
        <v>0.23</v>
      </c>
      <c r="I1049" t="s">
        <v>1349</v>
      </c>
      <c r="J1049">
        <v>626.67989999999998</v>
      </c>
    </row>
    <row r="1050" spans="1:10">
      <c r="A1050" t="s">
        <v>2399</v>
      </c>
      <c r="B1050" s="1">
        <v>45783</v>
      </c>
      <c r="C1050" t="s">
        <v>577</v>
      </c>
      <c r="D1050" t="s">
        <v>1129</v>
      </c>
      <c r="E1050" t="s">
        <v>1277</v>
      </c>
      <c r="F1050">
        <v>1</v>
      </c>
      <c r="G1050">
        <v>143.69999999999999</v>
      </c>
      <c r="H1050">
        <v>0.19</v>
      </c>
      <c r="I1050" t="s">
        <v>1351</v>
      </c>
      <c r="J1050">
        <v>116.39700000000001</v>
      </c>
    </row>
    <row r="1051" spans="1:10">
      <c r="A1051" t="s">
        <v>2400</v>
      </c>
      <c r="B1051" s="1">
        <v>45385</v>
      </c>
      <c r="C1051" t="s">
        <v>1002</v>
      </c>
      <c r="D1051" t="s">
        <v>1165</v>
      </c>
      <c r="E1051" t="s">
        <v>1282</v>
      </c>
      <c r="F1051">
        <v>4</v>
      </c>
      <c r="G1051">
        <v>837.34</v>
      </c>
      <c r="H1051">
        <v>0.05</v>
      </c>
      <c r="I1051" t="s">
        <v>1351</v>
      </c>
      <c r="J1051">
        <v>3181.8919999999998</v>
      </c>
    </row>
    <row r="1052" spans="1:10">
      <c r="A1052" t="s">
        <v>2401</v>
      </c>
      <c r="B1052" s="1">
        <v>45878</v>
      </c>
      <c r="C1052" t="s">
        <v>300</v>
      </c>
      <c r="D1052" t="s">
        <v>1103</v>
      </c>
      <c r="E1052" t="s">
        <v>1338</v>
      </c>
      <c r="F1052">
        <v>1</v>
      </c>
      <c r="G1052">
        <v>151.66</v>
      </c>
      <c r="H1052">
        <v>0.16</v>
      </c>
      <c r="I1052" t="s">
        <v>1354</v>
      </c>
      <c r="J1052">
        <v>127.3944</v>
      </c>
    </row>
    <row r="1053" spans="1:10">
      <c r="A1053" t="s">
        <v>2402</v>
      </c>
      <c r="B1053" s="1">
        <v>45720</v>
      </c>
      <c r="C1053" t="s">
        <v>1059</v>
      </c>
      <c r="D1053" t="s">
        <v>1161</v>
      </c>
      <c r="E1053" t="s">
        <v>1307</v>
      </c>
      <c r="F1053">
        <v>3</v>
      </c>
      <c r="G1053">
        <v>961.4</v>
      </c>
      <c r="H1053">
        <v>0.02</v>
      </c>
      <c r="I1053" t="s">
        <v>1351</v>
      </c>
      <c r="J1053">
        <v>2826.5160000000001</v>
      </c>
    </row>
    <row r="1054" spans="1:10">
      <c r="A1054" t="s">
        <v>2403</v>
      </c>
      <c r="B1054" s="1">
        <v>45503</v>
      </c>
      <c r="C1054" t="s">
        <v>803</v>
      </c>
      <c r="D1054" t="s">
        <v>1221</v>
      </c>
      <c r="E1054" t="s">
        <v>1335</v>
      </c>
      <c r="F1054">
        <v>4</v>
      </c>
      <c r="G1054">
        <v>475.98</v>
      </c>
      <c r="H1054">
        <v>0.19</v>
      </c>
      <c r="I1054" t="s">
        <v>1351</v>
      </c>
      <c r="J1054">
        <v>1542.1751999999999</v>
      </c>
    </row>
    <row r="1055" spans="1:10">
      <c r="A1055" t="s">
        <v>2404</v>
      </c>
      <c r="B1055" s="1">
        <v>45551</v>
      </c>
      <c r="C1055" t="s">
        <v>823</v>
      </c>
      <c r="D1055" t="s">
        <v>1149</v>
      </c>
      <c r="E1055" t="s">
        <v>1326</v>
      </c>
      <c r="F1055">
        <v>4</v>
      </c>
      <c r="G1055">
        <v>132.88999999999999</v>
      </c>
      <c r="H1055">
        <v>0.12</v>
      </c>
      <c r="I1055" t="s">
        <v>1349</v>
      </c>
      <c r="J1055">
        <v>467.77280000000002</v>
      </c>
    </row>
    <row r="1056" spans="1:10">
      <c r="A1056" t="s">
        <v>2405</v>
      </c>
      <c r="B1056" s="1">
        <v>45850</v>
      </c>
      <c r="C1056" t="s">
        <v>937</v>
      </c>
      <c r="D1056" t="s">
        <v>1143</v>
      </c>
      <c r="E1056" t="s">
        <v>1319</v>
      </c>
      <c r="F1056">
        <v>3</v>
      </c>
      <c r="G1056">
        <v>471.31</v>
      </c>
      <c r="H1056">
        <v>0</v>
      </c>
      <c r="I1056" t="s">
        <v>1351</v>
      </c>
      <c r="J1056">
        <v>1413.93</v>
      </c>
    </row>
    <row r="1057" spans="1:10">
      <c r="A1057" t="s">
        <v>2406</v>
      </c>
      <c r="B1057" s="1">
        <v>45441</v>
      </c>
      <c r="C1057" t="s">
        <v>990</v>
      </c>
      <c r="D1057" t="s">
        <v>1225</v>
      </c>
      <c r="E1057" t="s">
        <v>1324</v>
      </c>
      <c r="F1057">
        <v>2</v>
      </c>
      <c r="G1057">
        <v>720.32</v>
      </c>
      <c r="H1057">
        <v>0.26</v>
      </c>
      <c r="I1057" t="s">
        <v>1349</v>
      </c>
      <c r="J1057">
        <v>1066.0735999999999</v>
      </c>
    </row>
    <row r="1058" spans="1:10">
      <c r="A1058" t="s">
        <v>2407</v>
      </c>
      <c r="B1058" s="1">
        <v>45431</v>
      </c>
      <c r="C1058" t="s">
        <v>202</v>
      </c>
      <c r="D1058" t="s">
        <v>1205</v>
      </c>
      <c r="E1058" t="s">
        <v>1335</v>
      </c>
      <c r="F1058">
        <v>4</v>
      </c>
      <c r="G1058">
        <v>99.92</v>
      </c>
      <c r="H1058">
        <v>0.11</v>
      </c>
      <c r="I1058" t="s">
        <v>1354</v>
      </c>
      <c r="J1058">
        <v>355.71519999999998</v>
      </c>
    </row>
    <row r="1059" spans="1:10">
      <c r="A1059" t="s">
        <v>2408</v>
      </c>
      <c r="B1059" s="1">
        <v>45873</v>
      </c>
      <c r="C1059" t="s">
        <v>182</v>
      </c>
      <c r="D1059" t="s">
        <v>1093</v>
      </c>
      <c r="E1059" t="s">
        <v>1291</v>
      </c>
      <c r="F1059">
        <v>3</v>
      </c>
      <c r="G1059">
        <v>900.63</v>
      </c>
      <c r="H1059">
        <v>0.11</v>
      </c>
      <c r="I1059" t="s">
        <v>1354</v>
      </c>
      <c r="J1059">
        <v>2404.6821</v>
      </c>
    </row>
    <row r="1060" spans="1:10">
      <c r="A1060" t="s">
        <v>2409</v>
      </c>
      <c r="B1060" s="1">
        <v>45629</v>
      </c>
      <c r="C1060" t="s">
        <v>947</v>
      </c>
      <c r="D1060" t="s">
        <v>1165</v>
      </c>
      <c r="E1060" t="s">
        <v>1307</v>
      </c>
      <c r="F1060">
        <v>1</v>
      </c>
      <c r="G1060">
        <v>681.72</v>
      </c>
      <c r="H1060">
        <v>0.11</v>
      </c>
      <c r="I1060" t="s">
        <v>1351</v>
      </c>
      <c r="J1060">
        <v>606.73080000000004</v>
      </c>
    </row>
    <row r="1061" spans="1:10">
      <c r="A1061" t="s">
        <v>2410</v>
      </c>
      <c r="B1061" s="1">
        <v>45222</v>
      </c>
      <c r="C1061" t="s">
        <v>39</v>
      </c>
      <c r="D1061" t="s">
        <v>1229</v>
      </c>
      <c r="E1061" t="s">
        <v>1322</v>
      </c>
      <c r="F1061">
        <v>2</v>
      </c>
      <c r="G1061">
        <v>838.22</v>
      </c>
      <c r="H1061">
        <v>0.3</v>
      </c>
      <c r="I1061" t="s">
        <v>1349</v>
      </c>
      <c r="J1061">
        <v>1173.508</v>
      </c>
    </row>
    <row r="1062" spans="1:10">
      <c r="A1062" t="s">
        <v>2411</v>
      </c>
      <c r="B1062" s="1">
        <v>45797</v>
      </c>
      <c r="C1062" t="s">
        <v>450</v>
      </c>
      <c r="D1062" t="s">
        <v>1247</v>
      </c>
      <c r="E1062" t="s">
        <v>1319</v>
      </c>
      <c r="F1062">
        <v>2</v>
      </c>
      <c r="G1062">
        <v>816.22</v>
      </c>
      <c r="H1062">
        <v>0.27</v>
      </c>
      <c r="I1062" t="s">
        <v>1349</v>
      </c>
      <c r="J1062">
        <v>1191.6812</v>
      </c>
    </row>
    <row r="1063" spans="1:10">
      <c r="A1063" t="s">
        <v>2412</v>
      </c>
      <c r="B1063" s="1">
        <v>45554</v>
      </c>
      <c r="C1063" t="s">
        <v>823</v>
      </c>
      <c r="D1063" t="s">
        <v>1195</v>
      </c>
      <c r="E1063" t="s">
        <v>1304</v>
      </c>
      <c r="F1063">
        <v>2</v>
      </c>
      <c r="G1063">
        <v>654.12</v>
      </c>
      <c r="H1063">
        <v>0.27</v>
      </c>
      <c r="I1063" t="s">
        <v>1351</v>
      </c>
      <c r="J1063">
        <v>955.01519999999994</v>
      </c>
    </row>
    <row r="1064" spans="1:10">
      <c r="A1064" t="s">
        <v>2413</v>
      </c>
      <c r="B1064" s="1">
        <v>45385</v>
      </c>
      <c r="C1064" t="s">
        <v>269</v>
      </c>
      <c r="D1064" t="s">
        <v>1219</v>
      </c>
      <c r="E1064" t="s">
        <v>1322</v>
      </c>
      <c r="F1064">
        <v>4</v>
      </c>
      <c r="G1064">
        <v>528.22</v>
      </c>
      <c r="H1064">
        <v>0.2</v>
      </c>
      <c r="I1064" t="s">
        <v>1351</v>
      </c>
      <c r="J1064">
        <v>1690.3040000000001</v>
      </c>
    </row>
    <row r="1065" spans="1:10">
      <c r="A1065" t="s">
        <v>2414</v>
      </c>
      <c r="B1065" s="1">
        <v>45704</v>
      </c>
      <c r="C1065" t="s">
        <v>505</v>
      </c>
      <c r="D1065" t="s">
        <v>1141</v>
      </c>
      <c r="E1065" t="s">
        <v>1304</v>
      </c>
      <c r="F1065">
        <v>4</v>
      </c>
      <c r="G1065">
        <v>36.72</v>
      </c>
      <c r="H1065">
        <v>7.0000000000000007E-2</v>
      </c>
      <c r="I1065" t="s">
        <v>1354</v>
      </c>
      <c r="J1065">
        <v>136.5984</v>
      </c>
    </row>
    <row r="1066" spans="1:10">
      <c r="A1066" t="s">
        <v>2415</v>
      </c>
      <c r="B1066" s="1">
        <v>45545</v>
      </c>
      <c r="C1066" t="s">
        <v>803</v>
      </c>
      <c r="D1066" t="s">
        <v>1229</v>
      </c>
      <c r="E1066" t="s">
        <v>1338</v>
      </c>
      <c r="F1066">
        <v>2</v>
      </c>
      <c r="G1066">
        <v>705.97</v>
      </c>
      <c r="H1066">
        <v>0.1</v>
      </c>
      <c r="I1066" t="s">
        <v>1351</v>
      </c>
      <c r="J1066">
        <v>1270.7460000000001</v>
      </c>
    </row>
    <row r="1067" spans="1:10">
      <c r="A1067" t="s">
        <v>2416</v>
      </c>
      <c r="B1067" s="1">
        <v>45736</v>
      </c>
      <c r="C1067" t="s">
        <v>77</v>
      </c>
      <c r="D1067" t="s">
        <v>1153</v>
      </c>
      <c r="E1067" t="s">
        <v>1282</v>
      </c>
      <c r="F1067">
        <v>2</v>
      </c>
      <c r="G1067">
        <v>994.29</v>
      </c>
      <c r="H1067">
        <v>0.01</v>
      </c>
      <c r="I1067" t="s">
        <v>1351</v>
      </c>
      <c r="J1067">
        <v>1968.6941999999999</v>
      </c>
    </row>
    <row r="1068" spans="1:10">
      <c r="A1068" t="s">
        <v>2417</v>
      </c>
      <c r="B1068" s="1">
        <v>45608</v>
      </c>
      <c r="C1068" t="s">
        <v>905</v>
      </c>
      <c r="D1068" t="s">
        <v>1257</v>
      </c>
      <c r="E1068" t="s">
        <v>1335</v>
      </c>
      <c r="F1068">
        <v>1</v>
      </c>
      <c r="G1068">
        <v>909.04</v>
      </c>
      <c r="H1068">
        <v>0.11</v>
      </c>
      <c r="I1068" t="s">
        <v>1349</v>
      </c>
      <c r="J1068">
        <v>809.04560000000004</v>
      </c>
    </row>
    <row r="1069" spans="1:10">
      <c r="A1069" t="s">
        <v>2418</v>
      </c>
      <c r="B1069" s="1">
        <v>45334</v>
      </c>
      <c r="C1069" t="s">
        <v>762</v>
      </c>
      <c r="D1069" t="s">
        <v>1141</v>
      </c>
      <c r="E1069" t="s">
        <v>1317</v>
      </c>
      <c r="F1069">
        <v>1</v>
      </c>
      <c r="G1069">
        <v>164.73</v>
      </c>
      <c r="H1069">
        <v>0.12</v>
      </c>
      <c r="I1069" t="s">
        <v>1351</v>
      </c>
      <c r="J1069">
        <v>144.9624</v>
      </c>
    </row>
    <row r="1070" spans="1:10">
      <c r="A1070" t="s">
        <v>2419</v>
      </c>
      <c r="B1070" s="1">
        <v>45690</v>
      </c>
      <c r="C1070" t="s">
        <v>170</v>
      </c>
      <c r="D1070" t="s">
        <v>1147</v>
      </c>
      <c r="E1070" t="s">
        <v>1304</v>
      </c>
      <c r="F1070">
        <v>2</v>
      </c>
      <c r="G1070">
        <v>606.35</v>
      </c>
      <c r="H1070">
        <v>0.16</v>
      </c>
      <c r="I1070" t="s">
        <v>1354</v>
      </c>
      <c r="J1070">
        <v>1018.668</v>
      </c>
    </row>
    <row r="1071" spans="1:10">
      <c r="A1071" t="s">
        <v>2420</v>
      </c>
      <c r="B1071" s="1">
        <v>45481</v>
      </c>
      <c r="C1071" t="s">
        <v>387</v>
      </c>
      <c r="D1071" t="s">
        <v>1269</v>
      </c>
      <c r="E1071" t="s">
        <v>1294</v>
      </c>
      <c r="F1071">
        <v>3</v>
      </c>
      <c r="G1071">
        <v>904.19</v>
      </c>
      <c r="H1071">
        <v>0.09</v>
      </c>
      <c r="I1071" t="s">
        <v>1349</v>
      </c>
      <c r="J1071">
        <v>2468.4387000000002</v>
      </c>
    </row>
    <row r="1072" spans="1:10">
      <c r="A1072" t="s">
        <v>2421</v>
      </c>
      <c r="B1072" s="1">
        <v>45576</v>
      </c>
      <c r="C1072" t="s">
        <v>363</v>
      </c>
      <c r="D1072" t="s">
        <v>1173</v>
      </c>
      <c r="E1072" t="s">
        <v>1286</v>
      </c>
      <c r="F1072">
        <v>4</v>
      </c>
      <c r="G1072">
        <v>694.61</v>
      </c>
      <c r="H1072">
        <v>0.18</v>
      </c>
      <c r="I1072" t="s">
        <v>1354</v>
      </c>
      <c r="J1072">
        <v>2278.3208</v>
      </c>
    </row>
    <row r="1073" spans="1:10">
      <c r="A1073" t="s">
        <v>2422</v>
      </c>
      <c r="B1073" s="1">
        <v>45215</v>
      </c>
      <c r="C1073" t="s">
        <v>513</v>
      </c>
      <c r="D1073" t="s">
        <v>1251</v>
      </c>
      <c r="E1073" t="s">
        <v>1286</v>
      </c>
      <c r="F1073">
        <v>4</v>
      </c>
      <c r="G1073">
        <v>753.83</v>
      </c>
      <c r="H1073">
        <v>0.24</v>
      </c>
      <c r="I1073" t="s">
        <v>1349</v>
      </c>
      <c r="J1073">
        <v>2291.6432</v>
      </c>
    </row>
    <row r="1074" spans="1:10">
      <c r="A1074" t="s">
        <v>2423</v>
      </c>
      <c r="B1074" s="1">
        <v>45653</v>
      </c>
      <c r="C1074" t="s">
        <v>456</v>
      </c>
      <c r="D1074" t="s">
        <v>1115</v>
      </c>
      <c r="E1074" t="s">
        <v>1307</v>
      </c>
      <c r="F1074">
        <v>1</v>
      </c>
      <c r="G1074">
        <v>66.22</v>
      </c>
      <c r="H1074">
        <v>0.02</v>
      </c>
      <c r="I1074" t="s">
        <v>1349</v>
      </c>
      <c r="J1074">
        <v>64.895600000000002</v>
      </c>
    </row>
    <row r="1075" spans="1:10">
      <c r="A1075" t="s">
        <v>2424</v>
      </c>
      <c r="B1075" s="1">
        <v>45241</v>
      </c>
      <c r="C1075" t="s">
        <v>738</v>
      </c>
      <c r="D1075" t="s">
        <v>1201</v>
      </c>
      <c r="E1075" t="s">
        <v>1324</v>
      </c>
      <c r="F1075">
        <v>2</v>
      </c>
      <c r="G1075">
        <v>891.8</v>
      </c>
      <c r="H1075">
        <v>0.28999999999999998</v>
      </c>
      <c r="I1075" t="s">
        <v>1354</v>
      </c>
      <c r="J1075">
        <v>1266.356</v>
      </c>
    </row>
    <row r="1076" spans="1:10">
      <c r="A1076" t="s">
        <v>2425</v>
      </c>
      <c r="B1076" s="1">
        <v>45428</v>
      </c>
      <c r="C1076" t="s">
        <v>789</v>
      </c>
      <c r="D1076" t="s">
        <v>1223</v>
      </c>
      <c r="E1076" t="s">
        <v>1311</v>
      </c>
      <c r="F1076">
        <v>4</v>
      </c>
      <c r="G1076">
        <v>255.48</v>
      </c>
      <c r="H1076">
        <v>0.03</v>
      </c>
      <c r="I1076" t="s">
        <v>1354</v>
      </c>
      <c r="J1076">
        <v>991.26239999999996</v>
      </c>
    </row>
    <row r="1077" spans="1:10">
      <c r="A1077" t="s">
        <v>2426</v>
      </c>
      <c r="B1077" s="1">
        <v>45593</v>
      </c>
      <c r="C1077" t="s">
        <v>666</v>
      </c>
      <c r="D1077" t="s">
        <v>1241</v>
      </c>
      <c r="E1077" t="s">
        <v>1332</v>
      </c>
      <c r="F1077">
        <v>4</v>
      </c>
      <c r="G1077">
        <v>604.87</v>
      </c>
      <c r="H1077">
        <v>0.28000000000000003</v>
      </c>
      <c r="I1077" t="s">
        <v>1351</v>
      </c>
      <c r="J1077">
        <v>1742.0255999999999</v>
      </c>
    </row>
    <row r="1078" spans="1:10">
      <c r="A1078" t="s">
        <v>2427</v>
      </c>
      <c r="B1078" s="1">
        <v>45370</v>
      </c>
      <c r="C1078" t="s">
        <v>131</v>
      </c>
      <c r="D1078" t="s">
        <v>1139</v>
      </c>
      <c r="E1078" t="s">
        <v>1332</v>
      </c>
      <c r="F1078">
        <v>3</v>
      </c>
      <c r="G1078">
        <v>623.82000000000005</v>
      </c>
      <c r="H1078">
        <v>0.13</v>
      </c>
      <c r="I1078" t="s">
        <v>1354</v>
      </c>
      <c r="J1078">
        <v>1628.1702</v>
      </c>
    </row>
    <row r="1079" spans="1:10">
      <c r="A1079" t="s">
        <v>2428</v>
      </c>
      <c r="B1079" s="1">
        <v>45882</v>
      </c>
      <c r="C1079" t="s">
        <v>337</v>
      </c>
      <c r="D1079" t="s">
        <v>1215</v>
      </c>
      <c r="E1079" t="s">
        <v>1329</v>
      </c>
      <c r="F1079">
        <v>3</v>
      </c>
      <c r="G1079">
        <v>575.24</v>
      </c>
      <c r="H1079">
        <v>0.12</v>
      </c>
      <c r="I1079" t="s">
        <v>1354</v>
      </c>
      <c r="J1079">
        <v>1518.6335999999999</v>
      </c>
    </row>
    <row r="1080" spans="1:10">
      <c r="A1080" t="s">
        <v>2429</v>
      </c>
      <c r="B1080" s="1">
        <v>45878</v>
      </c>
      <c r="C1080" t="s">
        <v>891</v>
      </c>
      <c r="D1080" t="s">
        <v>1078</v>
      </c>
      <c r="E1080" t="s">
        <v>1317</v>
      </c>
      <c r="F1080">
        <v>1</v>
      </c>
      <c r="G1080">
        <v>769.4</v>
      </c>
      <c r="H1080">
        <v>0.16</v>
      </c>
      <c r="I1080" t="s">
        <v>1349</v>
      </c>
      <c r="J1080">
        <v>646.29599999999994</v>
      </c>
    </row>
    <row r="1081" spans="1:10">
      <c r="A1081" t="s">
        <v>2430</v>
      </c>
      <c r="B1081" s="1">
        <v>45420</v>
      </c>
      <c r="C1081" t="s">
        <v>722</v>
      </c>
      <c r="D1081" t="s">
        <v>1078</v>
      </c>
      <c r="E1081" t="s">
        <v>1332</v>
      </c>
      <c r="F1081">
        <v>1</v>
      </c>
      <c r="G1081">
        <v>227.28</v>
      </c>
      <c r="H1081">
        <v>0.13</v>
      </c>
      <c r="I1081" t="s">
        <v>1354</v>
      </c>
      <c r="J1081">
        <v>197.7336</v>
      </c>
    </row>
    <row r="1082" spans="1:10">
      <c r="A1082" t="s">
        <v>2431</v>
      </c>
      <c r="B1082" s="1">
        <v>45361</v>
      </c>
      <c r="C1082" t="s">
        <v>145</v>
      </c>
      <c r="D1082" t="s">
        <v>1074</v>
      </c>
      <c r="E1082" t="s">
        <v>1332</v>
      </c>
      <c r="F1082">
        <v>4</v>
      </c>
      <c r="G1082">
        <v>127.58</v>
      </c>
      <c r="H1082">
        <v>0.15</v>
      </c>
      <c r="I1082" t="s">
        <v>1349</v>
      </c>
      <c r="J1082">
        <v>433.77199999999999</v>
      </c>
    </row>
    <row r="1083" spans="1:10">
      <c r="A1083" t="s">
        <v>2432</v>
      </c>
      <c r="B1083" s="1">
        <v>45702</v>
      </c>
      <c r="C1083" t="s">
        <v>899</v>
      </c>
      <c r="D1083" t="s">
        <v>1161</v>
      </c>
      <c r="E1083" t="s">
        <v>1291</v>
      </c>
      <c r="F1083">
        <v>1</v>
      </c>
      <c r="G1083">
        <v>793.21</v>
      </c>
      <c r="H1083">
        <v>0.09</v>
      </c>
      <c r="I1083" t="s">
        <v>1349</v>
      </c>
      <c r="J1083">
        <v>721.8211</v>
      </c>
    </row>
    <row r="1084" spans="1:10">
      <c r="A1084" t="s">
        <v>2433</v>
      </c>
      <c r="B1084" s="1">
        <v>45871</v>
      </c>
      <c r="C1084" t="s">
        <v>666</v>
      </c>
      <c r="D1084" t="s">
        <v>1239</v>
      </c>
      <c r="E1084" t="s">
        <v>1319</v>
      </c>
      <c r="F1084">
        <v>3</v>
      </c>
      <c r="G1084">
        <v>435.61</v>
      </c>
      <c r="H1084">
        <v>0.03</v>
      </c>
      <c r="I1084" t="s">
        <v>1351</v>
      </c>
      <c r="J1084">
        <v>1267.6251</v>
      </c>
    </row>
    <row r="1085" spans="1:10">
      <c r="A1085" t="s">
        <v>2434</v>
      </c>
      <c r="B1085" s="1">
        <v>45531</v>
      </c>
      <c r="C1085" t="s">
        <v>833</v>
      </c>
      <c r="D1085" t="s">
        <v>1131</v>
      </c>
      <c r="E1085" t="s">
        <v>1329</v>
      </c>
      <c r="F1085">
        <v>1</v>
      </c>
      <c r="G1085">
        <v>850.06</v>
      </c>
      <c r="H1085">
        <v>0.28999999999999998</v>
      </c>
      <c r="I1085" t="s">
        <v>1351</v>
      </c>
      <c r="J1085">
        <v>603.54259999999988</v>
      </c>
    </row>
    <row r="1086" spans="1:10">
      <c r="A1086" t="s">
        <v>2435</v>
      </c>
      <c r="B1086" s="1">
        <v>45330</v>
      </c>
      <c r="C1086" t="s">
        <v>758</v>
      </c>
      <c r="D1086" t="s">
        <v>1105</v>
      </c>
      <c r="E1086" t="s">
        <v>1329</v>
      </c>
      <c r="F1086">
        <v>2</v>
      </c>
      <c r="G1086">
        <v>753.92</v>
      </c>
      <c r="H1086">
        <v>0.17</v>
      </c>
      <c r="I1086" t="s">
        <v>1351</v>
      </c>
      <c r="J1086">
        <v>1251.5072</v>
      </c>
    </row>
    <row r="1087" spans="1:10">
      <c r="A1087" t="s">
        <v>2436</v>
      </c>
      <c r="B1087" s="1">
        <v>45311</v>
      </c>
      <c r="C1087" t="s">
        <v>1037</v>
      </c>
      <c r="D1087" t="s">
        <v>1078</v>
      </c>
      <c r="E1087" t="s">
        <v>1322</v>
      </c>
      <c r="F1087">
        <v>3</v>
      </c>
      <c r="G1087">
        <v>408.99</v>
      </c>
      <c r="H1087">
        <v>0.27</v>
      </c>
      <c r="I1087" t="s">
        <v>1351</v>
      </c>
      <c r="J1087">
        <v>895.68809999999996</v>
      </c>
    </row>
    <row r="1088" spans="1:10">
      <c r="A1088" t="s">
        <v>2437</v>
      </c>
      <c r="B1088" s="1">
        <v>45567</v>
      </c>
      <c r="C1088" t="s">
        <v>634</v>
      </c>
      <c r="D1088" t="s">
        <v>1187</v>
      </c>
      <c r="E1088" t="s">
        <v>1298</v>
      </c>
      <c r="F1088">
        <v>3</v>
      </c>
      <c r="G1088">
        <v>404.5</v>
      </c>
      <c r="H1088">
        <v>0.22</v>
      </c>
      <c r="I1088" t="s">
        <v>1351</v>
      </c>
      <c r="J1088">
        <v>946.53000000000009</v>
      </c>
    </row>
    <row r="1089" spans="1:10">
      <c r="A1089" t="s">
        <v>2438</v>
      </c>
      <c r="B1089" s="1">
        <v>45239</v>
      </c>
      <c r="C1089" t="s">
        <v>823</v>
      </c>
      <c r="D1089" t="s">
        <v>1151</v>
      </c>
      <c r="E1089" t="s">
        <v>1291</v>
      </c>
      <c r="F1089">
        <v>3</v>
      </c>
      <c r="G1089">
        <v>717.81</v>
      </c>
      <c r="H1089">
        <v>0.17</v>
      </c>
      <c r="I1089" t="s">
        <v>1354</v>
      </c>
      <c r="J1089">
        <v>1787.3469</v>
      </c>
    </row>
    <row r="1090" spans="1:10">
      <c r="A1090" t="s">
        <v>2439</v>
      </c>
      <c r="B1090" s="1">
        <v>45284</v>
      </c>
      <c r="C1090" t="s">
        <v>565</v>
      </c>
      <c r="D1090" t="s">
        <v>1241</v>
      </c>
      <c r="E1090" t="s">
        <v>1282</v>
      </c>
      <c r="F1090">
        <v>3</v>
      </c>
      <c r="G1090">
        <v>204.77</v>
      </c>
      <c r="H1090">
        <v>0.14000000000000001</v>
      </c>
      <c r="I1090" t="s">
        <v>1349</v>
      </c>
      <c r="J1090">
        <v>528.3066</v>
      </c>
    </row>
    <row r="1091" spans="1:10">
      <c r="A1091" t="s">
        <v>2440</v>
      </c>
      <c r="B1091" s="1">
        <v>45686</v>
      </c>
      <c r="C1091" t="s">
        <v>115</v>
      </c>
      <c r="D1091" t="s">
        <v>1169</v>
      </c>
      <c r="E1091" t="s">
        <v>1335</v>
      </c>
      <c r="F1091">
        <v>4</v>
      </c>
      <c r="G1091">
        <v>106.23</v>
      </c>
      <c r="H1091">
        <v>0.28000000000000003</v>
      </c>
      <c r="I1091" t="s">
        <v>1354</v>
      </c>
      <c r="J1091">
        <v>305.94240000000002</v>
      </c>
    </row>
    <row r="1092" spans="1:10">
      <c r="A1092" t="s">
        <v>2441</v>
      </c>
      <c r="B1092" s="1">
        <v>45824</v>
      </c>
      <c r="C1092" t="s">
        <v>714</v>
      </c>
      <c r="D1092" t="s">
        <v>1205</v>
      </c>
      <c r="E1092" t="s">
        <v>1298</v>
      </c>
      <c r="F1092">
        <v>2</v>
      </c>
      <c r="G1092">
        <v>769.48</v>
      </c>
      <c r="H1092">
        <v>0.11</v>
      </c>
      <c r="I1092" t="s">
        <v>1351</v>
      </c>
      <c r="J1092">
        <v>1369.6744000000001</v>
      </c>
    </row>
    <row r="1093" spans="1:10">
      <c r="A1093" t="s">
        <v>2442</v>
      </c>
      <c r="B1093" s="1">
        <v>45867</v>
      </c>
      <c r="C1093" t="s">
        <v>573</v>
      </c>
      <c r="D1093" t="s">
        <v>1187</v>
      </c>
      <c r="E1093" t="s">
        <v>1322</v>
      </c>
      <c r="F1093">
        <v>2</v>
      </c>
      <c r="G1093">
        <v>714.21</v>
      </c>
      <c r="H1093">
        <v>0.14000000000000001</v>
      </c>
      <c r="I1093" t="s">
        <v>1349</v>
      </c>
      <c r="J1093">
        <v>1228.4412</v>
      </c>
    </row>
    <row r="1094" spans="1:10">
      <c r="A1094" t="s">
        <v>2443</v>
      </c>
      <c r="B1094" s="1">
        <v>45578</v>
      </c>
      <c r="C1094" t="s">
        <v>606</v>
      </c>
      <c r="D1094" t="s">
        <v>1095</v>
      </c>
      <c r="E1094" t="s">
        <v>1326</v>
      </c>
      <c r="F1094">
        <v>4</v>
      </c>
      <c r="G1094">
        <v>632.24</v>
      </c>
      <c r="H1094">
        <v>0.25</v>
      </c>
      <c r="I1094" t="s">
        <v>1351</v>
      </c>
      <c r="J1094">
        <v>1896.72</v>
      </c>
    </row>
    <row r="1095" spans="1:10">
      <c r="A1095" t="s">
        <v>2444</v>
      </c>
      <c r="B1095" s="1">
        <v>45575</v>
      </c>
      <c r="C1095" t="s">
        <v>383</v>
      </c>
      <c r="D1095" t="s">
        <v>1229</v>
      </c>
      <c r="E1095" t="s">
        <v>1291</v>
      </c>
      <c r="F1095">
        <v>2</v>
      </c>
      <c r="G1095">
        <v>845.27</v>
      </c>
      <c r="H1095">
        <v>0.18</v>
      </c>
      <c r="I1095" t="s">
        <v>1351</v>
      </c>
      <c r="J1095">
        <v>1386.2428</v>
      </c>
    </row>
    <row r="1096" spans="1:10">
      <c r="A1096" t="s">
        <v>2445</v>
      </c>
      <c r="B1096" s="1">
        <v>45816</v>
      </c>
      <c r="C1096" t="s">
        <v>1055</v>
      </c>
      <c r="D1096" t="s">
        <v>1247</v>
      </c>
      <c r="E1096" t="s">
        <v>1322</v>
      </c>
      <c r="F1096">
        <v>1</v>
      </c>
      <c r="G1096">
        <v>575.94000000000005</v>
      </c>
      <c r="H1096">
        <v>0.17</v>
      </c>
      <c r="I1096" t="s">
        <v>1349</v>
      </c>
      <c r="J1096">
        <v>478.03019999999998</v>
      </c>
    </row>
    <row r="1097" spans="1:10">
      <c r="A1097" t="s">
        <v>2446</v>
      </c>
      <c r="B1097" s="1">
        <v>45620</v>
      </c>
      <c r="C1097" t="s">
        <v>565</v>
      </c>
      <c r="D1097" t="s">
        <v>1241</v>
      </c>
      <c r="E1097" t="s">
        <v>1326</v>
      </c>
      <c r="F1097">
        <v>1</v>
      </c>
      <c r="G1097">
        <v>907.97</v>
      </c>
      <c r="H1097">
        <v>0.26</v>
      </c>
      <c r="I1097" t="s">
        <v>1354</v>
      </c>
      <c r="J1097">
        <v>671.89779999999996</v>
      </c>
    </row>
    <row r="1098" spans="1:10">
      <c r="A1098" t="s">
        <v>2447</v>
      </c>
      <c r="B1098" s="1">
        <v>45695</v>
      </c>
      <c r="C1098" t="s">
        <v>596</v>
      </c>
      <c r="D1098" t="s">
        <v>1113</v>
      </c>
      <c r="E1098" t="s">
        <v>1319</v>
      </c>
      <c r="F1098">
        <v>1</v>
      </c>
      <c r="G1098">
        <v>99.35</v>
      </c>
      <c r="H1098">
        <v>0.08</v>
      </c>
      <c r="I1098" t="s">
        <v>1354</v>
      </c>
      <c r="J1098">
        <v>91.402000000000001</v>
      </c>
    </row>
    <row r="1099" spans="1:10">
      <c r="A1099" t="s">
        <v>2448</v>
      </c>
      <c r="B1099" s="1">
        <v>45596</v>
      </c>
      <c r="C1099" t="s">
        <v>192</v>
      </c>
      <c r="D1099" t="s">
        <v>1068</v>
      </c>
      <c r="E1099" t="s">
        <v>1291</v>
      </c>
      <c r="F1099">
        <v>2</v>
      </c>
      <c r="G1099">
        <v>374.42</v>
      </c>
      <c r="H1099">
        <v>0.21</v>
      </c>
      <c r="I1099" t="s">
        <v>1354</v>
      </c>
      <c r="J1099">
        <v>591.58360000000005</v>
      </c>
    </row>
    <row r="1100" spans="1:10">
      <c r="A1100" t="s">
        <v>2449</v>
      </c>
      <c r="B1100" s="1">
        <v>45869</v>
      </c>
      <c r="C1100" t="s">
        <v>1024</v>
      </c>
      <c r="D1100" t="s">
        <v>1103</v>
      </c>
      <c r="E1100" t="s">
        <v>1326</v>
      </c>
      <c r="F1100">
        <v>3</v>
      </c>
      <c r="G1100">
        <v>248.43</v>
      </c>
      <c r="H1100">
        <v>0.24</v>
      </c>
      <c r="I1100" t="s">
        <v>1354</v>
      </c>
      <c r="J1100">
        <v>566.42039999999997</v>
      </c>
    </row>
    <row r="1101" spans="1:10">
      <c r="A1101" t="s">
        <v>2450</v>
      </c>
      <c r="B1101" s="1">
        <v>45631</v>
      </c>
      <c r="C1101" t="s">
        <v>998</v>
      </c>
      <c r="D1101" t="s">
        <v>1243</v>
      </c>
      <c r="E1101" t="s">
        <v>1282</v>
      </c>
      <c r="F1101">
        <v>1</v>
      </c>
      <c r="G1101">
        <v>784.46</v>
      </c>
      <c r="H1101">
        <v>0.14000000000000001</v>
      </c>
      <c r="I1101" t="s">
        <v>1354</v>
      </c>
      <c r="J1101">
        <v>674.63560000000007</v>
      </c>
    </row>
    <row r="1102" spans="1:10">
      <c r="A1102" t="s">
        <v>2451</v>
      </c>
      <c r="B1102" s="1">
        <v>45379</v>
      </c>
      <c r="C1102" t="s">
        <v>581</v>
      </c>
      <c r="D1102" t="s">
        <v>1177</v>
      </c>
      <c r="E1102" t="s">
        <v>1314</v>
      </c>
      <c r="F1102">
        <v>3</v>
      </c>
      <c r="G1102">
        <v>70.88</v>
      </c>
      <c r="H1102">
        <v>0.27</v>
      </c>
      <c r="I1102" t="s">
        <v>1354</v>
      </c>
      <c r="J1102">
        <v>155.22720000000001</v>
      </c>
    </row>
    <row r="1103" spans="1:10">
      <c r="A1103" t="s">
        <v>2452</v>
      </c>
      <c r="B1103" s="1">
        <v>45641</v>
      </c>
      <c r="C1103" t="s">
        <v>279</v>
      </c>
      <c r="D1103" t="s">
        <v>1087</v>
      </c>
      <c r="E1103" t="s">
        <v>1282</v>
      </c>
      <c r="F1103">
        <v>3</v>
      </c>
      <c r="G1103">
        <v>324.29000000000002</v>
      </c>
      <c r="H1103">
        <v>0.16</v>
      </c>
      <c r="I1103" t="s">
        <v>1354</v>
      </c>
      <c r="J1103">
        <v>817.21080000000006</v>
      </c>
    </row>
    <row r="1104" spans="1:10">
      <c r="A1104" t="s">
        <v>2453</v>
      </c>
      <c r="B1104" s="1">
        <v>45842</v>
      </c>
      <c r="C1104" t="s">
        <v>343</v>
      </c>
      <c r="D1104" t="s">
        <v>1103</v>
      </c>
      <c r="E1104" t="s">
        <v>1291</v>
      </c>
      <c r="F1104">
        <v>4</v>
      </c>
      <c r="G1104">
        <v>243.92</v>
      </c>
      <c r="H1104">
        <v>0.02</v>
      </c>
      <c r="I1104" t="s">
        <v>1351</v>
      </c>
      <c r="J1104">
        <v>956.16639999999995</v>
      </c>
    </row>
    <row r="1105" spans="1:10">
      <c r="A1105" t="s">
        <v>2454</v>
      </c>
      <c r="B1105" s="1">
        <v>45257</v>
      </c>
      <c r="C1105" t="s">
        <v>813</v>
      </c>
      <c r="D1105" t="s">
        <v>1129</v>
      </c>
      <c r="E1105" t="s">
        <v>1322</v>
      </c>
      <c r="F1105">
        <v>1</v>
      </c>
      <c r="G1105">
        <v>664.35</v>
      </c>
      <c r="H1105">
        <v>0</v>
      </c>
      <c r="I1105" t="s">
        <v>1349</v>
      </c>
      <c r="J1105">
        <v>664.35</v>
      </c>
    </row>
    <row r="1106" spans="1:10">
      <c r="A1106" t="s">
        <v>2455</v>
      </c>
      <c r="B1106" s="1">
        <v>45468</v>
      </c>
      <c r="C1106" t="s">
        <v>831</v>
      </c>
      <c r="D1106" t="s">
        <v>1115</v>
      </c>
      <c r="E1106" t="s">
        <v>1314</v>
      </c>
      <c r="F1106">
        <v>2</v>
      </c>
      <c r="G1106">
        <v>218.07</v>
      </c>
      <c r="H1106">
        <v>0.19</v>
      </c>
      <c r="I1106" t="s">
        <v>1351</v>
      </c>
      <c r="J1106">
        <v>353.27339999999998</v>
      </c>
    </row>
    <row r="1107" spans="1:10">
      <c r="A1107" t="s">
        <v>2456</v>
      </c>
      <c r="B1107" s="1">
        <v>45228</v>
      </c>
      <c r="C1107" t="s">
        <v>829</v>
      </c>
      <c r="D1107" t="s">
        <v>1103</v>
      </c>
      <c r="E1107" t="s">
        <v>1291</v>
      </c>
      <c r="F1107">
        <v>4</v>
      </c>
      <c r="G1107">
        <v>921.83</v>
      </c>
      <c r="H1107">
        <v>0.27</v>
      </c>
      <c r="I1107" t="s">
        <v>1349</v>
      </c>
      <c r="J1107">
        <v>2691.7435999999998</v>
      </c>
    </row>
    <row r="1108" spans="1:10">
      <c r="A1108" t="s">
        <v>2457</v>
      </c>
      <c r="B1108" s="1">
        <v>45661</v>
      </c>
      <c r="C1108" t="s">
        <v>397</v>
      </c>
      <c r="D1108" t="s">
        <v>1173</v>
      </c>
      <c r="E1108" t="s">
        <v>1282</v>
      </c>
      <c r="F1108">
        <v>3</v>
      </c>
      <c r="G1108">
        <v>326.2</v>
      </c>
      <c r="H1108">
        <v>0.22</v>
      </c>
      <c r="I1108" t="s">
        <v>1354</v>
      </c>
      <c r="J1108">
        <v>763.30799999999999</v>
      </c>
    </row>
    <row r="1109" spans="1:10">
      <c r="A1109" t="s">
        <v>2458</v>
      </c>
      <c r="B1109" s="1">
        <v>45701</v>
      </c>
      <c r="C1109" t="s">
        <v>979</v>
      </c>
      <c r="D1109" t="s">
        <v>1107</v>
      </c>
      <c r="E1109" t="s">
        <v>1338</v>
      </c>
      <c r="F1109">
        <v>1</v>
      </c>
      <c r="G1109">
        <v>244.25</v>
      </c>
      <c r="H1109">
        <v>0.09</v>
      </c>
      <c r="I1109" t="s">
        <v>1351</v>
      </c>
      <c r="J1109">
        <v>222.26750000000001</v>
      </c>
    </row>
    <row r="1110" spans="1:10">
      <c r="A1110" t="s">
        <v>2459</v>
      </c>
      <c r="B1110" s="1">
        <v>45448</v>
      </c>
      <c r="C1110" t="s">
        <v>801</v>
      </c>
      <c r="D1110" t="s">
        <v>1195</v>
      </c>
      <c r="E1110" t="s">
        <v>1314</v>
      </c>
      <c r="F1110">
        <v>3</v>
      </c>
      <c r="G1110">
        <v>808.87</v>
      </c>
      <c r="H1110">
        <v>0.12</v>
      </c>
      <c r="I1110" t="s">
        <v>1354</v>
      </c>
      <c r="J1110">
        <v>2135.4168</v>
      </c>
    </row>
    <row r="1111" spans="1:10">
      <c r="A1111" t="s">
        <v>2460</v>
      </c>
      <c r="B1111" s="1">
        <v>45387</v>
      </c>
      <c r="C1111" t="s">
        <v>740</v>
      </c>
      <c r="D1111" t="s">
        <v>1135</v>
      </c>
      <c r="E1111" t="s">
        <v>1286</v>
      </c>
      <c r="F1111">
        <v>3</v>
      </c>
      <c r="G1111">
        <v>826.15</v>
      </c>
      <c r="H1111">
        <v>0</v>
      </c>
      <c r="I1111" t="s">
        <v>1351</v>
      </c>
      <c r="J1111">
        <v>2478.4499999999998</v>
      </c>
    </row>
    <row r="1112" spans="1:10">
      <c r="A1112" t="s">
        <v>2461</v>
      </c>
      <c r="B1112" s="1">
        <v>45652</v>
      </c>
      <c r="C1112" t="s">
        <v>436</v>
      </c>
      <c r="D1112" t="s">
        <v>1121</v>
      </c>
      <c r="E1112" t="s">
        <v>1338</v>
      </c>
      <c r="F1112">
        <v>3</v>
      </c>
      <c r="G1112">
        <v>631.20000000000005</v>
      </c>
      <c r="H1112">
        <v>0.24</v>
      </c>
      <c r="I1112" t="s">
        <v>1349</v>
      </c>
      <c r="J1112">
        <v>1439.136</v>
      </c>
    </row>
    <row r="1113" spans="1:10">
      <c r="A1113" t="s">
        <v>2462</v>
      </c>
      <c r="B1113" s="1">
        <v>45316</v>
      </c>
      <c r="C1113" t="s">
        <v>612</v>
      </c>
      <c r="D1113" t="s">
        <v>1189</v>
      </c>
      <c r="E1113" t="s">
        <v>1314</v>
      </c>
      <c r="F1113">
        <v>1</v>
      </c>
      <c r="G1113">
        <v>937.01</v>
      </c>
      <c r="H1113">
        <v>7.0000000000000007E-2</v>
      </c>
      <c r="I1113" t="s">
        <v>1349</v>
      </c>
      <c r="J1113">
        <v>871.41929999999991</v>
      </c>
    </row>
    <row r="1114" spans="1:10">
      <c r="A1114" t="s">
        <v>2463</v>
      </c>
      <c r="B1114" s="1">
        <v>45316</v>
      </c>
      <c r="C1114" t="s">
        <v>363</v>
      </c>
      <c r="D1114" t="s">
        <v>1219</v>
      </c>
      <c r="E1114" t="s">
        <v>1298</v>
      </c>
      <c r="F1114">
        <v>2</v>
      </c>
      <c r="G1114">
        <v>644</v>
      </c>
      <c r="H1114">
        <v>0.04</v>
      </c>
      <c r="I1114" t="s">
        <v>1351</v>
      </c>
      <c r="J1114">
        <v>1236.48</v>
      </c>
    </row>
    <row r="1115" spans="1:10">
      <c r="A1115" t="s">
        <v>2464</v>
      </c>
      <c r="B1115" s="1">
        <v>45888</v>
      </c>
      <c r="C1115" t="s">
        <v>246</v>
      </c>
      <c r="D1115" t="s">
        <v>1255</v>
      </c>
      <c r="E1115" t="s">
        <v>1298</v>
      </c>
      <c r="F1115">
        <v>3</v>
      </c>
      <c r="G1115">
        <v>629.58000000000004</v>
      </c>
      <c r="H1115">
        <v>0.05</v>
      </c>
      <c r="I1115" t="s">
        <v>1349</v>
      </c>
      <c r="J1115">
        <v>1794.3030000000001</v>
      </c>
    </row>
    <row r="1116" spans="1:10">
      <c r="A1116" t="s">
        <v>2465</v>
      </c>
      <c r="B1116" s="1">
        <v>45791</v>
      </c>
      <c r="C1116" t="s">
        <v>994</v>
      </c>
      <c r="D1116" t="s">
        <v>1247</v>
      </c>
      <c r="E1116" t="s">
        <v>1286</v>
      </c>
      <c r="F1116">
        <v>2</v>
      </c>
      <c r="G1116">
        <v>121.52</v>
      </c>
      <c r="H1116">
        <v>0.18</v>
      </c>
      <c r="I1116" t="s">
        <v>1354</v>
      </c>
      <c r="J1116">
        <v>199.2928</v>
      </c>
    </row>
    <row r="1117" spans="1:10">
      <c r="A1117" t="s">
        <v>2466</v>
      </c>
      <c r="B1117" s="1">
        <v>45420</v>
      </c>
      <c r="C1117" t="s">
        <v>865</v>
      </c>
      <c r="D1117" t="s">
        <v>1203</v>
      </c>
      <c r="E1117" t="s">
        <v>1338</v>
      </c>
      <c r="F1117">
        <v>2</v>
      </c>
      <c r="G1117">
        <v>549.83000000000004</v>
      </c>
      <c r="H1117">
        <v>7.0000000000000007E-2</v>
      </c>
      <c r="I1117" t="s">
        <v>1351</v>
      </c>
      <c r="J1117">
        <v>1022.6838</v>
      </c>
    </row>
    <row r="1118" spans="1:10">
      <c r="A1118" t="s">
        <v>2467</v>
      </c>
      <c r="B1118" s="1">
        <v>45219</v>
      </c>
      <c r="C1118" t="s">
        <v>341</v>
      </c>
      <c r="D1118" t="s">
        <v>1099</v>
      </c>
      <c r="E1118" t="s">
        <v>1307</v>
      </c>
      <c r="F1118">
        <v>3</v>
      </c>
      <c r="G1118">
        <v>278.38</v>
      </c>
      <c r="H1118">
        <v>0.03</v>
      </c>
      <c r="I1118" t="s">
        <v>1349</v>
      </c>
      <c r="J1118">
        <v>810.08579999999995</v>
      </c>
    </row>
    <row r="1119" spans="1:10">
      <c r="A1119" t="s">
        <v>2468</v>
      </c>
      <c r="B1119" s="1">
        <v>45510</v>
      </c>
      <c r="C1119" t="s">
        <v>937</v>
      </c>
      <c r="D1119" t="s">
        <v>1265</v>
      </c>
      <c r="E1119" t="s">
        <v>1291</v>
      </c>
      <c r="F1119">
        <v>4</v>
      </c>
      <c r="G1119">
        <v>723.66</v>
      </c>
      <c r="H1119">
        <v>0.03</v>
      </c>
      <c r="I1119" t="s">
        <v>1351</v>
      </c>
      <c r="J1119">
        <v>2807.8008</v>
      </c>
    </row>
    <row r="1120" spans="1:10">
      <c r="A1120" t="s">
        <v>2469</v>
      </c>
      <c r="B1120" s="1">
        <v>45687</v>
      </c>
      <c r="C1120" t="s">
        <v>472</v>
      </c>
      <c r="D1120" t="s">
        <v>1217</v>
      </c>
      <c r="E1120" t="s">
        <v>1311</v>
      </c>
      <c r="F1120">
        <v>1</v>
      </c>
      <c r="G1120">
        <v>724.74</v>
      </c>
      <c r="H1120">
        <v>0.15</v>
      </c>
      <c r="I1120" t="s">
        <v>1351</v>
      </c>
      <c r="J1120">
        <v>616.029</v>
      </c>
    </row>
    <row r="1121" spans="1:10">
      <c r="A1121" t="s">
        <v>2470</v>
      </c>
      <c r="B1121" s="1">
        <v>45271</v>
      </c>
      <c r="C1121" t="s">
        <v>973</v>
      </c>
      <c r="D1121" t="s">
        <v>1115</v>
      </c>
      <c r="E1121" t="s">
        <v>1294</v>
      </c>
      <c r="F1121">
        <v>2</v>
      </c>
      <c r="G1121">
        <v>961.84</v>
      </c>
      <c r="H1121">
        <v>0.25</v>
      </c>
      <c r="I1121" t="s">
        <v>1351</v>
      </c>
      <c r="J1121">
        <v>1442.76</v>
      </c>
    </row>
    <row r="1122" spans="1:10">
      <c r="A1122" t="s">
        <v>2471</v>
      </c>
      <c r="B1122" s="1">
        <v>45446</v>
      </c>
      <c r="C1122" t="s">
        <v>69</v>
      </c>
      <c r="D1122" t="s">
        <v>1147</v>
      </c>
      <c r="E1122" t="s">
        <v>1329</v>
      </c>
      <c r="F1122">
        <v>4</v>
      </c>
      <c r="G1122">
        <v>21.12</v>
      </c>
      <c r="H1122">
        <v>0.18</v>
      </c>
      <c r="I1122" t="s">
        <v>1354</v>
      </c>
      <c r="J1122">
        <v>69.273600000000002</v>
      </c>
    </row>
    <row r="1123" spans="1:10">
      <c r="A1123" t="s">
        <v>2472</v>
      </c>
      <c r="B1123" s="1">
        <v>45579</v>
      </c>
      <c r="C1123" t="s">
        <v>702</v>
      </c>
      <c r="D1123" t="s">
        <v>1068</v>
      </c>
      <c r="E1123" t="s">
        <v>1294</v>
      </c>
      <c r="F1123">
        <v>3</v>
      </c>
      <c r="G1123">
        <v>819.93</v>
      </c>
      <c r="H1123">
        <v>0.08</v>
      </c>
      <c r="I1123" t="s">
        <v>1351</v>
      </c>
      <c r="J1123">
        <v>2263.0068000000001</v>
      </c>
    </row>
    <row r="1124" spans="1:10">
      <c r="A1124" t="s">
        <v>2473</v>
      </c>
      <c r="B1124" s="1">
        <v>45725</v>
      </c>
      <c r="C1124" t="s">
        <v>652</v>
      </c>
      <c r="D1124" t="s">
        <v>1157</v>
      </c>
      <c r="E1124" t="s">
        <v>1277</v>
      </c>
      <c r="F1124">
        <v>2</v>
      </c>
      <c r="G1124">
        <v>700.95</v>
      </c>
      <c r="H1124">
        <v>0.18</v>
      </c>
      <c r="I1124" t="s">
        <v>1349</v>
      </c>
      <c r="J1124">
        <v>1149.558</v>
      </c>
    </row>
    <row r="1125" spans="1:10">
      <c r="A1125" t="s">
        <v>2474</v>
      </c>
      <c r="B1125" s="1">
        <v>45910</v>
      </c>
      <c r="C1125" t="s">
        <v>343</v>
      </c>
      <c r="D1125" t="s">
        <v>1107</v>
      </c>
      <c r="E1125" t="s">
        <v>1324</v>
      </c>
      <c r="F1125">
        <v>2</v>
      </c>
      <c r="G1125">
        <v>456.38</v>
      </c>
      <c r="H1125">
        <v>0.12</v>
      </c>
      <c r="I1125" t="s">
        <v>1349</v>
      </c>
      <c r="J1125">
        <v>803.22879999999998</v>
      </c>
    </row>
    <row r="1126" spans="1:10">
      <c r="A1126" t="s">
        <v>2475</v>
      </c>
      <c r="B1126" s="1">
        <v>45447</v>
      </c>
      <c r="C1126" t="s">
        <v>785</v>
      </c>
      <c r="D1126" t="s">
        <v>1225</v>
      </c>
      <c r="E1126" t="s">
        <v>1324</v>
      </c>
      <c r="F1126">
        <v>3</v>
      </c>
      <c r="G1126">
        <v>291.05</v>
      </c>
      <c r="H1126">
        <v>0.3</v>
      </c>
      <c r="I1126" t="s">
        <v>1349</v>
      </c>
      <c r="J1126">
        <v>611.20500000000004</v>
      </c>
    </row>
    <row r="1127" spans="1:10">
      <c r="A1127" t="s">
        <v>2476</v>
      </c>
      <c r="B1127" s="1">
        <v>45307</v>
      </c>
      <c r="C1127" t="s">
        <v>529</v>
      </c>
      <c r="D1127" t="s">
        <v>1263</v>
      </c>
      <c r="E1127" t="s">
        <v>1326</v>
      </c>
      <c r="F1127">
        <v>2</v>
      </c>
      <c r="G1127">
        <v>463.52</v>
      </c>
      <c r="H1127">
        <v>0.27</v>
      </c>
      <c r="I1127" t="s">
        <v>1351</v>
      </c>
      <c r="J1127">
        <v>676.73919999999998</v>
      </c>
    </row>
    <row r="1128" spans="1:10">
      <c r="A1128" t="s">
        <v>2477</v>
      </c>
      <c r="B1128" s="1">
        <v>45653</v>
      </c>
      <c r="C1128" t="s">
        <v>821</v>
      </c>
      <c r="D1128" t="s">
        <v>1068</v>
      </c>
      <c r="E1128" t="s">
        <v>1332</v>
      </c>
      <c r="F1128">
        <v>3</v>
      </c>
      <c r="G1128">
        <v>241.64</v>
      </c>
      <c r="H1128">
        <v>0.28999999999999998</v>
      </c>
      <c r="I1128" t="s">
        <v>1351</v>
      </c>
      <c r="J1128">
        <v>514.69319999999993</v>
      </c>
    </row>
    <row r="1129" spans="1:10">
      <c r="A1129" t="s">
        <v>2478</v>
      </c>
      <c r="B1129" s="1">
        <v>45817</v>
      </c>
      <c r="C1129" t="s">
        <v>1028</v>
      </c>
      <c r="D1129" t="s">
        <v>1133</v>
      </c>
      <c r="E1129" t="s">
        <v>1314</v>
      </c>
      <c r="F1129">
        <v>2</v>
      </c>
      <c r="G1129">
        <v>47.86</v>
      </c>
      <c r="H1129">
        <v>0.03</v>
      </c>
      <c r="I1129" t="s">
        <v>1351</v>
      </c>
      <c r="J1129">
        <v>92.848399999999998</v>
      </c>
    </row>
    <row r="1130" spans="1:10">
      <c r="A1130" t="s">
        <v>2479</v>
      </c>
      <c r="B1130" s="1">
        <v>45509</v>
      </c>
      <c r="C1130" t="s">
        <v>752</v>
      </c>
      <c r="D1130" t="s">
        <v>1257</v>
      </c>
      <c r="E1130" t="s">
        <v>1291</v>
      </c>
      <c r="F1130">
        <v>1</v>
      </c>
      <c r="G1130">
        <v>805.07</v>
      </c>
      <c r="H1130">
        <v>0.06</v>
      </c>
      <c r="I1130" t="s">
        <v>1354</v>
      </c>
      <c r="J1130">
        <v>756.76580000000001</v>
      </c>
    </row>
    <row r="1131" spans="1:10">
      <c r="A1131" t="s">
        <v>2480</v>
      </c>
      <c r="B1131" s="1">
        <v>45753</v>
      </c>
      <c r="C1131" t="s">
        <v>809</v>
      </c>
      <c r="D1131" t="s">
        <v>1141</v>
      </c>
      <c r="E1131" t="s">
        <v>1282</v>
      </c>
      <c r="F1131">
        <v>3</v>
      </c>
      <c r="G1131">
        <v>848.48</v>
      </c>
      <c r="H1131">
        <v>0</v>
      </c>
      <c r="I1131" t="s">
        <v>1354</v>
      </c>
      <c r="J1131">
        <v>2545.44</v>
      </c>
    </row>
    <row r="1132" spans="1:10">
      <c r="A1132" t="s">
        <v>2481</v>
      </c>
      <c r="B1132" s="1">
        <v>45512</v>
      </c>
      <c r="C1132" t="s">
        <v>551</v>
      </c>
      <c r="D1132" t="s">
        <v>1179</v>
      </c>
      <c r="E1132" t="s">
        <v>1307</v>
      </c>
      <c r="F1132">
        <v>2</v>
      </c>
      <c r="G1132">
        <v>568.95000000000005</v>
      </c>
      <c r="H1132">
        <v>0.22</v>
      </c>
      <c r="I1132" t="s">
        <v>1349</v>
      </c>
      <c r="J1132">
        <v>887.56200000000013</v>
      </c>
    </row>
    <row r="1133" spans="1:10">
      <c r="A1133" t="s">
        <v>2482</v>
      </c>
      <c r="B1133" s="1">
        <v>45764</v>
      </c>
      <c r="C1133" t="s">
        <v>385</v>
      </c>
      <c r="D1133" t="s">
        <v>1179</v>
      </c>
      <c r="E1133" t="s">
        <v>1317</v>
      </c>
      <c r="F1133">
        <v>3</v>
      </c>
      <c r="G1133">
        <v>269.83999999999997</v>
      </c>
      <c r="H1133">
        <v>0.05</v>
      </c>
      <c r="I1133" t="s">
        <v>1351</v>
      </c>
      <c r="J1133">
        <v>769.04399999999998</v>
      </c>
    </row>
    <row r="1134" spans="1:10">
      <c r="A1134" t="s">
        <v>2483</v>
      </c>
      <c r="B1134" s="1">
        <v>45746</v>
      </c>
      <c r="C1134" t="s">
        <v>682</v>
      </c>
      <c r="D1134" t="s">
        <v>1197</v>
      </c>
      <c r="E1134" t="s">
        <v>1322</v>
      </c>
      <c r="F1134">
        <v>4</v>
      </c>
      <c r="G1134">
        <v>267.36</v>
      </c>
      <c r="H1134">
        <v>0.27</v>
      </c>
      <c r="I1134" t="s">
        <v>1351</v>
      </c>
      <c r="J1134">
        <v>780.69119999999998</v>
      </c>
    </row>
    <row r="1135" spans="1:10">
      <c r="A1135" t="s">
        <v>2484</v>
      </c>
      <c r="B1135" s="1">
        <v>45647</v>
      </c>
      <c r="C1135" t="s">
        <v>288</v>
      </c>
      <c r="D1135" t="s">
        <v>1147</v>
      </c>
      <c r="E1135" t="s">
        <v>1282</v>
      </c>
      <c r="F1135">
        <v>1</v>
      </c>
      <c r="G1135">
        <v>438.41</v>
      </c>
      <c r="H1135">
        <v>0.09</v>
      </c>
      <c r="I1135" t="s">
        <v>1349</v>
      </c>
      <c r="J1135">
        <v>398.95310000000012</v>
      </c>
    </row>
    <row r="1136" spans="1:10">
      <c r="A1136" t="s">
        <v>2485</v>
      </c>
      <c r="B1136" s="1">
        <v>45443</v>
      </c>
      <c r="C1136" t="s">
        <v>389</v>
      </c>
      <c r="D1136" t="s">
        <v>1175</v>
      </c>
      <c r="E1136" t="s">
        <v>1335</v>
      </c>
      <c r="F1136">
        <v>2</v>
      </c>
      <c r="G1136">
        <v>86.72</v>
      </c>
      <c r="H1136">
        <v>0.28000000000000003</v>
      </c>
      <c r="I1136" t="s">
        <v>1354</v>
      </c>
      <c r="J1136">
        <v>124.8768</v>
      </c>
    </row>
    <row r="1137" spans="1:10">
      <c r="A1137" t="s">
        <v>2486</v>
      </c>
      <c r="B1137" s="1">
        <v>45722</v>
      </c>
      <c r="C1137" t="s">
        <v>913</v>
      </c>
      <c r="D1137" t="s">
        <v>1251</v>
      </c>
      <c r="E1137" t="s">
        <v>1301</v>
      </c>
      <c r="F1137">
        <v>4</v>
      </c>
      <c r="G1137">
        <v>630.21</v>
      </c>
      <c r="H1137">
        <v>0.14000000000000001</v>
      </c>
      <c r="I1137" t="s">
        <v>1354</v>
      </c>
      <c r="J1137">
        <v>2167.9223999999999</v>
      </c>
    </row>
    <row r="1138" spans="1:10">
      <c r="A1138" t="s">
        <v>2487</v>
      </c>
      <c r="B1138" s="1">
        <v>45575</v>
      </c>
      <c r="C1138" t="s">
        <v>781</v>
      </c>
      <c r="D1138" t="s">
        <v>1191</v>
      </c>
      <c r="E1138" t="s">
        <v>1301</v>
      </c>
      <c r="F1138">
        <v>3</v>
      </c>
      <c r="G1138">
        <v>180.84</v>
      </c>
      <c r="H1138">
        <v>0.03</v>
      </c>
      <c r="I1138" t="s">
        <v>1351</v>
      </c>
      <c r="J1138">
        <v>526.24439999999993</v>
      </c>
    </row>
    <row r="1139" spans="1:10">
      <c r="A1139" t="s">
        <v>2488</v>
      </c>
      <c r="B1139" s="1">
        <v>45441</v>
      </c>
      <c r="C1139" t="s">
        <v>23</v>
      </c>
      <c r="D1139" t="s">
        <v>1201</v>
      </c>
      <c r="E1139" t="s">
        <v>1329</v>
      </c>
      <c r="F1139">
        <v>1</v>
      </c>
      <c r="G1139">
        <v>453.41</v>
      </c>
      <c r="H1139">
        <v>0.04</v>
      </c>
      <c r="I1139" t="s">
        <v>1354</v>
      </c>
      <c r="J1139">
        <v>435.27359999999999</v>
      </c>
    </row>
    <row r="1140" spans="1:10">
      <c r="A1140" t="s">
        <v>2489</v>
      </c>
      <c r="B1140" s="1">
        <v>45940</v>
      </c>
      <c r="C1140" t="s">
        <v>79</v>
      </c>
      <c r="D1140" t="s">
        <v>1175</v>
      </c>
      <c r="E1140" t="s">
        <v>1301</v>
      </c>
      <c r="F1140">
        <v>1</v>
      </c>
      <c r="G1140">
        <v>629.09</v>
      </c>
      <c r="H1140">
        <v>0.02</v>
      </c>
      <c r="I1140" t="s">
        <v>1349</v>
      </c>
      <c r="J1140">
        <v>616.50819999999999</v>
      </c>
    </row>
    <row r="1141" spans="1:10">
      <c r="A1141" t="s">
        <v>2490</v>
      </c>
      <c r="B1141" s="1">
        <v>45518</v>
      </c>
      <c r="C1141" t="s">
        <v>75</v>
      </c>
      <c r="D1141" t="s">
        <v>1227</v>
      </c>
      <c r="E1141" t="s">
        <v>1286</v>
      </c>
      <c r="F1141">
        <v>2</v>
      </c>
      <c r="G1141">
        <v>257.45</v>
      </c>
      <c r="H1141">
        <v>0</v>
      </c>
      <c r="I1141" t="s">
        <v>1354</v>
      </c>
      <c r="J1141">
        <v>514.9</v>
      </c>
    </row>
    <row r="1142" spans="1:10">
      <c r="A1142" t="s">
        <v>2491</v>
      </c>
      <c r="B1142" s="1">
        <v>45861</v>
      </c>
      <c r="C1142" t="s">
        <v>420</v>
      </c>
      <c r="D1142" t="s">
        <v>1141</v>
      </c>
      <c r="E1142" t="s">
        <v>1326</v>
      </c>
      <c r="F1142">
        <v>2</v>
      </c>
      <c r="G1142">
        <v>696.61</v>
      </c>
      <c r="H1142">
        <v>0.17</v>
      </c>
      <c r="I1142" t="s">
        <v>1351</v>
      </c>
      <c r="J1142">
        <v>1156.3725999999999</v>
      </c>
    </row>
    <row r="1143" spans="1:10">
      <c r="A1143" t="s">
        <v>2492</v>
      </c>
      <c r="B1143" s="1">
        <v>45416</v>
      </c>
      <c r="C1143" t="s">
        <v>809</v>
      </c>
      <c r="D1143" t="s">
        <v>1165</v>
      </c>
      <c r="E1143" t="s">
        <v>1304</v>
      </c>
      <c r="F1143">
        <v>2</v>
      </c>
      <c r="G1143">
        <v>143.79</v>
      </c>
      <c r="H1143">
        <v>0.1</v>
      </c>
      <c r="I1143" t="s">
        <v>1351</v>
      </c>
      <c r="J1143">
        <v>258.822</v>
      </c>
    </row>
    <row r="1144" spans="1:10">
      <c r="A1144" t="s">
        <v>2493</v>
      </c>
      <c r="B1144" s="1">
        <v>45608</v>
      </c>
      <c r="C1144" t="s">
        <v>656</v>
      </c>
      <c r="D1144" t="s">
        <v>1239</v>
      </c>
      <c r="E1144" t="s">
        <v>1282</v>
      </c>
      <c r="F1144">
        <v>3</v>
      </c>
      <c r="G1144">
        <v>460.93</v>
      </c>
      <c r="H1144">
        <v>0.19</v>
      </c>
      <c r="I1144" t="s">
        <v>1354</v>
      </c>
      <c r="J1144">
        <v>1120.0599</v>
      </c>
    </row>
    <row r="1145" spans="1:10">
      <c r="A1145" t="s">
        <v>2494</v>
      </c>
      <c r="B1145" s="1">
        <v>45301</v>
      </c>
      <c r="C1145" t="s">
        <v>1059</v>
      </c>
      <c r="D1145" t="s">
        <v>1129</v>
      </c>
      <c r="E1145" t="s">
        <v>1311</v>
      </c>
      <c r="F1145">
        <v>2</v>
      </c>
      <c r="G1145">
        <v>67.55</v>
      </c>
      <c r="H1145">
        <v>0.03</v>
      </c>
      <c r="I1145" t="s">
        <v>1349</v>
      </c>
      <c r="J1145">
        <v>131.047</v>
      </c>
    </row>
    <row r="1146" spans="1:10">
      <c r="A1146" t="s">
        <v>2495</v>
      </c>
      <c r="B1146" s="1">
        <v>45433</v>
      </c>
      <c r="C1146" t="s">
        <v>482</v>
      </c>
      <c r="D1146" t="s">
        <v>1171</v>
      </c>
      <c r="E1146" t="s">
        <v>1282</v>
      </c>
      <c r="F1146">
        <v>3</v>
      </c>
      <c r="G1146">
        <v>803.31</v>
      </c>
      <c r="H1146">
        <v>0.1</v>
      </c>
      <c r="I1146" t="s">
        <v>1351</v>
      </c>
      <c r="J1146">
        <v>2168.9369999999999</v>
      </c>
    </row>
    <row r="1147" spans="1:10">
      <c r="A1147" t="s">
        <v>2496</v>
      </c>
      <c r="B1147" s="1">
        <v>45821</v>
      </c>
      <c r="C1147" t="s">
        <v>927</v>
      </c>
      <c r="D1147" t="s">
        <v>1105</v>
      </c>
      <c r="E1147" t="s">
        <v>1322</v>
      </c>
      <c r="F1147">
        <v>4</v>
      </c>
      <c r="G1147">
        <v>254.71</v>
      </c>
      <c r="H1147">
        <v>0.2</v>
      </c>
      <c r="I1147" t="s">
        <v>1354</v>
      </c>
      <c r="J1147">
        <v>815.07200000000012</v>
      </c>
    </row>
    <row r="1148" spans="1:10">
      <c r="A1148" t="s">
        <v>2497</v>
      </c>
      <c r="B1148" s="1">
        <v>45508</v>
      </c>
      <c r="C1148" t="s">
        <v>145</v>
      </c>
      <c r="D1148" t="s">
        <v>1173</v>
      </c>
      <c r="E1148" t="s">
        <v>1294</v>
      </c>
      <c r="F1148">
        <v>4</v>
      </c>
      <c r="G1148">
        <v>594.89</v>
      </c>
      <c r="H1148">
        <v>0.3</v>
      </c>
      <c r="I1148" t="s">
        <v>1351</v>
      </c>
      <c r="J1148">
        <v>1665.692</v>
      </c>
    </row>
    <row r="1149" spans="1:10">
      <c r="A1149" t="s">
        <v>2498</v>
      </c>
      <c r="B1149" s="1">
        <v>45854</v>
      </c>
      <c r="C1149" t="s">
        <v>500</v>
      </c>
      <c r="D1149" t="s">
        <v>1255</v>
      </c>
      <c r="E1149" t="s">
        <v>1277</v>
      </c>
      <c r="F1149">
        <v>2</v>
      </c>
      <c r="G1149">
        <v>844.31</v>
      </c>
      <c r="H1149">
        <v>7.0000000000000007E-2</v>
      </c>
      <c r="I1149" t="s">
        <v>1351</v>
      </c>
      <c r="J1149">
        <v>1570.4166</v>
      </c>
    </row>
    <row r="1150" spans="1:10">
      <c r="A1150" t="s">
        <v>2499</v>
      </c>
      <c r="B1150" s="1">
        <v>45569</v>
      </c>
      <c r="C1150" t="s">
        <v>329</v>
      </c>
      <c r="D1150" t="s">
        <v>1103</v>
      </c>
      <c r="E1150" t="s">
        <v>1301</v>
      </c>
      <c r="F1150">
        <v>4</v>
      </c>
      <c r="G1150">
        <v>101.33</v>
      </c>
      <c r="H1150">
        <v>0</v>
      </c>
      <c r="I1150" t="s">
        <v>1349</v>
      </c>
      <c r="J1150">
        <v>405.32</v>
      </c>
    </row>
    <row r="1151" spans="1:10">
      <c r="A1151" t="s">
        <v>2500</v>
      </c>
      <c r="B1151" s="1">
        <v>45824</v>
      </c>
      <c r="C1151" t="s">
        <v>323</v>
      </c>
      <c r="D1151" t="s">
        <v>1125</v>
      </c>
      <c r="E1151" t="s">
        <v>1307</v>
      </c>
      <c r="F1151">
        <v>3</v>
      </c>
      <c r="G1151">
        <v>922.56</v>
      </c>
      <c r="H1151">
        <v>0.18</v>
      </c>
      <c r="I1151" t="s">
        <v>1351</v>
      </c>
      <c r="J1151">
        <v>2269.4976000000001</v>
      </c>
    </row>
    <row r="1152" spans="1:10">
      <c r="A1152" t="s">
        <v>2501</v>
      </c>
      <c r="B1152" s="1">
        <v>45352</v>
      </c>
      <c r="C1152" t="s">
        <v>927</v>
      </c>
      <c r="D1152" t="s">
        <v>1149</v>
      </c>
      <c r="E1152" t="s">
        <v>1324</v>
      </c>
      <c r="F1152">
        <v>4</v>
      </c>
      <c r="G1152">
        <v>867.19</v>
      </c>
      <c r="H1152">
        <v>7.0000000000000007E-2</v>
      </c>
      <c r="I1152" t="s">
        <v>1354</v>
      </c>
      <c r="J1152">
        <v>3225.9468000000002</v>
      </c>
    </row>
    <row r="1153" spans="1:10">
      <c r="A1153" t="s">
        <v>2502</v>
      </c>
      <c r="B1153" s="1">
        <v>45454</v>
      </c>
      <c r="C1153" t="s">
        <v>30</v>
      </c>
      <c r="D1153" t="s">
        <v>1239</v>
      </c>
      <c r="E1153" t="s">
        <v>1332</v>
      </c>
      <c r="F1153">
        <v>3</v>
      </c>
      <c r="G1153">
        <v>816.87</v>
      </c>
      <c r="H1153">
        <v>0.14000000000000001</v>
      </c>
      <c r="I1153" t="s">
        <v>1351</v>
      </c>
      <c r="J1153">
        <v>2107.5246000000002</v>
      </c>
    </row>
    <row r="1154" spans="1:10">
      <c r="A1154" t="s">
        <v>2503</v>
      </c>
      <c r="B1154" s="1">
        <v>45924</v>
      </c>
      <c r="C1154" t="s">
        <v>1022</v>
      </c>
      <c r="D1154" t="s">
        <v>1203</v>
      </c>
      <c r="E1154" t="s">
        <v>1291</v>
      </c>
      <c r="F1154">
        <v>3</v>
      </c>
      <c r="G1154">
        <v>258.06</v>
      </c>
      <c r="H1154">
        <v>0</v>
      </c>
      <c r="I1154" t="s">
        <v>1351</v>
      </c>
      <c r="J1154">
        <v>774.18000000000006</v>
      </c>
    </row>
    <row r="1155" spans="1:10">
      <c r="A1155" t="s">
        <v>2504</v>
      </c>
      <c r="B1155" s="1">
        <v>45694</v>
      </c>
      <c r="C1155" t="s">
        <v>688</v>
      </c>
      <c r="D1155" t="s">
        <v>1149</v>
      </c>
      <c r="E1155" t="s">
        <v>1324</v>
      </c>
      <c r="F1155">
        <v>2</v>
      </c>
      <c r="G1155">
        <v>574.58000000000004</v>
      </c>
      <c r="H1155">
        <v>0.06</v>
      </c>
      <c r="I1155" t="s">
        <v>1349</v>
      </c>
      <c r="J1155">
        <v>1080.2103999999999</v>
      </c>
    </row>
    <row r="1156" spans="1:10">
      <c r="A1156" t="s">
        <v>2505</v>
      </c>
      <c r="B1156" s="1">
        <v>45587</v>
      </c>
      <c r="C1156" t="s">
        <v>75</v>
      </c>
      <c r="D1156" t="s">
        <v>1239</v>
      </c>
      <c r="E1156" t="s">
        <v>1301</v>
      </c>
      <c r="F1156">
        <v>2</v>
      </c>
      <c r="G1156">
        <v>472.18</v>
      </c>
      <c r="H1156">
        <v>0.27</v>
      </c>
      <c r="I1156" t="s">
        <v>1351</v>
      </c>
      <c r="J1156">
        <v>689.38279999999997</v>
      </c>
    </row>
    <row r="1157" spans="1:10">
      <c r="A1157" t="s">
        <v>2506</v>
      </c>
      <c r="B1157" s="1">
        <v>45556</v>
      </c>
      <c r="C1157" t="s">
        <v>744</v>
      </c>
      <c r="D1157" t="s">
        <v>1155</v>
      </c>
      <c r="E1157" t="s">
        <v>1298</v>
      </c>
      <c r="F1157">
        <v>2</v>
      </c>
      <c r="G1157">
        <v>20.47</v>
      </c>
      <c r="H1157">
        <v>0.12</v>
      </c>
      <c r="I1157" t="s">
        <v>1354</v>
      </c>
      <c r="J1157">
        <v>36.027200000000001</v>
      </c>
    </row>
    <row r="1158" spans="1:10">
      <c r="A1158" t="s">
        <v>2507</v>
      </c>
      <c r="B1158" s="1">
        <v>45923</v>
      </c>
      <c r="C1158" t="s">
        <v>77</v>
      </c>
      <c r="D1158" t="s">
        <v>1117</v>
      </c>
      <c r="E1158" t="s">
        <v>1304</v>
      </c>
      <c r="F1158">
        <v>3</v>
      </c>
      <c r="G1158">
        <v>235.41</v>
      </c>
      <c r="H1158">
        <v>0.15</v>
      </c>
      <c r="I1158" t="s">
        <v>1351</v>
      </c>
      <c r="J1158">
        <v>600.29549999999995</v>
      </c>
    </row>
    <row r="1159" spans="1:10">
      <c r="A1159" t="s">
        <v>2508</v>
      </c>
      <c r="B1159" s="1">
        <v>45811</v>
      </c>
      <c r="C1159" t="s">
        <v>523</v>
      </c>
      <c r="D1159" t="s">
        <v>1229</v>
      </c>
      <c r="E1159" t="s">
        <v>1304</v>
      </c>
      <c r="F1159">
        <v>3</v>
      </c>
      <c r="G1159">
        <v>744.9</v>
      </c>
      <c r="H1159">
        <v>0.27</v>
      </c>
      <c r="I1159" t="s">
        <v>1351</v>
      </c>
      <c r="J1159">
        <v>1631.3309999999999</v>
      </c>
    </row>
    <row r="1160" spans="1:10">
      <c r="A1160" t="s">
        <v>2509</v>
      </c>
      <c r="B1160" s="1">
        <v>45559</v>
      </c>
      <c r="C1160" t="s">
        <v>135</v>
      </c>
      <c r="D1160" t="s">
        <v>1109</v>
      </c>
      <c r="E1160" t="s">
        <v>1291</v>
      </c>
      <c r="F1160">
        <v>2</v>
      </c>
      <c r="G1160">
        <v>382.2</v>
      </c>
      <c r="H1160">
        <v>0.15</v>
      </c>
      <c r="I1160" t="s">
        <v>1349</v>
      </c>
      <c r="J1160">
        <v>649.74</v>
      </c>
    </row>
    <row r="1161" spans="1:10">
      <c r="A1161" t="s">
        <v>2510</v>
      </c>
      <c r="B1161" s="1">
        <v>45881</v>
      </c>
      <c r="C1161" t="s">
        <v>756</v>
      </c>
      <c r="D1161" t="s">
        <v>1253</v>
      </c>
      <c r="E1161" t="s">
        <v>1329</v>
      </c>
      <c r="F1161">
        <v>1</v>
      </c>
      <c r="G1161">
        <v>269.25</v>
      </c>
      <c r="H1161">
        <v>0.14000000000000001</v>
      </c>
      <c r="I1161" t="s">
        <v>1351</v>
      </c>
      <c r="J1161">
        <v>231.55500000000001</v>
      </c>
    </row>
    <row r="1162" spans="1:10">
      <c r="A1162" t="s">
        <v>2511</v>
      </c>
      <c r="B1162" s="1">
        <v>45367</v>
      </c>
      <c r="C1162" t="s">
        <v>793</v>
      </c>
      <c r="D1162" t="s">
        <v>1133</v>
      </c>
      <c r="E1162" t="s">
        <v>1317</v>
      </c>
      <c r="F1162">
        <v>2</v>
      </c>
      <c r="G1162">
        <v>723.75</v>
      </c>
      <c r="H1162">
        <v>0.03</v>
      </c>
      <c r="I1162" t="s">
        <v>1351</v>
      </c>
      <c r="J1162">
        <v>1404.075</v>
      </c>
    </row>
    <row r="1163" spans="1:10">
      <c r="A1163" t="s">
        <v>2512</v>
      </c>
      <c r="B1163" s="1">
        <v>45832</v>
      </c>
      <c r="C1163" t="s">
        <v>626</v>
      </c>
      <c r="D1163" t="s">
        <v>1111</v>
      </c>
      <c r="E1163" t="s">
        <v>1338</v>
      </c>
      <c r="F1163">
        <v>4</v>
      </c>
      <c r="G1163">
        <v>58.92</v>
      </c>
      <c r="H1163">
        <v>0.18</v>
      </c>
      <c r="I1163" t="s">
        <v>1349</v>
      </c>
      <c r="J1163">
        <v>193.2576</v>
      </c>
    </row>
    <row r="1164" spans="1:10">
      <c r="A1164" t="s">
        <v>2513</v>
      </c>
      <c r="B1164" s="1">
        <v>45438</v>
      </c>
      <c r="C1164" t="s">
        <v>438</v>
      </c>
      <c r="D1164" t="s">
        <v>1215</v>
      </c>
      <c r="E1164" t="s">
        <v>1314</v>
      </c>
      <c r="F1164">
        <v>2</v>
      </c>
      <c r="G1164">
        <v>913.08</v>
      </c>
      <c r="H1164">
        <v>0.26</v>
      </c>
      <c r="I1164" t="s">
        <v>1349</v>
      </c>
      <c r="J1164">
        <v>1351.3584000000001</v>
      </c>
    </row>
    <row r="1165" spans="1:10">
      <c r="A1165" t="s">
        <v>2514</v>
      </c>
      <c r="B1165" s="1">
        <v>45691</v>
      </c>
      <c r="C1165" t="s">
        <v>547</v>
      </c>
      <c r="D1165" t="s">
        <v>1235</v>
      </c>
      <c r="E1165" t="s">
        <v>1282</v>
      </c>
      <c r="F1165">
        <v>1</v>
      </c>
      <c r="G1165">
        <v>791.83</v>
      </c>
      <c r="H1165">
        <v>0.28000000000000003</v>
      </c>
      <c r="I1165" t="s">
        <v>1351</v>
      </c>
      <c r="J1165">
        <v>570.11760000000004</v>
      </c>
    </row>
    <row r="1166" spans="1:10">
      <c r="A1166" t="s">
        <v>2515</v>
      </c>
      <c r="B1166" s="1">
        <v>45506</v>
      </c>
      <c r="C1166" t="s">
        <v>1004</v>
      </c>
      <c r="D1166" t="s">
        <v>1076</v>
      </c>
      <c r="E1166" t="s">
        <v>1326</v>
      </c>
      <c r="F1166">
        <v>1</v>
      </c>
      <c r="G1166">
        <v>74.290000000000006</v>
      </c>
      <c r="H1166">
        <v>0.3</v>
      </c>
      <c r="I1166" t="s">
        <v>1354</v>
      </c>
      <c r="J1166">
        <v>52.003</v>
      </c>
    </row>
    <row r="1167" spans="1:10">
      <c r="A1167" t="s">
        <v>2516</v>
      </c>
      <c r="B1167" s="1">
        <v>45251</v>
      </c>
      <c r="C1167" t="s">
        <v>549</v>
      </c>
      <c r="D1167" t="s">
        <v>1143</v>
      </c>
      <c r="E1167" t="s">
        <v>1277</v>
      </c>
      <c r="F1167">
        <v>2</v>
      </c>
      <c r="G1167">
        <v>961.68</v>
      </c>
      <c r="H1167">
        <v>0.27</v>
      </c>
      <c r="I1167" t="s">
        <v>1351</v>
      </c>
      <c r="J1167">
        <v>1404.0527999999999</v>
      </c>
    </row>
    <row r="1168" spans="1:10">
      <c r="A1168" t="s">
        <v>2517</v>
      </c>
      <c r="B1168" s="1">
        <v>45722</v>
      </c>
      <c r="C1168" t="s">
        <v>1049</v>
      </c>
      <c r="D1168" t="s">
        <v>1111</v>
      </c>
      <c r="E1168" t="s">
        <v>1324</v>
      </c>
      <c r="F1168">
        <v>1</v>
      </c>
      <c r="G1168">
        <v>90.72</v>
      </c>
      <c r="H1168">
        <v>0.1</v>
      </c>
      <c r="I1168" t="s">
        <v>1351</v>
      </c>
      <c r="J1168">
        <v>81.647999999999996</v>
      </c>
    </row>
    <row r="1169" spans="1:10">
      <c r="A1169" t="s">
        <v>2518</v>
      </c>
      <c r="B1169" s="1">
        <v>45689</v>
      </c>
      <c r="C1169" t="s">
        <v>166</v>
      </c>
      <c r="D1169" t="s">
        <v>1189</v>
      </c>
      <c r="E1169" t="s">
        <v>1304</v>
      </c>
      <c r="F1169">
        <v>1</v>
      </c>
      <c r="G1169">
        <v>458.69</v>
      </c>
      <c r="H1169">
        <v>0.16</v>
      </c>
      <c r="I1169" t="s">
        <v>1351</v>
      </c>
      <c r="J1169">
        <v>385.2996</v>
      </c>
    </row>
    <row r="1170" spans="1:10">
      <c r="A1170" t="s">
        <v>2519</v>
      </c>
      <c r="B1170" s="1">
        <v>45346</v>
      </c>
      <c r="C1170" t="s">
        <v>525</v>
      </c>
      <c r="D1170" t="s">
        <v>1141</v>
      </c>
      <c r="E1170" t="s">
        <v>1304</v>
      </c>
      <c r="F1170">
        <v>1</v>
      </c>
      <c r="G1170">
        <v>168.29</v>
      </c>
      <c r="H1170">
        <v>0.05</v>
      </c>
      <c r="I1170" t="s">
        <v>1351</v>
      </c>
      <c r="J1170">
        <v>159.87549999999999</v>
      </c>
    </row>
    <row r="1171" spans="1:10">
      <c r="A1171" t="s">
        <v>2520</v>
      </c>
      <c r="B1171" s="1">
        <v>45549</v>
      </c>
      <c r="C1171" t="s">
        <v>484</v>
      </c>
      <c r="D1171" t="s">
        <v>1107</v>
      </c>
      <c r="E1171" t="s">
        <v>1332</v>
      </c>
      <c r="F1171">
        <v>1</v>
      </c>
      <c r="G1171">
        <v>391.77</v>
      </c>
      <c r="H1171">
        <v>0.1</v>
      </c>
      <c r="I1171" t="s">
        <v>1351</v>
      </c>
      <c r="J1171">
        <v>352.59300000000002</v>
      </c>
    </row>
    <row r="1172" spans="1:10">
      <c r="A1172" t="s">
        <v>2521</v>
      </c>
      <c r="B1172" s="1">
        <v>45900</v>
      </c>
      <c r="C1172" t="s">
        <v>750</v>
      </c>
      <c r="D1172" t="s">
        <v>1097</v>
      </c>
      <c r="E1172" t="s">
        <v>1324</v>
      </c>
      <c r="F1172">
        <v>1</v>
      </c>
      <c r="G1172">
        <v>424.83</v>
      </c>
      <c r="H1172">
        <v>0.05</v>
      </c>
      <c r="I1172" t="s">
        <v>1354</v>
      </c>
      <c r="J1172">
        <v>403.58850000000001</v>
      </c>
    </row>
    <row r="1173" spans="1:10">
      <c r="A1173" t="s">
        <v>2522</v>
      </c>
      <c r="B1173" s="1">
        <v>45308</v>
      </c>
      <c r="C1173" t="s">
        <v>150</v>
      </c>
      <c r="D1173" t="s">
        <v>1095</v>
      </c>
      <c r="E1173" t="s">
        <v>1291</v>
      </c>
      <c r="F1173">
        <v>1</v>
      </c>
      <c r="G1173">
        <v>499.46</v>
      </c>
      <c r="H1173">
        <v>0.1</v>
      </c>
      <c r="I1173" t="s">
        <v>1349</v>
      </c>
      <c r="J1173">
        <v>449.51400000000001</v>
      </c>
    </row>
    <row r="1174" spans="1:10">
      <c r="A1174" t="s">
        <v>2523</v>
      </c>
      <c r="B1174" s="1">
        <v>45336</v>
      </c>
      <c r="C1174" t="s">
        <v>66</v>
      </c>
      <c r="D1174" t="s">
        <v>1271</v>
      </c>
      <c r="E1174" t="s">
        <v>1282</v>
      </c>
      <c r="F1174">
        <v>2</v>
      </c>
      <c r="G1174">
        <v>698.34</v>
      </c>
      <c r="H1174">
        <v>0.15</v>
      </c>
      <c r="I1174" t="s">
        <v>1351</v>
      </c>
      <c r="J1174">
        <v>1187.1780000000001</v>
      </c>
    </row>
    <row r="1175" spans="1:10">
      <c r="A1175" t="s">
        <v>2524</v>
      </c>
      <c r="B1175" s="1">
        <v>45213</v>
      </c>
      <c r="C1175" t="s">
        <v>630</v>
      </c>
      <c r="D1175" t="s">
        <v>1185</v>
      </c>
      <c r="E1175" t="s">
        <v>1329</v>
      </c>
      <c r="F1175">
        <v>2</v>
      </c>
      <c r="G1175">
        <v>805.08</v>
      </c>
      <c r="H1175">
        <v>0.27</v>
      </c>
      <c r="I1175" t="s">
        <v>1351</v>
      </c>
      <c r="J1175">
        <v>1175.4168</v>
      </c>
    </row>
    <row r="1176" spans="1:10">
      <c r="A1176" t="s">
        <v>2525</v>
      </c>
      <c r="B1176" s="1">
        <v>45742</v>
      </c>
      <c r="C1176" t="s">
        <v>994</v>
      </c>
      <c r="D1176" t="s">
        <v>1225</v>
      </c>
      <c r="E1176" t="s">
        <v>1286</v>
      </c>
      <c r="F1176">
        <v>4</v>
      </c>
      <c r="G1176">
        <v>934.79</v>
      </c>
      <c r="H1176">
        <v>0.08</v>
      </c>
      <c r="I1176" t="s">
        <v>1351</v>
      </c>
      <c r="J1176">
        <v>3440.0272</v>
      </c>
    </row>
    <row r="1177" spans="1:10">
      <c r="A1177" t="s">
        <v>2526</v>
      </c>
      <c r="B1177" s="1">
        <v>45932</v>
      </c>
      <c r="C1177" t="s">
        <v>66</v>
      </c>
      <c r="D1177" t="s">
        <v>1193</v>
      </c>
      <c r="E1177" t="s">
        <v>1282</v>
      </c>
      <c r="F1177">
        <v>2</v>
      </c>
      <c r="G1177">
        <v>424.54</v>
      </c>
      <c r="H1177">
        <v>0.24</v>
      </c>
      <c r="I1177" t="s">
        <v>1351</v>
      </c>
      <c r="J1177">
        <v>645.30080000000009</v>
      </c>
    </row>
    <row r="1178" spans="1:10">
      <c r="A1178" t="s">
        <v>2527</v>
      </c>
      <c r="B1178" s="1">
        <v>45462</v>
      </c>
      <c r="C1178" t="s">
        <v>718</v>
      </c>
      <c r="D1178" t="s">
        <v>1241</v>
      </c>
      <c r="E1178" t="s">
        <v>1332</v>
      </c>
      <c r="F1178">
        <v>1</v>
      </c>
      <c r="G1178">
        <v>235.44</v>
      </c>
      <c r="H1178">
        <v>0.19</v>
      </c>
      <c r="I1178" t="s">
        <v>1354</v>
      </c>
      <c r="J1178">
        <v>190.7064</v>
      </c>
    </row>
    <row r="1179" spans="1:10">
      <c r="A1179" t="s">
        <v>2528</v>
      </c>
      <c r="B1179" s="1">
        <v>45568</v>
      </c>
      <c r="C1179" t="s">
        <v>606</v>
      </c>
      <c r="D1179" t="s">
        <v>1171</v>
      </c>
      <c r="E1179" t="s">
        <v>1322</v>
      </c>
      <c r="F1179">
        <v>2</v>
      </c>
      <c r="G1179">
        <v>620.71</v>
      </c>
      <c r="H1179">
        <v>0.27</v>
      </c>
      <c r="I1179" t="s">
        <v>1349</v>
      </c>
      <c r="J1179">
        <v>906.23660000000007</v>
      </c>
    </row>
    <row r="1180" spans="1:10">
      <c r="A1180" t="s">
        <v>2529</v>
      </c>
      <c r="B1180" s="1">
        <v>45397</v>
      </c>
      <c r="C1180" t="s">
        <v>290</v>
      </c>
      <c r="D1180" t="s">
        <v>1105</v>
      </c>
      <c r="E1180" t="s">
        <v>1317</v>
      </c>
      <c r="F1180">
        <v>2</v>
      </c>
      <c r="G1180">
        <v>851.77</v>
      </c>
      <c r="H1180">
        <v>0.13</v>
      </c>
      <c r="I1180" t="s">
        <v>1351</v>
      </c>
      <c r="J1180">
        <v>1482.0798</v>
      </c>
    </row>
    <row r="1181" spans="1:10">
      <c r="A1181" t="s">
        <v>2530</v>
      </c>
      <c r="B1181" s="1">
        <v>45569</v>
      </c>
      <c r="C1181" t="s">
        <v>397</v>
      </c>
      <c r="D1181" t="s">
        <v>1163</v>
      </c>
      <c r="E1181" t="s">
        <v>1282</v>
      </c>
      <c r="F1181">
        <v>3</v>
      </c>
      <c r="G1181">
        <v>876.01</v>
      </c>
      <c r="H1181">
        <v>0.2</v>
      </c>
      <c r="I1181" t="s">
        <v>1349</v>
      </c>
      <c r="J1181">
        <v>2102.424</v>
      </c>
    </row>
    <row r="1182" spans="1:10">
      <c r="A1182" t="s">
        <v>2531</v>
      </c>
      <c r="B1182" s="1">
        <v>45353</v>
      </c>
      <c r="C1182" t="s">
        <v>616</v>
      </c>
      <c r="D1182" t="s">
        <v>1127</v>
      </c>
      <c r="E1182" t="s">
        <v>1311</v>
      </c>
      <c r="F1182">
        <v>2</v>
      </c>
      <c r="G1182">
        <v>717.21</v>
      </c>
      <c r="H1182">
        <v>0.15</v>
      </c>
      <c r="I1182" t="s">
        <v>1354</v>
      </c>
      <c r="J1182">
        <v>1219.2570000000001</v>
      </c>
    </row>
    <row r="1183" spans="1:10">
      <c r="A1183" t="s">
        <v>2532</v>
      </c>
      <c r="B1183" s="1">
        <v>45343</v>
      </c>
      <c r="C1183" t="s">
        <v>157</v>
      </c>
      <c r="D1183" t="s">
        <v>1155</v>
      </c>
      <c r="E1183" t="s">
        <v>1307</v>
      </c>
      <c r="F1183">
        <v>2</v>
      </c>
      <c r="G1183">
        <v>871.43</v>
      </c>
      <c r="H1183">
        <v>0.05</v>
      </c>
      <c r="I1183" t="s">
        <v>1349</v>
      </c>
      <c r="J1183">
        <v>1655.7170000000001</v>
      </c>
    </row>
    <row r="1184" spans="1:10">
      <c r="A1184" t="s">
        <v>2533</v>
      </c>
      <c r="B1184" s="1">
        <v>45321</v>
      </c>
      <c r="C1184" t="s">
        <v>969</v>
      </c>
      <c r="D1184" t="s">
        <v>1145</v>
      </c>
      <c r="E1184" t="s">
        <v>1304</v>
      </c>
      <c r="F1184">
        <v>1</v>
      </c>
      <c r="G1184">
        <v>514.65</v>
      </c>
      <c r="H1184">
        <v>0.18</v>
      </c>
      <c r="I1184" t="s">
        <v>1349</v>
      </c>
      <c r="J1184">
        <v>422.01299999999998</v>
      </c>
    </row>
    <row r="1185" spans="1:10">
      <c r="A1185" t="s">
        <v>2534</v>
      </c>
      <c r="B1185" s="1">
        <v>45650</v>
      </c>
      <c r="C1185" t="s">
        <v>981</v>
      </c>
      <c r="D1185" t="s">
        <v>1197</v>
      </c>
      <c r="E1185" t="s">
        <v>1329</v>
      </c>
      <c r="F1185">
        <v>3</v>
      </c>
      <c r="G1185">
        <v>198.76</v>
      </c>
      <c r="H1185">
        <v>0.28000000000000003</v>
      </c>
      <c r="I1185" t="s">
        <v>1354</v>
      </c>
      <c r="J1185">
        <v>429.32159999999999</v>
      </c>
    </row>
    <row r="1186" spans="1:10">
      <c r="A1186" t="s">
        <v>2535</v>
      </c>
      <c r="B1186" s="1">
        <v>45811</v>
      </c>
      <c r="C1186" t="s">
        <v>513</v>
      </c>
      <c r="D1186" t="s">
        <v>1199</v>
      </c>
      <c r="E1186" t="s">
        <v>1291</v>
      </c>
      <c r="F1186">
        <v>2</v>
      </c>
      <c r="G1186">
        <v>975.72</v>
      </c>
      <c r="H1186">
        <v>0.16</v>
      </c>
      <c r="I1186" t="s">
        <v>1354</v>
      </c>
      <c r="J1186">
        <v>1639.2095999999999</v>
      </c>
    </row>
    <row r="1187" spans="1:10">
      <c r="A1187" t="s">
        <v>2536</v>
      </c>
      <c r="B1187" s="1">
        <v>45505</v>
      </c>
      <c r="C1187" t="s">
        <v>903</v>
      </c>
      <c r="D1187" t="s">
        <v>1103</v>
      </c>
      <c r="E1187" t="s">
        <v>1282</v>
      </c>
      <c r="F1187">
        <v>1</v>
      </c>
      <c r="G1187">
        <v>86.03</v>
      </c>
      <c r="H1187">
        <v>0.01</v>
      </c>
      <c r="I1187" t="s">
        <v>1349</v>
      </c>
      <c r="J1187">
        <v>85.169700000000006</v>
      </c>
    </row>
    <row r="1188" spans="1:10">
      <c r="A1188" t="s">
        <v>2537</v>
      </c>
      <c r="B1188" s="1">
        <v>45897</v>
      </c>
      <c r="C1188" t="s">
        <v>229</v>
      </c>
      <c r="D1188" t="s">
        <v>1181</v>
      </c>
      <c r="E1188" t="s">
        <v>1319</v>
      </c>
      <c r="F1188">
        <v>4</v>
      </c>
      <c r="G1188">
        <v>705.12</v>
      </c>
      <c r="H1188">
        <v>0.15</v>
      </c>
      <c r="I1188" t="s">
        <v>1351</v>
      </c>
      <c r="J1188">
        <v>2397.4079999999999</v>
      </c>
    </row>
    <row r="1189" spans="1:10">
      <c r="A1189" t="s">
        <v>2538</v>
      </c>
      <c r="B1189" s="1">
        <v>45602</v>
      </c>
      <c r="C1189" t="s">
        <v>805</v>
      </c>
      <c r="D1189" t="s">
        <v>1109</v>
      </c>
      <c r="E1189" t="s">
        <v>1319</v>
      </c>
      <c r="F1189">
        <v>3</v>
      </c>
      <c r="G1189">
        <v>99.77</v>
      </c>
      <c r="H1189">
        <v>0.01</v>
      </c>
      <c r="I1189" t="s">
        <v>1351</v>
      </c>
      <c r="J1189">
        <v>296.31689999999998</v>
      </c>
    </row>
    <row r="1190" spans="1:10">
      <c r="A1190" t="s">
        <v>2539</v>
      </c>
      <c r="B1190" s="1">
        <v>45530</v>
      </c>
      <c r="C1190" t="s">
        <v>480</v>
      </c>
      <c r="D1190" t="s">
        <v>1141</v>
      </c>
      <c r="E1190" t="s">
        <v>1311</v>
      </c>
      <c r="F1190">
        <v>2</v>
      </c>
      <c r="G1190">
        <v>166.26</v>
      </c>
      <c r="H1190">
        <v>0.14000000000000001</v>
      </c>
      <c r="I1190" t="s">
        <v>1351</v>
      </c>
      <c r="J1190">
        <v>285.96719999999999</v>
      </c>
    </row>
    <row r="1191" spans="1:10">
      <c r="A1191" t="s">
        <v>2540</v>
      </c>
      <c r="B1191" s="1">
        <v>45729</v>
      </c>
      <c r="C1191" t="s">
        <v>981</v>
      </c>
      <c r="D1191" t="s">
        <v>1125</v>
      </c>
      <c r="E1191" t="s">
        <v>1298</v>
      </c>
      <c r="F1191">
        <v>1</v>
      </c>
      <c r="G1191">
        <v>429.25</v>
      </c>
      <c r="H1191">
        <v>0.28999999999999998</v>
      </c>
      <c r="I1191" t="s">
        <v>1349</v>
      </c>
      <c r="J1191">
        <v>304.76749999999998</v>
      </c>
    </row>
    <row r="1192" spans="1:10">
      <c r="A1192" t="s">
        <v>2541</v>
      </c>
      <c r="B1192" s="1">
        <v>45468</v>
      </c>
      <c r="C1192" t="s">
        <v>949</v>
      </c>
      <c r="D1192" t="s">
        <v>1068</v>
      </c>
      <c r="E1192" t="s">
        <v>1311</v>
      </c>
      <c r="F1192">
        <v>2</v>
      </c>
      <c r="G1192">
        <v>540.48</v>
      </c>
      <c r="H1192">
        <v>0.28999999999999998</v>
      </c>
      <c r="I1192" t="s">
        <v>1349</v>
      </c>
      <c r="J1192">
        <v>767.48159999999996</v>
      </c>
    </row>
    <row r="1193" spans="1:10">
      <c r="A1193" t="s">
        <v>2542</v>
      </c>
      <c r="B1193" s="1">
        <v>45936</v>
      </c>
      <c r="C1193" t="s">
        <v>602</v>
      </c>
      <c r="D1193" t="s">
        <v>1191</v>
      </c>
      <c r="E1193" t="s">
        <v>1324</v>
      </c>
      <c r="F1193">
        <v>2</v>
      </c>
      <c r="G1193">
        <v>579.52</v>
      </c>
      <c r="H1193">
        <v>0.01</v>
      </c>
      <c r="I1193" t="s">
        <v>1351</v>
      </c>
      <c r="J1193">
        <v>1147.4495999999999</v>
      </c>
    </row>
    <row r="1194" spans="1:10">
      <c r="A1194" t="s">
        <v>2543</v>
      </c>
      <c r="B1194" s="1">
        <v>45622</v>
      </c>
      <c r="C1194" t="s">
        <v>84</v>
      </c>
      <c r="D1194" t="s">
        <v>1211</v>
      </c>
      <c r="E1194" t="s">
        <v>1332</v>
      </c>
      <c r="F1194">
        <v>4</v>
      </c>
      <c r="G1194">
        <v>477.52</v>
      </c>
      <c r="H1194">
        <v>7.0000000000000007E-2</v>
      </c>
      <c r="I1194" t="s">
        <v>1351</v>
      </c>
      <c r="J1194">
        <v>1776.3743999999999</v>
      </c>
    </row>
    <row r="1195" spans="1:10">
      <c r="A1195" t="s">
        <v>2544</v>
      </c>
      <c r="B1195" s="1">
        <v>45705</v>
      </c>
      <c r="C1195" t="s">
        <v>581</v>
      </c>
      <c r="D1195" t="s">
        <v>1255</v>
      </c>
      <c r="E1195" t="s">
        <v>1301</v>
      </c>
      <c r="F1195">
        <v>3</v>
      </c>
      <c r="G1195">
        <v>242.58</v>
      </c>
      <c r="H1195">
        <v>0.25</v>
      </c>
      <c r="I1195" t="s">
        <v>1349</v>
      </c>
      <c r="J1195">
        <v>545.80500000000006</v>
      </c>
    </row>
    <row r="1196" spans="1:10">
      <c r="A1196" t="s">
        <v>2545</v>
      </c>
      <c r="B1196" s="1">
        <v>45250</v>
      </c>
      <c r="C1196" t="s">
        <v>797</v>
      </c>
      <c r="D1196" t="s">
        <v>1125</v>
      </c>
      <c r="E1196" t="s">
        <v>1332</v>
      </c>
      <c r="F1196">
        <v>2</v>
      </c>
      <c r="G1196">
        <v>519.29999999999995</v>
      </c>
      <c r="H1196">
        <v>0.09</v>
      </c>
      <c r="I1196" t="s">
        <v>1351</v>
      </c>
      <c r="J1196">
        <v>945.12599999999998</v>
      </c>
    </row>
    <row r="1197" spans="1:10">
      <c r="A1197" t="s">
        <v>2546</v>
      </c>
      <c r="B1197" s="1">
        <v>45684</v>
      </c>
      <c r="C1197" t="s">
        <v>1043</v>
      </c>
      <c r="D1197" t="s">
        <v>1261</v>
      </c>
      <c r="E1197" t="s">
        <v>1317</v>
      </c>
      <c r="F1197">
        <v>3</v>
      </c>
      <c r="G1197">
        <v>845.67</v>
      </c>
      <c r="H1197">
        <v>0.12</v>
      </c>
      <c r="I1197" t="s">
        <v>1354</v>
      </c>
      <c r="J1197">
        <v>2232.5688</v>
      </c>
    </row>
    <row r="1198" spans="1:10">
      <c r="A1198" t="s">
        <v>2547</v>
      </c>
      <c r="B1198" s="1">
        <v>45395</v>
      </c>
      <c r="C1198" t="s">
        <v>674</v>
      </c>
      <c r="D1198" t="s">
        <v>1183</v>
      </c>
      <c r="E1198" t="s">
        <v>1329</v>
      </c>
      <c r="F1198">
        <v>4</v>
      </c>
      <c r="G1198">
        <v>750.26</v>
      </c>
      <c r="H1198">
        <v>0.01</v>
      </c>
      <c r="I1198" t="s">
        <v>1351</v>
      </c>
      <c r="J1198">
        <v>2971.0295999999998</v>
      </c>
    </row>
    <row r="1199" spans="1:10">
      <c r="A1199" t="s">
        <v>2548</v>
      </c>
      <c r="B1199" s="1">
        <v>45382</v>
      </c>
      <c r="C1199" t="s">
        <v>728</v>
      </c>
      <c r="D1199" t="s">
        <v>1257</v>
      </c>
      <c r="E1199" t="s">
        <v>1319</v>
      </c>
      <c r="F1199">
        <v>4</v>
      </c>
      <c r="G1199">
        <v>294.38</v>
      </c>
      <c r="H1199">
        <v>0.2</v>
      </c>
      <c r="I1199" t="s">
        <v>1349</v>
      </c>
      <c r="J1199">
        <v>942.01600000000008</v>
      </c>
    </row>
    <row r="1200" spans="1:10">
      <c r="A1200" t="s">
        <v>2549</v>
      </c>
      <c r="B1200" s="1">
        <v>45919</v>
      </c>
      <c r="C1200" t="s">
        <v>252</v>
      </c>
      <c r="D1200" t="s">
        <v>1265</v>
      </c>
      <c r="E1200" t="s">
        <v>1286</v>
      </c>
      <c r="F1200">
        <v>3</v>
      </c>
      <c r="G1200">
        <v>583.52</v>
      </c>
      <c r="H1200">
        <v>7.0000000000000007E-2</v>
      </c>
      <c r="I1200" t="s">
        <v>1351</v>
      </c>
      <c r="J1200">
        <v>1628.0208</v>
      </c>
    </row>
    <row r="1201" spans="1:10">
      <c r="A1201" t="s">
        <v>2550</v>
      </c>
      <c r="B1201" s="1">
        <v>45453</v>
      </c>
      <c r="C1201" t="s">
        <v>1002</v>
      </c>
      <c r="D1201" t="s">
        <v>1251</v>
      </c>
      <c r="E1201" t="s">
        <v>1329</v>
      </c>
      <c r="F1201">
        <v>2</v>
      </c>
      <c r="G1201">
        <v>635.22</v>
      </c>
      <c r="H1201">
        <v>0.3</v>
      </c>
      <c r="I1201" t="s">
        <v>1354</v>
      </c>
      <c r="J1201">
        <v>889.30799999999999</v>
      </c>
    </row>
    <row r="1202" spans="1:10">
      <c r="A1202" t="s">
        <v>2551</v>
      </c>
      <c r="B1202" s="1">
        <v>45313</v>
      </c>
      <c r="C1202" t="s">
        <v>919</v>
      </c>
      <c r="D1202" t="s">
        <v>1205</v>
      </c>
      <c r="E1202" t="s">
        <v>1286</v>
      </c>
      <c r="F1202">
        <v>1</v>
      </c>
      <c r="G1202">
        <v>743.55</v>
      </c>
      <c r="H1202">
        <v>0.11</v>
      </c>
      <c r="I1202" t="s">
        <v>1354</v>
      </c>
      <c r="J1202">
        <v>661.7595</v>
      </c>
    </row>
    <row r="1203" spans="1:10">
      <c r="A1203" t="s">
        <v>2552</v>
      </c>
      <c r="B1203" s="1">
        <v>45377</v>
      </c>
      <c r="C1203" t="s">
        <v>261</v>
      </c>
      <c r="D1203" t="s">
        <v>1161</v>
      </c>
      <c r="E1203" t="s">
        <v>1291</v>
      </c>
      <c r="F1203">
        <v>4</v>
      </c>
      <c r="G1203">
        <v>530.45000000000005</v>
      </c>
      <c r="H1203">
        <v>0.13</v>
      </c>
      <c r="I1203" t="s">
        <v>1349</v>
      </c>
      <c r="J1203">
        <v>1845.9659999999999</v>
      </c>
    </row>
    <row r="1204" spans="1:10">
      <c r="A1204" t="s">
        <v>2553</v>
      </c>
      <c r="B1204" s="1">
        <v>45371</v>
      </c>
      <c r="C1204" t="s">
        <v>591</v>
      </c>
      <c r="D1204" t="s">
        <v>1205</v>
      </c>
      <c r="E1204" t="s">
        <v>1311</v>
      </c>
      <c r="F1204">
        <v>2</v>
      </c>
      <c r="G1204">
        <v>972.4</v>
      </c>
      <c r="H1204">
        <v>0.06</v>
      </c>
      <c r="I1204" t="s">
        <v>1354</v>
      </c>
      <c r="J1204">
        <v>1828.1120000000001</v>
      </c>
    </row>
    <row r="1205" spans="1:10">
      <c r="A1205" t="s">
        <v>2554</v>
      </c>
      <c r="B1205" s="1">
        <v>45797</v>
      </c>
      <c r="C1205" t="s">
        <v>819</v>
      </c>
      <c r="D1205" t="s">
        <v>1103</v>
      </c>
      <c r="E1205" t="s">
        <v>1335</v>
      </c>
      <c r="F1205">
        <v>3</v>
      </c>
      <c r="G1205">
        <v>197.93</v>
      </c>
      <c r="H1205">
        <v>0</v>
      </c>
      <c r="I1205" t="s">
        <v>1354</v>
      </c>
      <c r="J1205">
        <v>593.79</v>
      </c>
    </row>
    <row r="1206" spans="1:10">
      <c r="A1206" t="s">
        <v>2555</v>
      </c>
      <c r="B1206" s="1">
        <v>45575</v>
      </c>
      <c r="C1206" t="s">
        <v>748</v>
      </c>
      <c r="D1206" t="s">
        <v>1247</v>
      </c>
      <c r="E1206" t="s">
        <v>1317</v>
      </c>
      <c r="F1206">
        <v>4</v>
      </c>
      <c r="G1206">
        <v>565.51</v>
      </c>
      <c r="H1206">
        <v>0.16</v>
      </c>
      <c r="I1206" t="s">
        <v>1351</v>
      </c>
      <c r="J1206">
        <v>1900.1135999999999</v>
      </c>
    </row>
    <row r="1207" spans="1:10">
      <c r="A1207" t="s">
        <v>2556</v>
      </c>
      <c r="B1207" s="1">
        <v>45566</v>
      </c>
      <c r="C1207" t="s">
        <v>863</v>
      </c>
      <c r="D1207" t="s">
        <v>1151</v>
      </c>
      <c r="E1207" t="s">
        <v>1294</v>
      </c>
      <c r="F1207">
        <v>4</v>
      </c>
      <c r="G1207">
        <v>983.38</v>
      </c>
      <c r="H1207">
        <v>0.25</v>
      </c>
      <c r="I1207" t="s">
        <v>1354</v>
      </c>
      <c r="J1207">
        <v>2950.14</v>
      </c>
    </row>
    <row r="1208" spans="1:10">
      <c r="A1208" t="s">
        <v>2557</v>
      </c>
      <c r="B1208" s="1">
        <v>45252</v>
      </c>
      <c r="C1208" t="s">
        <v>531</v>
      </c>
      <c r="D1208" t="s">
        <v>1271</v>
      </c>
      <c r="E1208" t="s">
        <v>1311</v>
      </c>
      <c r="F1208">
        <v>1</v>
      </c>
      <c r="G1208">
        <v>955.06</v>
      </c>
      <c r="H1208">
        <v>0.14000000000000001</v>
      </c>
      <c r="I1208" t="s">
        <v>1349</v>
      </c>
      <c r="J1208">
        <v>821.35159999999996</v>
      </c>
    </row>
    <row r="1209" spans="1:10">
      <c r="A1209" t="s">
        <v>2558</v>
      </c>
      <c r="B1209" s="1">
        <v>45693</v>
      </c>
      <c r="C1209" t="s">
        <v>768</v>
      </c>
      <c r="D1209" t="s">
        <v>1191</v>
      </c>
      <c r="E1209" t="s">
        <v>1326</v>
      </c>
      <c r="F1209">
        <v>3</v>
      </c>
      <c r="G1209">
        <v>597.46</v>
      </c>
      <c r="H1209">
        <v>0.02</v>
      </c>
      <c r="I1209" t="s">
        <v>1351</v>
      </c>
      <c r="J1209">
        <v>1756.5324000000001</v>
      </c>
    </row>
    <row r="1210" spans="1:10">
      <c r="A1210" t="s">
        <v>2559</v>
      </c>
      <c r="B1210" s="1">
        <v>45446</v>
      </c>
      <c r="C1210" t="s">
        <v>698</v>
      </c>
      <c r="D1210" t="s">
        <v>1087</v>
      </c>
      <c r="E1210" t="s">
        <v>1329</v>
      </c>
      <c r="F1210">
        <v>3</v>
      </c>
      <c r="G1210">
        <v>581.09</v>
      </c>
      <c r="H1210">
        <v>0.1</v>
      </c>
      <c r="I1210" t="s">
        <v>1354</v>
      </c>
      <c r="J1210">
        <v>1568.943</v>
      </c>
    </row>
    <row r="1211" spans="1:10">
      <c r="A1211" t="s">
        <v>2560</v>
      </c>
      <c r="B1211" s="1">
        <v>45862</v>
      </c>
      <c r="C1211" t="s">
        <v>152</v>
      </c>
      <c r="D1211" t="s">
        <v>1133</v>
      </c>
      <c r="E1211" t="s">
        <v>1294</v>
      </c>
      <c r="F1211">
        <v>4</v>
      </c>
      <c r="G1211">
        <v>153.94999999999999</v>
      </c>
      <c r="H1211">
        <v>0.11</v>
      </c>
      <c r="I1211" t="s">
        <v>1351</v>
      </c>
      <c r="J1211">
        <v>548.06200000000001</v>
      </c>
    </row>
    <row r="1212" spans="1:10">
      <c r="A1212" t="s">
        <v>2561</v>
      </c>
      <c r="B1212" s="1">
        <v>45530</v>
      </c>
      <c r="C1212" t="s">
        <v>216</v>
      </c>
      <c r="D1212" t="s">
        <v>1145</v>
      </c>
      <c r="E1212" t="s">
        <v>1307</v>
      </c>
      <c r="F1212">
        <v>4</v>
      </c>
      <c r="G1212">
        <v>271.04000000000002</v>
      </c>
      <c r="H1212">
        <v>0.12</v>
      </c>
      <c r="I1212" t="s">
        <v>1354</v>
      </c>
      <c r="J1212">
        <v>954.06080000000009</v>
      </c>
    </row>
    <row r="1213" spans="1:10">
      <c r="A1213" t="s">
        <v>2562</v>
      </c>
      <c r="B1213" s="1">
        <v>45558</v>
      </c>
      <c r="C1213" t="s">
        <v>56</v>
      </c>
      <c r="D1213" t="s">
        <v>1143</v>
      </c>
      <c r="E1213" t="s">
        <v>1301</v>
      </c>
      <c r="F1213">
        <v>4</v>
      </c>
      <c r="G1213">
        <v>328.27</v>
      </c>
      <c r="H1213">
        <v>0.09</v>
      </c>
      <c r="I1213" t="s">
        <v>1351</v>
      </c>
      <c r="J1213">
        <v>1194.9028000000001</v>
      </c>
    </row>
    <row r="1214" spans="1:10">
      <c r="A1214" t="s">
        <v>2563</v>
      </c>
      <c r="B1214" s="1">
        <v>45472</v>
      </c>
      <c r="C1214" t="s">
        <v>1049</v>
      </c>
      <c r="D1214" t="s">
        <v>1107</v>
      </c>
      <c r="E1214" t="s">
        <v>1324</v>
      </c>
      <c r="F1214">
        <v>4</v>
      </c>
      <c r="G1214">
        <v>884.71</v>
      </c>
      <c r="H1214">
        <v>0.09</v>
      </c>
      <c r="I1214" t="s">
        <v>1351</v>
      </c>
      <c r="J1214">
        <v>3220.3444</v>
      </c>
    </row>
    <row r="1215" spans="1:10">
      <c r="A1215" t="s">
        <v>2564</v>
      </c>
      <c r="B1215" s="1">
        <v>45809</v>
      </c>
      <c r="C1215" t="s">
        <v>561</v>
      </c>
      <c r="D1215" t="s">
        <v>1217</v>
      </c>
      <c r="E1215" t="s">
        <v>1294</v>
      </c>
      <c r="F1215">
        <v>1</v>
      </c>
      <c r="G1215">
        <v>41.39</v>
      </c>
      <c r="H1215">
        <v>0.01</v>
      </c>
      <c r="I1215" t="s">
        <v>1349</v>
      </c>
      <c r="J1215">
        <v>40.976100000000002</v>
      </c>
    </row>
    <row r="1216" spans="1:10">
      <c r="A1216" t="s">
        <v>2565</v>
      </c>
      <c r="B1216" s="1">
        <v>45783</v>
      </c>
      <c r="C1216" t="s">
        <v>391</v>
      </c>
      <c r="D1216" t="s">
        <v>1187</v>
      </c>
      <c r="E1216" t="s">
        <v>1311</v>
      </c>
      <c r="F1216">
        <v>4</v>
      </c>
      <c r="G1216">
        <v>64.06</v>
      </c>
      <c r="H1216">
        <v>0.26</v>
      </c>
      <c r="I1216" t="s">
        <v>1349</v>
      </c>
      <c r="J1216">
        <v>189.61760000000001</v>
      </c>
    </row>
    <row r="1217" spans="1:10">
      <c r="A1217" t="s">
        <v>2566</v>
      </c>
      <c r="B1217" s="1">
        <v>45849</v>
      </c>
      <c r="C1217" t="s">
        <v>756</v>
      </c>
      <c r="D1217" t="s">
        <v>1165</v>
      </c>
      <c r="E1217" t="s">
        <v>1311</v>
      </c>
      <c r="F1217">
        <v>2</v>
      </c>
      <c r="G1217">
        <v>152.25</v>
      </c>
      <c r="H1217">
        <v>0.13</v>
      </c>
      <c r="I1217" t="s">
        <v>1349</v>
      </c>
      <c r="J1217">
        <v>264.91500000000002</v>
      </c>
    </row>
    <row r="1218" spans="1:10">
      <c r="A1218" t="s">
        <v>2567</v>
      </c>
      <c r="B1218" s="1">
        <v>45281</v>
      </c>
      <c r="C1218" t="s">
        <v>258</v>
      </c>
      <c r="D1218" t="s">
        <v>1099</v>
      </c>
      <c r="E1218" t="s">
        <v>1338</v>
      </c>
      <c r="F1218">
        <v>2</v>
      </c>
      <c r="G1218">
        <v>889.04</v>
      </c>
      <c r="H1218">
        <v>0.23</v>
      </c>
      <c r="I1218" t="s">
        <v>1349</v>
      </c>
      <c r="J1218">
        <v>1369.1215999999999</v>
      </c>
    </row>
    <row r="1219" spans="1:10">
      <c r="A1219" t="s">
        <v>2568</v>
      </c>
      <c r="B1219" s="1">
        <v>45322</v>
      </c>
      <c r="C1219" t="s">
        <v>383</v>
      </c>
      <c r="D1219" t="s">
        <v>1147</v>
      </c>
      <c r="E1219" t="s">
        <v>1314</v>
      </c>
      <c r="F1219">
        <v>3</v>
      </c>
      <c r="G1219">
        <v>145.25</v>
      </c>
      <c r="H1219">
        <v>0.24</v>
      </c>
      <c r="I1219" t="s">
        <v>1351</v>
      </c>
      <c r="J1219">
        <v>331.17</v>
      </c>
    </row>
    <row r="1220" spans="1:10">
      <c r="A1220" t="s">
        <v>2569</v>
      </c>
      <c r="B1220" s="1">
        <v>45560</v>
      </c>
      <c r="C1220" t="s">
        <v>157</v>
      </c>
      <c r="D1220" t="s">
        <v>1249</v>
      </c>
      <c r="E1220" t="s">
        <v>1286</v>
      </c>
      <c r="F1220">
        <v>2</v>
      </c>
      <c r="G1220">
        <v>898.45</v>
      </c>
      <c r="H1220">
        <v>0.28999999999999998</v>
      </c>
      <c r="I1220" t="s">
        <v>1354</v>
      </c>
      <c r="J1220">
        <v>1275.799</v>
      </c>
    </row>
    <row r="1221" spans="1:10">
      <c r="A1221" t="s">
        <v>2570</v>
      </c>
      <c r="B1221" s="1">
        <v>45905</v>
      </c>
      <c r="C1221" t="s">
        <v>94</v>
      </c>
      <c r="D1221" t="s">
        <v>1143</v>
      </c>
      <c r="E1221" t="s">
        <v>1326</v>
      </c>
      <c r="F1221">
        <v>4</v>
      </c>
      <c r="G1221">
        <v>642.04999999999995</v>
      </c>
      <c r="H1221">
        <v>0.25</v>
      </c>
      <c r="I1221" t="s">
        <v>1349</v>
      </c>
      <c r="J1221">
        <v>1926.15</v>
      </c>
    </row>
    <row r="1222" spans="1:10">
      <c r="A1222" t="s">
        <v>2571</v>
      </c>
      <c r="B1222" s="1">
        <v>45531</v>
      </c>
      <c r="C1222" t="s">
        <v>690</v>
      </c>
      <c r="D1222" t="s">
        <v>1241</v>
      </c>
      <c r="E1222" t="s">
        <v>1304</v>
      </c>
      <c r="F1222">
        <v>4</v>
      </c>
      <c r="G1222">
        <v>450.83</v>
      </c>
      <c r="H1222">
        <v>0.24</v>
      </c>
      <c r="I1222" t="s">
        <v>1349</v>
      </c>
      <c r="J1222">
        <v>1370.5232000000001</v>
      </c>
    </row>
    <row r="1223" spans="1:10">
      <c r="A1223" t="s">
        <v>2572</v>
      </c>
      <c r="B1223" s="1">
        <v>45216</v>
      </c>
      <c r="C1223" t="s">
        <v>42</v>
      </c>
      <c r="D1223" t="s">
        <v>1177</v>
      </c>
      <c r="E1223" t="s">
        <v>1338</v>
      </c>
      <c r="F1223">
        <v>2</v>
      </c>
      <c r="G1223">
        <v>441.03</v>
      </c>
      <c r="H1223">
        <v>0.23</v>
      </c>
      <c r="I1223" t="s">
        <v>1354</v>
      </c>
      <c r="J1223">
        <v>679.18619999999999</v>
      </c>
    </row>
    <row r="1224" spans="1:10">
      <c r="A1224" t="s">
        <v>2573</v>
      </c>
      <c r="B1224" s="1">
        <v>45384</v>
      </c>
      <c r="C1224" t="s">
        <v>218</v>
      </c>
      <c r="D1224" t="s">
        <v>1123</v>
      </c>
      <c r="E1224" t="s">
        <v>1286</v>
      </c>
      <c r="F1224">
        <v>3</v>
      </c>
      <c r="G1224">
        <v>377.69</v>
      </c>
      <c r="H1224">
        <v>7.0000000000000007E-2</v>
      </c>
      <c r="I1224" t="s">
        <v>1351</v>
      </c>
      <c r="J1224">
        <v>1053.7551000000001</v>
      </c>
    </row>
    <row r="1225" spans="1:10">
      <c r="A1225" t="s">
        <v>2574</v>
      </c>
      <c r="B1225" s="1">
        <v>45416</v>
      </c>
      <c r="C1225" t="s">
        <v>381</v>
      </c>
      <c r="D1225" t="s">
        <v>1093</v>
      </c>
      <c r="E1225" t="s">
        <v>1304</v>
      </c>
      <c r="F1225">
        <v>1</v>
      </c>
      <c r="G1225">
        <v>457.33</v>
      </c>
      <c r="H1225">
        <v>0.27</v>
      </c>
      <c r="I1225" t="s">
        <v>1349</v>
      </c>
      <c r="J1225">
        <v>333.85090000000002</v>
      </c>
    </row>
    <row r="1226" spans="1:10">
      <c r="A1226" t="s">
        <v>2575</v>
      </c>
      <c r="B1226" s="1">
        <v>45880</v>
      </c>
      <c r="C1226" t="s">
        <v>551</v>
      </c>
      <c r="D1226" t="s">
        <v>1225</v>
      </c>
      <c r="E1226" t="s">
        <v>1301</v>
      </c>
      <c r="F1226">
        <v>4</v>
      </c>
      <c r="G1226">
        <v>218.01</v>
      </c>
      <c r="H1226">
        <v>0.06</v>
      </c>
      <c r="I1226" t="s">
        <v>1349</v>
      </c>
      <c r="J1226">
        <v>819.71759999999995</v>
      </c>
    </row>
    <row r="1227" spans="1:10">
      <c r="A1227" t="s">
        <v>2576</v>
      </c>
      <c r="B1227" s="1">
        <v>45933</v>
      </c>
      <c r="C1227" t="s">
        <v>498</v>
      </c>
      <c r="D1227" t="s">
        <v>1257</v>
      </c>
      <c r="E1227" t="s">
        <v>1335</v>
      </c>
      <c r="F1227">
        <v>2</v>
      </c>
      <c r="G1227">
        <v>682.7</v>
      </c>
      <c r="H1227">
        <v>0.13</v>
      </c>
      <c r="I1227" t="s">
        <v>1349</v>
      </c>
      <c r="J1227">
        <v>1187.8979999999999</v>
      </c>
    </row>
    <row r="1228" spans="1:10">
      <c r="A1228" t="s">
        <v>2577</v>
      </c>
      <c r="B1228" s="1">
        <v>45345</v>
      </c>
      <c r="C1228" t="s">
        <v>710</v>
      </c>
      <c r="D1228" t="s">
        <v>1111</v>
      </c>
      <c r="E1228" t="s">
        <v>1335</v>
      </c>
      <c r="F1228">
        <v>3</v>
      </c>
      <c r="G1228">
        <v>726.97</v>
      </c>
      <c r="H1228">
        <v>0.04</v>
      </c>
      <c r="I1228" t="s">
        <v>1351</v>
      </c>
      <c r="J1228">
        <v>2093.6736000000001</v>
      </c>
    </row>
    <row r="1229" spans="1:10">
      <c r="A1229" t="s">
        <v>2578</v>
      </c>
      <c r="B1229" s="1">
        <v>45681</v>
      </c>
      <c r="C1229" t="s">
        <v>879</v>
      </c>
      <c r="D1229" t="s">
        <v>1191</v>
      </c>
      <c r="E1229" t="s">
        <v>1311</v>
      </c>
      <c r="F1229">
        <v>2</v>
      </c>
      <c r="G1229">
        <v>107.97</v>
      </c>
      <c r="H1229">
        <v>0.06</v>
      </c>
      <c r="I1229" t="s">
        <v>1349</v>
      </c>
      <c r="J1229">
        <v>202.9836</v>
      </c>
    </row>
    <row r="1230" spans="1:10">
      <c r="A1230" t="s">
        <v>2579</v>
      </c>
      <c r="B1230" s="1">
        <v>45785</v>
      </c>
      <c r="C1230" t="s">
        <v>33</v>
      </c>
      <c r="D1230" t="s">
        <v>1080</v>
      </c>
      <c r="E1230" t="s">
        <v>1324</v>
      </c>
      <c r="F1230">
        <v>1</v>
      </c>
      <c r="G1230">
        <v>38.880000000000003</v>
      </c>
      <c r="H1230">
        <v>0.16</v>
      </c>
      <c r="I1230" t="s">
        <v>1354</v>
      </c>
      <c r="J1230">
        <v>32.659199999999998</v>
      </c>
    </row>
    <row r="1231" spans="1:10">
      <c r="A1231" t="s">
        <v>2580</v>
      </c>
      <c r="B1231" s="1">
        <v>45823</v>
      </c>
      <c r="C1231" t="s">
        <v>208</v>
      </c>
      <c r="D1231" t="s">
        <v>1105</v>
      </c>
      <c r="E1231" t="s">
        <v>1332</v>
      </c>
      <c r="F1231">
        <v>3</v>
      </c>
      <c r="G1231">
        <v>484.39</v>
      </c>
      <c r="H1231">
        <v>0.28999999999999998</v>
      </c>
      <c r="I1231" t="s">
        <v>1354</v>
      </c>
      <c r="J1231">
        <v>1031.7507000000001</v>
      </c>
    </row>
    <row r="1232" spans="1:10">
      <c r="A1232" t="s">
        <v>2581</v>
      </c>
      <c r="B1232" s="1">
        <v>45572</v>
      </c>
      <c r="C1232" t="s">
        <v>64</v>
      </c>
      <c r="D1232" t="s">
        <v>1233</v>
      </c>
      <c r="E1232" t="s">
        <v>1326</v>
      </c>
      <c r="F1232">
        <v>2</v>
      </c>
      <c r="G1232">
        <v>949.3</v>
      </c>
      <c r="H1232">
        <v>0.08</v>
      </c>
      <c r="I1232" t="s">
        <v>1354</v>
      </c>
      <c r="J1232">
        <v>1746.712</v>
      </c>
    </row>
    <row r="1233" spans="1:10">
      <c r="A1233" t="s">
        <v>2582</v>
      </c>
      <c r="B1233" s="1">
        <v>45259</v>
      </c>
      <c r="C1233" t="s">
        <v>929</v>
      </c>
      <c r="D1233" t="s">
        <v>1215</v>
      </c>
      <c r="E1233" t="s">
        <v>1301</v>
      </c>
      <c r="F1233">
        <v>3</v>
      </c>
      <c r="G1233">
        <v>664.75</v>
      </c>
      <c r="H1233">
        <v>0.12</v>
      </c>
      <c r="I1233" t="s">
        <v>1349</v>
      </c>
      <c r="J1233">
        <v>1754.94</v>
      </c>
    </row>
    <row r="1234" spans="1:10">
      <c r="A1234" t="s">
        <v>2583</v>
      </c>
      <c r="B1234" s="1">
        <v>45740</v>
      </c>
      <c r="C1234" t="s">
        <v>628</v>
      </c>
      <c r="D1234" t="s">
        <v>1213</v>
      </c>
      <c r="E1234" t="s">
        <v>1332</v>
      </c>
      <c r="F1234">
        <v>3</v>
      </c>
      <c r="G1234">
        <v>190.04</v>
      </c>
      <c r="H1234">
        <v>7.0000000000000007E-2</v>
      </c>
      <c r="I1234" t="s">
        <v>1351</v>
      </c>
      <c r="J1234">
        <v>530.21159999999998</v>
      </c>
    </row>
    <row r="1235" spans="1:10">
      <c r="A1235" t="s">
        <v>2584</v>
      </c>
      <c r="B1235" s="1">
        <v>45869</v>
      </c>
      <c r="C1235" t="s">
        <v>618</v>
      </c>
      <c r="D1235" t="s">
        <v>1085</v>
      </c>
      <c r="E1235" t="s">
        <v>1326</v>
      </c>
      <c r="F1235">
        <v>3</v>
      </c>
      <c r="G1235">
        <v>754.02</v>
      </c>
      <c r="H1235">
        <v>0.1</v>
      </c>
      <c r="I1235" t="s">
        <v>1354</v>
      </c>
      <c r="J1235">
        <v>2035.854</v>
      </c>
    </row>
    <row r="1236" spans="1:10">
      <c r="A1236" t="s">
        <v>2585</v>
      </c>
      <c r="B1236" s="1">
        <v>45526</v>
      </c>
      <c r="C1236" t="s">
        <v>831</v>
      </c>
      <c r="D1236" t="s">
        <v>1141</v>
      </c>
      <c r="E1236" t="s">
        <v>1319</v>
      </c>
      <c r="F1236">
        <v>4</v>
      </c>
      <c r="G1236">
        <v>94.13</v>
      </c>
      <c r="H1236">
        <v>0.04</v>
      </c>
      <c r="I1236" t="s">
        <v>1354</v>
      </c>
      <c r="J1236">
        <v>361.45920000000001</v>
      </c>
    </row>
    <row r="1237" spans="1:10">
      <c r="A1237" t="s">
        <v>2586</v>
      </c>
      <c r="B1237" s="1">
        <v>45489</v>
      </c>
      <c r="C1237" t="s">
        <v>998</v>
      </c>
      <c r="D1237" t="s">
        <v>1071</v>
      </c>
      <c r="E1237" t="s">
        <v>1326</v>
      </c>
      <c r="F1237">
        <v>3</v>
      </c>
      <c r="G1237">
        <v>402.3</v>
      </c>
      <c r="H1237">
        <v>0.21</v>
      </c>
      <c r="I1237" t="s">
        <v>1351</v>
      </c>
      <c r="J1237">
        <v>953.45100000000014</v>
      </c>
    </row>
    <row r="1238" spans="1:10">
      <c r="A1238" t="s">
        <v>2587</v>
      </c>
      <c r="B1238" s="1">
        <v>45908</v>
      </c>
      <c r="C1238" t="s">
        <v>541</v>
      </c>
      <c r="D1238" t="s">
        <v>1245</v>
      </c>
      <c r="E1238" t="s">
        <v>1304</v>
      </c>
      <c r="F1238">
        <v>1</v>
      </c>
      <c r="G1238">
        <v>729.05</v>
      </c>
      <c r="H1238">
        <v>0.06</v>
      </c>
      <c r="I1238" t="s">
        <v>1354</v>
      </c>
      <c r="J1238">
        <v>685.3069999999999</v>
      </c>
    </row>
    <row r="1239" spans="1:10">
      <c r="A1239" t="s">
        <v>2588</v>
      </c>
      <c r="B1239" s="1">
        <v>45912</v>
      </c>
      <c r="C1239" t="s">
        <v>329</v>
      </c>
      <c r="D1239" t="s">
        <v>1253</v>
      </c>
      <c r="E1239" t="s">
        <v>1322</v>
      </c>
      <c r="F1239">
        <v>1</v>
      </c>
      <c r="G1239">
        <v>822.6</v>
      </c>
      <c r="H1239">
        <v>0.28999999999999998</v>
      </c>
      <c r="I1239" t="s">
        <v>1351</v>
      </c>
      <c r="J1239">
        <v>584.04599999999994</v>
      </c>
    </row>
    <row r="1240" spans="1:10">
      <c r="A1240" t="s">
        <v>2589</v>
      </c>
      <c r="B1240" s="1">
        <v>45771</v>
      </c>
      <c r="C1240" t="s">
        <v>448</v>
      </c>
      <c r="D1240" t="s">
        <v>1239</v>
      </c>
      <c r="E1240" t="s">
        <v>1307</v>
      </c>
      <c r="F1240">
        <v>2</v>
      </c>
      <c r="G1240">
        <v>327.25</v>
      </c>
      <c r="H1240">
        <v>0.19</v>
      </c>
      <c r="I1240" t="s">
        <v>1351</v>
      </c>
      <c r="J1240">
        <v>530.14499999999998</v>
      </c>
    </row>
    <row r="1241" spans="1:10">
      <c r="A1241" t="s">
        <v>2590</v>
      </c>
      <c r="B1241" s="1">
        <v>45619</v>
      </c>
      <c r="C1241" t="s">
        <v>222</v>
      </c>
      <c r="D1241" t="s">
        <v>1213</v>
      </c>
      <c r="E1241" t="s">
        <v>1311</v>
      </c>
      <c r="F1241">
        <v>4</v>
      </c>
      <c r="G1241">
        <v>930.38</v>
      </c>
      <c r="H1241">
        <v>0</v>
      </c>
      <c r="I1241" t="s">
        <v>1354</v>
      </c>
      <c r="J1241">
        <v>3721.52</v>
      </c>
    </row>
    <row r="1242" spans="1:10">
      <c r="A1242" t="s">
        <v>2591</v>
      </c>
      <c r="B1242" s="1">
        <v>45394</v>
      </c>
      <c r="C1242" t="s">
        <v>349</v>
      </c>
      <c r="D1242" t="s">
        <v>1127</v>
      </c>
      <c r="E1242" t="s">
        <v>1298</v>
      </c>
      <c r="F1242">
        <v>2</v>
      </c>
      <c r="G1242">
        <v>437.84</v>
      </c>
      <c r="H1242">
        <v>0.24</v>
      </c>
      <c r="I1242" t="s">
        <v>1349</v>
      </c>
      <c r="J1242">
        <v>665.51679999999999</v>
      </c>
    </row>
    <row r="1243" spans="1:10">
      <c r="A1243" t="s">
        <v>2592</v>
      </c>
      <c r="B1243" s="1">
        <v>45786</v>
      </c>
      <c r="C1243" t="s">
        <v>190</v>
      </c>
      <c r="D1243" t="s">
        <v>1105</v>
      </c>
      <c r="E1243" t="s">
        <v>1329</v>
      </c>
      <c r="F1243">
        <v>2</v>
      </c>
      <c r="G1243">
        <v>126.02</v>
      </c>
      <c r="H1243">
        <v>0.09</v>
      </c>
      <c r="I1243" t="s">
        <v>1354</v>
      </c>
      <c r="J1243">
        <v>229.35640000000001</v>
      </c>
    </row>
    <row r="1244" spans="1:10">
      <c r="A1244" t="s">
        <v>2593</v>
      </c>
      <c r="B1244" s="1">
        <v>45692</v>
      </c>
      <c r="C1244" t="s">
        <v>937</v>
      </c>
      <c r="D1244" t="s">
        <v>1239</v>
      </c>
      <c r="E1244" t="s">
        <v>1326</v>
      </c>
      <c r="F1244">
        <v>1</v>
      </c>
      <c r="G1244">
        <v>860.84</v>
      </c>
      <c r="H1244">
        <v>7.0000000000000007E-2</v>
      </c>
      <c r="I1244" t="s">
        <v>1351</v>
      </c>
      <c r="J1244">
        <v>800.58119999999997</v>
      </c>
    </row>
    <row r="1245" spans="1:10">
      <c r="A1245" t="s">
        <v>2594</v>
      </c>
      <c r="B1245" s="1">
        <v>45677</v>
      </c>
      <c r="C1245" t="s">
        <v>244</v>
      </c>
      <c r="D1245" t="s">
        <v>1169</v>
      </c>
      <c r="E1245" t="s">
        <v>1322</v>
      </c>
      <c r="F1245">
        <v>1</v>
      </c>
      <c r="G1245">
        <v>161.80000000000001</v>
      </c>
      <c r="H1245">
        <v>0.24</v>
      </c>
      <c r="I1245" t="s">
        <v>1351</v>
      </c>
      <c r="J1245">
        <v>122.968</v>
      </c>
    </row>
    <row r="1246" spans="1:10">
      <c r="A1246" t="s">
        <v>2595</v>
      </c>
      <c r="B1246" s="1">
        <v>45669</v>
      </c>
      <c r="C1246" t="s">
        <v>833</v>
      </c>
      <c r="D1246" t="s">
        <v>1149</v>
      </c>
      <c r="E1246" t="s">
        <v>1332</v>
      </c>
      <c r="F1246">
        <v>4</v>
      </c>
      <c r="G1246">
        <v>347.82</v>
      </c>
      <c r="H1246">
        <v>0.02</v>
      </c>
      <c r="I1246" t="s">
        <v>1354</v>
      </c>
      <c r="J1246">
        <v>1363.4544000000001</v>
      </c>
    </row>
    <row r="1247" spans="1:10">
      <c r="A1247" t="s">
        <v>2596</v>
      </c>
      <c r="B1247" s="1">
        <v>45299</v>
      </c>
      <c r="C1247" t="s">
        <v>969</v>
      </c>
      <c r="D1247" t="s">
        <v>1243</v>
      </c>
      <c r="E1247" t="s">
        <v>1329</v>
      </c>
      <c r="F1247">
        <v>3</v>
      </c>
      <c r="G1247">
        <v>416.44</v>
      </c>
      <c r="H1247">
        <v>0.27</v>
      </c>
      <c r="I1247" t="s">
        <v>1349</v>
      </c>
      <c r="J1247">
        <v>912.00359999999989</v>
      </c>
    </row>
    <row r="1248" spans="1:10">
      <c r="A1248" t="s">
        <v>2597</v>
      </c>
      <c r="B1248" s="1">
        <v>45893</v>
      </c>
      <c r="C1248" t="s">
        <v>27</v>
      </c>
      <c r="D1248" t="s">
        <v>1197</v>
      </c>
      <c r="E1248" t="s">
        <v>1277</v>
      </c>
      <c r="F1248">
        <v>1</v>
      </c>
      <c r="G1248">
        <v>147.96</v>
      </c>
      <c r="H1248">
        <v>0.24</v>
      </c>
      <c r="I1248" t="s">
        <v>1354</v>
      </c>
      <c r="J1248">
        <v>112.4496</v>
      </c>
    </row>
    <row r="1249" spans="1:10">
      <c r="A1249" t="s">
        <v>2598</v>
      </c>
      <c r="B1249" s="1">
        <v>45560</v>
      </c>
      <c r="C1249" t="s">
        <v>953</v>
      </c>
      <c r="D1249" t="s">
        <v>1109</v>
      </c>
      <c r="E1249" t="s">
        <v>1307</v>
      </c>
      <c r="F1249">
        <v>3</v>
      </c>
      <c r="G1249">
        <v>550.26</v>
      </c>
      <c r="H1249">
        <v>0.22</v>
      </c>
      <c r="I1249" t="s">
        <v>1349</v>
      </c>
      <c r="J1249">
        <v>1287.6084000000001</v>
      </c>
    </row>
    <row r="1250" spans="1:10">
      <c r="A1250" t="s">
        <v>2599</v>
      </c>
      <c r="B1250" s="1">
        <v>45267</v>
      </c>
      <c r="C1250" t="s">
        <v>805</v>
      </c>
      <c r="D1250" t="s">
        <v>1267</v>
      </c>
      <c r="E1250" t="s">
        <v>1304</v>
      </c>
      <c r="F1250">
        <v>4</v>
      </c>
      <c r="G1250">
        <v>938.21</v>
      </c>
      <c r="H1250">
        <v>0.04</v>
      </c>
      <c r="I1250" t="s">
        <v>1351</v>
      </c>
      <c r="J1250">
        <v>3602.7264</v>
      </c>
    </row>
    <row r="1251" spans="1:10">
      <c r="A1251" t="s">
        <v>2600</v>
      </c>
      <c r="B1251" s="1">
        <v>45467</v>
      </c>
      <c r="C1251" t="s">
        <v>329</v>
      </c>
      <c r="D1251" t="s">
        <v>1261</v>
      </c>
      <c r="E1251" t="s">
        <v>1329</v>
      </c>
      <c r="F1251">
        <v>3</v>
      </c>
      <c r="G1251">
        <v>517.98</v>
      </c>
      <c r="H1251">
        <v>0.01</v>
      </c>
      <c r="I1251" t="s">
        <v>1351</v>
      </c>
      <c r="J1251">
        <v>1538.4005999999999</v>
      </c>
    </row>
    <row r="1252" spans="1:10">
      <c r="A1252" t="s">
        <v>2601</v>
      </c>
      <c r="B1252" s="1">
        <v>45847</v>
      </c>
      <c r="C1252" t="s">
        <v>109</v>
      </c>
      <c r="D1252" t="s">
        <v>1082</v>
      </c>
      <c r="E1252" t="s">
        <v>1307</v>
      </c>
      <c r="F1252">
        <v>1</v>
      </c>
      <c r="G1252">
        <v>98.27</v>
      </c>
      <c r="H1252">
        <v>0.16</v>
      </c>
      <c r="I1252" t="s">
        <v>1351</v>
      </c>
      <c r="J1252">
        <v>82.54679999999999</v>
      </c>
    </row>
    <row r="1253" spans="1:10">
      <c r="A1253" t="s">
        <v>2602</v>
      </c>
      <c r="B1253" s="1">
        <v>45480</v>
      </c>
      <c r="C1253" t="s">
        <v>565</v>
      </c>
      <c r="D1253" t="s">
        <v>1169</v>
      </c>
      <c r="E1253" t="s">
        <v>1317</v>
      </c>
      <c r="F1253">
        <v>2</v>
      </c>
      <c r="G1253">
        <v>875.2</v>
      </c>
      <c r="H1253">
        <v>0.19</v>
      </c>
      <c r="I1253" t="s">
        <v>1349</v>
      </c>
      <c r="J1253">
        <v>1417.8240000000001</v>
      </c>
    </row>
    <row r="1254" spans="1:10">
      <c r="A1254" t="s">
        <v>2603</v>
      </c>
      <c r="B1254" s="1">
        <v>45345</v>
      </c>
      <c r="C1254" t="s">
        <v>674</v>
      </c>
      <c r="D1254" t="s">
        <v>1245</v>
      </c>
      <c r="E1254" t="s">
        <v>1277</v>
      </c>
      <c r="F1254">
        <v>1</v>
      </c>
      <c r="G1254">
        <v>227.35</v>
      </c>
      <c r="H1254">
        <v>0.06</v>
      </c>
      <c r="I1254" t="s">
        <v>1354</v>
      </c>
      <c r="J1254">
        <v>213.709</v>
      </c>
    </row>
    <row r="1255" spans="1:10">
      <c r="A1255" t="s">
        <v>2604</v>
      </c>
      <c r="B1255" s="1">
        <v>45235</v>
      </c>
      <c r="C1255" t="s">
        <v>482</v>
      </c>
      <c r="D1255" t="s">
        <v>1221</v>
      </c>
      <c r="E1255" t="s">
        <v>1282</v>
      </c>
      <c r="F1255">
        <v>1</v>
      </c>
      <c r="G1255">
        <v>842.46</v>
      </c>
      <c r="H1255">
        <v>0.05</v>
      </c>
      <c r="I1255" t="s">
        <v>1354</v>
      </c>
      <c r="J1255">
        <v>800.33699999999999</v>
      </c>
    </row>
    <row r="1256" spans="1:10">
      <c r="A1256" t="s">
        <v>2605</v>
      </c>
      <c r="B1256" s="1">
        <v>45543</v>
      </c>
      <c r="C1256" t="s">
        <v>486</v>
      </c>
      <c r="D1256" t="s">
        <v>1145</v>
      </c>
      <c r="E1256" t="s">
        <v>1317</v>
      </c>
      <c r="F1256">
        <v>3</v>
      </c>
      <c r="G1256">
        <v>120.67</v>
      </c>
      <c r="H1256">
        <v>0.08</v>
      </c>
      <c r="I1256" t="s">
        <v>1354</v>
      </c>
      <c r="J1256">
        <v>333.04919999999998</v>
      </c>
    </row>
    <row r="1257" spans="1:10">
      <c r="A1257" t="s">
        <v>2606</v>
      </c>
      <c r="B1257" s="1">
        <v>45402</v>
      </c>
      <c r="C1257" t="s">
        <v>1055</v>
      </c>
      <c r="D1257" t="s">
        <v>1113</v>
      </c>
      <c r="E1257" t="s">
        <v>1291</v>
      </c>
      <c r="F1257">
        <v>4</v>
      </c>
      <c r="G1257">
        <v>176.13</v>
      </c>
      <c r="H1257">
        <v>0.27</v>
      </c>
      <c r="I1257" t="s">
        <v>1351</v>
      </c>
      <c r="J1257">
        <v>514.29959999999994</v>
      </c>
    </row>
    <row r="1258" spans="1:10">
      <c r="A1258" t="s">
        <v>2607</v>
      </c>
      <c r="B1258" s="1">
        <v>45671</v>
      </c>
      <c r="C1258" t="s">
        <v>963</v>
      </c>
      <c r="D1258" t="s">
        <v>1199</v>
      </c>
      <c r="E1258" t="s">
        <v>1317</v>
      </c>
      <c r="F1258">
        <v>4</v>
      </c>
      <c r="G1258">
        <v>592.67999999999995</v>
      </c>
      <c r="H1258">
        <v>0.03</v>
      </c>
      <c r="I1258" t="s">
        <v>1349</v>
      </c>
      <c r="J1258">
        <v>2299.5983999999999</v>
      </c>
    </row>
    <row r="1259" spans="1:10">
      <c r="A1259" t="s">
        <v>2608</v>
      </c>
      <c r="B1259" s="1">
        <v>45367</v>
      </c>
      <c r="C1259" t="s">
        <v>413</v>
      </c>
      <c r="D1259" t="s">
        <v>1213</v>
      </c>
      <c r="E1259" t="s">
        <v>1294</v>
      </c>
      <c r="F1259">
        <v>4</v>
      </c>
      <c r="G1259">
        <v>662.43</v>
      </c>
      <c r="H1259">
        <v>0.24</v>
      </c>
      <c r="I1259" t="s">
        <v>1351</v>
      </c>
      <c r="J1259">
        <v>2013.7872</v>
      </c>
    </row>
    <row r="1260" spans="1:10">
      <c r="A1260" t="s">
        <v>2609</v>
      </c>
      <c r="B1260" s="1">
        <v>45488</v>
      </c>
      <c r="C1260" t="s">
        <v>317</v>
      </c>
      <c r="D1260" t="s">
        <v>1159</v>
      </c>
      <c r="E1260" t="s">
        <v>1307</v>
      </c>
      <c r="F1260">
        <v>3</v>
      </c>
      <c r="G1260">
        <v>518.35</v>
      </c>
      <c r="H1260">
        <v>0.21</v>
      </c>
      <c r="I1260" t="s">
        <v>1354</v>
      </c>
      <c r="J1260">
        <v>1228.4894999999999</v>
      </c>
    </row>
    <row r="1261" spans="1:10">
      <c r="A1261" t="s">
        <v>2610</v>
      </c>
      <c r="B1261" s="1">
        <v>45509</v>
      </c>
      <c r="C1261" t="s">
        <v>684</v>
      </c>
      <c r="D1261" t="s">
        <v>1195</v>
      </c>
      <c r="E1261" t="s">
        <v>1298</v>
      </c>
      <c r="F1261">
        <v>1</v>
      </c>
      <c r="G1261">
        <v>85.58</v>
      </c>
      <c r="H1261">
        <v>0.1</v>
      </c>
      <c r="I1261" t="s">
        <v>1354</v>
      </c>
      <c r="J1261">
        <v>77.022000000000006</v>
      </c>
    </row>
    <row r="1262" spans="1:10">
      <c r="A1262" t="s">
        <v>2611</v>
      </c>
      <c r="B1262" s="1">
        <v>45323</v>
      </c>
      <c r="C1262" t="s">
        <v>789</v>
      </c>
      <c r="D1262" t="s">
        <v>1247</v>
      </c>
      <c r="E1262" t="s">
        <v>1282</v>
      </c>
      <c r="F1262">
        <v>4</v>
      </c>
      <c r="G1262">
        <v>800</v>
      </c>
      <c r="H1262">
        <v>0.2</v>
      </c>
      <c r="I1262" t="s">
        <v>1349</v>
      </c>
      <c r="J1262">
        <v>2560</v>
      </c>
    </row>
    <row r="1263" spans="1:10">
      <c r="A1263" t="s">
        <v>2612</v>
      </c>
      <c r="B1263" s="1">
        <v>45889</v>
      </c>
      <c r="C1263" t="s">
        <v>371</v>
      </c>
      <c r="D1263" t="s">
        <v>1193</v>
      </c>
      <c r="E1263" t="s">
        <v>1314</v>
      </c>
      <c r="F1263">
        <v>3</v>
      </c>
      <c r="G1263">
        <v>118.25</v>
      </c>
      <c r="H1263">
        <v>0.26</v>
      </c>
      <c r="I1263" t="s">
        <v>1351</v>
      </c>
      <c r="J1263">
        <v>262.51499999999999</v>
      </c>
    </row>
    <row r="1264" spans="1:10">
      <c r="A1264" t="s">
        <v>2613</v>
      </c>
      <c r="B1264" s="1">
        <v>45253</v>
      </c>
      <c r="C1264" t="s">
        <v>905</v>
      </c>
      <c r="D1264" t="s">
        <v>1137</v>
      </c>
      <c r="E1264" t="s">
        <v>1326</v>
      </c>
      <c r="F1264">
        <v>1</v>
      </c>
      <c r="G1264">
        <v>223.25</v>
      </c>
      <c r="H1264">
        <v>0.28999999999999998</v>
      </c>
      <c r="I1264" t="s">
        <v>1349</v>
      </c>
      <c r="J1264">
        <v>158.50749999999999</v>
      </c>
    </row>
    <row r="1265" spans="1:10">
      <c r="A1265" t="s">
        <v>2614</v>
      </c>
      <c r="B1265" s="1">
        <v>45530</v>
      </c>
      <c r="C1265" t="s">
        <v>917</v>
      </c>
      <c r="D1265" t="s">
        <v>1137</v>
      </c>
      <c r="E1265" t="s">
        <v>1294</v>
      </c>
      <c r="F1265">
        <v>3</v>
      </c>
      <c r="G1265">
        <v>918.76</v>
      </c>
      <c r="H1265">
        <v>0.2</v>
      </c>
      <c r="I1265" t="s">
        <v>1351</v>
      </c>
      <c r="J1265">
        <v>2205.0239999999999</v>
      </c>
    </row>
    <row r="1266" spans="1:10">
      <c r="A1266" t="s">
        <v>2615</v>
      </c>
      <c r="B1266" s="1">
        <v>45491</v>
      </c>
      <c r="C1266" t="s">
        <v>624</v>
      </c>
      <c r="D1266" t="s">
        <v>1241</v>
      </c>
      <c r="E1266" t="s">
        <v>1322</v>
      </c>
      <c r="F1266">
        <v>2</v>
      </c>
      <c r="G1266">
        <v>905.26</v>
      </c>
      <c r="H1266">
        <v>0.15</v>
      </c>
      <c r="I1266" t="s">
        <v>1354</v>
      </c>
      <c r="J1266">
        <v>1538.942</v>
      </c>
    </row>
    <row r="1267" spans="1:10">
      <c r="A1267" t="s">
        <v>2616</v>
      </c>
      <c r="B1267" s="1">
        <v>45628</v>
      </c>
      <c r="C1267" t="s">
        <v>688</v>
      </c>
      <c r="D1267" t="s">
        <v>1105</v>
      </c>
      <c r="E1267" t="s">
        <v>1338</v>
      </c>
      <c r="F1267">
        <v>4</v>
      </c>
      <c r="G1267">
        <v>295.39999999999998</v>
      </c>
      <c r="H1267">
        <v>0.23</v>
      </c>
      <c r="I1267" t="s">
        <v>1351</v>
      </c>
      <c r="J1267">
        <v>909.83199999999999</v>
      </c>
    </row>
    <row r="1268" spans="1:10">
      <c r="A1268" t="s">
        <v>2617</v>
      </c>
      <c r="B1268" s="1">
        <v>45861</v>
      </c>
      <c r="C1268" t="s">
        <v>229</v>
      </c>
      <c r="D1268" t="s">
        <v>1261</v>
      </c>
      <c r="E1268" t="s">
        <v>1298</v>
      </c>
      <c r="F1268">
        <v>1</v>
      </c>
      <c r="G1268">
        <v>252.18</v>
      </c>
      <c r="H1268">
        <v>0.23</v>
      </c>
      <c r="I1268" t="s">
        <v>1351</v>
      </c>
      <c r="J1268">
        <v>194.17859999999999</v>
      </c>
    </row>
    <row r="1269" spans="1:10">
      <c r="A1269" t="s">
        <v>2618</v>
      </c>
      <c r="B1269" s="1">
        <v>45878</v>
      </c>
      <c r="C1269" t="s">
        <v>365</v>
      </c>
      <c r="D1269" t="s">
        <v>1267</v>
      </c>
      <c r="E1269" t="s">
        <v>1319</v>
      </c>
      <c r="F1269">
        <v>4</v>
      </c>
      <c r="G1269">
        <v>792.1</v>
      </c>
      <c r="H1269">
        <v>0.19</v>
      </c>
      <c r="I1269" t="s">
        <v>1354</v>
      </c>
      <c r="J1269">
        <v>2566.404</v>
      </c>
    </row>
    <row r="1270" spans="1:10">
      <c r="A1270" t="s">
        <v>2619</v>
      </c>
      <c r="B1270" s="1">
        <v>45426</v>
      </c>
      <c r="C1270" t="s">
        <v>204</v>
      </c>
      <c r="D1270" t="s">
        <v>1249</v>
      </c>
      <c r="E1270" t="s">
        <v>1324</v>
      </c>
      <c r="F1270">
        <v>1</v>
      </c>
      <c r="G1270">
        <v>883.36</v>
      </c>
      <c r="H1270">
        <v>0.11</v>
      </c>
      <c r="I1270" t="s">
        <v>1351</v>
      </c>
      <c r="J1270">
        <v>786.19040000000007</v>
      </c>
    </row>
    <row r="1271" spans="1:10">
      <c r="A1271" t="s">
        <v>2620</v>
      </c>
      <c r="B1271" s="1">
        <v>45231</v>
      </c>
      <c r="C1271" t="s">
        <v>616</v>
      </c>
      <c r="D1271" t="s">
        <v>1211</v>
      </c>
      <c r="E1271" t="s">
        <v>1277</v>
      </c>
      <c r="F1271">
        <v>4</v>
      </c>
      <c r="G1271">
        <v>305.95</v>
      </c>
      <c r="H1271">
        <v>0.08</v>
      </c>
      <c r="I1271" t="s">
        <v>1351</v>
      </c>
      <c r="J1271">
        <v>1125.896</v>
      </c>
    </row>
    <row r="1272" spans="1:10">
      <c r="A1272" t="s">
        <v>2621</v>
      </c>
      <c r="B1272" s="1">
        <v>45609</v>
      </c>
      <c r="C1272" t="s">
        <v>865</v>
      </c>
      <c r="D1272" t="s">
        <v>1189</v>
      </c>
      <c r="E1272" t="s">
        <v>1304</v>
      </c>
      <c r="F1272">
        <v>3</v>
      </c>
      <c r="G1272">
        <v>742.45</v>
      </c>
      <c r="H1272">
        <v>0.23</v>
      </c>
      <c r="I1272" t="s">
        <v>1354</v>
      </c>
      <c r="J1272">
        <v>1715.0595000000001</v>
      </c>
    </row>
    <row r="1273" spans="1:10">
      <c r="A1273" t="s">
        <v>2622</v>
      </c>
      <c r="B1273" s="1">
        <v>45392</v>
      </c>
      <c r="C1273" t="s">
        <v>773</v>
      </c>
      <c r="D1273" t="s">
        <v>1123</v>
      </c>
      <c r="E1273" t="s">
        <v>1335</v>
      </c>
      <c r="F1273">
        <v>3</v>
      </c>
      <c r="G1273">
        <v>336.1</v>
      </c>
      <c r="H1273">
        <v>0.12</v>
      </c>
      <c r="I1273" t="s">
        <v>1354</v>
      </c>
      <c r="J1273">
        <v>887.30400000000009</v>
      </c>
    </row>
    <row r="1274" spans="1:10">
      <c r="A1274" t="s">
        <v>2623</v>
      </c>
      <c r="B1274" s="1">
        <v>45876</v>
      </c>
      <c r="C1274" t="s">
        <v>887</v>
      </c>
      <c r="D1274" t="s">
        <v>1131</v>
      </c>
      <c r="E1274" t="s">
        <v>1304</v>
      </c>
      <c r="F1274">
        <v>3</v>
      </c>
      <c r="G1274">
        <v>310.36</v>
      </c>
      <c r="H1274">
        <v>0.14000000000000001</v>
      </c>
      <c r="I1274" t="s">
        <v>1354</v>
      </c>
      <c r="J1274">
        <v>800.72879999999998</v>
      </c>
    </row>
    <row r="1275" spans="1:10">
      <c r="A1275" t="s">
        <v>2624</v>
      </c>
      <c r="B1275" s="1">
        <v>45772</v>
      </c>
      <c r="C1275" t="s">
        <v>622</v>
      </c>
      <c r="D1275" t="s">
        <v>1269</v>
      </c>
      <c r="E1275" t="s">
        <v>1307</v>
      </c>
      <c r="F1275">
        <v>3</v>
      </c>
      <c r="G1275">
        <v>992.81</v>
      </c>
      <c r="H1275">
        <v>0.04</v>
      </c>
      <c r="I1275" t="s">
        <v>1351</v>
      </c>
      <c r="J1275">
        <v>2859.2928000000002</v>
      </c>
    </row>
    <row r="1276" spans="1:10">
      <c r="A1276" t="s">
        <v>2625</v>
      </c>
      <c r="B1276" s="1">
        <v>45217</v>
      </c>
      <c r="C1276" t="s">
        <v>458</v>
      </c>
      <c r="D1276" t="s">
        <v>1193</v>
      </c>
      <c r="E1276" t="s">
        <v>1317</v>
      </c>
      <c r="F1276">
        <v>3</v>
      </c>
      <c r="G1276">
        <v>257.11</v>
      </c>
      <c r="H1276">
        <v>0.26</v>
      </c>
      <c r="I1276" t="s">
        <v>1354</v>
      </c>
      <c r="J1276">
        <v>570.78420000000006</v>
      </c>
    </row>
    <row r="1277" spans="1:10">
      <c r="A1277" t="s">
        <v>2626</v>
      </c>
      <c r="B1277" s="1">
        <v>45739</v>
      </c>
      <c r="C1277" t="s">
        <v>502</v>
      </c>
      <c r="D1277" t="s">
        <v>1263</v>
      </c>
      <c r="E1277" t="s">
        <v>1319</v>
      </c>
      <c r="F1277">
        <v>4</v>
      </c>
      <c r="G1277">
        <v>816.29</v>
      </c>
      <c r="H1277">
        <v>0.24</v>
      </c>
      <c r="I1277" t="s">
        <v>1351</v>
      </c>
      <c r="J1277">
        <v>2481.5216</v>
      </c>
    </row>
    <row r="1278" spans="1:10">
      <c r="A1278" t="s">
        <v>2627</v>
      </c>
      <c r="B1278" s="1">
        <v>45272</v>
      </c>
      <c r="C1278" t="s">
        <v>304</v>
      </c>
      <c r="D1278" t="s">
        <v>1193</v>
      </c>
      <c r="E1278" t="s">
        <v>1319</v>
      </c>
      <c r="F1278">
        <v>4</v>
      </c>
      <c r="G1278">
        <v>755.82</v>
      </c>
      <c r="H1278">
        <v>0.22</v>
      </c>
      <c r="I1278" t="s">
        <v>1354</v>
      </c>
      <c r="J1278">
        <v>2358.1583999999998</v>
      </c>
    </row>
    <row r="1279" spans="1:10">
      <c r="A1279" t="s">
        <v>2628</v>
      </c>
      <c r="B1279" s="1">
        <v>45524</v>
      </c>
      <c r="C1279" t="s">
        <v>20</v>
      </c>
      <c r="D1279" t="s">
        <v>1068</v>
      </c>
      <c r="E1279" t="s">
        <v>1324</v>
      </c>
      <c r="F1279">
        <v>1</v>
      </c>
      <c r="G1279">
        <v>449.6</v>
      </c>
      <c r="H1279">
        <v>0.01</v>
      </c>
      <c r="I1279" t="s">
        <v>1351</v>
      </c>
      <c r="J1279">
        <v>445.10399999999998</v>
      </c>
    </row>
    <row r="1280" spans="1:10">
      <c r="A1280" t="s">
        <v>2629</v>
      </c>
      <c r="B1280" s="1">
        <v>45481</v>
      </c>
      <c r="C1280" t="s">
        <v>766</v>
      </c>
      <c r="D1280" t="s">
        <v>1101</v>
      </c>
      <c r="E1280" t="s">
        <v>1277</v>
      </c>
      <c r="F1280">
        <v>2</v>
      </c>
      <c r="G1280">
        <v>779.29</v>
      </c>
      <c r="H1280">
        <v>0.12</v>
      </c>
      <c r="I1280" t="s">
        <v>1354</v>
      </c>
      <c r="J1280">
        <v>1371.5504000000001</v>
      </c>
    </row>
    <row r="1281" spans="1:10">
      <c r="A1281" t="s">
        <v>2630</v>
      </c>
      <c r="B1281" s="1">
        <v>45267</v>
      </c>
      <c r="C1281" t="s">
        <v>990</v>
      </c>
      <c r="D1281" t="s">
        <v>1227</v>
      </c>
      <c r="E1281" t="s">
        <v>1332</v>
      </c>
      <c r="F1281">
        <v>1</v>
      </c>
      <c r="G1281">
        <v>748.75</v>
      </c>
      <c r="H1281">
        <v>0.1</v>
      </c>
      <c r="I1281" t="s">
        <v>1354</v>
      </c>
      <c r="J1281">
        <v>673.875</v>
      </c>
    </row>
    <row r="1282" spans="1:10">
      <c r="A1282" t="s">
        <v>2631</v>
      </c>
      <c r="B1282" s="1">
        <v>45328</v>
      </c>
      <c r="C1282" t="s">
        <v>424</v>
      </c>
      <c r="D1282" t="s">
        <v>1251</v>
      </c>
      <c r="E1282" t="s">
        <v>1277</v>
      </c>
      <c r="F1282">
        <v>2</v>
      </c>
      <c r="G1282">
        <v>121.67</v>
      </c>
      <c r="H1282">
        <v>0.08</v>
      </c>
      <c r="I1282" t="s">
        <v>1354</v>
      </c>
      <c r="J1282">
        <v>223.87280000000001</v>
      </c>
    </row>
    <row r="1283" spans="1:10">
      <c r="A1283" t="s">
        <v>2632</v>
      </c>
      <c r="B1283" s="1">
        <v>45787</v>
      </c>
      <c r="C1283" t="s">
        <v>1045</v>
      </c>
      <c r="D1283" t="s">
        <v>1171</v>
      </c>
      <c r="E1283" t="s">
        <v>1326</v>
      </c>
      <c r="F1283">
        <v>3</v>
      </c>
      <c r="G1283">
        <v>225.14</v>
      </c>
      <c r="H1283">
        <v>0.15</v>
      </c>
      <c r="I1283" t="s">
        <v>1354</v>
      </c>
      <c r="J1283">
        <v>574.10699999999997</v>
      </c>
    </row>
    <row r="1284" spans="1:10">
      <c r="A1284" t="s">
        <v>2633</v>
      </c>
      <c r="B1284" s="1">
        <v>45876</v>
      </c>
      <c r="C1284" t="s">
        <v>706</v>
      </c>
      <c r="D1284" t="s">
        <v>1131</v>
      </c>
      <c r="E1284" t="s">
        <v>1338</v>
      </c>
      <c r="F1284">
        <v>1</v>
      </c>
      <c r="G1284">
        <v>654.17999999999995</v>
      </c>
      <c r="H1284">
        <v>0.19</v>
      </c>
      <c r="I1284" t="s">
        <v>1351</v>
      </c>
      <c r="J1284">
        <v>529.88580000000002</v>
      </c>
    </row>
    <row r="1285" spans="1:10">
      <c r="A1285" t="s">
        <v>2634</v>
      </c>
      <c r="B1285" s="1">
        <v>45552</v>
      </c>
      <c r="C1285" t="s">
        <v>162</v>
      </c>
      <c r="D1285" t="s">
        <v>1215</v>
      </c>
      <c r="E1285" t="s">
        <v>1298</v>
      </c>
      <c r="F1285">
        <v>2</v>
      </c>
      <c r="G1285">
        <v>504.98</v>
      </c>
      <c r="H1285">
        <v>0.08</v>
      </c>
      <c r="I1285" t="s">
        <v>1354</v>
      </c>
      <c r="J1285">
        <v>929.16320000000007</v>
      </c>
    </row>
    <row r="1286" spans="1:10">
      <c r="A1286" t="s">
        <v>2635</v>
      </c>
      <c r="B1286" s="1">
        <v>45823</v>
      </c>
      <c r="C1286" t="s">
        <v>819</v>
      </c>
      <c r="D1286" t="s">
        <v>1181</v>
      </c>
      <c r="E1286" t="s">
        <v>1307</v>
      </c>
      <c r="F1286">
        <v>2</v>
      </c>
      <c r="G1286">
        <v>623.20000000000005</v>
      </c>
      <c r="H1286">
        <v>0.14000000000000001</v>
      </c>
      <c r="I1286" t="s">
        <v>1354</v>
      </c>
      <c r="J1286">
        <v>1071.904</v>
      </c>
    </row>
    <row r="1287" spans="1:10">
      <c r="A1287" t="s">
        <v>2636</v>
      </c>
      <c r="B1287" s="1">
        <v>45622</v>
      </c>
      <c r="C1287" t="s">
        <v>714</v>
      </c>
      <c r="D1287" t="s">
        <v>1080</v>
      </c>
      <c r="E1287" t="s">
        <v>1329</v>
      </c>
      <c r="F1287">
        <v>2</v>
      </c>
      <c r="G1287">
        <v>530.54</v>
      </c>
      <c r="H1287">
        <v>0.28000000000000003</v>
      </c>
      <c r="I1287" t="s">
        <v>1354</v>
      </c>
      <c r="J1287">
        <v>763.97759999999994</v>
      </c>
    </row>
    <row r="1288" spans="1:10">
      <c r="A1288" t="s">
        <v>2637</v>
      </c>
      <c r="B1288" s="1">
        <v>45810</v>
      </c>
      <c r="C1288" t="s">
        <v>793</v>
      </c>
      <c r="D1288" t="s">
        <v>1068</v>
      </c>
      <c r="E1288" t="s">
        <v>1329</v>
      </c>
      <c r="F1288">
        <v>3</v>
      </c>
      <c r="G1288">
        <v>279.45</v>
      </c>
      <c r="H1288">
        <v>0.15</v>
      </c>
      <c r="I1288" t="s">
        <v>1354</v>
      </c>
      <c r="J1288">
        <v>712.59749999999985</v>
      </c>
    </row>
    <row r="1289" spans="1:10">
      <c r="A1289" t="s">
        <v>2638</v>
      </c>
      <c r="B1289" s="1">
        <v>45645</v>
      </c>
      <c r="C1289" t="s">
        <v>596</v>
      </c>
      <c r="D1289" t="s">
        <v>1097</v>
      </c>
      <c r="E1289" t="s">
        <v>1307</v>
      </c>
      <c r="F1289">
        <v>3</v>
      </c>
      <c r="G1289">
        <v>906.99</v>
      </c>
      <c r="H1289">
        <v>0.26</v>
      </c>
      <c r="I1289" t="s">
        <v>1354</v>
      </c>
      <c r="J1289">
        <v>2013.5178000000001</v>
      </c>
    </row>
    <row r="1290" spans="1:10">
      <c r="A1290" t="s">
        <v>2639</v>
      </c>
      <c r="B1290" s="1">
        <v>45749</v>
      </c>
      <c r="C1290" t="s">
        <v>190</v>
      </c>
      <c r="D1290" t="s">
        <v>1233</v>
      </c>
      <c r="E1290" t="s">
        <v>1332</v>
      </c>
      <c r="F1290">
        <v>4</v>
      </c>
      <c r="G1290">
        <v>408.76</v>
      </c>
      <c r="H1290">
        <v>0.12</v>
      </c>
      <c r="I1290" t="s">
        <v>1354</v>
      </c>
      <c r="J1290">
        <v>1438.8352</v>
      </c>
    </row>
    <row r="1291" spans="1:10">
      <c r="A1291" t="s">
        <v>2640</v>
      </c>
      <c r="B1291" s="1">
        <v>45537</v>
      </c>
      <c r="C1291" t="s">
        <v>415</v>
      </c>
      <c r="D1291" t="s">
        <v>1145</v>
      </c>
      <c r="E1291" t="s">
        <v>1311</v>
      </c>
      <c r="F1291">
        <v>2</v>
      </c>
      <c r="G1291">
        <v>117.34</v>
      </c>
      <c r="H1291">
        <v>0.09</v>
      </c>
      <c r="I1291" t="s">
        <v>1351</v>
      </c>
      <c r="J1291">
        <v>213.55879999999999</v>
      </c>
    </row>
    <row r="1292" spans="1:10">
      <c r="A1292" t="s">
        <v>2641</v>
      </c>
      <c r="B1292" s="1">
        <v>45376</v>
      </c>
      <c r="C1292" t="s">
        <v>397</v>
      </c>
      <c r="D1292" t="s">
        <v>1255</v>
      </c>
      <c r="E1292" t="s">
        <v>1324</v>
      </c>
      <c r="F1292">
        <v>3</v>
      </c>
      <c r="G1292">
        <v>690.27</v>
      </c>
      <c r="H1292">
        <v>7.0000000000000007E-2</v>
      </c>
      <c r="I1292" t="s">
        <v>1351</v>
      </c>
      <c r="J1292">
        <v>1925.8533</v>
      </c>
    </row>
    <row r="1293" spans="1:10">
      <c r="A1293" t="s">
        <v>2642</v>
      </c>
      <c r="B1293" s="1">
        <v>45709</v>
      </c>
      <c r="C1293" t="s">
        <v>275</v>
      </c>
      <c r="D1293" t="s">
        <v>1129</v>
      </c>
      <c r="E1293" t="s">
        <v>1332</v>
      </c>
      <c r="F1293">
        <v>4</v>
      </c>
      <c r="G1293">
        <v>377.18</v>
      </c>
      <c r="H1293">
        <v>0.24</v>
      </c>
      <c r="I1293" t="s">
        <v>1351</v>
      </c>
      <c r="J1293">
        <v>1146.6271999999999</v>
      </c>
    </row>
    <row r="1294" spans="1:10">
      <c r="A1294" t="s">
        <v>2643</v>
      </c>
      <c r="B1294" s="1">
        <v>45446</v>
      </c>
      <c r="C1294" t="s">
        <v>283</v>
      </c>
      <c r="D1294" t="s">
        <v>1153</v>
      </c>
      <c r="E1294" t="s">
        <v>1277</v>
      </c>
      <c r="F1294">
        <v>1</v>
      </c>
      <c r="G1294">
        <v>70.52</v>
      </c>
      <c r="H1294">
        <v>0.08</v>
      </c>
      <c r="I1294" t="s">
        <v>1354</v>
      </c>
      <c r="J1294">
        <v>64.878399999999999</v>
      </c>
    </row>
    <row r="1295" spans="1:10">
      <c r="A1295" t="s">
        <v>2644</v>
      </c>
      <c r="B1295" s="1">
        <v>45330</v>
      </c>
      <c r="C1295" t="s">
        <v>614</v>
      </c>
      <c r="D1295" t="s">
        <v>1149</v>
      </c>
      <c r="E1295" t="s">
        <v>1311</v>
      </c>
      <c r="F1295">
        <v>1</v>
      </c>
      <c r="G1295">
        <v>40.25</v>
      </c>
      <c r="H1295">
        <v>0.1</v>
      </c>
      <c r="I1295" t="s">
        <v>1351</v>
      </c>
      <c r="J1295">
        <v>36.225000000000001</v>
      </c>
    </row>
    <row r="1296" spans="1:10">
      <c r="A1296" t="s">
        <v>2645</v>
      </c>
      <c r="B1296" s="1">
        <v>45388</v>
      </c>
      <c r="C1296" t="s">
        <v>527</v>
      </c>
      <c r="D1296" t="s">
        <v>1251</v>
      </c>
      <c r="E1296" t="s">
        <v>1317</v>
      </c>
      <c r="F1296">
        <v>3</v>
      </c>
      <c r="G1296">
        <v>539.44000000000005</v>
      </c>
      <c r="H1296">
        <v>0.05</v>
      </c>
      <c r="I1296" t="s">
        <v>1354</v>
      </c>
      <c r="J1296">
        <v>1537.404</v>
      </c>
    </row>
    <row r="1297" spans="1:10">
      <c r="A1297" t="s">
        <v>2646</v>
      </c>
      <c r="B1297" s="1">
        <v>45313</v>
      </c>
      <c r="C1297" t="s">
        <v>557</v>
      </c>
      <c r="D1297" t="s">
        <v>1193</v>
      </c>
      <c r="E1297" t="s">
        <v>1294</v>
      </c>
      <c r="F1297">
        <v>3</v>
      </c>
      <c r="G1297">
        <v>543.49</v>
      </c>
      <c r="H1297">
        <v>0.05</v>
      </c>
      <c r="I1297" t="s">
        <v>1351</v>
      </c>
      <c r="J1297">
        <v>1548.9465</v>
      </c>
    </row>
    <row r="1298" spans="1:10">
      <c r="A1298" t="s">
        <v>2647</v>
      </c>
      <c r="B1298" s="1">
        <v>45221</v>
      </c>
      <c r="C1298" t="s">
        <v>712</v>
      </c>
      <c r="D1298" t="s">
        <v>1085</v>
      </c>
      <c r="E1298" t="s">
        <v>1301</v>
      </c>
      <c r="F1298">
        <v>4</v>
      </c>
      <c r="G1298">
        <v>547.21</v>
      </c>
      <c r="H1298">
        <v>0.1</v>
      </c>
      <c r="I1298" t="s">
        <v>1354</v>
      </c>
      <c r="J1298">
        <v>1969.9559999999999</v>
      </c>
    </row>
    <row r="1299" spans="1:10">
      <c r="A1299" t="s">
        <v>2648</v>
      </c>
      <c r="B1299" s="1">
        <v>45619</v>
      </c>
      <c r="C1299" t="s">
        <v>545</v>
      </c>
      <c r="D1299" t="s">
        <v>1203</v>
      </c>
      <c r="E1299" t="s">
        <v>1282</v>
      </c>
      <c r="F1299">
        <v>2</v>
      </c>
      <c r="G1299">
        <v>892.46</v>
      </c>
      <c r="H1299">
        <v>7.0000000000000007E-2</v>
      </c>
      <c r="I1299" t="s">
        <v>1351</v>
      </c>
      <c r="J1299">
        <v>1659.9756</v>
      </c>
    </row>
    <row r="1300" spans="1:10">
      <c r="A1300" t="s">
        <v>2649</v>
      </c>
      <c r="B1300" s="1">
        <v>45286</v>
      </c>
      <c r="C1300" t="s">
        <v>837</v>
      </c>
      <c r="D1300" t="s">
        <v>1125</v>
      </c>
      <c r="E1300" t="s">
        <v>1307</v>
      </c>
      <c r="F1300">
        <v>2</v>
      </c>
      <c r="G1300">
        <v>853.41</v>
      </c>
      <c r="H1300">
        <v>0.25</v>
      </c>
      <c r="I1300" t="s">
        <v>1349</v>
      </c>
      <c r="J1300">
        <v>1280.115</v>
      </c>
    </row>
    <row r="1301" spans="1:10">
      <c r="A1301" t="s">
        <v>2650</v>
      </c>
      <c r="B1301" s="1">
        <v>45451</v>
      </c>
      <c r="C1301" t="s">
        <v>279</v>
      </c>
      <c r="D1301" t="s">
        <v>1237</v>
      </c>
      <c r="E1301" t="s">
        <v>1304</v>
      </c>
      <c r="F1301">
        <v>1</v>
      </c>
      <c r="G1301">
        <v>162.13999999999999</v>
      </c>
      <c r="H1301">
        <v>7.0000000000000007E-2</v>
      </c>
      <c r="I1301" t="s">
        <v>1351</v>
      </c>
      <c r="J1301">
        <v>150.7902</v>
      </c>
    </row>
    <row r="1302" spans="1:10">
      <c r="A1302" t="s">
        <v>2651</v>
      </c>
      <c r="B1302" s="1">
        <v>45478</v>
      </c>
      <c r="C1302" t="s">
        <v>355</v>
      </c>
      <c r="D1302" t="s">
        <v>1265</v>
      </c>
      <c r="E1302" t="s">
        <v>1329</v>
      </c>
      <c r="F1302">
        <v>1</v>
      </c>
      <c r="G1302">
        <v>893.14</v>
      </c>
      <c r="H1302">
        <v>0.09</v>
      </c>
      <c r="I1302" t="s">
        <v>1349</v>
      </c>
      <c r="J1302">
        <v>812.75739999999996</v>
      </c>
    </row>
    <row r="1303" spans="1:10">
      <c r="A1303" t="s">
        <v>2652</v>
      </c>
      <c r="B1303" s="1">
        <v>45528</v>
      </c>
      <c r="C1303" t="s">
        <v>265</v>
      </c>
      <c r="D1303" t="s">
        <v>1141</v>
      </c>
      <c r="E1303" t="s">
        <v>1307</v>
      </c>
      <c r="F1303">
        <v>4</v>
      </c>
      <c r="G1303">
        <v>349.07</v>
      </c>
      <c r="H1303">
        <v>0.28000000000000003</v>
      </c>
      <c r="I1303" t="s">
        <v>1349</v>
      </c>
      <c r="J1303">
        <v>1005.3216</v>
      </c>
    </row>
    <row r="1304" spans="1:10">
      <c r="A1304" t="s">
        <v>2653</v>
      </c>
      <c r="B1304" s="1">
        <v>45418</v>
      </c>
      <c r="C1304" t="s">
        <v>630</v>
      </c>
      <c r="D1304" t="s">
        <v>1235</v>
      </c>
      <c r="E1304" t="s">
        <v>1322</v>
      </c>
      <c r="F1304">
        <v>1</v>
      </c>
      <c r="G1304">
        <v>747.9</v>
      </c>
      <c r="H1304">
        <v>0.21</v>
      </c>
      <c r="I1304" t="s">
        <v>1354</v>
      </c>
      <c r="J1304">
        <v>590.84100000000001</v>
      </c>
    </row>
    <row r="1305" spans="1:10">
      <c r="A1305" t="s">
        <v>2654</v>
      </c>
      <c r="B1305" s="1">
        <v>45478</v>
      </c>
      <c r="C1305" t="s">
        <v>96</v>
      </c>
      <c r="D1305" t="s">
        <v>1235</v>
      </c>
      <c r="E1305" t="s">
        <v>1301</v>
      </c>
      <c r="F1305">
        <v>3</v>
      </c>
      <c r="G1305">
        <v>438.92</v>
      </c>
      <c r="H1305">
        <v>0.21</v>
      </c>
      <c r="I1305" t="s">
        <v>1349</v>
      </c>
      <c r="J1305">
        <v>1040.2403999999999</v>
      </c>
    </row>
    <row r="1306" spans="1:10">
      <c r="A1306" t="s">
        <v>2655</v>
      </c>
      <c r="B1306" s="1">
        <v>45232</v>
      </c>
      <c r="C1306" t="s">
        <v>306</v>
      </c>
      <c r="D1306" t="s">
        <v>1227</v>
      </c>
      <c r="E1306" t="s">
        <v>1294</v>
      </c>
      <c r="F1306">
        <v>4</v>
      </c>
      <c r="G1306">
        <v>665.38</v>
      </c>
      <c r="H1306">
        <v>0.18</v>
      </c>
      <c r="I1306" t="s">
        <v>1349</v>
      </c>
      <c r="J1306">
        <v>2182.4463999999998</v>
      </c>
    </row>
    <row r="1307" spans="1:10">
      <c r="A1307" t="s">
        <v>2656</v>
      </c>
      <c r="B1307" s="1">
        <v>45616</v>
      </c>
      <c r="C1307" t="s">
        <v>20</v>
      </c>
      <c r="D1307" t="s">
        <v>1193</v>
      </c>
      <c r="E1307" t="s">
        <v>1335</v>
      </c>
      <c r="F1307">
        <v>1</v>
      </c>
      <c r="G1307">
        <v>146.49</v>
      </c>
      <c r="H1307">
        <v>0.28000000000000003</v>
      </c>
      <c r="I1307" t="s">
        <v>1349</v>
      </c>
      <c r="J1307">
        <v>105.47280000000001</v>
      </c>
    </row>
    <row r="1308" spans="1:10">
      <c r="A1308" t="s">
        <v>2657</v>
      </c>
      <c r="B1308" s="1">
        <v>45774</v>
      </c>
      <c r="C1308" t="s">
        <v>339</v>
      </c>
      <c r="D1308" t="s">
        <v>1149</v>
      </c>
      <c r="E1308" t="s">
        <v>1326</v>
      </c>
      <c r="F1308">
        <v>2</v>
      </c>
      <c r="G1308">
        <v>235.39</v>
      </c>
      <c r="H1308">
        <v>0.27</v>
      </c>
      <c r="I1308" t="s">
        <v>1354</v>
      </c>
      <c r="J1308">
        <v>343.6694</v>
      </c>
    </row>
    <row r="1309" spans="1:10">
      <c r="A1309" t="s">
        <v>2658</v>
      </c>
      <c r="B1309" s="1">
        <v>45651</v>
      </c>
      <c r="C1309" t="s">
        <v>90</v>
      </c>
      <c r="D1309" t="s">
        <v>1195</v>
      </c>
      <c r="E1309" t="s">
        <v>1298</v>
      </c>
      <c r="F1309">
        <v>3</v>
      </c>
      <c r="G1309">
        <v>38.07</v>
      </c>
      <c r="H1309">
        <v>0.09</v>
      </c>
      <c r="I1309" t="s">
        <v>1351</v>
      </c>
      <c r="J1309">
        <v>103.9311</v>
      </c>
    </row>
    <row r="1310" spans="1:10">
      <c r="A1310" t="s">
        <v>2659</v>
      </c>
      <c r="B1310" s="1">
        <v>45902</v>
      </c>
      <c r="C1310" t="s">
        <v>869</v>
      </c>
      <c r="D1310" t="s">
        <v>1141</v>
      </c>
      <c r="E1310" t="s">
        <v>1294</v>
      </c>
      <c r="F1310">
        <v>2</v>
      </c>
      <c r="G1310">
        <v>511.7</v>
      </c>
      <c r="H1310">
        <v>0.12</v>
      </c>
      <c r="I1310" t="s">
        <v>1354</v>
      </c>
      <c r="J1310">
        <v>900.59199999999998</v>
      </c>
    </row>
    <row r="1311" spans="1:10">
      <c r="A1311" t="s">
        <v>2660</v>
      </c>
      <c r="B1311" s="1">
        <v>45401</v>
      </c>
      <c r="C1311" t="s">
        <v>242</v>
      </c>
      <c r="D1311" t="s">
        <v>1223</v>
      </c>
      <c r="E1311" t="s">
        <v>1307</v>
      </c>
      <c r="F1311">
        <v>4</v>
      </c>
      <c r="G1311">
        <v>488.72</v>
      </c>
      <c r="H1311">
        <v>0.23</v>
      </c>
      <c r="I1311" t="s">
        <v>1351</v>
      </c>
      <c r="J1311">
        <v>1505.2575999999999</v>
      </c>
    </row>
    <row r="1312" spans="1:10">
      <c r="A1312" t="s">
        <v>2661</v>
      </c>
      <c r="B1312" s="1">
        <v>45717</v>
      </c>
      <c r="C1312" t="s">
        <v>845</v>
      </c>
      <c r="D1312" t="s">
        <v>1173</v>
      </c>
      <c r="E1312" t="s">
        <v>1319</v>
      </c>
      <c r="F1312">
        <v>2</v>
      </c>
      <c r="G1312">
        <v>520.45000000000005</v>
      </c>
      <c r="H1312">
        <v>0.11</v>
      </c>
      <c r="I1312" t="s">
        <v>1354</v>
      </c>
      <c r="J1312">
        <v>926.40100000000007</v>
      </c>
    </row>
    <row r="1313" spans="1:10">
      <c r="A1313" t="s">
        <v>2662</v>
      </c>
      <c r="B1313" s="1">
        <v>45376</v>
      </c>
      <c r="C1313" t="s">
        <v>927</v>
      </c>
      <c r="D1313" t="s">
        <v>1169</v>
      </c>
      <c r="E1313" t="s">
        <v>1298</v>
      </c>
      <c r="F1313">
        <v>1</v>
      </c>
      <c r="G1313">
        <v>340.9</v>
      </c>
      <c r="H1313">
        <v>0.28999999999999998</v>
      </c>
      <c r="I1313" t="s">
        <v>1349</v>
      </c>
      <c r="J1313">
        <v>242.03899999999999</v>
      </c>
    </row>
    <row r="1314" spans="1:10">
      <c r="A1314" t="s">
        <v>2663</v>
      </c>
      <c r="B1314" s="1">
        <v>45576</v>
      </c>
      <c r="C1314" t="s">
        <v>756</v>
      </c>
      <c r="D1314" t="s">
        <v>1135</v>
      </c>
      <c r="E1314" t="s">
        <v>1307</v>
      </c>
      <c r="F1314">
        <v>3</v>
      </c>
      <c r="G1314">
        <v>653.59</v>
      </c>
      <c r="H1314">
        <v>0.17</v>
      </c>
      <c r="I1314" t="s">
        <v>1354</v>
      </c>
      <c r="J1314">
        <v>1627.4391000000001</v>
      </c>
    </row>
    <row r="1315" spans="1:10">
      <c r="A1315" t="s">
        <v>2664</v>
      </c>
      <c r="B1315" s="1">
        <v>45906</v>
      </c>
      <c r="C1315" t="s">
        <v>72</v>
      </c>
      <c r="D1315" t="s">
        <v>1125</v>
      </c>
      <c r="E1315" t="s">
        <v>1335</v>
      </c>
      <c r="F1315">
        <v>1</v>
      </c>
      <c r="G1315">
        <v>179.77</v>
      </c>
      <c r="H1315">
        <v>0.23</v>
      </c>
      <c r="I1315" t="s">
        <v>1354</v>
      </c>
      <c r="J1315">
        <v>138.4229</v>
      </c>
    </row>
    <row r="1316" spans="1:10">
      <c r="A1316" t="s">
        <v>2665</v>
      </c>
      <c r="B1316" s="1">
        <v>45523</v>
      </c>
      <c r="C1316" t="s">
        <v>36</v>
      </c>
      <c r="D1316" t="s">
        <v>1068</v>
      </c>
      <c r="E1316" t="s">
        <v>1311</v>
      </c>
      <c r="F1316">
        <v>2</v>
      </c>
      <c r="G1316">
        <v>943.8</v>
      </c>
      <c r="H1316">
        <v>0.06</v>
      </c>
      <c r="I1316" t="s">
        <v>1349</v>
      </c>
      <c r="J1316">
        <v>1774.3440000000001</v>
      </c>
    </row>
    <row r="1317" spans="1:10">
      <c r="A1317" t="s">
        <v>2666</v>
      </c>
      <c r="B1317" s="1">
        <v>45234</v>
      </c>
      <c r="C1317" t="s">
        <v>881</v>
      </c>
      <c r="D1317" t="s">
        <v>1215</v>
      </c>
      <c r="E1317" t="s">
        <v>1326</v>
      </c>
      <c r="F1317">
        <v>2</v>
      </c>
      <c r="G1317">
        <v>985</v>
      </c>
      <c r="H1317">
        <v>0.25</v>
      </c>
      <c r="I1317" t="s">
        <v>1349</v>
      </c>
      <c r="J1317">
        <v>1477.5</v>
      </c>
    </row>
    <row r="1318" spans="1:10">
      <c r="A1318" t="s">
        <v>2667</v>
      </c>
      <c r="B1318" s="1">
        <v>45405</v>
      </c>
      <c r="C1318" t="s">
        <v>1031</v>
      </c>
      <c r="D1318" t="s">
        <v>1249</v>
      </c>
      <c r="E1318" t="s">
        <v>1314</v>
      </c>
      <c r="F1318">
        <v>4</v>
      </c>
      <c r="G1318">
        <v>216.81</v>
      </c>
      <c r="H1318">
        <v>0.28999999999999998</v>
      </c>
      <c r="I1318" t="s">
        <v>1349</v>
      </c>
      <c r="J1318">
        <v>615.74040000000002</v>
      </c>
    </row>
    <row r="1319" spans="1:10">
      <c r="A1319" t="s">
        <v>2668</v>
      </c>
      <c r="B1319" s="1">
        <v>45223</v>
      </c>
      <c r="C1319" t="s">
        <v>294</v>
      </c>
      <c r="D1319" t="s">
        <v>1201</v>
      </c>
      <c r="E1319" t="s">
        <v>1286</v>
      </c>
      <c r="F1319">
        <v>4</v>
      </c>
      <c r="G1319">
        <v>950.21</v>
      </c>
      <c r="H1319">
        <v>0.27</v>
      </c>
      <c r="I1319" t="s">
        <v>1354</v>
      </c>
      <c r="J1319">
        <v>2774.6131999999998</v>
      </c>
    </row>
    <row r="1320" spans="1:10">
      <c r="A1320" t="s">
        <v>2669</v>
      </c>
      <c r="B1320" s="1">
        <v>45838</v>
      </c>
      <c r="C1320" t="s">
        <v>575</v>
      </c>
      <c r="D1320" t="s">
        <v>1169</v>
      </c>
      <c r="E1320" t="s">
        <v>1304</v>
      </c>
      <c r="F1320">
        <v>2</v>
      </c>
      <c r="G1320">
        <v>271.39999999999998</v>
      </c>
      <c r="H1320">
        <v>0.17</v>
      </c>
      <c r="I1320" t="s">
        <v>1351</v>
      </c>
      <c r="J1320">
        <v>450.52399999999989</v>
      </c>
    </row>
    <row r="1321" spans="1:10">
      <c r="A1321" t="s">
        <v>2670</v>
      </c>
      <c r="B1321" s="1">
        <v>45883</v>
      </c>
      <c r="C1321" t="s">
        <v>397</v>
      </c>
      <c r="D1321" t="s">
        <v>1151</v>
      </c>
      <c r="E1321" t="s">
        <v>1307</v>
      </c>
      <c r="F1321">
        <v>4</v>
      </c>
      <c r="G1321">
        <v>708.19</v>
      </c>
      <c r="H1321">
        <v>0.1</v>
      </c>
      <c r="I1321" t="s">
        <v>1351</v>
      </c>
      <c r="J1321">
        <v>2549.4839999999999</v>
      </c>
    </row>
    <row r="1322" spans="1:10">
      <c r="A1322" t="s">
        <v>2671</v>
      </c>
      <c r="B1322" s="1">
        <v>45788</v>
      </c>
      <c r="C1322" t="s">
        <v>951</v>
      </c>
      <c r="D1322" t="s">
        <v>1181</v>
      </c>
      <c r="E1322" t="s">
        <v>1291</v>
      </c>
      <c r="F1322">
        <v>3</v>
      </c>
      <c r="G1322">
        <v>477.05</v>
      </c>
      <c r="H1322">
        <v>0.05</v>
      </c>
      <c r="I1322" t="s">
        <v>1351</v>
      </c>
      <c r="J1322">
        <v>1359.5925</v>
      </c>
    </row>
    <row r="1323" spans="1:10">
      <c r="A1323" t="s">
        <v>2672</v>
      </c>
      <c r="B1323" s="1">
        <v>45383</v>
      </c>
      <c r="C1323" t="s">
        <v>678</v>
      </c>
      <c r="D1323" t="s">
        <v>1221</v>
      </c>
      <c r="E1323" t="s">
        <v>1311</v>
      </c>
      <c r="F1323">
        <v>3</v>
      </c>
      <c r="G1323">
        <v>627.29</v>
      </c>
      <c r="H1323">
        <v>0.27</v>
      </c>
      <c r="I1323" t="s">
        <v>1354</v>
      </c>
      <c r="J1323">
        <v>1373.7651000000001</v>
      </c>
    </row>
    <row r="1324" spans="1:10">
      <c r="A1324" t="s">
        <v>2673</v>
      </c>
      <c r="B1324" s="1">
        <v>45335</v>
      </c>
      <c r="C1324" t="s">
        <v>672</v>
      </c>
      <c r="D1324" t="s">
        <v>1261</v>
      </c>
      <c r="E1324" t="s">
        <v>1317</v>
      </c>
      <c r="F1324">
        <v>3</v>
      </c>
      <c r="G1324">
        <v>206.84</v>
      </c>
      <c r="H1324">
        <v>0.19</v>
      </c>
      <c r="I1324" t="s">
        <v>1351</v>
      </c>
      <c r="J1324">
        <v>502.62119999999999</v>
      </c>
    </row>
    <row r="1325" spans="1:10">
      <c r="A1325" t="s">
        <v>2674</v>
      </c>
      <c r="B1325" s="1">
        <v>45304</v>
      </c>
      <c r="C1325" t="s">
        <v>565</v>
      </c>
      <c r="D1325" t="s">
        <v>1133</v>
      </c>
      <c r="E1325" t="s">
        <v>1282</v>
      </c>
      <c r="F1325">
        <v>4</v>
      </c>
      <c r="G1325">
        <v>629.04999999999995</v>
      </c>
      <c r="H1325">
        <v>0.26</v>
      </c>
      <c r="I1325" t="s">
        <v>1349</v>
      </c>
      <c r="J1325">
        <v>1861.9880000000001</v>
      </c>
    </row>
    <row r="1326" spans="1:10">
      <c r="A1326" t="s">
        <v>2675</v>
      </c>
      <c r="B1326" s="1">
        <v>45543</v>
      </c>
      <c r="C1326" t="s">
        <v>939</v>
      </c>
      <c r="D1326" t="s">
        <v>1221</v>
      </c>
      <c r="E1326" t="s">
        <v>1332</v>
      </c>
      <c r="F1326">
        <v>4</v>
      </c>
      <c r="G1326">
        <v>529.04</v>
      </c>
      <c r="H1326">
        <v>0.1</v>
      </c>
      <c r="I1326" t="s">
        <v>1351</v>
      </c>
      <c r="J1326">
        <v>1904.5440000000001</v>
      </c>
    </row>
    <row r="1327" spans="1:10">
      <c r="A1327" t="s">
        <v>2676</v>
      </c>
      <c r="B1327" s="1">
        <v>45326</v>
      </c>
      <c r="C1327" t="s">
        <v>762</v>
      </c>
      <c r="D1327" t="s">
        <v>1133</v>
      </c>
      <c r="E1327" t="s">
        <v>1332</v>
      </c>
      <c r="F1327">
        <v>1</v>
      </c>
      <c r="G1327">
        <v>350.67</v>
      </c>
      <c r="H1327">
        <v>0.22</v>
      </c>
      <c r="I1327" t="s">
        <v>1351</v>
      </c>
      <c r="J1327">
        <v>273.52260000000001</v>
      </c>
    </row>
    <row r="1328" spans="1:10">
      <c r="A1328" t="s">
        <v>2677</v>
      </c>
      <c r="B1328" s="1">
        <v>45498</v>
      </c>
      <c r="C1328" t="s">
        <v>805</v>
      </c>
      <c r="D1328" t="s">
        <v>1263</v>
      </c>
      <c r="E1328" t="s">
        <v>1282</v>
      </c>
      <c r="F1328">
        <v>1</v>
      </c>
      <c r="G1328">
        <v>128.93</v>
      </c>
      <c r="H1328">
        <v>0.26</v>
      </c>
      <c r="I1328" t="s">
        <v>1349</v>
      </c>
      <c r="J1328">
        <v>95.408200000000008</v>
      </c>
    </row>
    <row r="1329" spans="1:10">
      <c r="A1329" t="s">
        <v>2678</v>
      </c>
      <c r="B1329" s="1">
        <v>45544</v>
      </c>
      <c r="C1329" t="s">
        <v>351</v>
      </c>
      <c r="D1329" t="s">
        <v>1245</v>
      </c>
      <c r="E1329" t="s">
        <v>1326</v>
      </c>
      <c r="F1329">
        <v>2</v>
      </c>
      <c r="G1329">
        <v>384.92</v>
      </c>
      <c r="H1329">
        <v>0.09</v>
      </c>
      <c r="I1329" t="s">
        <v>1349</v>
      </c>
      <c r="J1329">
        <v>700.5544000000001</v>
      </c>
    </row>
    <row r="1330" spans="1:10">
      <c r="A1330" t="s">
        <v>2679</v>
      </c>
      <c r="B1330" s="1">
        <v>45268</v>
      </c>
      <c r="C1330" t="s">
        <v>732</v>
      </c>
      <c r="D1330" t="s">
        <v>1080</v>
      </c>
      <c r="E1330" t="s">
        <v>1307</v>
      </c>
      <c r="F1330">
        <v>3</v>
      </c>
      <c r="G1330">
        <v>120.77</v>
      </c>
      <c r="H1330">
        <v>0.28999999999999998</v>
      </c>
      <c r="I1330" t="s">
        <v>1351</v>
      </c>
      <c r="J1330">
        <v>257.24009999999998</v>
      </c>
    </row>
    <row r="1331" spans="1:10">
      <c r="A1331" t="s">
        <v>2680</v>
      </c>
      <c r="B1331" s="1">
        <v>45824</v>
      </c>
      <c r="C1331" t="s">
        <v>507</v>
      </c>
      <c r="D1331" t="s">
        <v>1225</v>
      </c>
      <c r="E1331" t="s">
        <v>1332</v>
      </c>
      <c r="F1331">
        <v>4</v>
      </c>
      <c r="G1331">
        <v>661.39</v>
      </c>
      <c r="H1331">
        <v>7.0000000000000007E-2</v>
      </c>
      <c r="I1331" t="s">
        <v>1349</v>
      </c>
      <c r="J1331">
        <v>2460.3708000000001</v>
      </c>
    </row>
    <row r="1332" spans="1:10">
      <c r="A1332" t="s">
        <v>2681</v>
      </c>
      <c r="B1332" s="1">
        <v>45261</v>
      </c>
      <c r="C1332" t="s">
        <v>961</v>
      </c>
      <c r="D1332" t="s">
        <v>1197</v>
      </c>
      <c r="E1332" t="s">
        <v>1286</v>
      </c>
      <c r="F1332">
        <v>1</v>
      </c>
      <c r="G1332">
        <v>195.24</v>
      </c>
      <c r="H1332">
        <v>0.27</v>
      </c>
      <c r="I1332" t="s">
        <v>1351</v>
      </c>
      <c r="J1332">
        <v>142.52520000000001</v>
      </c>
    </row>
    <row r="1333" spans="1:10">
      <c r="A1333" t="s">
        <v>2682</v>
      </c>
      <c r="B1333" s="1">
        <v>45233</v>
      </c>
      <c r="C1333" t="s">
        <v>23</v>
      </c>
      <c r="D1333" t="s">
        <v>1257</v>
      </c>
      <c r="E1333" t="s">
        <v>1335</v>
      </c>
      <c r="F1333">
        <v>2</v>
      </c>
      <c r="G1333">
        <v>177.4</v>
      </c>
      <c r="H1333">
        <v>0.19</v>
      </c>
      <c r="I1333" t="s">
        <v>1351</v>
      </c>
      <c r="J1333">
        <v>287.38799999999998</v>
      </c>
    </row>
    <row r="1334" spans="1:10">
      <c r="A1334" t="s">
        <v>2683</v>
      </c>
      <c r="B1334" s="1">
        <v>45673</v>
      </c>
      <c r="C1334" t="s">
        <v>159</v>
      </c>
      <c r="D1334" t="s">
        <v>1269</v>
      </c>
      <c r="E1334" t="s">
        <v>1317</v>
      </c>
      <c r="F1334">
        <v>4</v>
      </c>
      <c r="G1334">
        <v>862.67</v>
      </c>
      <c r="H1334">
        <v>0.2</v>
      </c>
      <c r="I1334" t="s">
        <v>1351</v>
      </c>
      <c r="J1334">
        <v>2760.5439999999999</v>
      </c>
    </row>
    <row r="1335" spans="1:10">
      <c r="A1335" t="s">
        <v>2684</v>
      </c>
      <c r="B1335" s="1">
        <v>45565</v>
      </c>
      <c r="C1335" t="s">
        <v>951</v>
      </c>
      <c r="D1335" t="s">
        <v>1107</v>
      </c>
      <c r="E1335" t="s">
        <v>1301</v>
      </c>
      <c r="F1335">
        <v>1</v>
      </c>
      <c r="G1335">
        <v>55.04</v>
      </c>
      <c r="H1335">
        <v>0.01</v>
      </c>
      <c r="I1335" t="s">
        <v>1354</v>
      </c>
      <c r="J1335">
        <v>54.489600000000003</v>
      </c>
    </row>
    <row r="1336" spans="1:10">
      <c r="A1336" t="s">
        <v>2685</v>
      </c>
      <c r="B1336" s="1">
        <v>45646</v>
      </c>
      <c r="C1336" t="s">
        <v>140</v>
      </c>
      <c r="D1336" t="s">
        <v>1163</v>
      </c>
      <c r="E1336" t="s">
        <v>1277</v>
      </c>
      <c r="F1336">
        <v>2</v>
      </c>
      <c r="G1336">
        <v>905.47</v>
      </c>
      <c r="H1336">
        <v>0.2</v>
      </c>
      <c r="I1336" t="s">
        <v>1354</v>
      </c>
      <c r="J1336">
        <v>1448.752</v>
      </c>
    </row>
    <row r="1337" spans="1:10">
      <c r="A1337" t="s">
        <v>2686</v>
      </c>
      <c r="B1337" s="1">
        <v>45539</v>
      </c>
      <c r="C1337" t="s">
        <v>984</v>
      </c>
      <c r="D1337" t="s">
        <v>1199</v>
      </c>
      <c r="E1337" t="s">
        <v>1322</v>
      </c>
      <c r="F1337">
        <v>3</v>
      </c>
      <c r="G1337">
        <v>217.13</v>
      </c>
      <c r="H1337">
        <v>0.28000000000000003</v>
      </c>
      <c r="I1337" t="s">
        <v>1349</v>
      </c>
      <c r="J1337">
        <v>469.00080000000003</v>
      </c>
    </row>
    <row r="1338" spans="1:10">
      <c r="A1338" t="s">
        <v>2687</v>
      </c>
      <c r="B1338" s="1">
        <v>45936</v>
      </c>
      <c r="C1338" t="s">
        <v>841</v>
      </c>
      <c r="D1338" t="s">
        <v>1223</v>
      </c>
      <c r="E1338" t="s">
        <v>1277</v>
      </c>
      <c r="F1338">
        <v>3</v>
      </c>
      <c r="G1338">
        <v>580.45000000000005</v>
      </c>
      <c r="H1338">
        <v>0</v>
      </c>
      <c r="I1338" t="s">
        <v>1351</v>
      </c>
      <c r="J1338">
        <v>1741.35</v>
      </c>
    </row>
    <row r="1339" spans="1:10">
      <c r="A1339" t="s">
        <v>2688</v>
      </c>
      <c r="B1339" s="1">
        <v>45854</v>
      </c>
      <c r="C1339" t="s">
        <v>265</v>
      </c>
      <c r="D1339" t="s">
        <v>1078</v>
      </c>
      <c r="E1339" t="s">
        <v>1332</v>
      </c>
      <c r="F1339">
        <v>2</v>
      </c>
      <c r="G1339">
        <v>892.88</v>
      </c>
      <c r="H1339">
        <v>0.17</v>
      </c>
      <c r="I1339" t="s">
        <v>1351</v>
      </c>
      <c r="J1339">
        <v>1482.1808000000001</v>
      </c>
    </row>
    <row r="1340" spans="1:10">
      <c r="A1340" t="s">
        <v>2689</v>
      </c>
      <c r="B1340" s="1">
        <v>45936</v>
      </c>
      <c r="C1340" t="s">
        <v>240</v>
      </c>
      <c r="D1340" t="s">
        <v>1153</v>
      </c>
      <c r="E1340" t="s">
        <v>1335</v>
      </c>
      <c r="F1340">
        <v>2</v>
      </c>
      <c r="G1340">
        <v>356.28</v>
      </c>
      <c r="H1340">
        <v>0.11</v>
      </c>
      <c r="I1340" t="s">
        <v>1354</v>
      </c>
      <c r="J1340">
        <v>634.17840000000001</v>
      </c>
    </row>
    <row r="1341" spans="1:10">
      <c r="A1341" t="s">
        <v>2690</v>
      </c>
      <c r="B1341" s="1">
        <v>45921</v>
      </c>
      <c r="C1341" t="s">
        <v>831</v>
      </c>
      <c r="D1341" t="s">
        <v>1233</v>
      </c>
      <c r="E1341" t="s">
        <v>1286</v>
      </c>
      <c r="F1341">
        <v>4</v>
      </c>
      <c r="G1341">
        <v>806.99</v>
      </c>
      <c r="H1341">
        <v>0.06</v>
      </c>
      <c r="I1341" t="s">
        <v>1349</v>
      </c>
      <c r="J1341">
        <v>3034.2824000000001</v>
      </c>
    </row>
    <row r="1342" spans="1:10">
      <c r="A1342" t="s">
        <v>2691</v>
      </c>
      <c r="B1342" s="1">
        <v>45855</v>
      </c>
      <c r="C1342" t="s">
        <v>941</v>
      </c>
      <c r="D1342" t="s">
        <v>1113</v>
      </c>
      <c r="E1342" t="s">
        <v>1282</v>
      </c>
      <c r="F1342">
        <v>3</v>
      </c>
      <c r="G1342">
        <v>684.22</v>
      </c>
      <c r="H1342">
        <v>0.09</v>
      </c>
      <c r="I1342" t="s">
        <v>1349</v>
      </c>
      <c r="J1342">
        <v>1867.9205999999999</v>
      </c>
    </row>
    <row r="1343" spans="1:10">
      <c r="A1343" t="s">
        <v>2692</v>
      </c>
      <c r="B1343" s="1">
        <v>45837</v>
      </c>
      <c r="C1343" t="s">
        <v>949</v>
      </c>
      <c r="D1343" t="s">
        <v>1259</v>
      </c>
      <c r="E1343" t="s">
        <v>1304</v>
      </c>
      <c r="F1343">
        <v>4</v>
      </c>
      <c r="G1343">
        <v>763.34</v>
      </c>
      <c r="H1343">
        <v>7.0000000000000007E-2</v>
      </c>
      <c r="I1343" t="s">
        <v>1351</v>
      </c>
      <c r="J1343">
        <v>2839.6248000000001</v>
      </c>
    </row>
    <row r="1344" spans="1:10">
      <c r="A1344" t="s">
        <v>2693</v>
      </c>
      <c r="B1344" s="1">
        <v>45738</v>
      </c>
      <c r="C1344" t="s">
        <v>785</v>
      </c>
      <c r="D1344" t="s">
        <v>1173</v>
      </c>
      <c r="E1344" t="s">
        <v>1291</v>
      </c>
      <c r="F1344">
        <v>3</v>
      </c>
      <c r="G1344">
        <v>721.94</v>
      </c>
      <c r="H1344">
        <v>0.26</v>
      </c>
      <c r="I1344" t="s">
        <v>1349</v>
      </c>
      <c r="J1344">
        <v>1602.7067999999999</v>
      </c>
    </row>
    <row r="1345" spans="1:10">
      <c r="A1345" t="s">
        <v>2694</v>
      </c>
      <c r="B1345" s="1">
        <v>45323</v>
      </c>
      <c r="C1345" t="s">
        <v>875</v>
      </c>
      <c r="D1345" t="s">
        <v>1267</v>
      </c>
      <c r="E1345" t="s">
        <v>1282</v>
      </c>
      <c r="F1345">
        <v>3</v>
      </c>
      <c r="G1345">
        <v>760.38</v>
      </c>
      <c r="H1345">
        <v>0</v>
      </c>
      <c r="I1345" t="s">
        <v>1354</v>
      </c>
      <c r="J1345">
        <v>2281.14</v>
      </c>
    </row>
    <row r="1346" spans="1:10">
      <c r="A1346" t="s">
        <v>2695</v>
      </c>
      <c r="B1346" s="1">
        <v>45362</v>
      </c>
      <c r="C1346" t="s">
        <v>660</v>
      </c>
      <c r="D1346" t="s">
        <v>1267</v>
      </c>
      <c r="E1346" t="s">
        <v>1301</v>
      </c>
      <c r="F1346">
        <v>3</v>
      </c>
      <c r="G1346">
        <v>612.53</v>
      </c>
      <c r="H1346">
        <v>0.21</v>
      </c>
      <c r="I1346" t="s">
        <v>1354</v>
      </c>
      <c r="J1346">
        <v>1451.6960999999999</v>
      </c>
    </row>
    <row r="1347" spans="1:10">
      <c r="A1347" t="s">
        <v>2696</v>
      </c>
      <c r="B1347" s="1">
        <v>45544</v>
      </c>
      <c r="C1347" t="s">
        <v>120</v>
      </c>
      <c r="D1347" t="s">
        <v>1199</v>
      </c>
      <c r="E1347" t="s">
        <v>1329</v>
      </c>
      <c r="F1347">
        <v>3</v>
      </c>
      <c r="G1347">
        <v>841.37</v>
      </c>
      <c r="H1347">
        <v>0.28999999999999998</v>
      </c>
      <c r="I1347" t="s">
        <v>1351</v>
      </c>
      <c r="J1347">
        <v>1792.1180999999999</v>
      </c>
    </row>
    <row r="1348" spans="1:10">
      <c r="A1348" t="s">
        <v>2697</v>
      </c>
      <c r="B1348" s="1">
        <v>45249</v>
      </c>
      <c r="C1348" t="s">
        <v>585</v>
      </c>
      <c r="D1348" t="s">
        <v>1169</v>
      </c>
      <c r="E1348" t="s">
        <v>1311</v>
      </c>
      <c r="F1348">
        <v>2</v>
      </c>
      <c r="G1348">
        <v>636.51</v>
      </c>
      <c r="H1348">
        <v>0.25</v>
      </c>
      <c r="I1348" t="s">
        <v>1349</v>
      </c>
      <c r="J1348">
        <v>954.76499999999999</v>
      </c>
    </row>
    <row r="1349" spans="1:10">
      <c r="A1349" t="s">
        <v>2698</v>
      </c>
      <c r="B1349" s="1">
        <v>45659</v>
      </c>
      <c r="C1349" t="s">
        <v>240</v>
      </c>
      <c r="D1349" t="s">
        <v>1163</v>
      </c>
      <c r="E1349" t="s">
        <v>1307</v>
      </c>
      <c r="F1349">
        <v>2</v>
      </c>
      <c r="G1349">
        <v>732.37</v>
      </c>
      <c r="H1349">
        <v>0.22</v>
      </c>
      <c r="I1349" t="s">
        <v>1354</v>
      </c>
      <c r="J1349">
        <v>1142.4972</v>
      </c>
    </row>
    <row r="1350" spans="1:10">
      <c r="A1350" t="s">
        <v>2699</v>
      </c>
      <c r="B1350" s="1">
        <v>45927</v>
      </c>
      <c r="C1350" t="s">
        <v>389</v>
      </c>
      <c r="D1350" t="s">
        <v>1181</v>
      </c>
      <c r="E1350" t="s">
        <v>1329</v>
      </c>
      <c r="F1350">
        <v>3</v>
      </c>
      <c r="G1350">
        <v>183.44</v>
      </c>
      <c r="H1350">
        <v>0.28000000000000003</v>
      </c>
      <c r="I1350" t="s">
        <v>1354</v>
      </c>
      <c r="J1350">
        <v>396.23039999999992</v>
      </c>
    </row>
    <row r="1351" spans="1:10">
      <c r="A1351" t="s">
        <v>2700</v>
      </c>
      <c r="B1351" s="1">
        <v>45373</v>
      </c>
      <c r="C1351" t="s">
        <v>178</v>
      </c>
      <c r="D1351" t="s">
        <v>1095</v>
      </c>
      <c r="E1351" t="s">
        <v>1322</v>
      </c>
      <c r="F1351">
        <v>4</v>
      </c>
      <c r="G1351">
        <v>898.58</v>
      </c>
      <c r="H1351">
        <v>0.16</v>
      </c>
      <c r="I1351" t="s">
        <v>1351</v>
      </c>
      <c r="J1351">
        <v>3019.2287999999999</v>
      </c>
    </row>
    <row r="1352" spans="1:10">
      <c r="A1352" t="s">
        <v>2701</v>
      </c>
      <c r="B1352" s="1">
        <v>45529</v>
      </c>
      <c r="C1352" t="s">
        <v>843</v>
      </c>
      <c r="D1352" t="s">
        <v>1119</v>
      </c>
      <c r="E1352" t="s">
        <v>1286</v>
      </c>
      <c r="F1352">
        <v>3</v>
      </c>
      <c r="G1352">
        <v>152.41</v>
      </c>
      <c r="H1352">
        <v>0.25</v>
      </c>
      <c r="I1352" t="s">
        <v>1349</v>
      </c>
      <c r="J1352">
        <v>342.92250000000001</v>
      </c>
    </row>
    <row r="1353" spans="1:10">
      <c r="A1353" t="s">
        <v>2702</v>
      </c>
      <c r="B1353" s="1">
        <v>45872</v>
      </c>
      <c r="C1353" t="s">
        <v>509</v>
      </c>
      <c r="D1353" t="s">
        <v>1257</v>
      </c>
      <c r="E1353" t="s">
        <v>1324</v>
      </c>
      <c r="F1353">
        <v>3</v>
      </c>
      <c r="G1353">
        <v>972.58</v>
      </c>
      <c r="H1353">
        <v>0.28000000000000003</v>
      </c>
      <c r="I1353" t="s">
        <v>1354</v>
      </c>
      <c r="J1353">
        <v>2100.7728000000002</v>
      </c>
    </row>
    <row r="1354" spans="1:10">
      <c r="A1354" t="s">
        <v>2703</v>
      </c>
      <c r="B1354" s="1">
        <v>45267</v>
      </c>
      <c r="C1354" t="s">
        <v>994</v>
      </c>
      <c r="D1354" t="s">
        <v>1211</v>
      </c>
      <c r="E1354" t="s">
        <v>1317</v>
      </c>
      <c r="F1354">
        <v>4</v>
      </c>
      <c r="G1354">
        <v>136.4</v>
      </c>
      <c r="H1354">
        <v>0.04</v>
      </c>
      <c r="I1354" t="s">
        <v>1354</v>
      </c>
      <c r="J1354">
        <v>523.77599999999995</v>
      </c>
    </row>
    <row r="1355" spans="1:10">
      <c r="A1355" t="s">
        <v>2704</v>
      </c>
      <c r="B1355" s="1">
        <v>45894</v>
      </c>
      <c r="C1355" t="s">
        <v>863</v>
      </c>
      <c r="D1355" t="s">
        <v>1261</v>
      </c>
      <c r="E1355" t="s">
        <v>1326</v>
      </c>
      <c r="F1355">
        <v>1</v>
      </c>
      <c r="G1355">
        <v>509.63</v>
      </c>
      <c r="H1355">
        <v>0.27</v>
      </c>
      <c r="I1355" t="s">
        <v>1354</v>
      </c>
      <c r="J1355">
        <v>372.0299</v>
      </c>
    </row>
    <row r="1356" spans="1:10">
      <c r="A1356" t="s">
        <v>2705</v>
      </c>
      <c r="B1356" s="1">
        <v>45331</v>
      </c>
      <c r="C1356" t="s">
        <v>20</v>
      </c>
      <c r="D1356" t="s">
        <v>1267</v>
      </c>
      <c r="E1356" t="s">
        <v>1291</v>
      </c>
      <c r="F1356">
        <v>4</v>
      </c>
      <c r="G1356">
        <v>360.28</v>
      </c>
      <c r="H1356">
        <v>0.09</v>
      </c>
      <c r="I1356" t="s">
        <v>1354</v>
      </c>
      <c r="J1356">
        <v>1311.4192</v>
      </c>
    </row>
    <row r="1357" spans="1:10">
      <c r="A1357" t="s">
        <v>2706</v>
      </c>
      <c r="B1357" s="1">
        <v>45910</v>
      </c>
      <c r="C1357" t="s">
        <v>214</v>
      </c>
      <c r="D1357" t="s">
        <v>1251</v>
      </c>
      <c r="E1357" t="s">
        <v>1326</v>
      </c>
      <c r="F1357">
        <v>3</v>
      </c>
      <c r="G1357">
        <v>882.05</v>
      </c>
      <c r="H1357">
        <v>0.06</v>
      </c>
      <c r="I1357" t="s">
        <v>1351</v>
      </c>
      <c r="J1357">
        <v>2487.3809999999989</v>
      </c>
    </row>
    <row r="1358" spans="1:10">
      <c r="A1358" t="s">
        <v>2707</v>
      </c>
      <c r="B1358" s="1">
        <v>45564</v>
      </c>
      <c r="C1358" t="s">
        <v>452</v>
      </c>
      <c r="D1358" t="s">
        <v>1231</v>
      </c>
      <c r="E1358" t="s">
        <v>1307</v>
      </c>
      <c r="F1358">
        <v>3</v>
      </c>
      <c r="G1358">
        <v>141.54</v>
      </c>
      <c r="H1358">
        <v>0.12</v>
      </c>
      <c r="I1358" t="s">
        <v>1351</v>
      </c>
      <c r="J1358">
        <v>373.66559999999998</v>
      </c>
    </row>
    <row r="1359" spans="1:10">
      <c r="A1359" t="s">
        <v>2708</v>
      </c>
      <c r="B1359" s="1">
        <v>45461</v>
      </c>
      <c r="C1359" t="s">
        <v>126</v>
      </c>
      <c r="D1359" t="s">
        <v>1103</v>
      </c>
      <c r="E1359" t="s">
        <v>1294</v>
      </c>
      <c r="F1359">
        <v>3</v>
      </c>
      <c r="G1359">
        <v>83.5</v>
      </c>
      <c r="H1359">
        <v>0.23</v>
      </c>
      <c r="I1359" t="s">
        <v>1354</v>
      </c>
      <c r="J1359">
        <v>192.88499999999999</v>
      </c>
    </row>
    <row r="1360" spans="1:10">
      <c r="A1360" t="s">
        <v>2709</v>
      </c>
      <c r="B1360" s="1">
        <v>45258</v>
      </c>
      <c r="C1360" t="s">
        <v>306</v>
      </c>
      <c r="D1360" t="s">
        <v>1101</v>
      </c>
      <c r="E1360" t="s">
        <v>1301</v>
      </c>
      <c r="F1360">
        <v>2</v>
      </c>
      <c r="G1360">
        <v>629.73</v>
      </c>
      <c r="H1360">
        <v>7.0000000000000007E-2</v>
      </c>
      <c r="I1360" t="s">
        <v>1351</v>
      </c>
      <c r="J1360">
        <v>1171.2978000000001</v>
      </c>
    </row>
    <row r="1361" spans="1:10">
      <c r="A1361" t="s">
        <v>2710</v>
      </c>
      <c r="B1361" s="1">
        <v>45228</v>
      </c>
      <c r="C1361" t="s">
        <v>47</v>
      </c>
      <c r="D1361" t="s">
        <v>1139</v>
      </c>
      <c r="E1361" t="s">
        <v>1301</v>
      </c>
      <c r="F1361">
        <v>2</v>
      </c>
      <c r="G1361">
        <v>159.93</v>
      </c>
      <c r="H1361">
        <v>0.2</v>
      </c>
      <c r="I1361" t="s">
        <v>1354</v>
      </c>
      <c r="J1361">
        <v>255.88800000000001</v>
      </c>
    </row>
    <row r="1362" spans="1:10">
      <c r="A1362" t="s">
        <v>2711</v>
      </c>
      <c r="B1362" s="1">
        <v>45858</v>
      </c>
      <c r="C1362" t="s">
        <v>47</v>
      </c>
      <c r="D1362" t="s">
        <v>1163</v>
      </c>
      <c r="E1362" t="s">
        <v>1335</v>
      </c>
      <c r="F1362">
        <v>1</v>
      </c>
      <c r="G1362">
        <v>459.89</v>
      </c>
      <c r="H1362">
        <v>0.18</v>
      </c>
      <c r="I1362" t="s">
        <v>1354</v>
      </c>
      <c r="J1362">
        <v>377.10980000000001</v>
      </c>
    </row>
    <row r="1363" spans="1:10">
      <c r="A1363" t="s">
        <v>2712</v>
      </c>
      <c r="B1363" s="1">
        <v>45532</v>
      </c>
      <c r="C1363" t="s">
        <v>438</v>
      </c>
      <c r="D1363" t="s">
        <v>1139</v>
      </c>
      <c r="E1363" t="s">
        <v>1338</v>
      </c>
      <c r="F1363">
        <v>4</v>
      </c>
      <c r="G1363">
        <v>885.57</v>
      </c>
      <c r="H1363">
        <v>0.27</v>
      </c>
      <c r="I1363" t="s">
        <v>1349</v>
      </c>
      <c r="J1363">
        <v>2585.8643999999999</v>
      </c>
    </row>
    <row r="1364" spans="1:10">
      <c r="A1364" t="s">
        <v>2713</v>
      </c>
      <c r="B1364" s="1">
        <v>45454</v>
      </c>
      <c r="C1364" t="s">
        <v>867</v>
      </c>
      <c r="D1364" t="s">
        <v>1181</v>
      </c>
      <c r="E1364" t="s">
        <v>1326</v>
      </c>
      <c r="F1364">
        <v>3</v>
      </c>
      <c r="G1364">
        <v>789.05</v>
      </c>
      <c r="H1364">
        <v>0</v>
      </c>
      <c r="I1364" t="s">
        <v>1351</v>
      </c>
      <c r="J1364">
        <v>2367.15</v>
      </c>
    </row>
    <row r="1365" spans="1:10">
      <c r="A1365" t="s">
        <v>2714</v>
      </c>
      <c r="B1365" s="1">
        <v>45244</v>
      </c>
      <c r="C1365" t="s">
        <v>369</v>
      </c>
      <c r="D1365" t="s">
        <v>1205</v>
      </c>
      <c r="E1365" t="s">
        <v>1277</v>
      </c>
      <c r="F1365">
        <v>1</v>
      </c>
      <c r="G1365">
        <v>570.52</v>
      </c>
      <c r="H1365">
        <v>0</v>
      </c>
      <c r="I1365" t="s">
        <v>1351</v>
      </c>
      <c r="J1365">
        <v>570.52</v>
      </c>
    </row>
    <row r="1366" spans="1:10">
      <c r="A1366" t="s">
        <v>2715</v>
      </c>
      <c r="B1366" s="1">
        <v>45322</v>
      </c>
      <c r="C1366" t="s">
        <v>420</v>
      </c>
      <c r="D1366" t="s">
        <v>1127</v>
      </c>
      <c r="E1366" t="s">
        <v>1329</v>
      </c>
      <c r="F1366">
        <v>4</v>
      </c>
      <c r="G1366">
        <v>310.79000000000002</v>
      </c>
      <c r="H1366">
        <v>0.22</v>
      </c>
      <c r="I1366" t="s">
        <v>1354</v>
      </c>
      <c r="J1366">
        <v>969.66480000000013</v>
      </c>
    </row>
    <row r="1367" spans="1:10">
      <c r="A1367" t="s">
        <v>2716</v>
      </c>
      <c r="B1367" s="1">
        <v>45757</v>
      </c>
      <c r="C1367" t="s">
        <v>159</v>
      </c>
      <c r="D1367" t="s">
        <v>1209</v>
      </c>
      <c r="E1367" t="s">
        <v>1332</v>
      </c>
      <c r="F1367">
        <v>4</v>
      </c>
      <c r="G1367">
        <v>255.67</v>
      </c>
      <c r="H1367">
        <v>0.17</v>
      </c>
      <c r="I1367" t="s">
        <v>1349</v>
      </c>
      <c r="J1367">
        <v>848.82439999999997</v>
      </c>
    </row>
    <row r="1368" spans="1:10">
      <c r="A1368" t="s">
        <v>2717</v>
      </c>
      <c r="B1368" s="1">
        <v>45397</v>
      </c>
      <c r="C1368" t="s">
        <v>319</v>
      </c>
      <c r="D1368" t="s">
        <v>1127</v>
      </c>
      <c r="E1368" t="s">
        <v>1329</v>
      </c>
      <c r="F1368">
        <v>2</v>
      </c>
      <c r="G1368">
        <v>270.66000000000003</v>
      </c>
      <c r="H1368">
        <v>0.1</v>
      </c>
      <c r="I1368" t="s">
        <v>1354</v>
      </c>
      <c r="J1368">
        <v>487.18799999999999</v>
      </c>
    </row>
    <row r="1369" spans="1:10">
      <c r="A1369" t="s">
        <v>2718</v>
      </c>
      <c r="B1369" s="1">
        <v>45914</v>
      </c>
      <c r="C1369" t="s">
        <v>662</v>
      </c>
      <c r="D1369" t="s">
        <v>1119</v>
      </c>
      <c r="E1369" t="s">
        <v>1332</v>
      </c>
      <c r="F1369">
        <v>3</v>
      </c>
      <c r="G1369">
        <v>373.35</v>
      </c>
      <c r="H1369">
        <v>0.2</v>
      </c>
      <c r="I1369" t="s">
        <v>1354</v>
      </c>
      <c r="J1369">
        <v>896.04000000000019</v>
      </c>
    </row>
    <row r="1370" spans="1:10">
      <c r="A1370" t="s">
        <v>2719</v>
      </c>
      <c r="B1370" s="1">
        <v>45432</v>
      </c>
      <c r="C1370" t="s">
        <v>109</v>
      </c>
      <c r="D1370" t="s">
        <v>1191</v>
      </c>
      <c r="E1370" t="s">
        <v>1317</v>
      </c>
      <c r="F1370">
        <v>2</v>
      </c>
      <c r="G1370">
        <v>23.58</v>
      </c>
      <c r="H1370">
        <v>0.02</v>
      </c>
      <c r="I1370" t="s">
        <v>1351</v>
      </c>
      <c r="J1370">
        <v>46.216799999999999</v>
      </c>
    </row>
    <row r="1371" spans="1:10">
      <c r="A1371" t="s">
        <v>2720</v>
      </c>
      <c r="B1371" s="1">
        <v>45798</v>
      </c>
      <c r="C1371" t="s">
        <v>27</v>
      </c>
      <c r="D1371" t="s">
        <v>1143</v>
      </c>
      <c r="E1371" t="s">
        <v>1304</v>
      </c>
      <c r="F1371">
        <v>4</v>
      </c>
      <c r="G1371">
        <v>185.67</v>
      </c>
      <c r="H1371">
        <v>0.21</v>
      </c>
      <c r="I1371" t="s">
        <v>1351</v>
      </c>
      <c r="J1371">
        <v>586.71719999999993</v>
      </c>
    </row>
    <row r="1372" spans="1:10">
      <c r="A1372" t="s">
        <v>2721</v>
      </c>
      <c r="B1372" s="1">
        <v>45396</v>
      </c>
      <c r="C1372" t="s">
        <v>300</v>
      </c>
      <c r="D1372" t="s">
        <v>1109</v>
      </c>
      <c r="E1372" t="s">
        <v>1322</v>
      </c>
      <c r="F1372">
        <v>3</v>
      </c>
      <c r="G1372">
        <v>928.74</v>
      </c>
      <c r="H1372">
        <v>0.27</v>
      </c>
      <c r="I1372" t="s">
        <v>1351</v>
      </c>
      <c r="J1372">
        <v>2033.9405999999999</v>
      </c>
    </row>
    <row r="1373" spans="1:10">
      <c r="A1373" t="s">
        <v>2722</v>
      </c>
      <c r="B1373" s="1">
        <v>45235</v>
      </c>
      <c r="C1373" t="s">
        <v>92</v>
      </c>
      <c r="D1373" t="s">
        <v>1241</v>
      </c>
      <c r="E1373" t="s">
        <v>1298</v>
      </c>
      <c r="F1373">
        <v>3</v>
      </c>
      <c r="G1373">
        <v>923.38</v>
      </c>
      <c r="H1373">
        <v>7.0000000000000007E-2</v>
      </c>
      <c r="I1373" t="s">
        <v>1354</v>
      </c>
      <c r="J1373">
        <v>2576.2302</v>
      </c>
    </row>
    <row r="1374" spans="1:10">
      <c r="A1374" t="s">
        <v>2723</v>
      </c>
      <c r="B1374" s="1">
        <v>45499</v>
      </c>
      <c r="C1374" t="s">
        <v>986</v>
      </c>
      <c r="D1374" t="s">
        <v>1078</v>
      </c>
      <c r="E1374" t="s">
        <v>1311</v>
      </c>
      <c r="F1374">
        <v>2</v>
      </c>
      <c r="G1374">
        <v>409.26</v>
      </c>
      <c r="H1374">
        <v>0.1</v>
      </c>
      <c r="I1374" t="s">
        <v>1351</v>
      </c>
      <c r="J1374">
        <v>736.66800000000001</v>
      </c>
    </row>
    <row r="1375" spans="1:10">
      <c r="A1375" t="s">
        <v>2724</v>
      </c>
      <c r="B1375" s="1">
        <v>45272</v>
      </c>
      <c r="C1375" t="s">
        <v>571</v>
      </c>
      <c r="D1375" t="s">
        <v>1119</v>
      </c>
      <c r="E1375" t="s">
        <v>1304</v>
      </c>
      <c r="F1375">
        <v>2</v>
      </c>
      <c r="G1375">
        <v>608.46</v>
      </c>
      <c r="H1375">
        <v>0.16</v>
      </c>
      <c r="I1375" t="s">
        <v>1349</v>
      </c>
      <c r="J1375">
        <v>1022.2128</v>
      </c>
    </row>
    <row r="1376" spans="1:10">
      <c r="A1376" t="s">
        <v>2725</v>
      </c>
      <c r="B1376" s="1">
        <v>45785</v>
      </c>
      <c r="C1376" t="s">
        <v>486</v>
      </c>
      <c r="D1376" t="s">
        <v>1157</v>
      </c>
      <c r="E1376" t="s">
        <v>1338</v>
      </c>
      <c r="F1376">
        <v>4</v>
      </c>
      <c r="G1376">
        <v>150.47999999999999</v>
      </c>
      <c r="H1376">
        <v>0.09</v>
      </c>
      <c r="I1376" t="s">
        <v>1349</v>
      </c>
      <c r="J1376">
        <v>547.74720000000002</v>
      </c>
    </row>
    <row r="1377" spans="1:10">
      <c r="A1377" t="s">
        <v>2726</v>
      </c>
      <c r="B1377" s="1">
        <v>45534</v>
      </c>
      <c r="C1377" t="s">
        <v>553</v>
      </c>
      <c r="D1377" t="s">
        <v>1209</v>
      </c>
      <c r="E1377" t="s">
        <v>1324</v>
      </c>
      <c r="F1377">
        <v>4</v>
      </c>
      <c r="G1377">
        <v>207.41</v>
      </c>
      <c r="H1377">
        <v>0.02</v>
      </c>
      <c r="I1377" t="s">
        <v>1349</v>
      </c>
      <c r="J1377">
        <v>813.04719999999998</v>
      </c>
    </row>
    <row r="1378" spans="1:10">
      <c r="A1378" t="s">
        <v>2727</v>
      </c>
      <c r="B1378" s="1">
        <v>45803</v>
      </c>
      <c r="C1378" t="s">
        <v>405</v>
      </c>
      <c r="D1378" t="s">
        <v>1095</v>
      </c>
      <c r="E1378" t="s">
        <v>1301</v>
      </c>
      <c r="F1378">
        <v>1</v>
      </c>
      <c r="G1378">
        <v>56.59</v>
      </c>
      <c r="H1378">
        <v>0.15</v>
      </c>
      <c r="I1378" t="s">
        <v>1351</v>
      </c>
      <c r="J1378">
        <v>48.101500000000001</v>
      </c>
    </row>
    <row r="1379" spans="1:10">
      <c r="A1379" t="s">
        <v>2728</v>
      </c>
      <c r="B1379" s="1">
        <v>45667</v>
      </c>
      <c r="C1379" t="s">
        <v>873</v>
      </c>
      <c r="D1379" t="s">
        <v>1151</v>
      </c>
      <c r="E1379" t="s">
        <v>1294</v>
      </c>
      <c r="F1379">
        <v>4</v>
      </c>
      <c r="G1379">
        <v>995.4</v>
      </c>
      <c r="H1379">
        <v>0.27</v>
      </c>
      <c r="I1379" t="s">
        <v>1349</v>
      </c>
      <c r="J1379">
        <v>2906.5680000000002</v>
      </c>
    </row>
    <row r="1380" spans="1:10">
      <c r="A1380" t="s">
        <v>2729</v>
      </c>
      <c r="B1380" s="1">
        <v>45656</v>
      </c>
      <c r="C1380" t="s">
        <v>176</v>
      </c>
      <c r="D1380" t="s">
        <v>1167</v>
      </c>
      <c r="E1380" t="s">
        <v>1319</v>
      </c>
      <c r="F1380">
        <v>2</v>
      </c>
      <c r="G1380">
        <v>591.33000000000004</v>
      </c>
      <c r="H1380">
        <v>0.24</v>
      </c>
      <c r="I1380" t="s">
        <v>1349</v>
      </c>
      <c r="J1380">
        <v>898.8216000000001</v>
      </c>
    </row>
    <row r="1381" spans="1:10">
      <c r="A1381" t="s">
        <v>2730</v>
      </c>
      <c r="B1381" s="1">
        <v>45869</v>
      </c>
      <c r="C1381" t="s">
        <v>819</v>
      </c>
      <c r="D1381" t="s">
        <v>1169</v>
      </c>
      <c r="E1381" t="s">
        <v>1332</v>
      </c>
      <c r="F1381">
        <v>2</v>
      </c>
      <c r="G1381">
        <v>204.89</v>
      </c>
      <c r="H1381">
        <v>0.24</v>
      </c>
      <c r="I1381" t="s">
        <v>1349</v>
      </c>
      <c r="J1381">
        <v>311.43279999999999</v>
      </c>
    </row>
    <row r="1382" spans="1:10">
      <c r="A1382" t="s">
        <v>2731</v>
      </c>
      <c r="B1382" s="1">
        <v>45549</v>
      </c>
      <c r="C1382" t="s">
        <v>237</v>
      </c>
      <c r="D1382" t="s">
        <v>1203</v>
      </c>
      <c r="E1382" t="s">
        <v>1324</v>
      </c>
      <c r="F1382">
        <v>2</v>
      </c>
      <c r="G1382">
        <v>546.41</v>
      </c>
      <c r="H1382">
        <v>0.08</v>
      </c>
      <c r="I1382" t="s">
        <v>1354</v>
      </c>
      <c r="J1382">
        <v>1005.3944</v>
      </c>
    </row>
    <row r="1383" spans="1:10">
      <c r="A1383" t="s">
        <v>2732</v>
      </c>
      <c r="B1383" s="1">
        <v>45409</v>
      </c>
      <c r="C1383" t="s">
        <v>157</v>
      </c>
      <c r="D1383" t="s">
        <v>1109</v>
      </c>
      <c r="E1383" t="s">
        <v>1319</v>
      </c>
      <c r="F1383">
        <v>4</v>
      </c>
      <c r="G1383">
        <v>455.49</v>
      </c>
      <c r="H1383">
        <v>0.17</v>
      </c>
      <c r="I1383" t="s">
        <v>1349</v>
      </c>
      <c r="J1383">
        <v>1512.2267999999999</v>
      </c>
    </row>
    <row r="1384" spans="1:10">
      <c r="A1384" t="s">
        <v>2733</v>
      </c>
      <c r="B1384" s="1">
        <v>45374</v>
      </c>
      <c r="C1384" t="s">
        <v>907</v>
      </c>
      <c r="D1384" t="s">
        <v>1093</v>
      </c>
      <c r="E1384" t="s">
        <v>1329</v>
      </c>
      <c r="F1384">
        <v>2</v>
      </c>
      <c r="G1384">
        <v>700.27</v>
      </c>
      <c r="H1384">
        <v>0.16</v>
      </c>
      <c r="I1384" t="s">
        <v>1349</v>
      </c>
      <c r="J1384">
        <v>1176.4536000000001</v>
      </c>
    </row>
    <row r="1385" spans="1:10">
      <c r="A1385" t="s">
        <v>2734</v>
      </c>
      <c r="B1385" s="1">
        <v>45282</v>
      </c>
      <c r="C1385" t="s">
        <v>754</v>
      </c>
      <c r="D1385" t="s">
        <v>1237</v>
      </c>
      <c r="E1385" t="s">
        <v>1332</v>
      </c>
      <c r="F1385">
        <v>2</v>
      </c>
      <c r="G1385">
        <v>160.21</v>
      </c>
      <c r="H1385">
        <v>0.09</v>
      </c>
      <c r="I1385" t="s">
        <v>1349</v>
      </c>
      <c r="J1385">
        <v>291.5822</v>
      </c>
    </row>
    <row r="1386" spans="1:10">
      <c r="A1386" t="s">
        <v>2735</v>
      </c>
      <c r="B1386" s="1">
        <v>45742</v>
      </c>
      <c r="C1386" t="s">
        <v>96</v>
      </c>
      <c r="D1386" t="s">
        <v>1167</v>
      </c>
      <c r="E1386" t="s">
        <v>1317</v>
      </c>
      <c r="F1386">
        <v>1</v>
      </c>
      <c r="G1386">
        <v>713.63</v>
      </c>
      <c r="H1386">
        <v>0.28000000000000003</v>
      </c>
      <c r="I1386" t="s">
        <v>1354</v>
      </c>
      <c r="J1386">
        <v>513.81359999999995</v>
      </c>
    </row>
    <row r="1387" spans="1:10">
      <c r="A1387" t="s">
        <v>2736</v>
      </c>
      <c r="B1387" s="1">
        <v>45447</v>
      </c>
      <c r="C1387" t="s">
        <v>517</v>
      </c>
      <c r="D1387" t="s">
        <v>1259</v>
      </c>
      <c r="E1387" t="s">
        <v>1304</v>
      </c>
      <c r="F1387">
        <v>2</v>
      </c>
      <c r="G1387">
        <v>224.69</v>
      </c>
      <c r="H1387">
        <v>0.2</v>
      </c>
      <c r="I1387" t="s">
        <v>1354</v>
      </c>
      <c r="J1387">
        <v>359.50400000000002</v>
      </c>
    </row>
    <row r="1388" spans="1:10">
      <c r="A1388" t="s">
        <v>2737</v>
      </c>
      <c r="B1388" s="1">
        <v>45733</v>
      </c>
      <c r="C1388" t="s">
        <v>969</v>
      </c>
      <c r="D1388" t="s">
        <v>1113</v>
      </c>
      <c r="E1388" t="s">
        <v>1324</v>
      </c>
      <c r="F1388">
        <v>2</v>
      </c>
      <c r="G1388">
        <v>740.57</v>
      </c>
      <c r="H1388">
        <v>0.06</v>
      </c>
      <c r="I1388" t="s">
        <v>1349</v>
      </c>
      <c r="J1388">
        <v>1392.2716</v>
      </c>
    </row>
    <row r="1389" spans="1:10">
      <c r="A1389" t="s">
        <v>2738</v>
      </c>
      <c r="B1389" s="1">
        <v>45373</v>
      </c>
      <c r="C1389" t="s">
        <v>345</v>
      </c>
      <c r="D1389" t="s">
        <v>1095</v>
      </c>
      <c r="E1389" t="s">
        <v>1291</v>
      </c>
      <c r="F1389">
        <v>3</v>
      </c>
      <c r="G1389">
        <v>250.14</v>
      </c>
      <c r="H1389">
        <v>0.23</v>
      </c>
      <c r="I1389" t="s">
        <v>1351</v>
      </c>
      <c r="J1389">
        <v>577.82339999999999</v>
      </c>
    </row>
    <row r="1390" spans="1:10">
      <c r="A1390" t="s">
        <v>2739</v>
      </c>
      <c r="B1390" s="1">
        <v>45655</v>
      </c>
      <c r="C1390" t="s">
        <v>69</v>
      </c>
      <c r="D1390" t="s">
        <v>1269</v>
      </c>
      <c r="E1390" t="s">
        <v>1338</v>
      </c>
      <c r="F1390">
        <v>3</v>
      </c>
      <c r="G1390">
        <v>34.97</v>
      </c>
      <c r="H1390">
        <v>0.01</v>
      </c>
      <c r="I1390" t="s">
        <v>1349</v>
      </c>
      <c r="J1390">
        <v>103.8609</v>
      </c>
    </row>
    <row r="1391" spans="1:10">
      <c r="A1391" t="s">
        <v>2740</v>
      </c>
      <c r="B1391" s="1">
        <v>45868</v>
      </c>
      <c r="C1391" t="s">
        <v>672</v>
      </c>
      <c r="D1391" t="s">
        <v>1157</v>
      </c>
      <c r="E1391" t="s">
        <v>1329</v>
      </c>
      <c r="F1391">
        <v>1</v>
      </c>
      <c r="G1391">
        <v>653.91</v>
      </c>
      <c r="H1391">
        <v>0.3</v>
      </c>
      <c r="I1391" t="s">
        <v>1351</v>
      </c>
      <c r="J1391">
        <v>457.73700000000002</v>
      </c>
    </row>
    <row r="1392" spans="1:10">
      <c r="A1392" t="s">
        <v>2741</v>
      </c>
      <c r="B1392" s="1">
        <v>45338</v>
      </c>
      <c r="C1392" t="s">
        <v>789</v>
      </c>
      <c r="D1392" t="s">
        <v>1205</v>
      </c>
      <c r="E1392" t="s">
        <v>1291</v>
      </c>
      <c r="F1392">
        <v>1</v>
      </c>
      <c r="G1392">
        <v>997.87</v>
      </c>
      <c r="H1392">
        <v>0.24</v>
      </c>
      <c r="I1392" t="s">
        <v>1349</v>
      </c>
      <c r="J1392">
        <v>758.38120000000004</v>
      </c>
    </row>
    <row r="1393" spans="1:10">
      <c r="A1393" t="s">
        <v>2742</v>
      </c>
      <c r="B1393" s="1">
        <v>45349</v>
      </c>
      <c r="C1393" t="s">
        <v>478</v>
      </c>
      <c r="D1393" t="s">
        <v>1251</v>
      </c>
      <c r="E1393" t="s">
        <v>1324</v>
      </c>
      <c r="F1393">
        <v>1</v>
      </c>
      <c r="G1393">
        <v>174.27</v>
      </c>
      <c r="H1393">
        <v>0.27</v>
      </c>
      <c r="I1393" t="s">
        <v>1354</v>
      </c>
      <c r="J1393">
        <v>127.2171</v>
      </c>
    </row>
    <row r="1394" spans="1:10">
      <c r="A1394" t="s">
        <v>2743</v>
      </c>
      <c r="B1394" s="1">
        <v>45368</v>
      </c>
      <c r="C1394" t="s">
        <v>290</v>
      </c>
      <c r="D1394" t="s">
        <v>1171</v>
      </c>
      <c r="E1394" t="s">
        <v>1304</v>
      </c>
      <c r="F1394">
        <v>3</v>
      </c>
      <c r="G1394">
        <v>847.44</v>
      </c>
      <c r="H1394">
        <v>0.17</v>
      </c>
      <c r="I1394" t="s">
        <v>1349</v>
      </c>
      <c r="J1394">
        <v>2110.1255999999998</v>
      </c>
    </row>
    <row r="1395" spans="1:10">
      <c r="A1395" t="s">
        <v>2744</v>
      </c>
      <c r="B1395" s="1">
        <v>45243</v>
      </c>
      <c r="C1395" t="s">
        <v>919</v>
      </c>
      <c r="D1395" t="s">
        <v>1074</v>
      </c>
      <c r="E1395" t="s">
        <v>1286</v>
      </c>
      <c r="F1395">
        <v>1</v>
      </c>
      <c r="G1395">
        <v>493.45</v>
      </c>
      <c r="H1395">
        <v>0.09</v>
      </c>
      <c r="I1395" t="s">
        <v>1349</v>
      </c>
      <c r="J1395">
        <v>449.03949999999998</v>
      </c>
    </row>
    <row r="1396" spans="1:10">
      <c r="A1396" t="s">
        <v>2745</v>
      </c>
      <c r="B1396" s="1">
        <v>45577</v>
      </c>
      <c r="C1396" t="s">
        <v>527</v>
      </c>
      <c r="D1396" t="s">
        <v>1197</v>
      </c>
      <c r="E1396" t="s">
        <v>1286</v>
      </c>
      <c r="F1396">
        <v>4</v>
      </c>
      <c r="G1396">
        <v>111.66</v>
      </c>
      <c r="H1396">
        <v>0.14000000000000001</v>
      </c>
      <c r="I1396" t="s">
        <v>1349</v>
      </c>
      <c r="J1396">
        <v>384.11040000000003</v>
      </c>
    </row>
    <row r="1397" spans="1:10">
      <c r="A1397" t="s">
        <v>2746</v>
      </c>
      <c r="B1397" s="1">
        <v>45343</v>
      </c>
      <c r="C1397" t="s">
        <v>620</v>
      </c>
      <c r="D1397" t="s">
        <v>1253</v>
      </c>
      <c r="E1397" t="s">
        <v>1317</v>
      </c>
      <c r="F1397">
        <v>1</v>
      </c>
      <c r="G1397">
        <v>413.65</v>
      </c>
      <c r="H1397">
        <v>0.1</v>
      </c>
      <c r="I1397" t="s">
        <v>1354</v>
      </c>
      <c r="J1397">
        <v>372.28500000000003</v>
      </c>
    </row>
    <row r="1398" spans="1:10">
      <c r="A1398" t="s">
        <v>2747</v>
      </c>
      <c r="B1398" s="1">
        <v>45744</v>
      </c>
      <c r="C1398" t="s">
        <v>1012</v>
      </c>
      <c r="D1398" t="s">
        <v>1251</v>
      </c>
      <c r="E1398" t="s">
        <v>1311</v>
      </c>
      <c r="F1398">
        <v>1</v>
      </c>
      <c r="G1398">
        <v>317.14999999999998</v>
      </c>
      <c r="H1398">
        <v>0.24</v>
      </c>
      <c r="I1398" t="s">
        <v>1354</v>
      </c>
      <c r="J1398">
        <v>241.03399999999999</v>
      </c>
    </row>
    <row r="1399" spans="1:10">
      <c r="A1399" t="s">
        <v>2748</v>
      </c>
      <c r="B1399" s="1">
        <v>45873</v>
      </c>
      <c r="C1399" t="s">
        <v>781</v>
      </c>
      <c r="D1399" t="s">
        <v>1249</v>
      </c>
      <c r="E1399" t="s">
        <v>1282</v>
      </c>
      <c r="F1399">
        <v>3</v>
      </c>
      <c r="G1399">
        <v>642.94000000000005</v>
      </c>
      <c r="H1399">
        <v>0.05</v>
      </c>
      <c r="I1399" t="s">
        <v>1354</v>
      </c>
      <c r="J1399">
        <v>1832.3789999999999</v>
      </c>
    </row>
    <row r="1400" spans="1:10">
      <c r="A1400" t="s">
        <v>2749</v>
      </c>
      <c r="B1400" s="1">
        <v>45601</v>
      </c>
      <c r="C1400" t="s">
        <v>327</v>
      </c>
      <c r="D1400" t="s">
        <v>1187</v>
      </c>
      <c r="E1400" t="s">
        <v>1314</v>
      </c>
      <c r="F1400">
        <v>4</v>
      </c>
      <c r="G1400">
        <v>559.59</v>
      </c>
      <c r="H1400">
        <v>0.19</v>
      </c>
      <c r="I1400" t="s">
        <v>1354</v>
      </c>
      <c r="J1400">
        <v>1813.0716</v>
      </c>
    </row>
    <row r="1401" spans="1:10">
      <c r="A1401" t="s">
        <v>2750</v>
      </c>
      <c r="B1401" s="1">
        <v>45458</v>
      </c>
      <c r="C1401" t="s">
        <v>288</v>
      </c>
      <c r="D1401" t="s">
        <v>1131</v>
      </c>
      <c r="E1401" t="s">
        <v>1335</v>
      </c>
      <c r="F1401">
        <v>1</v>
      </c>
      <c r="G1401">
        <v>758.54</v>
      </c>
      <c r="H1401">
        <v>0.28999999999999998</v>
      </c>
      <c r="I1401" t="s">
        <v>1351</v>
      </c>
      <c r="J1401">
        <v>538.5634</v>
      </c>
    </row>
    <row r="1402" spans="1:10">
      <c r="A1402" t="s">
        <v>2751</v>
      </c>
      <c r="B1402" s="1">
        <v>45649</v>
      </c>
      <c r="C1402" t="s">
        <v>986</v>
      </c>
      <c r="D1402" t="s">
        <v>1233</v>
      </c>
      <c r="E1402" t="s">
        <v>1326</v>
      </c>
      <c r="F1402">
        <v>4</v>
      </c>
      <c r="G1402">
        <v>643.96</v>
      </c>
      <c r="H1402">
        <v>0.16</v>
      </c>
      <c r="I1402" t="s">
        <v>1351</v>
      </c>
      <c r="J1402">
        <v>2163.7055999999998</v>
      </c>
    </row>
    <row r="1403" spans="1:10">
      <c r="A1403" t="s">
        <v>2752</v>
      </c>
      <c r="B1403" s="1">
        <v>45653</v>
      </c>
      <c r="C1403" t="s">
        <v>549</v>
      </c>
      <c r="D1403" t="s">
        <v>1121</v>
      </c>
      <c r="E1403" t="s">
        <v>1311</v>
      </c>
      <c r="F1403">
        <v>1</v>
      </c>
      <c r="G1403">
        <v>882.73</v>
      </c>
      <c r="H1403">
        <v>0.1</v>
      </c>
      <c r="I1403" t="s">
        <v>1349</v>
      </c>
      <c r="J1403">
        <v>794.45699999999999</v>
      </c>
    </row>
    <row r="1404" spans="1:10">
      <c r="A1404" t="s">
        <v>2753</v>
      </c>
      <c r="B1404" s="1">
        <v>45378</v>
      </c>
      <c r="C1404" t="s">
        <v>714</v>
      </c>
      <c r="D1404" t="s">
        <v>1255</v>
      </c>
      <c r="E1404" t="s">
        <v>1338</v>
      </c>
      <c r="F1404">
        <v>2</v>
      </c>
      <c r="G1404">
        <v>600.03</v>
      </c>
      <c r="H1404">
        <v>0.26</v>
      </c>
      <c r="I1404" t="s">
        <v>1351</v>
      </c>
      <c r="J1404">
        <v>888.0444</v>
      </c>
    </row>
    <row r="1405" spans="1:10">
      <c r="A1405" t="s">
        <v>2754</v>
      </c>
      <c r="B1405" s="1">
        <v>45638</v>
      </c>
      <c r="C1405" t="s">
        <v>375</v>
      </c>
      <c r="D1405" t="s">
        <v>1181</v>
      </c>
      <c r="E1405" t="s">
        <v>1298</v>
      </c>
      <c r="F1405">
        <v>2</v>
      </c>
      <c r="G1405">
        <v>628.83000000000004</v>
      </c>
      <c r="H1405">
        <v>7.0000000000000007E-2</v>
      </c>
      <c r="I1405" t="s">
        <v>1351</v>
      </c>
      <c r="J1405">
        <v>1169.6238000000001</v>
      </c>
    </row>
    <row r="1406" spans="1:10">
      <c r="A1406" t="s">
        <v>2755</v>
      </c>
      <c r="B1406" s="1">
        <v>45277</v>
      </c>
      <c r="C1406" t="s">
        <v>411</v>
      </c>
      <c r="D1406" t="s">
        <v>1235</v>
      </c>
      <c r="E1406" t="s">
        <v>1311</v>
      </c>
      <c r="F1406">
        <v>3</v>
      </c>
      <c r="G1406">
        <v>113.87</v>
      </c>
      <c r="H1406">
        <v>0.21</v>
      </c>
      <c r="I1406" t="s">
        <v>1354</v>
      </c>
      <c r="J1406">
        <v>269.87189999999998</v>
      </c>
    </row>
    <row r="1407" spans="1:10">
      <c r="A1407" t="s">
        <v>2756</v>
      </c>
      <c r="B1407" s="1">
        <v>45351</v>
      </c>
      <c r="C1407" t="s">
        <v>899</v>
      </c>
      <c r="D1407" t="s">
        <v>1217</v>
      </c>
      <c r="E1407" t="s">
        <v>1304</v>
      </c>
      <c r="F1407">
        <v>4</v>
      </c>
      <c r="G1407">
        <v>282.07</v>
      </c>
      <c r="H1407">
        <v>0.18</v>
      </c>
      <c r="I1407" t="s">
        <v>1351</v>
      </c>
      <c r="J1407">
        <v>925.18960000000004</v>
      </c>
    </row>
    <row r="1408" spans="1:10">
      <c r="A1408" t="s">
        <v>2757</v>
      </c>
      <c r="B1408" s="1">
        <v>45290</v>
      </c>
      <c r="C1408" t="s">
        <v>373</v>
      </c>
      <c r="D1408" t="s">
        <v>1181</v>
      </c>
      <c r="E1408" t="s">
        <v>1301</v>
      </c>
      <c r="F1408">
        <v>3</v>
      </c>
      <c r="G1408">
        <v>676.77</v>
      </c>
      <c r="H1408">
        <v>0.17</v>
      </c>
      <c r="I1408" t="s">
        <v>1351</v>
      </c>
      <c r="J1408">
        <v>1685.1573000000001</v>
      </c>
    </row>
    <row r="1409" spans="1:10">
      <c r="A1409" t="s">
        <v>2758</v>
      </c>
      <c r="B1409" s="1">
        <v>45638</v>
      </c>
      <c r="C1409" t="s">
        <v>502</v>
      </c>
      <c r="D1409" t="s">
        <v>1085</v>
      </c>
      <c r="E1409" t="s">
        <v>1329</v>
      </c>
      <c r="F1409">
        <v>2</v>
      </c>
      <c r="G1409">
        <v>362.7</v>
      </c>
      <c r="H1409">
        <v>0.09</v>
      </c>
      <c r="I1409" t="s">
        <v>1349</v>
      </c>
      <c r="J1409">
        <v>660.11400000000003</v>
      </c>
    </row>
    <row r="1410" spans="1:10">
      <c r="A1410" t="s">
        <v>2759</v>
      </c>
      <c r="B1410" s="1">
        <v>45679</v>
      </c>
      <c r="C1410" t="s">
        <v>331</v>
      </c>
      <c r="D1410" t="s">
        <v>1099</v>
      </c>
      <c r="E1410" t="s">
        <v>1286</v>
      </c>
      <c r="F1410">
        <v>1</v>
      </c>
      <c r="G1410">
        <v>908.5</v>
      </c>
      <c r="H1410">
        <v>0.2</v>
      </c>
      <c r="I1410" t="s">
        <v>1354</v>
      </c>
      <c r="J1410">
        <v>726.80000000000007</v>
      </c>
    </row>
    <row r="1411" spans="1:10">
      <c r="A1411" t="s">
        <v>2760</v>
      </c>
      <c r="B1411" s="1">
        <v>45296</v>
      </c>
      <c r="C1411" t="s">
        <v>182</v>
      </c>
      <c r="D1411" t="s">
        <v>1123</v>
      </c>
      <c r="E1411" t="s">
        <v>1326</v>
      </c>
      <c r="F1411">
        <v>2</v>
      </c>
      <c r="G1411">
        <v>795.37</v>
      </c>
      <c r="H1411">
        <v>0.2</v>
      </c>
      <c r="I1411" t="s">
        <v>1354</v>
      </c>
      <c r="J1411">
        <v>1272.5920000000001</v>
      </c>
    </row>
    <row r="1412" spans="1:10">
      <c r="A1412" t="s">
        <v>2761</v>
      </c>
      <c r="B1412" s="1">
        <v>45760</v>
      </c>
      <c r="C1412" t="s">
        <v>349</v>
      </c>
      <c r="D1412" t="s">
        <v>1143</v>
      </c>
      <c r="E1412" t="s">
        <v>1294</v>
      </c>
      <c r="F1412">
        <v>2</v>
      </c>
      <c r="G1412">
        <v>326.85000000000002</v>
      </c>
      <c r="H1412">
        <v>0.17</v>
      </c>
      <c r="I1412" t="s">
        <v>1354</v>
      </c>
      <c r="J1412">
        <v>542.57100000000003</v>
      </c>
    </row>
    <row r="1413" spans="1:10">
      <c r="A1413" t="s">
        <v>2762</v>
      </c>
      <c r="B1413" s="1">
        <v>45603</v>
      </c>
      <c r="C1413" t="s">
        <v>764</v>
      </c>
      <c r="D1413" t="s">
        <v>1185</v>
      </c>
      <c r="E1413" t="s">
        <v>1324</v>
      </c>
      <c r="F1413">
        <v>3</v>
      </c>
      <c r="G1413">
        <v>169.43</v>
      </c>
      <c r="H1413">
        <v>0.19</v>
      </c>
      <c r="I1413" t="s">
        <v>1349</v>
      </c>
      <c r="J1413">
        <v>411.71490000000011</v>
      </c>
    </row>
    <row r="1414" spans="1:10">
      <c r="A1414" t="s">
        <v>2763</v>
      </c>
      <c r="B1414" s="1">
        <v>45413</v>
      </c>
      <c r="C1414" t="s">
        <v>387</v>
      </c>
      <c r="D1414" t="s">
        <v>1239</v>
      </c>
      <c r="E1414" t="s">
        <v>1301</v>
      </c>
      <c r="F1414">
        <v>1</v>
      </c>
      <c r="G1414">
        <v>254.47</v>
      </c>
      <c r="H1414">
        <v>0.1</v>
      </c>
      <c r="I1414" t="s">
        <v>1349</v>
      </c>
      <c r="J1414">
        <v>229.023</v>
      </c>
    </row>
    <row r="1415" spans="1:10">
      <c r="A1415" t="s">
        <v>2764</v>
      </c>
      <c r="B1415" s="1">
        <v>45506</v>
      </c>
      <c r="C1415" t="s">
        <v>899</v>
      </c>
      <c r="D1415" t="s">
        <v>1123</v>
      </c>
      <c r="E1415" t="s">
        <v>1329</v>
      </c>
      <c r="F1415">
        <v>4</v>
      </c>
      <c r="G1415">
        <v>627.73</v>
      </c>
      <c r="H1415">
        <v>0.11</v>
      </c>
      <c r="I1415" t="s">
        <v>1354</v>
      </c>
      <c r="J1415">
        <v>2234.7188000000001</v>
      </c>
    </row>
    <row r="1416" spans="1:10">
      <c r="A1416" t="s">
        <v>2765</v>
      </c>
      <c r="B1416" s="1">
        <v>45394</v>
      </c>
      <c r="C1416" t="s">
        <v>805</v>
      </c>
      <c r="D1416" t="s">
        <v>1135</v>
      </c>
      <c r="E1416" t="s">
        <v>1338</v>
      </c>
      <c r="F1416">
        <v>4</v>
      </c>
      <c r="G1416">
        <v>327.25</v>
      </c>
      <c r="H1416">
        <v>0.13</v>
      </c>
      <c r="I1416" t="s">
        <v>1354</v>
      </c>
      <c r="J1416">
        <v>1138.83</v>
      </c>
    </row>
    <row r="1417" spans="1:10">
      <c r="A1417" t="s">
        <v>2766</v>
      </c>
      <c r="B1417" s="1">
        <v>45755</v>
      </c>
      <c r="C1417" t="s">
        <v>351</v>
      </c>
      <c r="D1417" t="s">
        <v>1191</v>
      </c>
      <c r="E1417" t="s">
        <v>1317</v>
      </c>
      <c r="F1417">
        <v>4</v>
      </c>
      <c r="G1417">
        <v>511.43</v>
      </c>
      <c r="H1417">
        <v>0.18</v>
      </c>
      <c r="I1417" t="s">
        <v>1354</v>
      </c>
      <c r="J1417">
        <v>1677.4903999999999</v>
      </c>
    </row>
    <row r="1418" spans="1:10">
      <c r="A1418" t="s">
        <v>2767</v>
      </c>
      <c r="B1418" s="1">
        <v>45473</v>
      </c>
      <c r="C1418" t="s">
        <v>391</v>
      </c>
      <c r="D1418" t="s">
        <v>1199</v>
      </c>
      <c r="E1418" t="s">
        <v>1332</v>
      </c>
      <c r="F1418">
        <v>4</v>
      </c>
      <c r="G1418">
        <v>194.67</v>
      </c>
      <c r="H1418">
        <v>0.23</v>
      </c>
      <c r="I1418" t="s">
        <v>1351</v>
      </c>
      <c r="J1418">
        <v>599.58359999999993</v>
      </c>
    </row>
    <row r="1419" spans="1:10">
      <c r="A1419" t="s">
        <v>2768</v>
      </c>
      <c r="B1419" s="1">
        <v>45304</v>
      </c>
      <c r="C1419" t="s">
        <v>164</v>
      </c>
      <c r="D1419" t="s">
        <v>1119</v>
      </c>
      <c r="E1419" t="s">
        <v>1282</v>
      </c>
      <c r="F1419">
        <v>2</v>
      </c>
      <c r="G1419">
        <v>54.51</v>
      </c>
      <c r="H1419">
        <v>7.0000000000000007E-2</v>
      </c>
      <c r="I1419" t="s">
        <v>1349</v>
      </c>
      <c r="J1419">
        <v>101.3886</v>
      </c>
    </row>
    <row r="1420" spans="1:10">
      <c r="A1420" t="s">
        <v>2769</v>
      </c>
      <c r="B1420" s="1">
        <v>45557</v>
      </c>
      <c r="C1420" t="s">
        <v>204</v>
      </c>
      <c r="D1420" t="s">
        <v>1197</v>
      </c>
      <c r="E1420" t="s">
        <v>1317</v>
      </c>
      <c r="F1420">
        <v>4</v>
      </c>
      <c r="G1420">
        <v>964</v>
      </c>
      <c r="H1420">
        <v>0.14000000000000001</v>
      </c>
      <c r="I1420" t="s">
        <v>1351</v>
      </c>
      <c r="J1420">
        <v>3316.16</v>
      </c>
    </row>
    <row r="1421" spans="1:10">
      <c r="A1421" t="s">
        <v>2770</v>
      </c>
      <c r="B1421" s="1">
        <v>45527</v>
      </c>
      <c r="C1421" t="s">
        <v>118</v>
      </c>
      <c r="D1421" t="s">
        <v>1251</v>
      </c>
      <c r="E1421" t="s">
        <v>1294</v>
      </c>
      <c r="F1421">
        <v>1</v>
      </c>
      <c r="G1421">
        <v>170.12</v>
      </c>
      <c r="H1421">
        <v>0.26</v>
      </c>
      <c r="I1421" t="s">
        <v>1351</v>
      </c>
      <c r="J1421">
        <v>125.8888</v>
      </c>
    </row>
    <row r="1422" spans="1:10">
      <c r="A1422" t="s">
        <v>2771</v>
      </c>
      <c r="B1422" s="1">
        <v>45875</v>
      </c>
      <c r="C1422" t="s">
        <v>365</v>
      </c>
      <c r="D1422" t="s">
        <v>1179</v>
      </c>
      <c r="E1422" t="s">
        <v>1338</v>
      </c>
      <c r="F1422">
        <v>2</v>
      </c>
      <c r="G1422">
        <v>664.5</v>
      </c>
      <c r="H1422">
        <v>0.23</v>
      </c>
      <c r="I1422" t="s">
        <v>1349</v>
      </c>
      <c r="J1422">
        <v>1023.33</v>
      </c>
    </row>
    <row r="1423" spans="1:10">
      <c r="A1423" t="s">
        <v>2772</v>
      </c>
      <c r="B1423" s="1">
        <v>45936</v>
      </c>
      <c r="C1423" t="s">
        <v>805</v>
      </c>
      <c r="D1423" t="s">
        <v>1163</v>
      </c>
      <c r="E1423" t="s">
        <v>1314</v>
      </c>
      <c r="F1423">
        <v>4</v>
      </c>
      <c r="G1423">
        <v>557.51</v>
      </c>
      <c r="H1423">
        <v>0.11</v>
      </c>
      <c r="I1423" t="s">
        <v>1349</v>
      </c>
      <c r="J1423">
        <v>1984.7356</v>
      </c>
    </row>
    <row r="1424" spans="1:10">
      <c r="A1424" t="s">
        <v>2773</v>
      </c>
      <c r="B1424" s="1">
        <v>45807</v>
      </c>
      <c r="C1424" t="s">
        <v>857</v>
      </c>
      <c r="D1424" t="s">
        <v>1253</v>
      </c>
      <c r="E1424" t="s">
        <v>1282</v>
      </c>
      <c r="F1424">
        <v>2</v>
      </c>
      <c r="G1424">
        <v>410</v>
      </c>
      <c r="H1424">
        <v>0.13</v>
      </c>
      <c r="I1424" t="s">
        <v>1354</v>
      </c>
      <c r="J1424">
        <v>713.4</v>
      </c>
    </row>
    <row r="1425" spans="1:10">
      <c r="A1425" t="s">
        <v>2774</v>
      </c>
      <c r="B1425" s="1">
        <v>45473</v>
      </c>
      <c r="C1425" t="s">
        <v>676</v>
      </c>
      <c r="D1425" t="s">
        <v>1239</v>
      </c>
      <c r="E1425" t="s">
        <v>1298</v>
      </c>
      <c r="F1425">
        <v>2</v>
      </c>
      <c r="G1425">
        <v>879.93</v>
      </c>
      <c r="H1425">
        <v>0.28999999999999998</v>
      </c>
      <c r="I1425" t="s">
        <v>1354</v>
      </c>
      <c r="J1425">
        <v>1249.5006000000001</v>
      </c>
    </row>
    <row r="1426" spans="1:10">
      <c r="A1426" t="s">
        <v>2775</v>
      </c>
      <c r="B1426" s="1">
        <v>45664</v>
      </c>
      <c r="C1426" t="s">
        <v>33</v>
      </c>
      <c r="D1426" t="s">
        <v>1099</v>
      </c>
      <c r="E1426" t="s">
        <v>1335</v>
      </c>
      <c r="F1426">
        <v>1</v>
      </c>
      <c r="G1426">
        <v>350.58</v>
      </c>
      <c r="H1426">
        <v>0.03</v>
      </c>
      <c r="I1426" t="s">
        <v>1354</v>
      </c>
      <c r="J1426">
        <v>340.06259999999997</v>
      </c>
    </row>
    <row r="1427" spans="1:10">
      <c r="A1427" t="s">
        <v>2776</v>
      </c>
      <c r="B1427" s="1">
        <v>45633</v>
      </c>
      <c r="C1427" t="s">
        <v>764</v>
      </c>
      <c r="D1427" t="s">
        <v>1189</v>
      </c>
      <c r="E1427" t="s">
        <v>1291</v>
      </c>
      <c r="F1427">
        <v>4</v>
      </c>
      <c r="G1427">
        <v>348.58</v>
      </c>
      <c r="H1427">
        <v>0.16</v>
      </c>
      <c r="I1427" t="s">
        <v>1349</v>
      </c>
      <c r="J1427">
        <v>1171.2288000000001</v>
      </c>
    </row>
    <row r="1428" spans="1:10">
      <c r="A1428" t="s">
        <v>2777</v>
      </c>
      <c r="B1428" s="1">
        <v>45548</v>
      </c>
      <c r="C1428" t="s">
        <v>981</v>
      </c>
      <c r="D1428" t="s">
        <v>1123</v>
      </c>
      <c r="E1428" t="s">
        <v>1291</v>
      </c>
      <c r="F1428">
        <v>3</v>
      </c>
      <c r="G1428">
        <v>247.66</v>
      </c>
      <c r="H1428">
        <v>0.02</v>
      </c>
      <c r="I1428" t="s">
        <v>1354</v>
      </c>
      <c r="J1428">
        <v>728.12040000000002</v>
      </c>
    </row>
    <row r="1429" spans="1:10">
      <c r="A1429" t="s">
        <v>2778</v>
      </c>
      <c r="B1429" s="1">
        <v>45244</v>
      </c>
      <c r="C1429" t="s">
        <v>839</v>
      </c>
      <c r="D1429" t="s">
        <v>1151</v>
      </c>
      <c r="E1429" t="s">
        <v>1326</v>
      </c>
      <c r="F1429">
        <v>3</v>
      </c>
      <c r="G1429">
        <v>836.27</v>
      </c>
      <c r="H1429">
        <v>0.16</v>
      </c>
      <c r="I1429" t="s">
        <v>1349</v>
      </c>
      <c r="J1429">
        <v>2107.4004</v>
      </c>
    </row>
    <row r="1430" spans="1:10">
      <c r="A1430" t="s">
        <v>2779</v>
      </c>
      <c r="B1430" s="1">
        <v>45753</v>
      </c>
      <c r="C1430" t="s">
        <v>452</v>
      </c>
      <c r="D1430" t="s">
        <v>1101</v>
      </c>
      <c r="E1430" t="s">
        <v>1314</v>
      </c>
      <c r="F1430">
        <v>3</v>
      </c>
      <c r="G1430">
        <v>696.74</v>
      </c>
      <c r="H1430">
        <v>0.13</v>
      </c>
      <c r="I1430" t="s">
        <v>1354</v>
      </c>
      <c r="J1430">
        <v>1818.4914000000001</v>
      </c>
    </row>
    <row r="1431" spans="1:10">
      <c r="A1431" t="s">
        <v>2780</v>
      </c>
      <c r="B1431" s="1">
        <v>45804</v>
      </c>
      <c r="C1431" t="s">
        <v>553</v>
      </c>
      <c r="D1431" t="s">
        <v>1261</v>
      </c>
      <c r="E1431" t="s">
        <v>1322</v>
      </c>
      <c r="F1431">
        <v>2</v>
      </c>
      <c r="G1431">
        <v>822.59</v>
      </c>
      <c r="H1431">
        <v>0.22</v>
      </c>
      <c r="I1431" t="s">
        <v>1351</v>
      </c>
      <c r="J1431">
        <v>1283.2403999999999</v>
      </c>
    </row>
    <row r="1432" spans="1:10">
      <c r="A1432" t="s">
        <v>2781</v>
      </c>
      <c r="B1432" s="1">
        <v>45263</v>
      </c>
      <c r="C1432" t="s">
        <v>507</v>
      </c>
      <c r="D1432" t="s">
        <v>1231</v>
      </c>
      <c r="E1432" t="s">
        <v>1286</v>
      </c>
      <c r="F1432">
        <v>1</v>
      </c>
      <c r="G1432">
        <v>462.23</v>
      </c>
      <c r="H1432">
        <v>0.3</v>
      </c>
      <c r="I1432" t="s">
        <v>1351</v>
      </c>
      <c r="J1432">
        <v>323.56099999999998</v>
      </c>
    </row>
    <row r="1433" spans="1:10">
      <c r="A1433" t="s">
        <v>2782</v>
      </c>
      <c r="B1433" s="1">
        <v>45906</v>
      </c>
      <c r="C1433" t="s">
        <v>957</v>
      </c>
      <c r="D1433" t="s">
        <v>1157</v>
      </c>
      <c r="E1433" t="s">
        <v>1332</v>
      </c>
      <c r="F1433">
        <v>1</v>
      </c>
      <c r="G1433">
        <v>361.09</v>
      </c>
      <c r="H1433">
        <v>0.06</v>
      </c>
      <c r="I1433" t="s">
        <v>1351</v>
      </c>
      <c r="J1433">
        <v>339.42459999999988</v>
      </c>
    </row>
    <row r="1434" spans="1:10">
      <c r="A1434" t="s">
        <v>2783</v>
      </c>
      <c r="B1434" s="1">
        <v>45243</v>
      </c>
      <c r="C1434" t="s">
        <v>829</v>
      </c>
      <c r="D1434" t="s">
        <v>1219</v>
      </c>
      <c r="E1434" t="s">
        <v>1338</v>
      </c>
      <c r="F1434">
        <v>3</v>
      </c>
      <c r="G1434">
        <v>59.37</v>
      </c>
      <c r="H1434">
        <v>0.03</v>
      </c>
      <c r="I1434" t="s">
        <v>1351</v>
      </c>
      <c r="J1434">
        <v>172.76669999999999</v>
      </c>
    </row>
    <row r="1435" spans="1:10">
      <c r="A1435" t="s">
        <v>2784</v>
      </c>
      <c r="B1435" s="1">
        <v>45686</v>
      </c>
      <c r="C1435" t="s">
        <v>109</v>
      </c>
      <c r="D1435" t="s">
        <v>1153</v>
      </c>
      <c r="E1435" t="s">
        <v>1282</v>
      </c>
      <c r="F1435">
        <v>3</v>
      </c>
      <c r="G1435">
        <v>765.21</v>
      </c>
      <c r="H1435">
        <v>0.14000000000000001</v>
      </c>
      <c r="I1435" t="s">
        <v>1354</v>
      </c>
      <c r="J1435">
        <v>1974.2418</v>
      </c>
    </row>
    <row r="1436" spans="1:10">
      <c r="A1436" t="s">
        <v>2785</v>
      </c>
      <c r="B1436" s="1">
        <v>45472</v>
      </c>
      <c r="C1436" t="s">
        <v>549</v>
      </c>
      <c r="D1436" t="s">
        <v>1137</v>
      </c>
      <c r="E1436" t="s">
        <v>1319</v>
      </c>
      <c r="F1436">
        <v>4</v>
      </c>
      <c r="G1436">
        <v>303.56</v>
      </c>
      <c r="H1436">
        <v>0.2</v>
      </c>
      <c r="I1436" t="s">
        <v>1354</v>
      </c>
      <c r="J1436">
        <v>971.39200000000005</v>
      </c>
    </row>
    <row r="1437" spans="1:10">
      <c r="A1437" t="s">
        <v>2786</v>
      </c>
      <c r="B1437" s="1">
        <v>45779</v>
      </c>
      <c r="C1437" t="s">
        <v>949</v>
      </c>
      <c r="D1437" t="s">
        <v>1127</v>
      </c>
      <c r="E1437" t="s">
        <v>1277</v>
      </c>
      <c r="F1437">
        <v>1</v>
      </c>
      <c r="G1437">
        <v>640.92999999999995</v>
      </c>
      <c r="H1437">
        <v>0.19</v>
      </c>
      <c r="I1437" t="s">
        <v>1351</v>
      </c>
      <c r="J1437">
        <v>519.15329999999994</v>
      </c>
    </row>
    <row r="1438" spans="1:10">
      <c r="A1438" t="s">
        <v>2787</v>
      </c>
      <c r="B1438" s="1">
        <v>45830</v>
      </c>
      <c r="C1438" t="s">
        <v>409</v>
      </c>
      <c r="D1438" t="s">
        <v>1245</v>
      </c>
      <c r="E1438" t="s">
        <v>1314</v>
      </c>
      <c r="F1438">
        <v>2</v>
      </c>
      <c r="G1438">
        <v>611.25</v>
      </c>
      <c r="H1438">
        <v>0.22</v>
      </c>
      <c r="I1438" t="s">
        <v>1349</v>
      </c>
      <c r="J1438">
        <v>953.55000000000007</v>
      </c>
    </row>
    <row r="1439" spans="1:10">
      <c r="A1439" t="s">
        <v>2788</v>
      </c>
      <c r="B1439" s="1">
        <v>45756</v>
      </c>
      <c r="C1439" t="s">
        <v>984</v>
      </c>
      <c r="D1439" t="s">
        <v>1205</v>
      </c>
      <c r="E1439" t="s">
        <v>1282</v>
      </c>
      <c r="F1439">
        <v>1</v>
      </c>
      <c r="G1439">
        <v>209.93</v>
      </c>
      <c r="H1439">
        <v>0.21</v>
      </c>
      <c r="I1439" t="s">
        <v>1349</v>
      </c>
      <c r="J1439">
        <v>165.84469999999999</v>
      </c>
    </row>
    <row r="1440" spans="1:10">
      <c r="A1440" t="s">
        <v>2789</v>
      </c>
      <c r="B1440" s="1">
        <v>45847</v>
      </c>
      <c r="C1440" t="s">
        <v>279</v>
      </c>
      <c r="D1440" t="s">
        <v>1271</v>
      </c>
      <c r="E1440" t="s">
        <v>1314</v>
      </c>
      <c r="F1440">
        <v>3</v>
      </c>
      <c r="G1440">
        <v>130.38999999999999</v>
      </c>
      <c r="H1440">
        <v>0.24</v>
      </c>
      <c r="I1440" t="s">
        <v>1351</v>
      </c>
      <c r="J1440">
        <v>297.28919999999999</v>
      </c>
    </row>
    <row r="1441" spans="1:10">
      <c r="A1441" t="s">
        <v>2790</v>
      </c>
      <c r="B1441" s="1">
        <v>45322</v>
      </c>
      <c r="C1441" t="s">
        <v>646</v>
      </c>
      <c r="D1441" t="s">
        <v>1259</v>
      </c>
      <c r="E1441" t="s">
        <v>1304</v>
      </c>
      <c r="F1441">
        <v>2</v>
      </c>
      <c r="G1441">
        <v>846.18</v>
      </c>
      <c r="H1441">
        <v>0.1</v>
      </c>
      <c r="I1441" t="s">
        <v>1354</v>
      </c>
      <c r="J1441">
        <v>1523.124</v>
      </c>
    </row>
    <row r="1442" spans="1:10">
      <c r="A1442" t="s">
        <v>2791</v>
      </c>
      <c r="B1442" s="1">
        <v>45829</v>
      </c>
      <c r="C1442" t="s">
        <v>771</v>
      </c>
      <c r="D1442" t="s">
        <v>1213</v>
      </c>
      <c r="E1442" t="s">
        <v>1324</v>
      </c>
      <c r="F1442">
        <v>2</v>
      </c>
      <c r="G1442">
        <v>424.53</v>
      </c>
      <c r="H1442">
        <v>0.14000000000000001</v>
      </c>
      <c r="I1442" t="s">
        <v>1354</v>
      </c>
      <c r="J1442">
        <v>730.19159999999999</v>
      </c>
    </row>
    <row r="1443" spans="1:10">
      <c r="A1443" t="s">
        <v>2792</v>
      </c>
      <c r="B1443" s="1">
        <v>45539</v>
      </c>
      <c r="C1443" t="s">
        <v>579</v>
      </c>
      <c r="D1443" t="s">
        <v>1249</v>
      </c>
      <c r="E1443" t="s">
        <v>1324</v>
      </c>
      <c r="F1443">
        <v>4</v>
      </c>
      <c r="G1443">
        <v>450.42</v>
      </c>
      <c r="H1443">
        <v>0.08</v>
      </c>
      <c r="I1443" t="s">
        <v>1354</v>
      </c>
      <c r="J1443">
        <v>1657.5455999999999</v>
      </c>
    </row>
    <row r="1444" spans="1:10">
      <c r="A1444" t="s">
        <v>2793</v>
      </c>
      <c r="B1444" s="1">
        <v>45893</v>
      </c>
      <c r="C1444" t="s">
        <v>373</v>
      </c>
      <c r="D1444" t="s">
        <v>1125</v>
      </c>
      <c r="E1444" t="s">
        <v>1311</v>
      </c>
      <c r="F1444">
        <v>4</v>
      </c>
      <c r="G1444">
        <v>896.91</v>
      </c>
      <c r="H1444">
        <v>0.1</v>
      </c>
      <c r="I1444" t="s">
        <v>1349</v>
      </c>
      <c r="J1444">
        <v>3228.8760000000002</v>
      </c>
    </row>
    <row r="1445" spans="1:10">
      <c r="A1445" t="s">
        <v>2794</v>
      </c>
      <c r="B1445" s="1">
        <v>45814</v>
      </c>
      <c r="C1445" t="s">
        <v>1031</v>
      </c>
      <c r="D1445" t="s">
        <v>1267</v>
      </c>
      <c r="E1445" t="s">
        <v>1314</v>
      </c>
      <c r="F1445">
        <v>3</v>
      </c>
      <c r="G1445">
        <v>679.38</v>
      </c>
      <c r="H1445">
        <v>0.3</v>
      </c>
      <c r="I1445" t="s">
        <v>1354</v>
      </c>
      <c r="J1445">
        <v>1426.6980000000001</v>
      </c>
    </row>
    <row r="1446" spans="1:10">
      <c r="A1446" t="s">
        <v>2795</v>
      </c>
      <c r="B1446" s="1">
        <v>45571</v>
      </c>
      <c r="C1446" t="s">
        <v>59</v>
      </c>
      <c r="D1446" t="s">
        <v>1233</v>
      </c>
      <c r="E1446" t="s">
        <v>1329</v>
      </c>
      <c r="F1446">
        <v>3</v>
      </c>
      <c r="G1446">
        <v>483.63</v>
      </c>
      <c r="H1446">
        <v>0</v>
      </c>
      <c r="I1446" t="s">
        <v>1349</v>
      </c>
      <c r="J1446">
        <v>1450.89</v>
      </c>
    </row>
    <row r="1447" spans="1:10">
      <c r="A1447" t="s">
        <v>2796</v>
      </c>
      <c r="B1447" s="1">
        <v>45542</v>
      </c>
      <c r="C1447" t="s">
        <v>94</v>
      </c>
      <c r="D1447" t="s">
        <v>1151</v>
      </c>
      <c r="E1447" t="s">
        <v>1277</v>
      </c>
      <c r="F1447">
        <v>3</v>
      </c>
      <c r="G1447">
        <v>158.27000000000001</v>
      </c>
      <c r="H1447">
        <v>0.24</v>
      </c>
      <c r="I1447" t="s">
        <v>1354</v>
      </c>
      <c r="J1447">
        <v>360.85559999999998</v>
      </c>
    </row>
    <row r="1448" spans="1:10">
      <c r="A1448" t="s">
        <v>2797</v>
      </c>
      <c r="B1448" s="1">
        <v>45758</v>
      </c>
      <c r="C1448" t="s">
        <v>290</v>
      </c>
      <c r="D1448" t="s">
        <v>1074</v>
      </c>
      <c r="E1448" t="s">
        <v>1326</v>
      </c>
      <c r="F1448">
        <v>4</v>
      </c>
      <c r="G1448">
        <v>601.5</v>
      </c>
      <c r="H1448">
        <v>0.18</v>
      </c>
      <c r="I1448" t="s">
        <v>1349</v>
      </c>
      <c r="J1448">
        <v>1972.92</v>
      </c>
    </row>
    <row r="1449" spans="1:10">
      <c r="A1449" t="s">
        <v>2798</v>
      </c>
      <c r="B1449" s="1">
        <v>45709</v>
      </c>
      <c r="C1449" t="s">
        <v>188</v>
      </c>
      <c r="D1449" t="s">
        <v>1135</v>
      </c>
      <c r="E1449" t="s">
        <v>1335</v>
      </c>
      <c r="F1449">
        <v>2</v>
      </c>
      <c r="G1449">
        <v>46.39</v>
      </c>
      <c r="H1449">
        <v>7.0000000000000007E-2</v>
      </c>
      <c r="I1449" t="s">
        <v>1349</v>
      </c>
      <c r="J1449">
        <v>86.285399999999996</v>
      </c>
    </row>
    <row r="1450" spans="1:10">
      <c r="A1450" t="s">
        <v>2799</v>
      </c>
      <c r="B1450" s="1">
        <v>45587</v>
      </c>
      <c r="C1450" t="s">
        <v>298</v>
      </c>
      <c r="D1450" t="s">
        <v>1237</v>
      </c>
      <c r="E1450" t="s">
        <v>1307</v>
      </c>
      <c r="F1450">
        <v>4</v>
      </c>
      <c r="G1450">
        <v>892.28</v>
      </c>
      <c r="H1450">
        <v>0.23</v>
      </c>
      <c r="I1450" t="s">
        <v>1349</v>
      </c>
      <c r="J1450">
        <v>2748.2224000000001</v>
      </c>
    </row>
    <row r="1451" spans="1:10">
      <c r="A1451" t="s">
        <v>2800</v>
      </c>
      <c r="B1451" s="1">
        <v>45494</v>
      </c>
      <c r="C1451" t="s">
        <v>505</v>
      </c>
      <c r="D1451" t="s">
        <v>1093</v>
      </c>
      <c r="E1451" t="s">
        <v>1304</v>
      </c>
      <c r="F1451">
        <v>2</v>
      </c>
      <c r="G1451">
        <v>164.23</v>
      </c>
      <c r="H1451">
        <v>0.17</v>
      </c>
      <c r="I1451" t="s">
        <v>1349</v>
      </c>
      <c r="J1451">
        <v>272.62180000000001</v>
      </c>
    </row>
    <row r="1452" spans="1:10">
      <c r="A1452" t="s">
        <v>2801</v>
      </c>
      <c r="B1452" s="1">
        <v>45305</v>
      </c>
      <c r="C1452" t="s">
        <v>967</v>
      </c>
      <c r="D1452" t="s">
        <v>1090</v>
      </c>
      <c r="E1452" t="s">
        <v>1304</v>
      </c>
      <c r="F1452">
        <v>1</v>
      </c>
      <c r="G1452">
        <v>484.23</v>
      </c>
      <c r="H1452">
        <v>0.12</v>
      </c>
      <c r="I1452" t="s">
        <v>1354</v>
      </c>
      <c r="J1452">
        <v>426.12240000000003</v>
      </c>
    </row>
    <row r="1453" spans="1:10">
      <c r="A1453" t="s">
        <v>2802</v>
      </c>
      <c r="B1453" s="1">
        <v>45383</v>
      </c>
      <c r="C1453" t="s">
        <v>27</v>
      </c>
      <c r="D1453" t="s">
        <v>1143</v>
      </c>
      <c r="E1453" t="s">
        <v>1335</v>
      </c>
      <c r="F1453">
        <v>3</v>
      </c>
      <c r="G1453">
        <v>341.51</v>
      </c>
      <c r="H1453">
        <v>0.22</v>
      </c>
      <c r="I1453" t="s">
        <v>1354</v>
      </c>
      <c r="J1453">
        <v>799.13340000000005</v>
      </c>
    </row>
    <row r="1454" spans="1:10">
      <c r="A1454" t="s">
        <v>2803</v>
      </c>
      <c r="B1454" s="1">
        <v>45788</v>
      </c>
      <c r="C1454" t="s">
        <v>277</v>
      </c>
      <c r="D1454" t="s">
        <v>1269</v>
      </c>
      <c r="E1454" t="s">
        <v>1322</v>
      </c>
      <c r="F1454">
        <v>3</v>
      </c>
      <c r="G1454">
        <v>758.87</v>
      </c>
      <c r="H1454">
        <v>0.11</v>
      </c>
      <c r="I1454" t="s">
        <v>1351</v>
      </c>
      <c r="J1454">
        <v>2026.1829</v>
      </c>
    </row>
    <row r="1455" spans="1:10">
      <c r="A1455" t="s">
        <v>2804</v>
      </c>
      <c r="B1455" s="1">
        <v>45855</v>
      </c>
      <c r="C1455" t="s">
        <v>1002</v>
      </c>
      <c r="D1455" t="s">
        <v>1185</v>
      </c>
      <c r="E1455" t="s">
        <v>1319</v>
      </c>
      <c r="F1455">
        <v>3</v>
      </c>
      <c r="G1455">
        <v>560.52</v>
      </c>
      <c r="H1455">
        <v>0.17</v>
      </c>
      <c r="I1455" t="s">
        <v>1349</v>
      </c>
      <c r="J1455">
        <v>1395.6948</v>
      </c>
    </row>
    <row r="1456" spans="1:10">
      <c r="A1456" t="s">
        <v>2805</v>
      </c>
      <c r="B1456" s="1">
        <v>45533</v>
      </c>
      <c r="C1456" t="s">
        <v>766</v>
      </c>
      <c r="D1456" t="s">
        <v>1265</v>
      </c>
      <c r="E1456" t="s">
        <v>1332</v>
      </c>
      <c r="F1456">
        <v>2</v>
      </c>
      <c r="G1456">
        <v>977.18</v>
      </c>
      <c r="H1456">
        <v>0.19</v>
      </c>
      <c r="I1456" t="s">
        <v>1349</v>
      </c>
      <c r="J1456">
        <v>1583.0316</v>
      </c>
    </row>
    <row r="1457" spans="1:10">
      <c r="A1457" t="s">
        <v>2806</v>
      </c>
      <c r="B1457" s="1">
        <v>45763</v>
      </c>
      <c r="C1457" t="s">
        <v>535</v>
      </c>
      <c r="D1457" t="s">
        <v>1105</v>
      </c>
      <c r="E1457" t="s">
        <v>1324</v>
      </c>
      <c r="F1457">
        <v>4</v>
      </c>
      <c r="G1457">
        <v>761.35</v>
      </c>
      <c r="H1457">
        <v>0.08</v>
      </c>
      <c r="I1457" t="s">
        <v>1349</v>
      </c>
      <c r="J1457">
        <v>2801.768</v>
      </c>
    </row>
    <row r="1458" spans="1:10">
      <c r="A1458" t="s">
        <v>2807</v>
      </c>
      <c r="B1458" s="1">
        <v>45900</v>
      </c>
      <c r="C1458" t="s">
        <v>420</v>
      </c>
      <c r="D1458" t="s">
        <v>1207</v>
      </c>
      <c r="E1458" t="s">
        <v>1335</v>
      </c>
      <c r="F1458">
        <v>2</v>
      </c>
      <c r="G1458">
        <v>947.56</v>
      </c>
      <c r="H1458">
        <v>0.02</v>
      </c>
      <c r="I1458" t="s">
        <v>1354</v>
      </c>
      <c r="J1458">
        <v>1857.2175999999999</v>
      </c>
    </row>
    <row r="1459" spans="1:10">
      <c r="A1459" t="s">
        <v>2808</v>
      </c>
      <c r="B1459" s="1">
        <v>45943</v>
      </c>
      <c r="C1459" t="s">
        <v>539</v>
      </c>
      <c r="D1459" t="s">
        <v>1159</v>
      </c>
      <c r="E1459" t="s">
        <v>1335</v>
      </c>
      <c r="F1459">
        <v>4</v>
      </c>
      <c r="G1459">
        <v>975.47</v>
      </c>
      <c r="H1459">
        <v>0.04</v>
      </c>
      <c r="I1459" t="s">
        <v>1349</v>
      </c>
      <c r="J1459">
        <v>3745.8047999999999</v>
      </c>
    </row>
    <row r="1460" spans="1:10">
      <c r="A1460" t="s">
        <v>2809</v>
      </c>
      <c r="B1460" s="1">
        <v>45448</v>
      </c>
      <c r="C1460" t="s">
        <v>1016</v>
      </c>
      <c r="D1460" t="s">
        <v>1099</v>
      </c>
      <c r="E1460" t="s">
        <v>1311</v>
      </c>
      <c r="F1460">
        <v>3</v>
      </c>
      <c r="G1460">
        <v>769.06</v>
      </c>
      <c r="H1460">
        <v>0.23</v>
      </c>
      <c r="I1460" t="s">
        <v>1354</v>
      </c>
      <c r="J1460">
        <v>1776.5286000000001</v>
      </c>
    </row>
    <row r="1461" spans="1:10">
      <c r="A1461" t="s">
        <v>2810</v>
      </c>
      <c r="B1461" s="1">
        <v>45929</v>
      </c>
      <c r="C1461" t="s">
        <v>1033</v>
      </c>
      <c r="D1461" t="s">
        <v>1151</v>
      </c>
      <c r="E1461" t="s">
        <v>1286</v>
      </c>
      <c r="F1461">
        <v>3</v>
      </c>
      <c r="G1461">
        <v>824.75</v>
      </c>
      <c r="H1461">
        <v>0.23</v>
      </c>
      <c r="I1461" t="s">
        <v>1349</v>
      </c>
      <c r="J1461">
        <v>1905.1724999999999</v>
      </c>
    </row>
    <row r="1462" spans="1:10">
      <c r="A1462" t="s">
        <v>2811</v>
      </c>
      <c r="B1462" s="1">
        <v>45478</v>
      </c>
      <c r="C1462" t="s">
        <v>865</v>
      </c>
      <c r="D1462" t="s">
        <v>1209</v>
      </c>
      <c r="E1462" t="s">
        <v>1294</v>
      </c>
      <c r="F1462">
        <v>2</v>
      </c>
      <c r="G1462">
        <v>821.35</v>
      </c>
      <c r="H1462">
        <v>0.11</v>
      </c>
      <c r="I1462" t="s">
        <v>1351</v>
      </c>
      <c r="J1462">
        <v>1462.0029999999999</v>
      </c>
    </row>
    <row r="1463" spans="1:10">
      <c r="A1463" t="s">
        <v>2812</v>
      </c>
      <c r="B1463" s="1">
        <v>45723</v>
      </c>
      <c r="C1463" t="s">
        <v>873</v>
      </c>
      <c r="D1463" t="s">
        <v>1099</v>
      </c>
      <c r="E1463" t="s">
        <v>1314</v>
      </c>
      <c r="F1463">
        <v>1</v>
      </c>
      <c r="G1463">
        <v>120.57</v>
      </c>
      <c r="H1463">
        <v>0.06</v>
      </c>
      <c r="I1463" t="s">
        <v>1351</v>
      </c>
      <c r="J1463">
        <v>113.33580000000001</v>
      </c>
    </row>
    <row r="1464" spans="1:10">
      <c r="A1464" t="s">
        <v>2813</v>
      </c>
      <c r="B1464" s="1">
        <v>45240</v>
      </c>
      <c r="C1464" t="s">
        <v>734</v>
      </c>
      <c r="D1464" t="s">
        <v>1251</v>
      </c>
      <c r="E1464" t="s">
        <v>1282</v>
      </c>
      <c r="F1464">
        <v>1</v>
      </c>
      <c r="G1464">
        <v>122.27</v>
      </c>
      <c r="H1464">
        <v>0.26</v>
      </c>
      <c r="I1464" t="s">
        <v>1351</v>
      </c>
      <c r="J1464">
        <v>90.479799999999997</v>
      </c>
    </row>
    <row r="1465" spans="1:10">
      <c r="A1465" t="s">
        <v>2814</v>
      </c>
      <c r="B1465" s="1">
        <v>45890</v>
      </c>
      <c r="C1465" t="s">
        <v>401</v>
      </c>
      <c r="D1465" t="s">
        <v>1125</v>
      </c>
      <c r="E1465" t="s">
        <v>1286</v>
      </c>
      <c r="F1465">
        <v>2</v>
      </c>
      <c r="G1465">
        <v>182.89</v>
      </c>
      <c r="H1465">
        <v>0.11</v>
      </c>
      <c r="I1465" t="s">
        <v>1349</v>
      </c>
      <c r="J1465">
        <v>325.54419999999999</v>
      </c>
    </row>
    <row r="1466" spans="1:10">
      <c r="A1466" t="s">
        <v>2815</v>
      </c>
      <c r="B1466" s="1">
        <v>45796</v>
      </c>
      <c r="C1466" t="s">
        <v>805</v>
      </c>
      <c r="D1466" t="s">
        <v>1165</v>
      </c>
      <c r="E1466" t="s">
        <v>1294</v>
      </c>
      <c r="F1466">
        <v>1</v>
      </c>
      <c r="G1466">
        <v>695.26</v>
      </c>
      <c r="H1466">
        <v>0.23</v>
      </c>
      <c r="I1466" t="s">
        <v>1351</v>
      </c>
      <c r="J1466">
        <v>535.35019999999997</v>
      </c>
    </row>
    <row r="1467" spans="1:10">
      <c r="A1467" t="s">
        <v>2816</v>
      </c>
      <c r="B1467" s="1">
        <v>45895</v>
      </c>
      <c r="C1467" t="s">
        <v>87</v>
      </c>
      <c r="D1467" t="s">
        <v>1131</v>
      </c>
      <c r="E1467" t="s">
        <v>1301</v>
      </c>
      <c r="F1467">
        <v>2</v>
      </c>
      <c r="G1467">
        <v>408.8</v>
      </c>
      <c r="H1467">
        <v>0.17</v>
      </c>
      <c r="I1467" t="s">
        <v>1354</v>
      </c>
      <c r="J1467">
        <v>678.60799999999995</v>
      </c>
    </row>
    <row r="1468" spans="1:10">
      <c r="A1468" t="s">
        <v>2817</v>
      </c>
      <c r="B1468" s="1">
        <v>45676</v>
      </c>
      <c r="C1468" t="s">
        <v>515</v>
      </c>
      <c r="D1468" t="s">
        <v>1171</v>
      </c>
      <c r="E1468" t="s">
        <v>1307</v>
      </c>
      <c r="F1468">
        <v>3</v>
      </c>
      <c r="G1468">
        <v>512.15</v>
      </c>
      <c r="H1468">
        <v>0.12</v>
      </c>
      <c r="I1468" t="s">
        <v>1349</v>
      </c>
      <c r="J1468">
        <v>1352.076</v>
      </c>
    </row>
    <row r="1469" spans="1:10">
      <c r="A1469" t="s">
        <v>2818</v>
      </c>
      <c r="B1469" s="1">
        <v>45568</v>
      </c>
      <c r="C1469" t="s">
        <v>881</v>
      </c>
      <c r="D1469" t="s">
        <v>1090</v>
      </c>
      <c r="E1469" t="s">
        <v>1307</v>
      </c>
      <c r="F1469">
        <v>3</v>
      </c>
      <c r="G1469">
        <v>136.4</v>
      </c>
      <c r="H1469">
        <v>0.15</v>
      </c>
      <c r="I1469" t="s">
        <v>1351</v>
      </c>
      <c r="J1469">
        <v>347.82000000000011</v>
      </c>
    </row>
    <row r="1470" spans="1:10">
      <c r="A1470" t="s">
        <v>2819</v>
      </c>
      <c r="B1470" s="1">
        <v>45272</v>
      </c>
      <c r="C1470" t="s">
        <v>411</v>
      </c>
      <c r="D1470" t="s">
        <v>1082</v>
      </c>
      <c r="E1470" t="s">
        <v>1291</v>
      </c>
      <c r="F1470">
        <v>2</v>
      </c>
      <c r="G1470">
        <v>42.51</v>
      </c>
      <c r="H1470">
        <v>0.04</v>
      </c>
      <c r="I1470" t="s">
        <v>1354</v>
      </c>
      <c r="J1470">
        <v>81.619199999999992</v>
      </c>
    </row>
    <row r="1471" spans="1:10">
      <c r="A1471" t="s">
        <v>2820</v>
      </c>
      <c r="B1471" s="1">
        <v>45718</v>
      </c>
      <c r="C1471" t="s">
        <v>781</v>
      </c>
      <c r="D1471" t="s">
        <v>1223</v>
      </c>
      <c r="E1471" t="s">
        <v>1304</v>
      </c>
      <c r="F1471">
        <v>3</v>
      </c>
      <c r="G1471">
        <v>582.1</v>
      </c>
      <c r="H1471">
        <v>0.12</v>
      </c>
      <c r="I1471" t="s">
        <v>1351</v>
      </c>
      <c r="J1471">
        <v>1536.7439999999999</v>
      </c>
    </row>
    <row r="1472" spans="1:10">
      <c r="A1472" t="s">
        <v>2821</v>
      </c>
      <c r="B1472" s="1">
        <v>45356</v>
      </c>
      <c r="C1472" t="s">
        <v>500</v>
      </c>
      <c r="D1472" t="s">
        <v>1237</v>
      </c>
      <c r="E1472" t="s">
        <v>1332</v>
      </c>
      <c r="F1472">
        <v>4</v>
      </c>
      <c r="G1472">
        <v>461.52</v>
      </c>
      <c r="H1472">
        <v>0</v>
      </c>
      <c r="I1472" t="s">
        <v>1354</v>
      </c>
      <c r="J1472">
        <v>1846.08</v>
      </c>
    </row>
    <row r="1473" spans="1:10">
      <c r="A1473" t="s">
        <v>2822</v>
      </c>
      <c r="B1473" s="1">
        <v>45552</v>
      </c>
      <c r="C1473" t="s">
        <v>1053</v>
      </c>
      <c r="D1473" t="s">
        <v>1105</v>
      </c>
      <c r="E1473" t="s">
        <v>1317</v>
      </c>
      <c r="F1473">
        <v>1</v>
      </c>
      <c r="G1473">
        <v>558.41999999999996</v>
      </c>
      <c r="H1473">
        <v>0.03</v>
      </c>
      <c r="I1473" t="s">
        <v>1349</v>
      </c>
      <c r="J1473">
        <v>541.66739999999993</v>
      </c>
    </row>
    <row r="1474" spans="1:10">
      <c r="A1474" t="s">
        <v>2823</v>
      </c>
      <c r="B1474" s="1">
        <v>45288</v>
      </c>
      <c r="C1474" t="s">
        <v>589</v>
      </c>
      <c r="D1474" t="s">
        <v>1097</v>
      </c>
      <c r="E1474" t="s">
        <v>1335</v>
      </c>
      <c r="F1474">
        <v>4</v>
      </c>
      <c r="G1474">
        <v>700.98</v>
      </c>
      <c r="H1474">
        <v>0.12</v>
      </c>
      <c r="I1474" t="s">
        <v>1351</v>
      </c>
      <c r="J1474">
        <v>2467.4495999999999</v>
      </c>
    </row>
    <row r="1475" spans="1:10">
      <c r="A1475" t="s">
        <v>2824</v>
      </c>
      <c r="B1475" s="1">
        <v>45605</v>
      </c>
      <c r="C1475" t="s">
        <v>873</v>
      </c>
      <c r="D1475" t="s">
        <v>1243</v>
      </c>
      <c r="E1475" t="s">
        <v>1335</v>
      </c>
      <c r="F1475">
        <v>2</v>
      </c>
      <c r="G1475">
        <v>227.97</v>
      </c>
      <c r="H1475">
        <v>0.08</v>
      </c>
      <c r="I1475" t="s">
        <v>1354</v>
      </c>
      <c r="J1475">
        <v>419.46480000000003</v>
      </c>
    </row>
    <row r="1476" spans="1:10">
      <c r="A1476" t="s">
        <v>2825</v>
      </c>
      <c r="B1476" s="1">
        <v>45516</v>
      </c>
      <c r="C1476" t="s">
        <v>1010</v>
      </c>
      <c r="D1476" t="s">
        <v>1151</v>
      </c>
      <c r="E1476" t="s">
        <v>1317</v>
      </c>
      <c r="F1476">
        <v>4</v>
      </c>
      <c r="G1476">
        <v>278.70999999999998</v>
      </c>
      <c r="H1476">
        <v>0.2</v>
      </c>
      <c r="I1476" t="s">
        <v>1351</v>
      </c>
      <c r="J1476">
        <v>891.87199999999996</v>
      </c>
    </row>
    <row r="1477" spans="1:10">
      <c r="A1477" t="s">
        <v>2826</v>
      </c>
      <c r="B1477" s="1">
        <v>45379</v>
      </c>
      <c r="C1477" t="s">
        <v>581</v>
      </c>
      <c r="D1477" t="s">
        <v>1271</v>
      </c>
      <c r="E1477" t="s">
        <v>1307</v>
      </c>
      <c r="F1477">
        <v>2</v>
      </c>
      <c r="G1477">
        <v>916.12</v>
      </c>
      <c r="H1477">
        <v>0.05</v>
      </c>
      <c r="I1477" t="s">
        <v>1351</v>
      </c>
      <c r="J1477">
        <v>1740.6279999999999</v>
      </c>
    </row>
    <row r="1478" spans="1:10">
      <c r="A1478" t="s">
        <v>2827</v>
      </c>
      <c r="B1478" s="1">
        <v>45567</v>
      </c>
      <c r="C1478" t="s">
        <v>327</v>
      </c>
      <c r="D1478" t="s">
        <v>1093</v>
      </c>
      <c r="E1478" t="s">
        <v>1319</v>
      </c>
      <c r="F1478">
        <v>4</v>
      </c>
      <c r="G1478">
        <v>228.98</v>
      </c>
      <c r="H1478">
        <v>0.22</v>
      </c>
      <c r="I1478" t="s">
        <v>1351</v>
      </c>
      <c r="J1478">
        <v>714.41759999999999</v>
      </c>
    </row>
    <row r="1479" spans="1:10">
      <c r="A1479" t="s">
        <v>2828</v>
      </c>
      <c r="B1479" s="1">
        <v>45510</v>
      </c>
      <c r="C1479" t="s">
        <v>531</v>
      </c>
      <c r="D1479" t="s">
        <v>1251</v>
      </c>
      <c r="E1479" t="s">
        <v>1326</v>
      </c>
      <c r="F1479">
        <v>4</v>
      </c>
      <c r="G1479">
        <v>904.82</v>
      </c>
      <c r="H1479">
        <v>0.09</v>
      </c>
      <c r="I1479" t="s">
        <v>1351</v>
      </c>
      <c r="J1479">
        <v>3293.5448000000001</v>
      </c>
    </row>
    <row r="1480" spans="1:10">
      <c r="A1480" t="s">
        <v>2829</v>
      </c>
      <c r="B1480" s="1">
        <v>45806</v>
      </c>
      <c r="C1480" t="s">
        <v>216</v>
      </c>
      <c r="D1480" t="s">
        <v>1119</v>
      </c>
      <c r="E1480" t="s">
        <v>1317</v>
      </c>
      <c r="F1480">
        <v>1</v>
      </c>
      <c r="G1480">
        <v>588.61</v>
      </c>
      <c r="H1480">
        <v>0.1</v>
      </c>
      <c r="I1480" t="s">
        <v>1351</v>
      </c>
      <c r="J1480">
        <v>529.74900000000002</v>
      </c>
    </row>
    <row r="1481" spans="1:10">
      <c r="A1481" t="s">
        <v>2830</v>
      </c>
      <c r="B1481" s="1">
        <v>45240</v>
      </c>
      <c r="C1481" t="s">
        <v>286</v>
      </c>
      <c r="D1481" t="s">
        <v>1139</v>
      </c>
      <c r="E1481" t="s">
        <v>1291</v>
      </c>
      <c r="F1481">
        <v>4</v>
      </c>
      <c r="G1481">
        <v>695.97</v>
      </c>
      <c r="H1481">
        <v>0.02</v>
      </c>
      <c r="I1481" t="s">
        <v>1349</v>
      </c>
      <c r="J1481">
        <v>2728.2024000000001</v>
      </c>
    </row>
    <row r="1482" spans="1:10">
      <c r="A1482" t="s">
        <v>2831</v>
      </c>
      <c r="B1482" s="1">
        <v>45309</v>
      </c>
      <c r="C1482" t="s">
        <v>666</v>
      </c>
      <c r="D1482" t="s">
        <v>1267</v>
      </c>
      <c r="E1482" t="s">
        <v>1317</v>
      </c>
      <c r="F1482">
        <v>2</v>
      </c>
      <c r="G1482">
        <v>181.42</v>
      </c>
      <c r="H1482">
        <v>0.08</v>
      </c>
      <c r="I1482" t="s">
        <v>1351</v>
      </c>
      <c r="J1482">
        <v>333.81279999999998</v>
      </c>
    </row>
    <row r="1483" spans="1:10">
      <c r="A1483" t="s">
        <v>2832</v>
      </c>
      <c r="B1483" s="1">
        <v>45375</v>
      </c>
      <c r="C1483" t="s">
        <v>77</v>
      </c>
      <c r="D1483" t="s">
        <v>1267</v>
      </c>
      <c r="E1483" t="s">
        <v>1322</v>
      </c>
      <c r="F1483">
        <v>1</v>
      </c>
      <c r="G1483">
        <v>439.55</v>
      </c>
      <c r="H1483">
        <v>0.28999999999999998</v>
      </c>
      <c r="I1483" t="s">
        <v>1354</v>
      </c>
      <c r="J1483">
        <v>312.08049999999997</v>
      </c>
    </row>
    <row r="1484" spans="1:10">
      <c r="A1484" t="s">
        <v>2833</v>
      </c>
      <c r="B1484" s="1">
        <v>45733</v>
      </c>
      <c r="C1484" t="s">
        <v>288</v>
      </c>
      <c r="D1484" t="s">
        <v>1183</v>
      </c>
      <c r="E1484" t="s">
        <v>1335</v>
      </c>
      <c r="F1484">
        <v>3</v>
      </c>
      <c r="G1484">
        <v>471.27</v>
      </c>
      <c r="H1484">
        <v>0.27</v>
      </c>
      <c r="I1484" t="s">
        <v>1354</v>
      </c>
      <c r="J1484">
        <v>1032.0813000000001</v>
      </c>
    </row>
    <row r="1485" spans="1:10">
      <c r="A1485" t="s">
        <v>2834</v>
      </c>
      <c r="B1485" s="1">
        <v>45435</v>
      </c>
      <c r="C1485" t="s">
        <v>129</v>
      </c>
      <c r="D1485" t="s">
        <v>1191</v>
      </c>
      <c r="E1485" t="s">
        <v>1319</v>
      </c>
      <c r="F1485">
        <v>1</v>
      </c>
      <c r="G1485">
        <v>758.89</v>
      </c>
      <c r="H1485">
        <v>0.1</v>
      </c>
      <c r="I1485" t="s">
        <v>1349</v>
      </c>
      <c r="J1485">
        <v>683.00099999999998</v>
      </c>
    </row>
    <row r="1486" spans="1:10">
      <c r="A1486" t="s">
        <v>2835</v>
      </c>
      <c r="B1486" s="1">
        <v>45864</v>
      </c>
      <c r="C1486" t="s">
        <v>1031</v>
      </c>
      <c r="D1486" t="s">
        <v>1263</v>
      </c>
      <c r="E1486" t="s">
        <v>1326</v>
      </c>
      <c r="F1486">
        <v>4</v>
      </c>
      <c r="G1486">
        <v>918.1</v>
      </c>
      <c r="H1486">
        <v>0.19</v>
      </c>
      <c r="I1486" t="s">
        <v>1354</v>
      </c>
      <c r="J1486">
        <v>2974.6439999999998</v>
      </c>
    </row>
    <row r="1487" spans="1:10">
      <c r="A1487" t="s">
        <v>2836</v>
      </c>
      <c r="B1487" s="1">
        <v>45569</v>
      </c>
      <c r="C1487" t="s">
        <v>581</v>
      </c>
      <c r="D1487" t="s">
        <v>1261</v>
      </c>
      <c r="E1487" t="s">
        <v>1317</v>
      </c>
      <c r="F1487">
        <v>1</v>
      </c>
      <c r="G1487">
        <v>861.5</v>
      </c>
      <c r="H1487">
        <v>0.05</v>
      </c>
      <c r="I1487" t="s">
        <v>1354</v>
      </c>
      <c r="J1487">
        <v>818.42499999999995</v>
      </c>
    </row>
    <row r="1488" spans="1:10">
      <c r="A1488" t="s">
        <v>2837</v>
      </c>
      <c r="B1488" s="1">
        <v>45664</v>
      </c>
      <c r="C1488" t="s">
        <v>986</v>
      </c>
      <c r="D1488" t="s">
        <v>1117</v>
      </c>
      <c r="E1488" t="s">
        <v>1324</v>
      </c>
      <c r="F1488">
        <v>1</v>
      </c>
      <c r="G1488">
        <v>588.29999999999995</v>
      </c>
      <c r="H1488">
        <v>0.26</v>
      </c>
      <c r="I1488" t="s">
        <v>1354</v>
      </c>
      <c r="J1488">
        <v>435.34199999999998</v>
      </c>
    </row>
    <row r="1489" spans="1:10">
      <c r="A1489" t="s">
        <v>2838</v>
      </c>
      <c r="B1489" s="1">
        <v>45645</v>
      </c>
      <c r="C1489" t="s">
        <v>986</v>
      </c>
      <c r="D1489" t="s">
        <v>1183</v>
      </c>
      <c r="E1489" t="s">
        <v>1304</v>
      </c>
      <c r="F1489">
        <v>1</v>
      </c>
      <c r="G1489">
        <v>917.26</v>
      </c>
      <c r="H1489">
        <v>0.05</v>
      </c>
      <c r="I1489" t="s">
        <v>1351</v>
      </c>
      <c r="J1489">
        <v>871.39699999999993</v>
      </c>
    </row>
    <row r="1490" spans="1:10">
      <c r="A1490" t="s">
        <v>2839</v>
      </c>
      <c r="B1490" s="1">
        <v>45449</v>
      </c>
      <c r="C1490" t="s">
        <v>529</v>
      </c>
      <c r="D1490" t="s">
        <v>1082</v>
      </c>
      <c r="E1490" t="s">
        <v>1335</v>
      </c>
      <c r="F1490">
        <v>4</v>
      </c>
      <c r="G1490">
        <v>96.78</v>
      </c>
      <c r="H1490">
        <v>0.11</v>
      </c>
      <c r="I1490" t="s">
        <v>1351</v>
      </c>
      <c r="J1490">
        <v>344.53680000000003</v>
      </c>
    </row>
    <row r="1491" spans="1:10">
      <c r="A1491" t="s">
        <v>2840</v>
      </c>
      <c r="B1491" s="1">
        <v>45629</v>
      </c>
      <c r="C1491" t="s">
        <v>1018</v>
      </c>
      <c r="D1491" t="s">
        <v>1129</v>
      </c>
      <c r="E1491" t="s">
        <v>1294</v>
      </c>
      <c r="F1491">
        <v>3</v>
      </c>
      <c r="G1491">
        <v>199.41</v>
      </c>
      <c r="H1491">
        <v>0.16</v>
      </c>
      <c r="I1491" t="s">
        <v>1354</v>
      </c>
      <c r="J1491">
        <v>502.51319999999998</v>
      </c>
    </row>
    <row r="1492" spans="1:10">
      <c r="A1492" t="s">
        <v>2841</v>
      </c>
      <c r="B1492" s="1">
        <v>45739</v>
      </c>
      <c r="C1492" t="s">
        <v>66</v>
      </c>
      <c r="D1492" t="s">
        <v>1181</v>
      </c>
      <c r="E1492" t="s">
        <v>1311</v>
      </c>
      <c r="F1492">
        <v>1</v>
      </c>
      <c r="G1492">
        <v>687.91</v>
      </c>
      <c r="H1492">
        <v>0.25</v>
      </c>
      <c r="I1492" t="s">
        <v>1349</v>
      </c>
      <c r="J1492">
        <v>515.9325</v>
      </c>
    </row>
    <row r="1493" spans="1:10">
      <c r="A1493" t="s">
        <v>2842</v>
      </c>
      <c r="B1493" s="1">
        <v>45849</v>
      </c>
      <c r="C1493" t="s">
        <v>115</v>
      </c>
      <c r="D1493" t="s">
        <v>1215</v>
      </c>
      <c r="E1493" t="s">
        <v>1286</v>
      </c>
      <c r="F1493">
        <v>3</v>
      </c>
      <c r="G1493">
        <v>769.62</v>
      </c>
      <c r="H1493">
        <v>0.09</v>
      </c>
      <c r="I1493" t="s">
        <v>1351</v>
      </c>
      <c r="J1493">
        <v>2101.0626000000002</v>
      </c>
    </row>
    <row r="1494" spans="1:10">
      <c r="A1494" t="s">
        <v>2843</v>
      </c>
      <c r="B1494" s="1">
        <v>45230</v>
      </c>
      <c r="C1494" t="s">
        <v>502</v>
      </c>
      <c r="D1494" t="s">
        <v>1078</v>
      </c>
      <c r="E1494" t="s">
        <v>1291</v>
      </c>
      <c r="F1494">
        <v>1</v>
      </c>
      <c r="G1494">
        <v>492.05</v>
      </c>
      <c r="H1494">
        <v>0.27</v>
      </c>
      <c r="I1494" t="s">
        <v>1349</v>
      </c>
      <c r="J1494">
        <v>359.19650000000001</v>
      </c>
    </row>
    <row r="1495" spans="1:10">
      <c r="A1495" t="s">
        <v>2844</v>
      </c>
      <c r="B1495" s="1">
        <v>45292</v>
      </c>
      <c r="C1495" t="s">
        <v>267</v>
      </c>
      <c r="D1495" t="s">
        <v>1107</v>
      </c>
      <c r="E1495" t="s">
        <v>1319</v>
      </c>
      <c r="F1495">
        <v>2</v>
      </c>
      <c r="G1495">
        <v>428.55</v>
      </c>
      <c r="H1495">
        <v>0</v>
      </c>
      <c r="I1495" t="s">
        <v>1351</v>
      </c>
      <c r="J1495">
        <v>857.1</v>
      </c>
    </row>
    <row r="1496" spans="1:10">
      <c r="A1496" t="s">
        <v>2845</v>
      </c>
      <c r="B1496" s="1">
        <v>45251</v>
      </c>
      <c r="C1496" t="s">
        <v>521</v>
      </c>
      <c r="D1496" t="s">
        <v>1093</v>
      </c>
      <c r="E1496" t="s">
        <v>1326</v>
      </c>
      <c r="F1496">
        <v>4</v>
      </c>
      <c r="G1496">
        <v>316.18</v>
      </c>
      <c r="H1496">
        <v>0.12</v>
      </c>
      <c r="I1496" t="s">
        <v>1349</v>
      </c>
      <c r="J1496">
        <v>1112.9536000000001</v>
      </c>
    </row>
    <row r="1497" spans="1:10">
      <c r="A1497" t="s">
        <v>2846</v>
      </c>
      <c r="B1497" s="1">
        <v>45555</v>
      </c>
      <c r="C1497" t="s">
        <v>33</v>
      </c>
      <c r="D1497" t="s">
        <v>1099</v>
      </c>
      <c r="E1497" t="s">
        <v>1291</v>
      </c>
      <c r="F1497">
        <v>3</v>
      </c>
      <c r="G1497">
        <v>162.16999999999999</v>
      </c>
      <c r="H1497">
        <v>0.15</v>
      </c>
      <c r="I1497" t="s">
        <v>1351</v>
      </c>
      <c r="J1497">
        <v>413.5335</v>
      </c>
    </row>
    <row r="1498" spans="1:10">
      <c r="A1498" t="s">
        <v>2847</v>
      </c>
      <c r="B1498" s="1">
        <v>45385</v>
      </c>
      <c r="C1498" t="s">
        <v>726</v>
      </c>
      <c r="D1498" t="s">
        <v>1078</v>
      </c>
      <c r="E1498" t="s">
        <v>1291</v>
      </c>
      <c r="F1498">
        <v>3</v>
      </c>
      <c r="G1498">
        <v>698.14</v>
      </c>
      <c r="H1498">
        <v>0.04</v>
      </c>
      <c r="I1498" t="s">
        <v>1351</v>
      </c>
      <c r="J1498">
        <v>2010.6432</v>
      </c>
    </row>
    <row r="1499" spans="1:10">
      <c r="A1499" t="s">
        <v>2848</v>
      </c>
      <c r="B1499" s="1">
        <v>45787</v>
      </c>
      <c r="C1499" t="s">
        <v>684</v>
      </c>
      <c r="D1499" t="s">
        <v>1221</v>
      </c>
      <c r="E1499" t="s">
        <v>1335</v>
      </c>
      <c r="F1499">
        <v>1</v>
      </c>
      <c r="G1499">
        <v>478.08</v>
      </c>
      <c r="H1499">
        <v>7.0000000000000007E-2</v>
      </c>
      <c r="I1499" t="s">
        <v>1354</v>
      </c>
      <c r="J1499">
        <v>444.61439999999988</v>
      </c>
    </row>
    <row r="1500" spans="1:10">
      <c r="A1500" t="s">
        <v>2849</v>
      </c>
      <c r="B1500" s="1">
        <v>45822</v>
      </c>
      <c r="C1500" t="s">
        <v>478</v>
      </c>
      <c r="D1500" t="s">
        <v>1191</v>
      </c>
      <c r="E1500" t="s">
        <v>1304</v>
      </c>
      <c r="F1500">
        <v>2</v>
      </c>
      <c r="G1500">
        <v>958.64</v>
      </c>
      <c r="H1500">
        <v>0.2</v>
      </c>
      <c r="I1500" t="s">
        <v>1351</v>
      </c>
      <c r="J1500">
        <v>1533.8240000000001</v>
      </c>
    </row>
    <row r="1501" spans="1:10">
      <c r="A1501" t="s">
        <v>2850</v>
      </c>
      <c r="B1501" s="1">
        <v>45590</v>
      </c>
      <c r="C1501" t="s">
        <v>990</v>
      </c>
      <c r="D1501" t="s">
        <v>1155</v>
      </c>
      <c r="E1501" t="s">
        <v>1319</v>
      </c>
      <c r="F1501">
        <v>2</v>
      </c>
      <c r="G1501">
        <v>581.19000000000005</v>
      </c>
      <c r="H1501">
        <v>7.0000000000000007E-2</v>
      </c>
      <c r="I1501" t="s">
        <v>1354</v>
      </c>
      <c r="J1501">
        <v>1081.0134</v>
      </c>
    </row>
    <row r="1502" spans="1:10">
      <c r="A1502" t="s">
        <v>2851</v>
      </c>
      <c r="B1502" s="1">
        <v>45618</v>
      </c>
      <c r="C1502" t="s">
        <v>283</v>
      </c>
      <c r="D1502" t="s">
        <v>1271</v>
      </c>
      <c r="E1502" t="s">
        <v>1317</v>
      </c>
      <c r="F1502">
        <v>1</v>
      </c>
      <c r="G1502">
        <v>736.54</v>
      </c>
      <c r="H1502">
        <v>0.16</v>
      </c>
      <c r="I1502" t="s">
        <v>1351</v>
      </c>
      <c r="J1502">
        <v>618.69359999999995</v>
      </c>
    </row>
    <row r="1503" spans="1:10">
      <c r="A1503" t="s">
        <v>2852</v>
      </c>
      <c r="B1503" s="1">
        <v>45586</v>
      </c>
      <c r="C1503" t="s">
        <v>865</v>
      </c>
      <c r="D1503" t="s">
        <v>1203</v>
      </c>
      <c r="E1503" t="s">
        <v>1326</v>
      </c>
      <c r="F1503">
        <v>1</v>
      </c>
      <c r="G1503">
        <v>524</v>
      </c>
      <c r="H1503">
        <v>0.28000000000000003</v>
      </c>
      <c r="I1503" t="s">
        <v>1349</v>
      </c>
      <c r="J1503">
        <v>377.28</v>
      </c>
    </row>
    <row r="1504" spans="1:10">
      <c r="A1504" t="s">
        <v>2853</v>
      </c>
      <c r="B1504" s="1">
        <v>45548</v>
      </c>
      <c r="C1504" t="s">
        <v>133</v>
      </c>
      <c r="D1504" t="s">
        <v>1129</v>
      </c>
      <c r="E1504" t="s">
        <v>1291</v>
      </c>
      <c r="F1504">
        <v>4</v>
      </c>
      <c r="G1504">
        <v>566.09</v>
      </c>
      <c r="H1504">
        <v>0.28000000000000003</v>
      </c>
      <c r="I1504" t="s">
        <v>1354</v>
      </c>
      <c r="J1504">
        <v>1630.3391999999999</v>
      </c>
    </row>
    <row r="1505" spans="1:10">
      <c r="A1505" t="s">
        <v>2854</v>
      </c>
      <c r="B1505" s="1">
        <v>45772</v>
      </c>
      <c r="C1505" t="s">
        <v>581</v>
      </c>
      <c r="D1505" t="s">
        <v>1115</v>
      </c>
      <c r="E1505" t="s">
        <v>1314</v>
      </c>
      <c r="F1505">
        <v>1</v>
      </c>
      <c r="G1505">
        <v>251.99</v>
      </c>
      <c r="H1505">
        <v>0.09</v>
      </c>
      <c r="I1505" t="s">
        <v>1349</v>
      </c>
      <c r="J1505">
        <v>229.3109</v>
      </c>
    </row>
    <row r="1506" spans="1:10">
      <c r="A1506" t="s">
        <v>2855</v>
      </c>
      <c r="B1506" s="1">
        <v>45361</v>
      </c>
      <c r="C1506" t="s">
        <v>505</v>
      </c>
      <c r="D1506" t="s">
        <v>1107</v>
      </c>
      <c r="E1506" t="s">
        <v>1338</v>
      </c>
      <c r="F1506">
        <v>1</v>
      </c>
      <c r="G1506">
        <v>259.2</v>
      </c>
      <c r="H1506">
        <v>0.27</v>
      </c>
      <c r="I1506" t="s">
        <v>1354</v>
      </c>
      <c r="J1506">
        <v>189.21600000000001</v>
      </c>
    </row>
    <row r="1507" spans="1:10">
      <c r="A1507" t="s">
        <v>2856</v>
      </c>
      <c r="B1507" s="1">
        <v>45235</v>
      </c>
      <c r="C1507" t="s">
        <v>955</v>
      </c>
      <c r="D1507" t="s">
        <v>1191</v>
      </c>
      <c r="E1507" t="s">
        <v>1326</v>
      </c>
      <c r="F1507">
        <v>1</v>
      </c>
      <c r="G1507">
        <v>935.66</v>
      </c>
      <c r="H1507">
        <v>0.26</v>
      </c>
      <c r="I1507" t="s">
        <v>1351</v>
      </c>
      <c r="J1507">
        <v>692.38839999999993</v>
      </c>
    </row>
    <row r="1508" spans="1:10">
      <c r="A1508" t="s">
        <v>2857</v>
      </c>
      <c r="B1508" s="1">
        <v>45864</v>
      </c>
      <c r="C1508" t="s">
        <v>1000</v>
      </c>
      <c r="D1508" t="s">
        <v>1143</v>
      </c>
      <c r="E1508" t="s">
        <v>1307</v>
      </c>
      <c r="F1508">
        <v>4</v>
      </c>
      <c r="G1508">
        <v>480.75</v>
      </c>
      <c r="H1508">
        <v>0.02</v>
      </c>
      <c r="I1508" t="s">
        <v>1349</v>
      </c>
      <c r="J1508">
        <v>1884.54</v>
      </c>
    </row>
    <row r="1509" spans="1:10">
      <c r="A1509" t="s">
        <v>2858</v>
      </c>
      <c r="B1509" s="1">
        <v>45681</v>
      </c>
      <c r="C1509" t="s">
        <v>801</v>
      </c>
      <c r="D1509" t="s">
        <v>1235</v>
      </c>
      <c r="E1509" t="s">
        <v>1326</v>
      </c>
      <c r="F1509">
        <v>2</v>
      </c>
      <c r="G1509">
        <v>457.83</v>
      </c>
      <c r="H1509">
        <v>0.01</v>
      </c>
      <c r="I1509" t="s">
        <v>1354</v>
      </c>
      <c r="J1509">
        <v>906.50339999999994</v>
      </c>
    </row>
    <row r="1510" spans="1:10">
      <c r="A1510" t="s">
        <v>2859</v>
      </c>
      <c r="B1510" s="1">
        <v>45905</v>
      </c>
      <c r="C1510" t="s">
        <v>389</v>
      </c>
      <c r="D1510" t="s">
        <v>1169</v>
      </c>
      <c r="E1510" t="s">
        <v>1324</v>
      </c>
      <c r="F1510">
        <v>1</v>
      </c>
      <c r="G1510">
        <v>994.63</v>
      </c>
      <c r="H1510">
        <v>0.28000000000000003</v>
      </c>
      <c r="I1510" t="s">
        <v>1349</v>
      </c>
      <c r="J1510">
        <v>716.1336</v>
      </c>
    </row>
    <row r="1511" spans="1:10">
      <c r="A1511" t="s">
        <v>2860</v>
      </c>
      <c r="B1511" s="1">
        <v>45765</v>
      </c>
      <c r="C1511" t="s">
        <v>553</v>
      </c>
      <c r="D1511" t="s">
        <v>1253</v>
      </c>
      <c r="E1511" t="s">
        <v>1277</v>
      </c>
      <c r="F1511">
        <v>3</v>
      </c>
      <c r="G1511">
        <v>65.569999999999993</v>
      </c>
      <c r="H1511">
        <v>0.3</v>
      </c>
      <c r="I1511" t="s">
        <v>1354</v>
      </c>
      <c r="J1511">
        <v>137.697</v>
      </c>
    </row>
    <row r="1512" spans="1:10">
      <c r="A1512" t="s">
        <v>2861</v>
      </c>
      <c r="B1512" s="1">
        <v>45821</v>
      </c>
      <c r="C1512" t="s">
        <v>381</v>
      </c>
      <c r="D1512" t="s">
        <v>1189</v>
      </c>
      <c r="E1512" t="s">
        <v>1332</v>
      </c>
      <c r="F1512">
        <v>3</v>
      </c>
      <c r="G1512">
        <v>622.98</v>
      </c>
      <c r="H1512">
        <v>0.28000000000000003</v>
      </c>
      <c r="I1512" t="s">
        <v>1351</v>
      </c>
      <c r="J1512">
        <v>1345.6368</v>
      </c>
    </row>
    <row r="1513" spans="1:10">
      <c r="A1513" t="s">
        <v>2862</v>
      </c>
      <c r="B1513" s="1">
        <v>45691</v>
      </c>
      <c r="C1513" t="s">
        <v>563</v>
      </c>
      <c r="D1513" t="s">
        <v>1183</v>
      </c>
      <c r="E1513" t="s">
        <v>1322</v>
      </c>
      <c r="F1513">
        <v>1</v>
      </c>
      <c r="G1513">
        <v>170.68</v>
      </c>
      <c r="H1513">
        <v>0.13</v>
      </c>
      <c r="I1513" t="s">
        <v>1351</v>
      </c>
      <c r="J1513">
        <v>148.49160000000001</v>
      </c>
    </row>
    <row r="1514" spans="1:10">
      <c r="A1514" t="s">
        <v>2863</v>
      </c>
      <c r="B1514" s="1">
        <v>45860</v>
      </c>
      <c r="C1514" t="s">
        <v>250</v>
      </c>
      <c r="D1514" t="s">
        <v>1085</v>
      </c>
      <c r="E1514" t="s">
        <v>1307</v>
      </c>
      <c r="F1514">
        <v>4</v>
      </c>
      <c r="G1514">
        <v>797.83</v>
      </c>
      <c r="H1514">
        <v>0.08</v>
      </c>
      <c r="I1514" t="s">
        <v>1349</v>
      </c>
      <c r="J1514">
        <v>2936.0144</v>
      </c>
    </row>
    <row r="1515" spans="1:10">
      <c r="A1515" t="s">
        <v>2864</v>
      </c>
      <c r="B1515" s="1">
        <v>45922</v>
      </c>
      <c r="C1515" t="s">
        <v>254</v>
      </c>
      <c r="D1515" t="s">
        <v>1074</v>
      </c>
      <c r="E1515" t="s">
        <v>1329</v>
      </c>
      <c r="F1515">
        <v>1</v>
      </c>
      <c r="G1515">
        <v>372.75</v>
      </c>
      <c r="H1515">
        <v>0.12</v>
      </c>
      <c r="I1515" t="s">
        <v>1349</v>
      </c>
      <c r="J1515">
        <v>328.02</v>
      </c>
    </row>
    <row r="1516" spans="1:10">
      <c r="A1516" t="s">
        <v>2865</v>
      </c>
      <c r="B1516" s="1">
        <v>45477</v>
      </c>
      <c r="C1516" t="s">
        <v>855</v>
      </c>
      <c r="D1516" t="s">
        <v>1195</v>
      </c>
      <c r="E1516" t="s">
        <v>1294</v>
      </c>
      <c r="F1516">
        <v>1</v>
      </c>
      <c r="G1516">
        <v>994.18</v>
      </c>
      <c r="H1516">
        <v>0.05</v>
      </c>
      <c r="I1516" t="s">
        <v>1351</v>
      </c>
      <c r="J1516">
        <v>944.47099999999989</v>
      </c>
    </row>
    <row r="1517" spans="1:10">
      <c r="A1517" t="s">
        <v>2866</v>
      </c>
      <c r="B1517" s="1">
        <v>45504</v>
      </c>
      <c r="C1517" t="s">
        <v>907</v>
      </c>
      <c r="D1517" t="s">
        <v>1113</v>
      </c>
      <c r="E1517" t="s">
        <v>1322</v>
      </c>
      <c r="F1517">
        <v>1</v>
      </c>
      <c r="G1517">
        <v>136.12</v>
      </c>
      <c r="H1517">
        <v>7.0000000000000007E-2</v>
      </c>
      <c r="I1517" t="s">
        <v>1349</v>
      </c>
      <c r="J1517">
        <v>126.5916</v>
      </c>
    </row>
    <row r="1518" spans="1:10">
      <c r="A1518" t="s">
        <v>2867</v>
      </c>
      <c r="B1518" s="1">
        <v>45862</v>
      </c>
      <c r="C1518" t="s">
        <v>94</v>
      </c>
      <c r="D1518" t="s">
        <v>1177</v>
      </c>
      <c r="E1518" t="s">
        <v>1335</v>
      </c>
      <c r="F1518">
        <v>3</v>
      </c>
      <c r="G1518">
        <v>634.45000000000005</v>
      </c>
      <c r="H1518">
        <v>0.17</v>
      </c>
      <c r="I1518" t="s">
        <v>1351</v>
      </c>
      <c r="J1518">
        <v>1579.7805000000001</v>
      </c>
    </row>
    <row r="1519" spans="1:10">
      <c r="A1519" t="s">
        <v>2868</v>
      </c>
      <c r="B1519" s="1">
        <v>45579</v>
      </c>
      <c r="C1519" t="s">
        <v>722</v>
      </c>
      <c r="D1519" t="s">
        <v>1201</v>
      </c>
      <c r="E1519" t="s">
        <v>1277</v>
      </c>
      <c r="F1519">
        <v>4</v>
      </c>
      <c r="G1519">
        <v>179.62</v>
      </c>
      <c r="H1519">
        <v>0.05</v>
      </c>
      <c r="I1519" t="s">
        <v>1349</v>
      </c>
      <c r="J1519">
        <v>682.55600000000004</v>
      </c>
    </row>
    <row r="1520" spans="1:10">
      <c r="A1520" t="s">
        <v>2869</v>
      </c>
      <c r="B1520" s="1">
        <v>45658</v>
      </c>
      <c r="C1520" t="s">
        <v>652</v>
      </c>
      <c r="D1520" t="s">
        <v>1113</v>
      </c>
      <c r="E1520" t="s">
        <v>1335</v>
      </c>
      <c r="F1520">
        <v>4</v>
      </c>
      <c r="G1520">
        <v>558.83000000000004</v>
      </c>
      <c r="H1520">
        <v>0.16</v>
      </c>
      <c r="I1520" t="s">
        <v>1351</v>
      </c>
      <c r="J1520">
        <v>1877.6687999999999</v>
      </c>
    </row>
    <row r="1521" spans="1:10">
      <c r="A1521" t="s">
        <v>2870</v>
      </c>
      <c r="B1521" s="1">
        <v>45664</v>
      </c>
      <c r="C1521" t="s">
        <v>403</v>
      </c>
      <c r="D1521" t="s">
        <v>1261</v>
      </c>
      <c r="E1521" t="s">
        <v>1301</v>
      </c>
      <c r="F1521">
        <v>2</v>
      </c>
      <c r="G1521">
        <v>859.74</v>
      </c>
      <c r="H1521">
        <v>0.25</v>
      </c>
      <c r="I1521" t="s">
        <v>1354</v>
      </c>
      <c r="J1521">
        <v>1289.6099999999999</v>
      </c>
    </row>
    <row r="1522" spans="1:10">
      <c r="A1522" t="s">
        <v>2871</v>
      </c>
      <c r="B1522" s="1">
        <v>45936</v>
      </c>
      <c r="C1522" t="s">
        <v>271</v>
      </c>
      <c r="D1522" t="s">
        <v>1203</v>
      </c>
      <c r="E1522" t="s">
        <v>1329</v>
      </c>
      <c r="F1522">
        <v>3</v>
      </c>
      <c r="G1522">
        <v>578.47</v>
      </c>
      <c r="H1522">
        <v>0.06</v>
      </c>
      <c r="I1522" t="s">
        <v>1354</v>
      </c>
      <c r="J1522">
        <v>1631.2854</v>
      </c>
    </row>
    <row r="1523" spans="1:10">
      <c r="A1523" t="s">
        <v>2872</v>
      </c>
      <c r="B1523" s="1">
        <v>45344</v>
      </c>
      <c r="C1523" t="s">
        <v>155</v>
      </c>
      <c r="D1523" t="s">
        <v>1115</v>
      </c>
      <c r="E1523" t="s">
        <v>1319</v>
      </c>
      <c r="F1523">
        <v>1</v>
      </c>
      <c r="G1523">
        <v>440.48</v>
      </c>
      <c r="H1523">
        <v>0.11</v>
      </c>
      <c r="I1523" t="s">
        <v>1354</v>
      </c>
      <c r="J1523">
        <v>392.02720000000011</v>
      </c>
    </row>
    <row r="1524" spans="1:10">
      <c r="A1524" t="s">
        <v>2873</v>
      </c>
      <c r="B1524" s="1">
        <v>45329</v>
      </c>
      <c r="C1524" t="s">
        <v>59</v>
      </c>
      <c r="D1524" t="s">
        <v>1105</v>
      </c>
      <c r="E1524" t="s">
        <v>1338</v>
      </c>
      <c r="F1524">
        <v>2</v>
      </c>
      <c r="G1524">
        <v>303.67</v>
      </c>
      <c r="H1524">
        <v>0.05</v>
      </c>
      <c r="I1524" t="s">
        <v>1351</v>
      </c>
      <c r="J1524">
        <v>576.97299999999996</v>
      </c>
    </row>
    <row r="1525" spans="1:10">
      <c r="A1525" t="s">
        <v>2874</v>
      </c>
      <c r="B1525" s="1">
        <v>45895</v>
      </c>
      <c r="C1525" t="s">
        <v>736</v>
      </c>
      <c r="D1525" t="s">
        <v>1221</v>
      </c>
      <c r="E1525" t="s">
        <v>1324</v>
      </c>
      <c r="F1525">
        <v>2</v>
      </c>
      <c r="G1525">
        <v>611.21</v>
      </c>
      <c r="H1525">
        <v>0.22</v>
      </c>
      <c r="I1525" t="s">
        <v>1354</v>
      </c>
      <c r="J1525">
        <v>953.48760000000004</v>
      </c>
    </row>
    <row r="1526" spans="1:10">
      <c r="A1526" t="s">
        <v>2875</v>
      </c>
      <c r="B1526" s="1">
        <v>45239</v>
      </c>
      <c r="C1526" t="s">
        <v>466</v>
      </c>
      <c r="D1526" t="s">
        <v>1151</v>
      </c>
      <c r="E1526" t="s">
        <v>1326</v>
      </c>
      <c r="F1526">
        <v>2</v>
      </c>
      <c r="G1526">
        <v>768.08</v>
      </c>
      <c r="H1526">
        <v>0.26</v>
      </c>
      <c r="I1526" t="s">
        <v>1351</v>
      </c>
      <c r="J1526">
        <v>1136.7583999999999</v>
      </c>
    </row>
    <row r="1527" spans="1:10">
      <c r="A1527" t="s">
        <v>2876</v>
      </c>
      <c r="B1527" s="1">
        <v>45296</v>
      </c>
      <c r="C1527" t="s">
        <v>656</v>
      </c>
      <c r="D1527" t="s">
        <v>1119</v>
      </c>
      <c r="E1527" t="s">
        <v>1335</v>
      </c>
      <c r="F1527">
        <v>1</v>
      </c>
      <c r="G1527">
        <v>616.82000000000005</v>
      </c>
      <c r="H1527">
        <v>0.24</v>
      </c>
      <c r="I1527" t="s">
        <v>1349</v>
      </c>
      <c r="J1527">
        <v>468.78320000000002</v>
      </c>
    </row>
    <row r="1528" spans="1:10">
      <c r="A1528" t="s">
        <v>2877</v>
      </c>
      <c r="B1528" s="1">
        <v>45672</v>
      </c>
      <c r="C1528" t="s">
        <v>428</v>
      </c>
      <c r="D1528" t="s">
        <v>1153</v>
      </c>
      <c r="E1528" t="s">
        <v>1335</v>
      </c>
      <c r="F1528">
        <v>1</v>
      </c>
      <c r="G1528">
        <v>470.34</v>
      </c>
      <c r="H1528">
        <v>0.18</v>
      </c>
      <c r="I1528" t="s">
        <v>1354</v>
      </c>
      <c r="J1528">
        <v>385.67880000000002</v>
      </c>
    </row>
    <row r="1529" spans="1:10">
      <c r="A1529" t="s">
        <v>2878</v>
      </c>
      <c r="B1529" s="1">
        <v>45499</v>
      </c>
      <c r="C1529" t="s">
        <v>500</v>
      </c>
      <c r="D1529" t="s">
        <v>1179</v>
      </c>
      <c r="E1529" t="s">
        <v>1307</v>
      </c>
      <c r="F1529">
        <v>2</v>
      </c>
      <c r="G1529">
        <v>616.36</v>
      </c>
      <c r="H1529">
        <v>0.12</v>
      </c>
      <c r="I1529" t="s">
        <v>1351</v>
      </c>
      <c r="J1529">
        <v>1084.7936</v>
      </c>
    </row>
    <row r="1530" spans="1:10">
      <c r="A1530" t="s">
        <v>2879</v>
      </c>
      <c r="B1530" s="1">
        <v>45434</v>
      </c>
      <c r="C1530" t="s">
        <v>218</v>
      </c>
      <c r="D1530" t="s">
        <v>1076</v>
      </c>
      <c r="E1530" t="s">
        <v>1311</v>
      </c>
      <c r="F1530">
        <v>3</v>
      </c>
      <c r="G1530">
        <v>657.24</v>
      </c>
      <c r="H1530">
        <v>0.18</v>
      </c>
      <c r="I1530" t="s">
        <v>1351</v>
      </c>
      <c r="J1530">
        <v>1616.8104000000001</v>
      </c>
    </row>
    <row r="1531" spans="1:10">
      <c r="A1531" t="s">
        <v>2880</v>
      </c>
      <c r="B1531" s="1">
        <v>45893</v>
      </c>
      <c r="C1531" t="s">
        <v>104</v>
      </c>
      <c r="D1531" t="s">
        <v>1155</v>
      </c>
      <c r="E1531" t="s">
        <v>1338</v>
      </c>
      <c r="F1531">
        <v>2</v>
      </c>
      <c r="G1531">
        <v>392.45</v>
      </c>
      <c r="H1531">
        <v>0.04</v>
      </c>
      <c r="I1531" t="s">
        <v>1351</v>
      </c>
      <c r="J1531">
        <v>753.50399999999991</v>
      </c>
    </row>
    <row r="1532" spans="1:10">
      <c r="A1532" t="s">
        <v>2881</v>
      </c>
      <c r="B1532" s="1">
        <v>45346</v>
      </c>
      <c r="C1532" t="s">
        <v>553</v>
      </c>
      <c r="D1532" t="s">
        <v>1153</v>
      </c>
      <c r="E1532" t="s">
        <v>1324</v>
      </c>
      <c r="F1532">
        <v>3</v>
      </c>
      <c r="G1532">
        <v>62.03</v>
      </c>
      <c r="H1532">
        <v>0.01</v>
      </c>
      <c r="I1532" t="s">
        <v>1354</v>
      </c>
      <c r="J1532">
        <v>184.22909999999999</v>
      </c>
    </row>
    <row r="1533" spans="1:10">
      <c r="A1533" t="s">
        <v>2882</v>
      </c>
      <c r="B1533" s="1">
        <v>45613</v>
      </c>
      <c r="C1533" t="s">
        <v>242</v>
      </c>
      <c r="D1533" t="s">
        <v>1265</v>
      </c>
      <c r="E1533" t="s">
        <v>1291</v>
      </c>
      <c r="F1533">
        <v>4</v>
      </c>
      <c r="G1533">
        <v>933.73</v>
      </c>
      <c r="H1533">
        <v>0.25</v>
      </c>
      <c r="I1533" t="s">
        <v>1351</v>
      </c>
      <c r="J1533">
        <v>2801.19</v>
      </c>
    </row>
    <row r="1534" spans="1:10">
      <c r="A1534" t="s">
        <v>2883</v>
      </c>
      <c r="B1534" s="1">
        <v>45928</v>
      </c>
      <c r="C1534" t="s">
        <v>371</v>
      </c>
      <c r="D1534" t="s">
        <v>1243</v>
      </c>
      <c r="E1534" t="s">
        <v>1329</v>
      </c>
      <c r="F1534">
        <v>3</v>
      </c>
      <c r="G1534">
        <v>615.30999999999995</v>
      </c>
      <c r="H1534">
        <v>0.14000000000000001</v>
      </c>
      <c r="I1534" t="s">
        <v>1351</v>
      </c>
      <c r="J1534">
        <v>1587.4998000000001</v>
      </c>
    </row>
    <row r="1535" spans="1:10">
      <c r="A1535" t="s">
        <v>2884</v>
      </c>
      <c r="B1535" s="1">
        <v>45619</v>
      </c>
      <c r="C1535" t="s">
        <v>809</v>
      </c>
      <c r="D1535" t="s">
        <v>1191</v>
      </c>
      <c r="E1535" t="s">
        <v>1335</v>
      </c>
      <c r="F1535">
        <v>4</v>
      </c>
      <c r="G1535">
        <v>790.38</v>
      </c>
      <c r="H1535">
        <v>0.22</v>
      </c>
      <c r="I1535" t="s">
        <v>1354</v>
      </c>
      <c r="J1535">
        <v>2465.9856</v>
      </c>
    </row>
    <row r="1536" spans="1:10">
      <c r="A1536" t="s">
        <v>2885</v>
      </c>
      <c r="B1536" s="1">
        <v>45533</v>
      </c>
      <c r="C1536" t="s">
        <v>602</v>
      </c>
      <c r="D1536" t="s">
        <v>1191</v>
      </c>
      <c r="E1536" t="s">
        <v>1332</v>
      </c>
      <c r="F1536">
        <v>2</v>
      </c>
      <c r="G1536">
        <v>102.85</v>
      </c>
      <c r="H1536">
        <v>0.08</v>
      </c>
      <c r="I1536" t="s">
        <v>1351</v>
      </c>
      <c r="J1536">
        <v>189.244</v>
      </c>
    </row>
    <row r="1537" spans="1:10">
      <c r="A1537" t="s">
        <v>2886</v>
      </c>
      <c r="B1537" s="1">
        <v>45781</v>
      </c>
      <c r="C1537" t="s">
        <v>115</v>
      </c>
      <c r="D1537" t="s">
        <v>1095</v>
      </c>
      <c r="E1537" t="s">
        <v>1329</v>
      </c>
      <c r="F1537">
        <v>3</v>
      </c>
      <c r="G1537">
        <v>866.78</v>
      </c>
      <c r="H1537">
        <v>0.27</v>
      </c>
      <c r="I1537" t="s">
        <v>1351</v>
      </c>
      <c r="J1537">
        <v>1898.2482</v>
      </c>
    </row>
    <row r="1538" spans="1:10">
      <c r="A1538" t="s">
        <v>2887</v>
      </c>
      <c r="B1538" s="1">
        <v>45378</v>
      </c>
      <c r="C1538" t="s">
        <v>478</v>
      </c>
      <c r="D1538" t="s">
        <v>1229</v>
      </c>
      <c r="E1538" t="s">
        <v>1329</v>
      </c>
      <c r="F1538">
        <v>3</v>
      </c>
      <c r="G1538">
        <v>392.84</v>
      </c>
      <c r="H1538">
        <v>0.27</v>
      </c>
      <c r="I1538" t="s">
        <v>1351</v>
      </c>
      <c r="J1538">
        <v>860.31959999999992</v>
      </c>
    </row>
    <row r="1539" spans="1:10">
      <c r="A1539" t="s">
        <v>2888</v>
      </c>
      <c r="B1539" s="1">
        <v>45688</v>
      </c>
      <c r="C1539" t="s">
        <v>710</v>
      </c>
      <c r="D1539" t="s">
        <v>1090</v>
      </c>
      <c r="E1539" t="s">
        <v>1298</v>
      </c>
      <c r="F1539">
        <v>2</v>
      </c>
      <c r="G1539">
        <v>753.1</v>
      </c>
      <c r="H1539">
        <v>0.19</v>
      </c>
      <c r="I1539" t="s">
        <v>1351</v>
      </c>
      <c r="J1539">
        <v>1220.0219999999999</v>
      </c>
    </row>
    <row r="1540" spans="1:10">
      <c r="A1540" t="s">
        <v>2889</v>
      </c>
      <c r="B1540" s="1">
        <v>45927</v>
      </c>
      <c r="C1540" t="s">
        <v>33</v>
      </c>
      <c r="D1540" t="s">
        <v>1181</v>
      </c>
      <c r="E1540" t="s">
        <v>1332</v>
      </c>
      <c r="F1540">
        <v>2</v>
      </c>
      <c r="G1540">
        <v>700.91</v>
      </c>
      <c r="H1540">
        <v>0.1</v>
      </c>
      <c r="I1540" t="s">
        <v>1351</v>
      </c>
      <c r="J1540">
        <v>1261.6379999999999</v>
      </c>
    </row>
    <row r="1541" spans="1:10">
      <c r="A1541" t="s">
        <v>2890</v>
      </c>
      <c r="B1541" s="1">
        <v>45775</v>
      </c>
      <c r="C1541" t="s">
        <v>194</v>
      </c>
      <c r="D1541" t="s">
        <v>1103</v>
      </c>
      <c r="E1541" t="s">
        <v>1319</v>
      </c>
      <c r="F1541">
        <v>4</v>
      </c>
      <c r="G1541">
        <v>935.98</v>
      </c>
      <c r="H1541">
        <v>0.11</v>
      </c>
      <c r="I1541" t="s">
        <v>1351</v>
      </c>
      <c r="J1541">
        <v>3332.0888</v>
      </c>
    </row>
    <row r="1542" spans="1:10">
      <c r="A1542" t="s">
        <v>2891</v>
      </c>
      <c r="B1542" s="1">
        <v>45849</v>
      </c>
      <c r="C1542" t="s">
        <v>1031</v>
      </c>
      <c r="D1542" t="s">
        <v>1225</v>
      </c>
      <c r="E1542" t="s">
        <v>1329</v>
      </c>
      <c r="F1542">
        <v>1</v>
      </c>
      <c r="G1542">
        <v>539.9</v>
      </c>
      <c r="H1542">
        <v>7.0000000000000007E-2</v>
      </c>
      <c r="I1542" t="s">
        <v>1349</v>
      </c>
      <c r="J1542">
        <v>502.10700000000003</v>
      </c>
    </row>
    <row r="1543" spans="1:10">
      <c r="A1543" t="s">
        <v>2892</v>
      </c>
      <c r="B1543" s="1">
        <v>45573</v>
      </c>
      <c r="C1543" t="s">
        <v>403</v>
      </c>
      <c r="D1543" t="s">
        <v>1153</v>
      </c>
      <c r="E1543" t="s">
        <v>1301</v>
      </c>
      <c r="F1543">
        <v>1</v>
      </c>
      <c r="G1543">
        <v>312.81</v>
      </c>
      <c r="H1543">
        <v>0.14000000000000001</v>
      </c>
      <c r="I1543" t="s">
        <v>1351</v>
      </c>
      <c r="J1543">
        <v>269.01659999999998</v>
      </c>
    </row>
    <row r="1544" spans="1:10">
      <c r="A1544" t="s">
        <v>2893</v>
      </c>
      <c r="B1544" s="1">
        <v>45356</v>
      </c>
      <c r="C1544" t="s">
        <v>561</v>
      </c>
      <c r="D1544" t="s">
        <v>1169</v>
      </c>
      <c r="E1544" t="s">
        <v>1304</v>
      </c>
      <c r="F1544">
        <v>3</v>
      </c>
      <c r="G1544">
        <v>855.96</v>
      </c>
      <c r="H1544">
        <v>0.28999999999999998</v>
      </c>
      <c r="I1544" t="s">
        <v>1354</v>
      </c>
      <c r="J1544">
        <v>1823.1948</v>
      </c>
    </row>
    <row r="1545" spans="1:10">
      <c r="A1545" t="s">
        <v>2894</v>
      </c>
      <c r="B1545" s="1">
        <v>45326</v>
      </c>
      <c r="C1545" t="s">
        <v>773</v>
      </c>
      <c r="D1545" t="s">
        <v>1071</v>
      </c>
      <c r="E1545" t="s">
        <v>1317</v>
      </c>
      <c r="F1545">
        <v>3</v>
      </c>
      <c r="G1545">
        <v>305</v>
      </c>
      <c r="H1545">
        <v>0.01</v>
      </c>
      <c r="I1545" t="s">
        <v>1354</v>
      </c>
      <c r="J1545">
        <v>905.85</v>
      </c>
    </row>
    <row r="1546" spans="1:10">
      <c r="A1546" t="s">
        <v>2895</v>
      </c>
      <c r="B1546" s="1">
        <v>45361</v>
      </c>
      <c r="C1546" t="s">
        <v>998</v>
      </c>
      <c r="D1546" t="s">
        <v>1271</v>
      </c>
      <c r="E1546" t="s">
        <v>1319</v>
      </c>
      <c r="F1546">
        <v>3</v>
      </c>
      <c r="G1546">
        <v>831.15</v>
      </c>
      <c r="H1546">
        <v>0.19</v>
      </c>
      <c r="I1546" t="s">
        <v>1349</v>
      </c>
      <c r="J1546">
        <v>2019.6945000000001</v>
      </c>
    </row>
    <row r="1547" spans="1:10">
      <c r="A1547" t="s">
        <v>2896</v>
      </c>
      <c r="B1547" s="1">
        <v>45926</v>
      </c>
      <c r="C1547" t="s">
        <v>476</v>
      </c>
      <c r="D1547" t="s">
        <v>1265</v>
      </c>
      <c r="E1547" t="s">
        <v>1291</v>
      </c>
      <c r="F1547">
        <v>2</v>
      </c>
      <c r="G1547">
        <v>644.97</v>
      </c>
      <c r="H1547">
        <v>0.24</v>
      </c>
      <c r="I1547" t="s">
        <v>1354</v>
      </c>
      <c r="J1547">
        <v>980.35440000000006</v>
      </c>
    </row>
    <row r="1548" spans="1:10">
      <c r="A1548" t="s">
        <v>2897</v>
      </c>
      <c r="B1548" s="1">
        <v>45839</v>
      </c>
      <c r="C1548" t="s">
        <v>248</v>
      </c>
      <c r="D1548" t="s">
        <v>1249</v>
      </c>
      <c r="E1548" t="s">
        <v>1282</v>
      </c>
      <c r="F1548">
        <v>1</v>
      </c>
      <c r="G1548">
        <v>149.56</v>
      </c>
      <c r="H1548">
        <v>0.09</v>
      </c>
      <c r="I1548" t="s">
        <v>1349</v>
      </c>
      <c r="J1548">
        <v>136.09960000000001</v>
      </c>
    </row>
    <row r="1549" spans="1:10">
      <c r="A1549" t="s">
        <v>2898</v>
      </c>
      <c r="B1549" s="1">
        <v>45434</v>
      </c>
      <c r="C1549" t="s">
        <v>496</v>
      </c>
      <c r="D1549" t="s">
        <v>1159</v>
      </c>
      <c r="E1549" t="s">
        <v>1338</v>
      </c>
      <c r="F1549">
        <v>1</v>
      </c>
      <c r="G1549">
        <v>661.77</v>
      </c>
      <c r="H1549">
        <v>0.03</v>
      </c>
      <c r="I1549" t="s">
        <v>1351</v>
      </c>
      <c r="J1549">
        <v>641.91689999999994</v>
      </c>
    </row>
    <row r="1550" spans="1:10">
      <c r="A1550" t="s">
        <v>2899</v>
      </c>
      <c r="B1550" s="1">
        <v>45819</v>
      </c>
      <c r="C1550" t="s">
        <v>275</v>
      </c>
      <c r="D1550" t="s">
        <v>1261</v>
      </c>
      <c r="E1550" t="s">
        <v>1304</v>
      </c>
      <c r="F1550">
        <v>3</v>
      </c>
      <c r="G1550">
        <v>99.67</v>
      </c>
      <c r="H1550">
        <v>0.17</v>
      </c>
      <c r="I1550" t="s">
        <v>1349</v>
      </c>
      <c r="J1550">
        <v>248.17830000000001</v>
      </c>
    </row>
    <row r="1551" spans="1:10">
      <c r="A1551" t="s">
        <v>2900</v>
      </c>
      <c r="B1551" s="1">
        <v>45553</v>
      </c>
      <c r="C1551" t="s">
        <v>505</v>
      </c>
      <c r="D1551" t="s">
        <v>1197</v>
      </c>
      <c r="E1551" t="s">
        <v>1282</v>
      </c>
      <c r="F1551">
        <v>3</v>
      </c>
      <c r="G1551">
        <v>103.66</v>
      </c>
      <c r="H1551">
        <v>0.26</v>
      </c>
      <c r="I1551" t="s">
        <v>1354</v>
      </c>
      <c r="J1551">
        <v>230.12520000000001</v>
      </c>
    </row>
    <row r="1552" spans="1:10">
      <c r="A1552" t="s">
        <v>2901</v>
      </c>
      <c r="B1552" s="1">
        <v>45258</v>
      </c>
      <c r="C1552" t="s">
        <v>935</v>
      </c>
      <c r="D1552" t="s">
        <v>1153</v>
      </c>
      <c r="E1552" t="s">
        <v>1286</v>
      </c>
      <c r="F1552">
        <v>4</v>
      </c>
      <c r="G1552">
        <v>54.4</v>
      </c>
      <c r="H1552">
        <v>0.22</v>
      </c>
      <c r="I1552" t="s">
        <v>1349</v>
      </c>
      <c r="J1552">
        <v>169.72800000000001</v>
      </c>
    </row>
    <row r="1553" spans="1:10">
      <c r="A1553" t="s">
        <v>2902</v>
      </c>
      <c r="B1553" s="1">
        <v>45435</v>
      </c>
      <c r="C1553" t="s">
        <v>1041</v>
      </c>
      <c r="D1553" t="s">
        <v>1241</v>
      </c>
      <c r="E1553" t="s">
        <v>1324</v>
      </c>
      <c r="F1553">
        <v>1</v>
      </c>
      <c r="G1553">
        <v>46.66</v>
      </c>
      <c r="H1553">
        <v>0.2</v>
      </c>
      <c r="I1553" t="s">
        <v>1349</v>
      </c>
      <c r="J1553">
        <v>37.328000000000003</v>
      </c>
    </row>
    <row r="1554" spans="1:10">
      <c r="A1554" t="s">
        <v>2903</v>
      </c>
      <c r="B1554" s="1">
        <v>45447</v>
      </c>
      <c r="C1554" t="s">
        <v>33</v>
      </c>
      <c r="D1554" t="s">
        <v>1219</v>
      </c>
      <c r="E1554" t="s">
        <v>1317</v>
      </c>
      <c r="F1554">
        <v>4</v>
      </c>
      <c r="G1554">
        <v>871.2</v>
      </c>
      <c r="H1554">
        <v>0.28999999999999998</v>
      </c>
      <c r="I1554" t="s">
        <v>1349</v>
      </c>
      <c r="J1554">
        <v>2474.2080000000001</v>
      </c>
    </row>
    <row r="1555" spans="1:10">
      <c r="A1555" t="s">
        <v>2904</v>
      </c>
      <c r="B1555" s="1">
        <v>45724</v>
      </c>
      <c r="C1555" t="s">
        <v>821</v>
      </c>
      <c r="D1555" t="s">
        <v>1109</v>
      </c>
      <c r="E1555" t="s">
        <v>1324</v>
      </c>
      <c r="F1555">
        <v>4</v>
      </c>
      <c r="G1555">
        <v>317.11</v>
      </c>
      <c r="H1555">
        <v>0.16</v>
      </c>
      <c r="I1555" t="s">
        <v>1351</v>
      </c>
      <c r="J1555">
        <v>1065.4896000000001</v>
      </c>
    </row>
    <row r="1556" spans="1:10">
      <c r="A1556" t="s">
        <v>2905</v>
      </c>
      <c r="B1556" s="1">
        <v>45338</v>
      </c>
      <c r="C1556" t="s">
        <v>579</v>
      </c>
      <c r="D1556" t="s">
        <v>1123</v>
      </c>
      <c r="E1556" t="s">
        <v>1322</v>
      </c>
      <c r="F1556">
        <v>2</v>
      </c>
      <c r="G1556">
        <v>388.34</v>
      </c>
      <c r="H1556">
        <v>0.09</v>
      </c>
      <c r="I1556" t="s">
        <v>1351</v>
      </c>
      <c r="J1556">
        <v>706.77879999999993</v>
      </c>
    </row>
    <row r="1557" spans="1:10">
      <c r="A1557" t="s">
        <v>2906</v>
      </c>
      <c r="B1557" s="1">
        <v>45252</v>
      </c>
      <c r="C1557" t="s">
        <v>702</v>
      </c>
      <c r="D1557" t="s">
        <v>1133</v>
      </c>
      <c r="E1557" t="s">
        <v>1301</v>
      </c>
      <c r="F1557">
        <v>4</v>
      </c>
      <c r="G1557">
        <v>998.2</v>
      </c>
      <c r="H1557">
        <v>0.15</v>
      </c>
      <c r="I1557" t="s">
        <v>1349</v>
      </c>
      <c r="J1557">
        <v>3393.88</v>
      </c>
    </row>
    <row r="1558" spans="1:10">
      <c r="A1558" t="s">
        <v>2907</v>
      </c>
      <c r="B1558" s="1">
        <v>45606</v>
      </c>
      <c r="C1558" t="s">
        <v>1047</v>
      </c>
      <c r="D1558" t="s">
        <v>1145</v>
      </c>
      <c r="E1558" t="s">
        <v>1277</v>
      </c>
      <c r="F1558">
        <v>1</v>
      </c>
      <c r="G1558">
        <v>887.38</v>
      </c>
      <c r="H1558">
        <v>0.01</v>
      </c>
      <c r="I1558" t="s">
        <v>1354</v>
      </c>
      <c r="J1558">
        <v>878.50620000000004</v>
      </c>
    </row>
    <row r="1559" spans="1:10">
      <c r="A1559" t="s">
        <v>2908</v>
      </c>
      <c r="B1559" s="1">
        <v>45524</v>
      </c>
      <c r="C1559" t="s">
        <v>688</v>
      </c>
      <c r="D1559" t="s">
        <v>1147</v>
      </c>
      <c r="E1559" t="s">
        <v>1319</v>
      </c>
      <c r="F1559">
        <v>4</v>
      </c>
      <c r="G1559">
        <v>332.97</v>
      </c>
      <c r="H1559">
        <v>0.28000000000000003</v>
      </c>
      <c r="I1559" t="s">
        <v>1349</v>
      </c>
      <c r="J1559">
        <v>958.95360000000005</v>
      </c>
    </row>
    <row r="1560" spans="1:10">
      <c r="A1560" t="s">
        <v>2909</v>
      </c>
      <c r="B1560" s="1">
        <v>45934</v>
      </c>
      <c r="C1560" t="s">
        <v>72</v>
      </c>
      <c r="D1560" t="s">
        <v>1165</v>
      </c>
      <c r="E1560" t="s">
        <v>1277</v>
      </c>
      <c r="F1560">
        <v>2</v>
      </c>
      <c r="G1560">
        <v>157.91</v>
      </c>
      <c r="H1560">
        <v>0.09</v>
      </c>
      <c r="I1560" t="s">
        <v>1354</v>
      </c>
      <c r="J1560">
        <v>287.39620000000002</v>
      </c>
    </row>
    <row r="1561" spans="1:10">
      <c r="A1561" t="s">
        <v>2910</v>
      </c>
      <c r="B1561" s="1">
        <v>45539</v>
      </c>
      <c r="C1561" t="s">
        <v>775</v>
      </c>
      <c r="D1561" t="s">
        <v>1097</v>
      </c>
      <c r="E1561" t="s">
        <v>1335</v>
      </c>
      <c r="F1561">
        <v>1</v>
      </c>
      <c r="G1561">
        <v>548.15</v>
      </c>
      <c r="H1561">
        <v>0.11</v>
      </c>
      <c r="I1561" t="s">
        <v>1349</v>
      </c>
      <c r="J1561">
        <v>487.8535</v>
      </c>
    </row>
    <row r="1562" spans="1:10">
      <c r="A1562" t="s">
        <v>2911</v>
      </c>
      <c r="B1562" s="1">
        <v>45555</v>
      </c>
      <c r="C1562" t="s">
        <v>480</v>
      </c>
      <c r="D1562" t="s">
        <v>1169</v>
      </c>
      <c r="E1562" t="s">
        <v>1326</v>
      </c>
      <c r="F1562">
        <v>1</v>
      </c>
      <c r="G1562">
        <v>135.13</v>
      </c>
      <c r="H1562">
        <v>0.04</v>
      </c>
      <c r="I1562" t="s">
        <v>1349</v>
      </c>
      <c r="J1562">
        <v>129.72479999999999</v>
      </c>
    </row>
    <row r="1563" spans="1:10">
      <c r="A1563" t="s">
        <v>2912</v>
      </c>
      <c r="B1563" s="1">
        <v>45281</v>
      </c>
      <c r="C1563" t="s">
        <v>500</v>
      </c>
      <c r="D1563" t="s">
        <v>1185</v>
      </c>
      <c r="E1563" t="s">
        <v>1291</v>
      </c>
      <c r="F1563">
        <v>3</v>
      </c>
      <c r="G1563">
        <v>579.26</v>
      </c>
      <c r="H1563">
        <v>0.19</v>
      </c>
      <c r="I1563" t="s">
        <v>1349</v>
      </c>
      <c r="J1563">
        <v>1407.6017999999999</v>
      </c>
    </row>
    <row r="1564" spans="1:10">
      <c r="A1564" t="s">
        <v>2913</v>
      </c>
      <c r="B1564" s="1">
        <v>45582</v>
      </c>
      <c r="C1564" t="s">
        <v>841</v>
      </c>
      <c r="D1564" t="s">
        <v>1107</v>
      </c>
      <c r="E1564" t="s">
        <v>1277</v>
      </c>
      <c r="F1564">
        <v>1</v>
      </c>
      <c r="G1564">
        <v>465.63</v>
      </c>
      <c r="H1564">
        <v>0.25</v>
      </c>
      <c r="I1564" t="s">
        <v>1349</v>
      </c>
      <c r="J1564">
        <v>349.22250000000003</v>
      </c>
    </row>
    <row r="1565" spans="1:10">
      <c r="A1565" t="s">
        <v>2914</v>
      </c>
      <c r="B1565" s="1">
        <v>45372</v>
      </c>
      <c r="C1565" t="s">
        <v>135</v>
      </c>
      <c r="D1565" t="s">
        <v>1225</v>
      </c>
      <c r="E1565" t="s">
        <v>1329</v>
      </c>
      <c r="F1565">
        <v>2</v>
      </c>
      <c r="G1565">
        <v>675.61</v>
      </c>
      <c r="H1565">
        <v>0.08</v>
      </c>
      <c r="I1565" t="s">
        <v>1354</v>
      </c>
      <c r="J1565">
        <v>1243.1224</v>
      </c>
    </row>
    <row r="1566" spans="1:10">
      <c r="A1566" t="s">
        <v>2915</v>
      </c>
      <c r="B1566" s="1">
        <v>45458</v>
      </c>
      <c r="C1566" t="s">
        <v>895</v>
      </c>
      <c r="D1566" t="s">
        <v>1139</v>
      </c>
      <c r="E1566" t="s">
        <v>1301</v>
      </c>
      <c r="F1566">
        <v>1</v>
      </c>
      <c r="G1566">
        <v>718.99</v>
      </c>
      <c r="H1566">
        <v>0.08</v>
      </c>
      <c r="I1566" t="s">
        <v>1351</v>
      </c>
      <c r="J1566">
        <v>661.47080000000005</v>
      </c>
    </row>
    <row r="1567" spans="1:10">
      <c r="A1567" t="s">
        <v>2916</v>
      </c>
      <c r="B1567" s="1">
        <v>45943</v>
      </c>
      <c r="C1567" t="s">
        <v>815</v>
      </c>
      <c r="D1567" t="s">
        <v>1101</v>
      </c>
      <c r="E1567" t="s">
        <v>1314</v>
      </c>
      <c r="F1567">
        <v>2</v>
      </c>
      <c r="G1567">
        <v>675.65</v>
      </c>
      <c r="H1567">
        <v>0.2</v>
      </c>
      <c r="I1567" t="s">
        <v>1354</v>
      </c>
      <c r="J1567">
        <v>1081.04</v>
      </c>
    </row>
    <row r="1568" spans="1:10">
      <c r="A1568" t="s">
        <v>2917</v>
      </c>
      <c r="B1568" s="1">
        <v>45374</v>
      </c>
      <c r="C1568" t="s">
        <v>736</v>
      </c>
      <c r="D1568" t="s">
        <v>1263</v>
      </c>
      <c r="E1568" t="s">
        <v>1326</v>
      </c>
      <c r="F1568">
        <v>4</v>
      </c>
      <c r="G1568">
        <v>284.24</v>
      </c>
      <c r="H1568">
        <v>0.1</v>
      </c>
      <c r="I1568" t="s">
        <v>1349</v>
      </c>
      <c r="J1568">
        <v>1023.264</v>
      </c>
    </row>
    <row r="1569" spans="1:10">
      <c r="A1569" t="s">
        <v>2918</v>
      </c>
      <c r="B1569" s="1">
        <v>45374</v>
      </c>
      <c r="C1569" t="s">
        <v>488</v>
      </c>
      <c r="D1569" t="s">
        <v>1071</v>
      </c>
      <c r="E1569" t="s">
        <v>1291</v>
      </c>
      <c r="F1569">
        <v>1</v>
      </c>
      <c r="G1569">
        <v>94.26</v>
      </c>
      <c r="H1569">
        <v>0.18</v>
      </c>
      <c r="I1569" t="s">
        <v>1351</v>
      </c>
      <c r="J1569">
        <v>77.293200000000013</v>
      </c>
    </row>
    <row r="1570" spans="1:10">
      <c r="A1570" t="s">
        <v>2919</v>
      </c>
      <c r="B1570" s="1">
        <v>45789</v>
      </c>
      <c r="C1570" t="s">
        <v>895</v>
      </c>
      <c r="D1570" t="s">
        <v>1082</v>
      </c>
      <c r="E1570" t="s">
        <v>1314</v>
      </c>
      <c r="F1570">
        <v>4</v>
      </c>
      <c r="G1570">
        <v>458.58</v>
      </c>
      <c r="H1570">
        <v>0.28999999999999998</v>
      </c>
      <c r="I1570" t="s">
        <v>1354</v>
      </c>
      <c r="J1570">
        <v>1302.3671999999999</v>
      </c>
    </row>
    <row r="1571" spans="1:10">
      <c r="A1571" t="s">
        <v>2920</v>
      </c>
      <c r="B1571" s="1">
        <v>45452</v>
      </c>
      <c r="C1571" t="s">
        <v>286</v>
      </c>
      <c r="D1571" t="s">
        <v>1203</v>
      </c>
      <c r="E1571" t="s">
        <v>1314</v>
      </c>
      <c r="F1571">
        <v>4</v>
      </c>
      <c r="G1571">
        <v>704.49</v>
      </c>
      <c r="H1571">
        <v>0.05</v>
      </c>
      <c r="I1571" t="s">
        <v>1354</v>
      </c>
      <c r="J1571">
        <v>2677.0619999999999</v>
      </c>
    </row>
    <row r="1572" spans="1:10">
      <c r="A1572" t="s">
        <v>2921</v>
      </c>
      <c r="B1572" s="1">
        <v>45284</v>
      </c>
      <c r="C1572" t="s">
        <v>99</v>
      </c>
      <c r="D1572" t="s">
        <v>1127</v>
      </c>
      <c r="E1572" t="s">
        <v>1338</v>
      </c>
      <c r="F1572">
        <v>4</v>
      </c>
      <c r="G1572">
        <v>822.32</v>
      </c>
      <c r="H1572">
        <v>0.26</v>
      </c>
      <c r="I1572" t="s">
        <v>1351</v>
      </c>
      <c r="J1572">
        <v>2434.0672</v>
      </c>
    </row>
    <row r="1573" spans="1:10">
      <c r="A1573" t="s">
        <v>2922</v>
      </c>
      <c r="B1573" s="1">
        <v>45325</v>
      </c>
      <c r="C1573" t="s">
        <v>553</v>
      </c>
      <c r="D1573" t="s">
        <v>1076</v>
      </c>
      <c r="E1573" t="s">
        <v>1322</v>
      </c>
      <c r="F1573">
        <v>4</v>
      </c>
      <c r="G1573">
        <v>785.41</v>
      </c>
      <c r="H1573">
        <v>0.13</v>
      </c>
      <c r="I1573" t="s">
        <v>1354</v>
      </c>
      <c r="J1573">
        <v>2733.2267999999999</v>
      </c>
    </row>
    <row r="1574" spans="1:10">
      <c r="A1574" t="s">
        <v>2923</v>
      </c>
      <c r="B1574" s="1">
        <v>45465</v>
      </c>
      <c r="C1574" t="s">
        <v>96</v>
      </c>
      <c r="D1574" t="s">
        <v>1151</v>
      </c>
      <c r="E1574" t="s">
        <v>1324</v>
      </c>
      <c r="F1574">
        <v>1</v>
      </c>
      <c r="G1574">
        <v>405.8</v>
      </c>
      <c r="H1574">
        <v>0.11</v>
      </c>
      <c r="I1574" t="s">
        <v>1351</v>
      </c>
      <c r="J1574">
        <v>361.16199999999998</v>
      </c>
    </row>
    <row r="1575" spans="1:10">
      <c r="A1575" t="s">
        <v>2924</v>
      </c>
      <c r="B1575" s="1">
        <v>45612</v>
      </c>
      <c r="C1575" t="s">
        <v>929</v>
      </c>
      <c r="D1575" t="s">
        <v>1255</v>
      </c>
      <c r="E1575" t="s">
        <v>1311</v>
      </c>
      <c r="F1575">
        <v>2</v>
      </c>
      <c r="G1575">
        <v>976.83</v>
      </c>
      <c r="H1575">
        <v>0.1</v>
      </c>
      <c r="I1575" t="s">
        <v>1351</v>
      </c>
      <c r="J1575">
        <v>1758.2940000000001</v>
      </c>
    </row>
    <row r="1576" spans="1:10">
      <c r="A1576" t="s">
        <v>2925</v>
      </c>
      <c r="B1576" s="1">
        <v>45472</v>
      </c>
      <c r="C1576" t="s">
        <v>610</v>
      </c>
      <c r="D1576" t="s">
        <v>1201</v>
      </c>
      <c r="E1576" t="s">
        <v>1286</v>
      </c>
      <c r="F1576">
        <v>1</v>
      </c>
      <c r="G1576">
        <v>644.15</v>
      </c>
      <c r="H1576">
        <v>0.06</v>
      </c>
      <c r="I1576" t="s">
        <v>1349</v>
      </c>
      <c r="J1576">
        <v>605.50099999999998</v>
      </c>
    </row>
    <row r="1577" spans="1:10">
      <c r="A1577" t="s">
        <v>2926</v>
      </c>
      <c r="B1577" s="1">
        <v>45897</v>
      </c>
      <c r="C1577" t="s">
        <v>738</v>
      </c>
      <c r="D1577" t="s">
        <v>1207</v>
      </c>
      <c r="E1577" t="s">
        <v>1322</v>
      </c>
      <c r="F1577">
        <v>1</v>
      </c>
      <c r="G1577">
        <v>470.55</v>
      </c>
      <c r="H1577">
        <v>0.23</v>
      </c>
      <c r="I1577" t="s">
        <v>1351</v>
      </c>
      <c r="J1577">
        <v>362.32350000000002</v>
      </c>
    </row>
    <row r="1578" spans="1:10">
      <c r="A1578" t="s">
        <v>2927</v>
      </c>
      <c r="B1578" s="1">
        <v>45241</v>
      </c>
      <c r="C1578" t="s">
        <v>1018</v>
      </c>
      <c r="D1578" t="s">
        <v>1085</v>
      </c>
      <c r="E1578" t="s">
        <v>1301</v>
      </c>
      <c r="F1578">
        <v>3</v>
      </c>
      <c r="G1578">
        <v>598.82000000000005</v>
      </c>
      <c r="H1578">
        <v>0.19</v>
      </c>
      <c r="I1578" t="s">
        <v>1354</v>
      </c>
      <c r="J1578">
        <v>1455.1325999999999</v>
      </c>
    </row>
    <row r="1579" spans="1:10">
      <c r="A1579" t="s">
        <v>2928</v>
      </c>
      <c r="B1579" s="1">
        <v>45851</v>
      </c>
      <c r="C1579" t="s">
        <v>261</v>
      </c>
      <c r="D1579" t="s">
        <v>1113</v>
      </c>
      <c r="E1579" t="s">
        <v>1319</v>
      </c>
      <c r="F1579">
        <v>4</v>
      </c>
      <c r="G1579">
        <v>659.17</v>
      </c>
      <c r="H1579">
        <v>0.12</v>
      </c>
      <c r="I1579" t="s">
        <v>1349</v>
      </c>
      <c r="J1579">
        <v>2320.2784000000001</v>
      </c>
    </row>
    <row r="1580" spans="1:10">
      <c r="A1580" t="s">
        <v>2929</v>
      </c>
      <c r="B1580" s="1">
        <v>45572</v>
      </c>
      <c r="C1580" t="s">
        <v>267</v>
      </c>
      <c r="D1580" t="s">
        <v>1165</v>
      </c>
      <c r="E1580" t="s">
        <v>1282</v>
      </c>
      <c r="F1580">
        <v>2</v>
      </c>
      <c r="G1580">
        <v>216.02</v>
      </c>
      <c r="H1580">
        <v>0.25</v>
      </c>
      <c r="I1580" t="s">
        <v>1349</v>
      </c>
      <c r="J1580">
        <v>324.02999999999997</v>
      </c>
    </row>
    <row r="1581" spans="1:10">
      <c r="A1581" t="s">
        <v>2930</v>
      </c>
      <c r="B1581" s="1">
        <v>45774</v>
      </c>
      <c r="C1581" t="s">
        <v>94</v>
      </c>
      <c r="D1581" t="s">
        <v>1135</v>
      </c>
      <c r="E1581" t="s">
        <v>1314</v>
      </c>
      <c r="F1581">
        <v>2</v>
      </c>
      <c r="G1581">
        <v>613.47</v>
      </c>
      <c r="H1581">
        <v>0.02</v>
      </c>
      <c r="I1581" t="s">
        <v>1351</v>
      </c>
      <c r="J1581">
        <v>1202.4012</v>
      </c>
    </row>
    <row r="1582" spans="1:10">
      <c r="A1582" t="s">
        <v>2931</v>
      </c>
      <c r="B1582" s="1">
        <v>45921</v>
      </c>
      <c r="C1582" t="s">
        <v>254</v>
      </c>
      <c r="D1582" t="s">
        <v>1189</v>
      </c>
      <c r="E1582" t="s">
        <v>1319</v>
      </c>
      <c r="F1582">
        <v>2</v>
      </c>
      <c r="G1582">
        <v>485.17</v>
      </c>
      <c r="H1582">
        <v>0.11</v>
      </c>
      <c r="I1582" t="s">
        <v>1351</v>
      </c>
      <c r="J1582">
        <v>863.60260000000005</v>
      </c>
    </row>
    <row r="1583" spans="1:10">
      <c r="A1583" t="s">
        <v>2932</v>
      </c>
      <c r="B1583" s="1">
        <v>45268</v>
      </c>
      <c r="C1583" t="s">
        <v>678</v>
      </c>
      <c r="D1583" t="s">
        <v>1165</v>
      </c>
      <c r="E1583" t="s">
        <v>1314</v>
      </c>
      <c r="F1583">
        <v>1</v>
      </c>
      <c r="G1583">
        <v>209.7</v>
      </c>
      <c r="H1583">
        <v>0.2</v>
      </c>
      <c r="I1583" t="s">
        <v>1351</v>
      </c>
      <c r="J1583">
        <v>167.76</v>
      </c>
    </row>
    <row r="1584" spans="1:10">
      <c r="A1584" t="s">
        <v>2933</v>
      </c>
      <c r="B1584" s="1">
        <v>45402</v>
      </c>
      <c r="C1584" t="s">
        <v>716</v>
      </c>
      <c r="D1584" t="s">
        <v>1257</v>
      </c>
      <c r="E1584" t="s">
        <v>1277</v>
      </c>
      <c r="F1584">
        <v>1</v>
      </c>
      <c r="G1584">
        <v>681.47</v>
      </c>
      <c r="H1584">
        <v>0.15</v>
      </c>
      <c r="I1584" t="s">
        <v>1349</v>
      </c>
      <c r="J1584">
        <v>579.24950000000001</v>
      </c>
    </row>
    <row r="1585" spans="1:10">
      <c r="A1585" t="s">
        <v>2934</v>
      </c>
      <c r="B1585" s="1">
        <v>45667</v>
      </c>
      <c r="C1585" t="s">
        <v>943</v>
      </c>
      <c r="D1585" t="s">
        <v>1225</v>
      </c>
      <c r="E1585" t="s">
        <v>1332</v>
      </c>
      <c r="F1585">
        <v>2</v>
      </c>
      <c r="G1585">
        <v>877.21</v>
      </c>
      <c r="H1585">
        <v>0.1</v>
      </c>
      <c r="I1585" t="s">
        <v>1349</v>
      </c>
      <c r="J1585">
        <v>1578.9780000000001</v>
      </c>
    </row>
    <row r="1586" spans="1:10">
      <c r="A1586" t="s">
        <v>2935</v>
      </c>
      <c r="B1586" s="1">
        <v>45902</v>
      </c>
      <c r="C1586" t="s">
        <v>700</v>
      </c>
      <c r="D1586" t="s">
        <v>1229</v>
      </c>
      <c r="E1586" t="s">
        <v>1298</v>
      </c>
      <c r="F1586">
        <v>2</v>
      </c>
      <c r="G1586">
        <v>479.77</v>
      </c>
      <c r="H1586">
        <v>0.21</v>
      </c>
      <c r="I1586" t="s">
        <v>1351</v>
      </c>
      <c r="J1586">
        <v>758.03660000000002</v>
      </c>
    </row>
    <row r="1587" spans="1:10">
      <c r="A1587" t="s">
        <v>2936</v>
      </c>
      <c r="B1587" s="1">
        <v>45589</v>
      </c>
      <c r="C1587" t="s">
        <v>708</v>
      </c>
      <c r="D1587" t="s">
        <v>1239</v>
      </c>
      <c r="E1587" t="s">
        <v>1326</v>
      </c>
      <c r="F1587">
        <v>1</v>
      </c>
      <c r="G1587">
        <v>140.72</v>
      </c>
      <c r="H1587">
        <v>0</v>
      </c>
      <c r="I1587" t="s">
        <v>1354</v>
      </c>
      <c r="J1587">
        <v>140.72</v>
      </c>
    </row>
    <row r="1588" spans="1:10">
      <c r="A1588" t="s">
        <v>2937</v>
      </c>
      <c r="B1588" s="1">
        <v>45668</v>
      </c>
      <c r="C1588" t="s">
        <v>87</v>
      </c>
      <c r="D1588" t="s">
        <v>1111</v>
      </c>
      <c r="E1588" t="s">
        <v>1301</v>
      </c>
      <c r="F1588">
        <v>2</v>
      </c>
      <c r="G1588">
        <v>764.25</v>
      </c>
      <c r="H1588">
        <v>0.23</v>
      </c>
      <c r="I1588" t="s">
        <v>1351</v>
      </c>
      <c r="J1588">
        <v>1176.9449999999999</v>
      </c>
    </row>
    <row r="1589" spans="1:10">
      <c r="A1589" t="s">
        <v>2938</v>
      </c>
      <c r="B1589" s="1">
        <v>45300</v>
      </c>
      <c r="C1589" t="s">
        <v>507</v>
      </c>
      <c r="D1589" t="s">
        <v>1239</v>
      </c>
      <c r="E1589" t="s">
        <v>1298</v>
      </c>
      <c r="F1589">
        <v>3</v>
      </c>
      <c r="G1589">
        <v>107.8</v>
      </c>
      <c r="H1589">
        <v>0.28999999999999998</v>
      </c>
      <c r="I1589" t="s">
        <v>1351</v>
      </c>
      <c r="J1589">
        <v>229.614</v>
      </c>
    </row>
    <row r="1590" spans="1:10">
      <c r="A1590" t="s">
        <v>2939</v>
      </c>
      <c r="B1590" s="1">
        <v>45757</v>
      </c>
      <c r="C1590" t="s">
        <v>355</v>
      </c>
      <c r="D1590" t="s">
        <v>1117</v>
      </c>
      <c r="E1590" t="s">
        <v>1307</v>
      </c>
      <c r="F1590">
        <v>4</v>
      </c>
      <c r="G1590">
        <v>565.37</v>
      </c>
      <c r="H1590">
        <v>7.0000000000000007E-2</v>
      </c>
      <c r="I1590" t="s">
        <v>1351</v>
      </c>
      <c r="J1590">
        <v>2103.1763999999998</v>
      </c>
    </row>
    <row r="1591" spans="1:10">
      <c r="A1591" t="s">
        <v>2940</v>
      </c>
      <c r="B1591" s="1">
        <v>45235</v>
      </c>
      <c r="C1591" t="s">
        <v>104</v>
      </c>
      <c r="D1591" t="s">
        <v>1145</v>
      </c>
      <c r="E1591" t="s">
        <v>1294</v>
      </c>
      <c r="F1591">
        <v>3</v>
      </c>
      <c r="G1591">
        <v>811.45</v>
      </c>
      <c r="H1591">
        <v>0.26</v>
      </c>
      <c r="I1591" t="s">
        <v>1349</v>
      </c>
      <c r="J1591">
        <v>1801.4190000000001</v>
      </c>
    </row>
    <row r="1592" spans="1:10">
      <c r="A1592" t="s">
        <v>2941</v>
      </c>
      <c r="B1592" s="1">
        <v>45749</v>
      </c>
      <c r="C1592" t="s">
        <v>883</v>
      </c>
      <c r="D1592" t="s">
        <v>1139</v>
      </c>
      <c r="E1592" t="s">
        <v>1338</v>
      </c>
      <c r="F1592">
        <v>4</v>
      </c>
      <c r="G1592">
        <v>62.25</v>
      </c>
      <c r="H1592">
        <v>0.11</v>
      </c>
      <c r="I1592" t="s">
        <v>1351</v>
      </c>
      <c r="J1592">
        <v>221.61</v>
      </c>
    </row>
    <row r="1593" spans="1:10">
      <c r="A1593" t="s">
        <v>2942</v>
      </c>
      <c r="B1593" s="1">
        <v>45807</v>
      </c>
      <c r="C1593" t="s">
        <v>82</v>
      </c>
      <c r="D1593" t="s">
        <v>1263</v>
      </c>
      <c r="E1593" t="s">
        <v>1314</v>
      </c>
      <c r="F1593">
        <v>1</v>
      </c>
      <c r="G1593">
        <v>749.78</v>
      </c>
      <c r="H1593">
        <v>0.03</v>
      </c>
      <c r="I1593" t="s">
        <v>1349</v>
      </c>
      <c r="J1593">
        <v>727.28659999999991</v>
      </c>
    </row>
    <row r="1594" spans="1:10">
      <c r="A1594" t="s">
        <v>2943</v>
      </c>
      <c r="B1594" s="1">
        <v>45496</v>
      </c>
      <c r="C1594" t="s">
        <v>764</v>
      </c>
      <c r="D1594" t="s">
        <v>1191</v>
      </c>
      <c r="E1594" t="s">
        <v>1298</v>
      </c>
      <c r="F1594">
        <v>3</v>
      </c>
      <c r="G1594">
        <v>630.28</v>
      </c>
      <c r="H1594">
        <v>7.0000000000000007E-2</v>
      </c>
      <c r="I1594" t="s">
        <v>1354</v>
      </c>
      <c r="J1594">
        <v>1758.4811999999999</v>
      </c>
    </row>
    <row r="1595" spans="1:10">
      <c r="A1595" t="s">
        <v>2944</v>
      </c>
      <c r="B1595" s="1">
        <v>45355</v>
      </c>
      <c r="C1595" t="s">
        <v>347</v>
      </c>
      <c r="D1595" t="s">
        <v>1133</v>
      </c>
      <c r="E1595" t="s">
        <v>1329</v>
      </c>
      <c r="F1595">
        <v>1</v>
      </c>
      <c r="G1595">
        <v>101.84</v>
      </c>
      <c r="H1595">
        <v>0.17</v>
      </c>
      <c r="I1595" t="s">
        <v>1349</v>
      </c>
      <c r="J1595">
        <v>84.527199999999993</v>
      </c>
    </row>
    <row r="1596" spans="1:10">
      <c r="A1596" t="s">
        <v>2945</v>
      </c>
      <c r="B1596" s="1">
        <v>45256</v>
      </c>
      <c r="C1596" t="s">
        <v>155</v>
      </c>
      <c r="D1596" t="s">
        <v>1121</v>
      </c>
      <c r="E1596" t="s">
        <v>1335</v>
      </c>
      <c r="F1596">
        <v>4</v>
      </c>
      <c r="G1596">
        <v>641.45000000000005</v>
      </c>
      <c r="H1596">
        <v>0.16</v>
      </c>
      <c r="I1596" t="s">
        <v>1354</v>
      </c>
      <c r="J1596">
        <v>2155.2719999999999</v>
      </c>
    </row>
    <row r="1597" spans="1:10">
      <c r="A1597" t="s">
        <v>2946</v>
      </c>
      <c r="B1597" s="1">
        <v>45849</v>
      </c>
      <c r="C1597" t="s">
        <v>1004</v>
      </c>
      <c r="D1597" t="s">
        <v>1159</v>
      </c>
      <c r="E1597" t="s">
        <v>1282</v>
      </c>
      <c r="F1597">
        <v>1</v>
      </c>
      <c r="G1597">
        <v>135.87</v>
      </c>
      <c r="H1597">
        <v>0.23</v>
      </c>
      <c r="I1597" t="s">
        <v>1351</v>
      </c>
      <c r="J1597">
        <v>104.6199</v>
      </c>
    </row>
    <row r="1598" spans="1:10">
      <c r="A1598" t="s">
        <v>2947</v>
      </c>
      <c r="B1598" s="1">
        <v>45344</v>
      </c>
      <c r="C1598" t="s">
        <v>248</v>
      </c>
      <c r="D1598" t="s">
        <v>1115</v>
      </c>
      <c r="E1598" t="s">
        <v>1301</v>
      </c>
      <c r="F1598">
        <v>1</v>
      </c>
      <c r="G1598">
        <v>388.35</v>
      </c>
      <c r="H1598">
        <v>0.01</v>
      </c>
      <c r="I1598" t="s">
        <v>1351</v>
      </c>
      <c r="J1598">
        <v>384.4665</v>
      </c>
    </row>
    <row r="1599" spans="1:10">
      <c r="A1599" t="s">
        <v>2948</v>
      </c>
      <c r="B1599" s="1">
        <v>45367</v>
      </c>
      <c r="C1599" t="s">
        <v>1033</v>
      </c>
      <c r="D1599" t="s">
        <v>1149</v>
      </c>
      <c r="E1599" t="s">
        <v>1311</v>
      </c>
      <c r="F1599">
        <v>2</v>
      </c>
      <c r="G1599">
        <v>999.08</v>
      </c>
      <c r="H1599">
        <v>0.3</v>
      </c>
      <c r="I1599" t="s">
        <v>1351</v>
      </c>
      <c r="J1599">
        <v>1398.712</v>
      </c>
    </row>
    <row r="1600" spans="1:10">
      <c r="A1600" t="s">
        <v>2949</v>
      </c>
      <c r="B1600" s="1">
        <v>45887</v>
      </c>
      <c r="C1600" t="s">
        <v>401</v>
      </c>
      <c r="D1600" t="s">
        <v>1149</v>
      </c>
      <c r="E1600" t="s">
        <v>1332</v>
      </c>
      <c r="F1600">
        <v>3</v>
      </c>
      <c r="G1600">
        <v>453.19</v>
      </c>
      <c r="H1600">
        <v>0.08</v>
      </c>
      <c r="I1600" t="s">
        <v>1354</v>
      </c>
      <c r="J1600">
        <v>1250.8044</v>
      </c>
    </row>
    <row r="1601" spans="1:10">
      <c r="A1601" t="s">
        <v>2950</v>
      </c>
      <c r="B1601" s="1">
        <v>45567</v>
      </c>
      <c r="C1601" t="s">
        <v>533</v>
      </c>
      <c r="D1601" t="s">
        <v>1233</v>
      </c>
      <c r="E1601" t="s">
        <v>1314</v>
      </c>
      <c r="F1601">
        <v>2</v>
      </c>
      <c r="G1601">
        <v>61.31</v>
      </c>
      <c r="H1601">
        <v>0.15</v>
      </c>
      <c r="I1601" t="s">
        <v>1354</v>
      </c>
      <c r="J1601">
        <v>104.227</v>
      </c>
    </row>
    <row r="1602" spans="1:10">
      <c r="A1602" t="s">
        <v>2951</v>
      </c>
      <c r="B1602" s="1">
        <v>45223</v>
      </c>
      <c r="C1602" t="s">
        <v>748</v>
      </c>
      <c r="D1602" t="s">
        <v>1235</v>
      </c>
      <c r="E1602" t="s">
        <v>1314</v>
      </c>
      <c r="F1602">
        <v>2</v>
      </c>
      <c r="G1602">
        <v>870.13</v>
      </c>
      <c r="H1602">
        <v>0.23</v>
      </c>
      <c r="I1602" t="s">
        <v>1349</v>
      </c>
      <c r="J1602">
        <v>1340.0001999999999</v>
      </c>
    </row>
    <row r="1603" spans="1:10">
      <c r="A1603" t="s">
        <v>2952</v>
      </c>
      <c r="B1603" s="1">
        <v>45664</v>
      </c>
      <c r="C1603" t="s">
        <v>182</v>
      </c>
      <c r="D1603" t="s">
        <v>1103</v>
      </c>
      <c r="E1603" t="s">
        <v>1338</v>
      </c>
      <c r="F1603">
        <v>1</v>
      </c>
      <c r="G1603">
        <v>336.51</v>
      </c>
      <c r="H1603">
        <v>0.11</v>
      </c>
      <c r="I1603" t="s">
        <v>1351</v>
      </c>
      <c r="J1603">
        <v>299.4939</v>
      </c>
    </row>
    <row r="1604" spans="1:10">
      <c r="A1604" t="s">
        <v>2953</v>
      </c>
      <c r="B1604" s="1">
        <v>45313</v>
      </c>
      <c r="C1604" t="s">
        <v>424</v>
      </c>
      <c r="D1604" t="s">
        <v>1207</v>
      </c>
      <c r="E1604" t="s">
        <v>1277</v>
      </c>
      <c r="F1604">
        <v>1</v>
      </c>
      <c r="G1604">
        <v>305.70999999999998</v>
      </c>
      <c r="H1604">
        <v>0.26</v>
      </c>
      <c r="I1604" t="s">
        <v>1354</v>
      </c>
      <c r="J1604">
        <v>226.22540000000001</v>
      </c>
    </row>
    <row r="1605" spans="1:10">
      <c r="A1605" t="s">
        <v>2954</v>
      </c>
      <c r="B1605" s="1">
        <v>45224</v>
      </c>
      <c r="C1605" t="s">
        <v>302</v>
      </c>
      <c r="D1605" t="s">
        <v>1093</v>
      </c>
      <c r="E1605" t="s">
        <v>1335</v>
      </c>
      <c r="F1605">
        <v>2</v>
      </c>
      <c r="G1605">
        <v>635.39</v>
      </c>
      <c r="H1605">
        <v>0.28999999999999998</v>
      </c>
      <c r="I1605" t="s">
        <v>1354</v>
      </c>
      <c r="J1605">
        <v>902.25379999999996</v>
      </c>
    </row>
    <row r="1606" spans="1:10">
      <c r="A1606" t="s">
        <v>2955</v>
      </c>
      <c r="B1606" s="1">
        <v>45491</v>
      </c>
      <c r="C1606" t="s">
        <v>292</v>
      </c>
      <c r="D1606" t="s">
        <v>1257</v>
      </c>
      <c r="E1606" t="s">
        <v>1338</v>
      </c>
      <c r="F1606">
        <v>2</v>
      </c>
      <c r="G1606">
        <v>253.87</v>
      </c>
      <c r="H1606">
        <v>0.23</v>
      </c>
      <c r="I1606" t="s">
        <v>1354</v>
      </c>
      <c r="J1606">
        <v>390.95979999999997</v>
      </c>
    </row>
    <row r="1607" spans="1:10">
      <c r="A1607" t="s">
        <v>2956</v>
      </c>
      <c r="B1607" s="1">
        <v>45472</v>
      </c>
      <c r="C1607" t="s">
        <v>1029</v>
      </c>
      <c r="D1607" t="s">
        <v>1225</v>
      </c>
      <c r="E1607" t="s">
        <v>1332</v>
      </c>
      <c r="F1607">
        <v>3</v>
      </c>
      <c r="G1607">
        <v>915.81</v>
      </c>
      <c r="H1607">
        <v>0.17</v>
      </c>
      <c r="I1607" t="s">
        <v>1354</v>
      </c>
      <c r="J1607">
        <v>2280.3669</v>
      </c>
    </row>
    <row r="1608" spans="1:10">
      <c r="A1608" t="s">
        <v>2957</v>
      </c>
      <c r="B1608" s="1">
        <v>45795</v>
      </c>
      <c r="C1608" t="s">
        <v>480</v>
      </c>
      <c r="D1608" t="s">
        <v>1157</v>
      </c>
      <c r="E1608" t="s">
        <v>1307</v>
      </c>
      <c r="F1608">
        <v>3</v>
      </c>
      <c r="G1608">
        <v>779.5</v>
      </c>
      <c r="H1608">
        <v>0.02</v>
      </c>
      <c r="I1608" t="s">
        <v>1349</v>
      </c>
      <c r="J1608">
        <v>2291.73</v>
      </c>
    </row>
    <row r="1609" spans="1:10">
      <c r="A1609" t="s">
        <v>2958</v>
      </c>
      <c r="B1609" s="1">
        <v>45470</v>
      </c>
      <c r="C1609" t="s">
        <v>1000</v>
      </c>
      <c r="D1609" t="s">
        <v>1195</v>
      </c>
      <c r="E1609" t="s">
        <v>1329</v>
      </c>
      <c r="F1609">
        <v>2</v>
      </c>
      <c r="G1609">
        <v>780.57</v>
      </c>
      <c r="H1609">
        <v>0.26</v>
      </c>
      <c r="I1609" t="s">
        <v>1349</v>
      </c>
      <c r="J1609">
        <v>1155.2436</v>
      </c>
    </row>
    <row r="1610" spans="1:10">
      <c r="A1610" t="s">
        <v>2959</v>
      </c>
      <c r="B1610" s="1">
        <v>45390</v>
      </c>
      <c r="C1610" t="s">
        <v>829</v>
      </c>
      <c r="D1610" t="s">
        <v>1263</v>
      </c>
      <c r="E1610" t="s">
        <v>1338</v>
      </c>
      <c r="F1610">
        <v>1</v>
      </c>
      <c r="G1610">
        <v>511.35</v>
      </c>
      <c r="H1610">
        <v>0</v>
      </c>
      <c r="I1610" t="s">
        <v>1349</v>
      </c>
      <c r="J1610">
        <v>511.35</v>
      </c>
    </row>
    <row r="1611" spans="1:10">
      <c r="A1611" t="s">
        <v>2960</v>
      </c>
      <c r="B1611" s="1">
        <v>45803</v>
      </c>
      <c r="C1611" t="s">
        <v>59</v>
      </c>
      <c r="D1611" t="s">
        <v>1267</v>
      </c>
      <c r="E1611" t="s">
        <v>1291</v>
      </c>
      <c r="F1611">
        <v>4</v>
      </c>
      <c r="G1611">
        <v>44.07</v>
      </c>
      <c r="H1611">
        <v>0.28999999999999998</v>
      </c>
      <c r="I1611" t="s">
        <v>1354</v>
      </c>
      <c r="J1611">
        <v>125.1588</v>
      </c>
    </row>
    <row r="1612" spans="1:10">
      <c r="A1612" t="s">
        <v>2961</v>
      </c>
      <c r="B1612" s="1">
        <v>45320</v>
      </c>
      <c r="C1612" t="s">
        <v>456</v>
      </c>
      <c r="D1612" t="s">
        <v>1211</v>
      </c>
      <c r="E1612" t="s">
        <v>1317</v>
      </c>
      <c r="F1612">
        <v>2</v>
      </c>
      <c r="G1612">
        <v>895.92</v>
      </c>
      <c r="H1612">
        <v>0.15</v>
      </c>
      <c r="I1612" t="s">
        <v>1349</v>
      </c>
      <c r="J1612">
        <v>1523.0640000000001</v>
      </c>
    </row>
    <row r="1613" spans="1:10">
      <c r="A1613" t="s">
        <v>2962</v>
      </c>
      <c r="B1613" s="1">
        <v>45619</v>
      </c>
      <c r="C1613" t="s">
        <v>674</v>
      </c>
      <c r="D1613" t="s">
        <v>1179</v>
      </c>
      <c r="E1613" t="s">
        <v>1286</v>
      </c>
      <c r="F1613">
        <v>4</v>
      </c>
      <c r="G1613">
        <v>456.32</v>
      </c>
      <c r="H1613">
        <v>0.22</v>
      </c>
      <c r="I1613" t="s">
        <v>1354</v>
      </c>
      <c r="J1613">
        <v>1423.7184</v>
      </c>
    </row>
    <row r="1614" spans="1:10">
      <c r="A1614" t="s">
        <v>2963</v>
      </c>
      <c r="B1614" s="1">
        <v>45777</v>
      </c>
      <c r="C1614" t="s">
        <v>903</v>
      </c>
      <c r="D1614" t="s">
        <v>1141</v>
      </c>
      <c r="E1614" t="s">
        <v>1277</v>
      </c>
      <c r="F1614">
        <v>1</v>
      </c>
      <c r="G1614">
        <v>905.5</v>
      </c>
      <c r="H1614">
        <v>0.28999999999999998</v>
      </c>
      <c r="I1614" t="s">
        <v>1354</v>
      </c>
      <c r="J1614">
        <v>642.90499999999997</v>
      </c>
    </row>
    <row r="1615" spans="1:10">
      <c r="A1615" t="s">
        <v>2964</v>
      </c>
      <c r="B1615" s="1">
        <v>45523</v>
      </c>
      <c r="C1615" t="s">
        <v>470</v>
      </c>
      <c r="D1615" t="s">
        <v>1105</v>
      </c>
      <c r="E1615" t="s">
        <v>1322</v>
      </c>
      <c r="F1615">
        <v>3</v>
      </c>
      <c r="G1615">
        <v>63.19</v>
      </c>
      <c r="H1615">
        <v>0.08</v>
      </c>
      <c r="I1615" t="s">
        <v>1349</v>
      </c>
      <c r="J1615">
        <v>174.40440000000001</v>
      </c>
    </row>
    <row r="1616" spans="1:10">
      <c r="A1616" t="s">
        <v>2965</v>
      </c>
      <c r="B1616" s="1">
        <v>45628</v>
      </c>
      <c r="C1616" t="s">
        <v>142</v>
      </c>
      <c r="D1616" t="s">
        <v>1213</v>
      </c>
      <c r="E1616" t="s">
        <v>1304</v>
      </c>
      <c r="F1616">
        <v>3</v>
      </c>
      <c r="G1616">
        <v>687.66</v>
      </c>
      <c r="H1616">
        <v>0.06</v>
      </c>
      <c r="I1616" t="s">
        <v>1351</v>
      </c>
      <c r="J1616">
        <v>1939.2012</v>
      </c>
    </row>
    <row r="1617" spans="1:10">
      <c r="A1617" t="s">
        <v>2966</v>
      </c>
      <c r="B1617" s="1">
        <v>45742</v>
      </c>
      <c r="C1617" t="s">
        <v>500</v>
      </c>
      <c r="D1617" t="s">
        <v>1159</v>
      </c>
      <c r="E1617" t="s">
        <v>1311</v>
      </c>
      <c r="F1617">
        <v>4</v>
      </c>
      <c r="G1617">
        <v>639.05999999999995</v>
      </c>
      <c r="H1617">
        <v>0.12</v>
      </c>
      <c r="I1617" t="s">
        <v>1351</v>
      </c>
      <c r="J1617">
        <v>2249.4911999999999</v>
      </c>
    </row>
    <row r="1618" spans="1:10">
      <c r="A1618" t="s">
        <v>2967</v>
      </c>
      <c r="B1618" s="1">
        <v>45456</v>
      </c>
      <c r="C1618" t="s">
        <v>182</v>
      </c>
      <c r="D1618" t="s">
        <v>1215</v>
      </c>
      <c r="E1618" t="s">
        <v>1304</v>
      </c>
      <c r="F1618">
        <v>1</v>
      </c>
      <c r="G1618">
        <v>475.15</v>
      </c>
      <c r="H1618">
        <v>0.04</v>
      </c>
      <c r="I1618" t="s">
        <v>1354</v>
      </c>
      <c r="J1618">
        <v>456.14399999999989</v>
      </c>
    </row>
    <row r="1619" spans="1:10">
      <c r="A1619" t="s">
        <v>2968</v>
      </c>
      <c r="B1619" s="1">
        <v>45534</v>
      </c>
      <c r="C1619" t="s">
        <v>442</v>
      </c>
      <c r="D1619" t="s">
        <v>1161</v>
      </c>
      <c r="E1619" t="s">
        <v>1301</v>
      </c>
      <c r="F1619">
        <v>1</v>
      </c>
      <c r="G1619">
        <v>62.38</v>
      </c>
      <c r="H1619">
        <v>0.08</v>
      </c>
      <c r="I1619" t="s">
        <v>1354</v>
      </c>
      <c r="J1619">
        <v>57.389600000000002</v>
      </c>
    </row>
    <row r="1620" spans="1:10">
      <c r="A1620" t="s">
        <v>2969</v>
      </c>
      <c r="B1620" s="1">
        <v>45375</v>
      </c>
      <c r="C1620" t="s">
        <v>771</v>
      </c>
      <c r="D1620" t="s">
        <v>1103</v>
      </c>
      <c r="E1620" t="s">
        <v>1304</v>
      </c>
      <c r="F1620">
        <v>1</v>
      </c>
      <c r="G1620">
        <v>977.02</v>
      </c>
      <c r="H1620">
        <v>0.2</v>
      </c>
      <c r="I1620" t="s">
        <v>1354</v>
      </c>
      <c r="J1620">
        <v>781.61599999999999</v>
      </c>
    </row>
    <row r="1621" spans="1:10">
      <c r="A1621" t="s">
        <v>2970</v>
      </c>
      <c r="B1621" s="1">
        <v>45546</v>
      </c>
      <c r="C1621" t="s">
        <v>199</v>
      </c>
      <c r="D1621" t="s">
        <v>1239</v>
      </c>
      <c r="E1621" t="s">
        <v>1294</v>
      </c>
      <c r="F1621">
        <v>2</v>
      </c>
      <c r="G1621">
        <v>898.81</v>
      </c>
      <c r="H1621">
        <v>0.25</v>
      </c>
      <c r="I1621" t="s">
        <v>1349</v>
      </c>
      <c r="J1621">
        <v>1348.2149999999999</v>
      </c>
    </row>
    <row r="1622" spans="1:10">
      <c r="A1622" t="s">
        <v>2971</v>
      </c>
      <c r="B1622" s="1">
        <v>45769</v>
      </c>
      <c r="C1622" t="s">
        <v>766</v>
      </c>
      <c r="D1622" t="s">
        <v>1187</v>
      </c>
      <c r="E1622" t="s">
        <v>1291</v>
      </c>
      <c r="F1622">
        <v>2</v>
      </c>
      <c r="G1622">
        <v>422.13</v>
      </c>
      <c r="H1622">
        <v>0.28000000000000003</v>
      </c>
      <c r="I1622" t="s">
        <v>1349</v>
      </c>
      <c r="J1622">
        <v>607.86720000000003</v>
      </c>
    </row>
    <row r="1623" spans="1:10">
      <c r="A1623" t="s">
        <v>2972</v>
      </c>
      <c r="B1623" s="1">
        <v>45524</v>
      </c>
      <c r="C1623" t="s">
        <v>142</v>
      </c>
      <c r="D1623" t="s">
        <v>1141</v>
      </c>
      <c r="E1623" t="s">
        <v>1317</v>
      </c>
      <c r="F1623">
        <v>1</v>
      </c>
      <c r="G1623">
        <v>324.56</v>
      </c>
      <c r="H1623">
        <v>0.03</v>
      </c>
      <c r="I1623" t="s">
        <v>1354</v>
      </c>
      <c r="J1623">
        <v>314.82319999999999</v>
      </c>
    </row>
    <row r="1624" spans="1:10">
      <c r="A1624" t="s">
        <v>2973</v>
      </c>
      <c r="B1624" s="1">
        <v>45531</v>
      </c>
      <c r="C1624" t="s">
        <v>998</v>
      </c>
      <c r="D1624" t="s">
        <v>1183</v>
      </c>
      <c r="E1624" t="s">
        <v>1329</v>
      </c>
      <c r="F1624">
        <v>4</v>
      </c>
      <c r="G1624">
        <v>570.38</v>
      </c>
      <c r="H1624">
        <v>0.26</v>
      </c>
      <c r="I1624" t="s">
        <v>1351</v>
      </c>
      <c r="J1624">
        <v>1688.3248000000001</v>
      </c>
    </row>
    <row r="1625" spans="1:10">
      <c r="A1625" t="s">
        <v>2974</v>
      </c>
      <c r="B1625" s="1">
        <v>45479</v>
      </c>
      <c r="C1625" t="s">
        <v>851</v>
      </c>
      <c r="D1625" t="s">
        <v>1141</v>
      </c>
      <c r="E1625" t="s">
        <v>1326</v>
      </c>
      <c r="F1625">
        <v>2</v>
      </c>
      <c r="G1625">
        <v>223.73</v>
      </c>
      <c r="H1625">
        <v>0.11</v>
      </c>
      <c r="I1625" t="s">
        <v>1351</v>
      </c>
      <c r="J1625">
        <v>398.23939999999999</v>
      </c>
    </row>
    <row r="1626" spans="1:10">
      <c r="A1626" t="s">
        <v>2975</v>
      </c>
      <c r="B1626" s="1">
        <v>45868</v>
      </c>
      <c r="C1626" t="s">
        <v>766</v>
      </c>
      <c r="D1626" t="s">
        <v>1245</v>
      </c>
      <c r="E1626" t="s">
        <v>1329</v>
      </c>
      <c r="F1626">
        <v>4</v>
      </c>
      <c r="G1626">
        <v>164.93</v>
      </c>
      <c r="H1626">
        <v>0.11</v>
      </c>
      <c r="I1626" t="s">
        <v>1349</v>
      </c>
      <c r="J1626">
        <v>587.1508</v>
      </c>
    </row>
    <row r="1627" spans="1:10">
      <c r="A1627" t="s">
        <v>2976</v>
      </c>
      <c r="B1627" s="1">
        <v>45569</v>
      </c>
      <c r="C1627" t="s">
        <v>561</v>
      </c>
      <c r="D1627" t="s">
        <v>1103</v>
      </c>
      <c r="E1627" t="s">
        <v>1304</v>
      </c>
      <c r="F1627">
        <v>3</v>
      </c>
      <c r="G1627">
        <v>326.66000000000003</v>
      </c>
      <c r="H1627">
        <v>0.28000000000000003</v>
      </c>
      <c r="I1627" t="s">
        <v>1354</v>
      </c>
      <c r="J1627">
        <v>705.5856</v>
      </c>
    </row>
    <row r="1628" spans="1:10">
      <c r="A1628" t="s">
        <v>2977</v>
      </c>
      <c r="B1628" s="1">
        <v>45382</v>
      </c>
      <c r="C1628" t="s">
        <v>426</v>
      </c>
      <c r="D1628" t="s">
        <v>1071</v>
      </c>
      <c r="E1628" t="s">
        <v>1326</v>
      </c>
      <c r="F1628">
        <v>2</v>
      </c>
      <c r="G1628">
        <v>462.93</v>
      </c>
      <c r="H1628">
        <v>0.17</v>
      </c>
      <c r="I1628" t="s">
        <v>1351</v>
      </c>
      <c r="J1628">
        <v>768.46379999999999</v>
      </c>
    </row>
    <row r="1629" spans="1:10">
      <c r="A1629" t="s">
        <v>2978</v>
      </c>
      <c r="B1629" s="1">
        <v>45885</v>
      </c>
      <c r="C1629" t="s">
        <v>355</v>
      </c>
      <c r="D1629" t="s">
        <v>1068</v>
      </c>
      <c r="E1629" t="s">
        <v>1329</v>
      </c>
      <c r="F1629">
        <v>3</v>
      </c>
      <c r="G1629">
        <v>60.26</v>
      </c>
      <c r="H1629">
        <v>0.04</v>
      </c>
      <c r="I1629" t="s">
        <v>1349</v>
      </c>
      <c r="J1629">
        <v>173.5488</v>
      </c>
    </row>
    <row r="1630" spans="1:10">
      <c r="A1630" t="s">
        <v>2979</v>
      </c>
      <c r="B1630" s="1">
        <v>45829</v>
      </c>
      <c r="C1630" t="s">
        <v>192</v>
      </c>
      <c r="D1630" t="s">
        <v>1141</v>
      </c>
      <c r="E1630" t="s">
        <v>1311</v>
      </c>
      <c r="F1630">
        <v>3</v>
      </c>
      <c r="G1630">
        <v>109.5</v>
      </c>
      <c r="H1630">
        <v>0.06</v>
      </c>
      <c r="I1630" t="s">
        <v>1354</v>
      </c>
      <c r="J1630">
        <v>308.79000000000002</v>
      </c>
    </row>
    <row r="1631" spans="1:10">
      <c r="A1631" t="s">
        <v>2980</v>
      </c>
      <c r="B1631" s="1">
        <v>45721</v>
      </c>
      <c r="C1631" t="s">
        <v>827</v>
      </c>
      <c r="D1631" t="s">
        <v>1213</v>
      </c>
      <c r="E1631" t="s">
        <v>1329</v>
      </c>
      <c r="F1631">
        <v>1</v>
      </c>
      <c r="G1631">
        <v>505.83</v>
      </c>
      <c r="H1631">
        <v>0.14000000000000001</v>
      </c>
      <c r="I1631" t="s">
        <v>1354</v>
      </c>
      <c r="J1631">
        <v>435.0138</v>
      </c>
    </row>
    <row r="1632" spans="1:10">
      <c r="A1632" t="s">
        <v>2981</v>
      </c>
      <c r="B1632" s="1">
        <v>45511</v>
      </c>
      <c r="C1632" t="s">
        <v>387</v>
      </c>
      <c r="D1632" t="s">
        <v>1269</v>
      </c>
      <c r="E1632" t="s">
        <v>1314</v>
      </c>
      <c r="F1632">
        <v>2</v>
      </c>
      <c r="G1632">
        <v>443.15</v>
      </c>
      <c r="H1632">
        <v>0.27</v>
      </c>
      <c r="I1632" t="s">
        <v>1351</v>
      </c>
      <c r="J1632">
        <v>646.99899999999991</v>
      </c>
    </row>
    <row r="1633" spans="1:10">
      <c r="A1633" t="s">
        <v>2982</v>
      </c>
      <c r="B1633" s="1">
        <v>45739</v>
      </c>
      <c r="C1633" t="s">
        <v>1055</v>
      </c>
      <c r="D1633" t="s">
        <v>1085</v>
      </c>
      <c r="E1633" t="s">
        <v>1304</v>
      </c>
      <c r="F1633">
        <v>2</v>
      </c>
      <c r="G1633">
        <v>784.26</v>
      </c>
      <c r="H1633">
        <v>0.23</v>
      </c>
      <c r="I1633" t="s">
        <v>1351</v>
      </c>
      <c r="J1633">
        <v>1207.7603999999999</v>
      </c>
    </row>
    <row r="1634" spans="1:10">
      <c r="A1634" t="s">
        <v>2983</v>
      </c>
      <c r="B1634" s="1">
        <v>45533</v>
      </c>
      <c r="C1634" t="s">
        <v>973</v>
      </c>
      <c r="D1634" t="s">
        <v>1151</v>
      </c>
      <c r="E1634" t="s">
        <v>1317</v>
      </c>
      <c r="F1634">
        <v>3</v>
      </c>
      <c r="G1634">
        <v>590.30999999999995</v>
      </c>
      <c r="H1634">
        <v>0.17</v>
      </c>
      <c r="I1634" t="s">
        <v>1351</v>
      </c>
      <c r="J1634">
        <v>1469.8719000000001</v>
      </c>
    </row>
    <row r="1635" spans="1:10">
      <c r="A1635" t="s">
        <v>2984</v>
      </c>
      <c r="B1635" s="1">
        <v>45553</v>
      </c>
      <c r="C1635" t="s">
        <v>300</v>
      </c>
      <c r="D1635" t="s">
        <v>1211</v>
      </c>
      <c r="E1635" t="s">
        <v>1329</v>
      </c>
      <c r="F1635">
        <v>1</v>
      </c>
      <c r="G1635">
        <v>696.13</v>
      </c>
      <c r="H1635">
        <v>0.06</v>
      </c>
      <c r="I1635" t="s">
        <v>1354</v>
      </c>
      <c r="J1635">
        <v>654.36219999999992</v>
      </c>
    </row>
    <row r="1636" spans="1:10">
      <c r="A1636" t="s">
        <v>2985</v>
      </c>
      <c r="B1636" s="1">
        <v>45341</v>
      </c>
      <c r="C1636" t="s">
        <v>267</v>
      </c>
      <c r="D1636" t="s">
        <v>1175</v>
      </c>
      <c r="E1636" t="s">
        <v>1301</v>
      </c>
      <c r="F1636">
        <v>4</v>
      </c>
      <c r="G1636">
        <v>194.39</v>
      </c>
      <c r="H1636">
        <v>0.25</v>
      </c>
      <c r="I1636" t="s">
        <v>1349</v>
      </c>
      <c r="J1636">
        <v>583.16999999999996</v>
      </c>
    </row>
    <row r="1637" spans="1:10">
      <c r="A1637" t="s">
        <v>2986</v>
      </c>
      <c r="B1637" s="1">
        <v>45430</v>
      </c>
      <c r="C1637" t="s">
        <v>724</v>
      </c>
      <c r="D1637" t="s">
        <v>1139</v>
      </c>
      <c r="E1637" t="s">
        <v>1282</v>
      </c>
      <c r="F1637">
        <v>1</v>
      </c>
      <c r="G1637">
        <v>339.7</v>
      </c>
      <c r="H1637">
        <v>0.1</v>
      </c>
      <c r="I1637" t="s">
        <v>1349</v>
      </c>
      <c r="J1637">
        <v>305.73</v>
      </c>
    </row>
    <row r="1638" spans="1:10">
      <c r="A1638" t="s">
        <v>2987</v>
      </c>
      <c r="B1638" s="1">
        <v>45912</v>
      </c>
      <c r="C1638" t="s">
        <v>138</v>
      </c>
      <c r="D1638" t="s">
        <v>1209</v>
      </c>
      <c r="E1638" t="s">
        <v>1322</v>
      </c>
      <c r="F1638">
        <v>4</v>
      </c>
      <c r="G1638">
        <v>463.16</v>
      </c>
      <c r="H1638">
        <v>0.27</v>
      </c>
      <c r="I1638" t="s">
        <v>1351</v>
      </c>
      <c r="J1638">
        <v>1352.4272000000001</v>
      </c>
    </row>
    <row r="1639" spans="1:10">
      <c r="A1639" t="s">
        <v>2988</v>
      </c>
      <c r="B1639" s="1">
        <v>45709</v>
      </c>
      <c r="C1639" t="s">
        <v>273</v>
      </c>
      <c r="D1639" t="s">
        <v>1080</v>
      </c>
      <c r="E1639" t="s">
        <v>1314</v>
      </c>
      <c r="F1639">
        <v>2</v>
      </c>
      <c r="G1639">
        <v>824.91</v>
      </c>
      <c r="H1639">
        <v>0.09</v>
      </c>
      <c r="I1639" t="s">
        <v>1349</v>
      </c>
      <c r="J1639">
        <v>1501.3362</v>
      </c>
    </row>
    <row r="1640" spans="1:10">
      <c r="A1640" t="s">
        <v>2989</v>
      </c>
      <c r="B1640" s="1">
        <v>45520</v>
      </c>
      <c r="C1640" t="s">
        <v>190</v>
      </c>
      <c r="D1640" t="s">
        <v>1080</v>
      </c>
      <c r="E1640" t="s">
        <v>1286</v>
      </c>
      <c r="F1640">
        <v>4</v>
      </c>
      <c r="G1640">
        <v>796.89</v>
      </c>
      <c r="H1640">
        <v>0.17</v>
      </c>
      <c r="I1640" t="s">
        <v>1349</v>
      </c>
      <c r="J1640">
        <v>2645.6747999999998</v>
      </c>
    </row>
    <row r="1641" spans="1:10">
      <c r="A1641" t="s">
        <v>2990</v>
      </c>
      <c r="B1641" s="1">
        <v>45478</v>
      </c>
      <c r="C1641" t="s">
        <v>543</v>
      </c>
      <c r="D1641" t="s">
        <v>1125</v>
      </c>
      <c r="E1641" t="s">
        <v>1332</v>
      </c>
      <c r="F1641">
        <v>3</v>
      </c>
      <c r="G1641">
        <v>543.92999999999995</v>
      </c>
      <c r="H1641">
        <v>0.3</v>
      </c>
      <c r="I1641" t="s">
        <v>1354</v>
      </c>
      <c r="J1641">
        <v>1142.2529999999999</v>
      </c>
    </row>
    <row r="1642" spans="1:10">
      <c r="A1642" t="s">
        <v>2991</v>
      </c>
      <c r="B1642" s="1">
        <v>45496</v>
      </c>
      <c r="C1642" t="s">
        <v>407</v>
      </c>
      <c r="D1642" t="s">
        <v>1101</v>
      </c>
      <c r="E1642" t="s">
        <v>1304</v>
      </c>
      <c r="F1642">
        <v>2</v>
      </c>
      <c r="G1642">
        <v>44.65</v>
      </c>
      <c r="H1642">
        <v>0.03</v>
      </c>
      <c r="I1642" t="s">
        <v>1351</v>
      </c>
      <c r="J1642">
        <v>86.620999999999995</v>
      </c>
    </row>
    <row r="1643" spans="1:10">
      <c r="A1643" t="s">
        <v>2992</v>
      </c>
      <c r="B1643" s="1">
        <v>45742</v>
      </c>
      <c r="C1643" t="s">
        <v>563</v>
      </c>
      <c r="D1643" t="s">
        <v>1185</v>
      </c>
      <c r="E1643" t="s">
        <v>1277</v>
      </c>
      <c r="F1643">
        <v>4</v>
      </c>
      <c r="G1643">
        <v>827.39</v>
      </c>
      <c r="H1643">
        <v>0.06</v>
      </c>
      <c r="I1643" t="s">
        <v>1354</v>
      </c>
      <c r="J1643">
        <v>3110.9863999999998</v>
      </c>
    </row>
    <row r="1644" spans="1:10">
      <c r="A1644" t="s">
        <v>2993</v>
      </c>
      <c r="B1644" s="1">
        <v>45301</v>
      </c>
      <c r="C1644" t="s">
        <v>680</v>
      </c>
      <c r="D1644" t="s">
        <v>1101</v>
      </c>
      <c r="E1644" t="s">
        <v>1319</v>
      </c>
      <c r="F1644">
        <v>2</v>
      </c>
      <c r="G1644">
        <v>403.2</v>
      </c>
      <c r="H1644">
        <v>0.21</v>
      </c>
      <c r="I1644" t="s">
        <v>1351</v>
      </c>
      <c r="J1644">
        <v>637.05600000000004</v>
      </c>
    </row>
    <row r="1645" spans="1:10">
      <c r="A1645" t="s">
        <v>2994</v>
      </c>
      <c r="B1645" s="1">
        <v>45547</v>
      </c>
      <c r="C1645" t="s">
        <v>61</v>
      </c>
      <c r="D1645" t="s">
        <v>1245</v>
      </c>
      <c r="E1645" t="s">
        <v>1322</v>
      </c>
      <c r="F1645">
        <v>4</v>
      </c>
      <c r="G1645">
        <v>292.31</v>
      </c>
      <c r="H1645">
        <v>0.27</v>
      </c>
      <c r="I1645" t="s">
        <v>1351</v>
      </c>
      <c r="J1645">
        <v>853.54520000000002</v>
      </c>
    </row>
    <row r="1646" spans="1:10">
      <c r="A1646" t="s">
        <v>2995</v>
      </c>
      <c r="B1646" s="1">
        <v>45806</v>
      </c>
      <c r="C1646" t="s">
        <v>1045</v>
      </c>
      <c r="D1646" t="s">
        <v>1074</v>
      </c>
      <c r="E1646" t="s">
        <v>1314</v>
      </c>
      <c r="F1646">
        <v>1</v>
      </c>
      <c r="G1646">
        <v>948.33</v>
      </c>
      <c r="H1646">
        <v>0.11</v>
      </c>
      <c r="I1646" t="s">
        <v>1349</v>
      </c>
      <c r="J1646">
        <v>844.01370000000009</v>
      </c>
    </row>
    <row r="1647" spans="1:10">
      <c r="A1647" t="s">
        <v>2996</v>
      </c>
      <c r="B1647" s="1">
        <v>45294</v>
      </c>
      <c r="C1647" t="s">
        <v>750</v>
      </c>
      <c r="D1647" t="s">
        <v>1151</v>
      </c>
      <c r="E1647" t="s">
        <v>1298</v>
      </c>
      <c r="F1647">
        <v>1</v>
      </c>
      <c r="G1647">
        <v>702.27</v>
      </c>
      <c r="H1647">
        <v>0.17</v>
      </c>
      <c r="I1647" t="s">
        <v>1354</v>
      </c>
      <c r="J1647">
        <v>582.88409999999999</v>
      </c>
    </row>
    <row r="1648" spans="1:10">
      <c r="A1648" t="s">
        <v>2997</v>
      </c>
      <c r="B1648" s="1">
        <v>45875</v>
      </c>
      <c r="C1648" t="s">
        <v>120</v>
      </c>
      <c r="D1648" t="s">
        <v>1133</v>
      </c>
      <c r="E1648" t="s">
        <v>1291</v>
      </c>
      <c r="F1648">
        <v>2</v>
      </c>
      <c r="G1648">
        <v>379.28</v>
      </c>
      <c r="H1648">
        <v>0.26</v>
      </c>
      <c r="I1648" t="s">
        <v>1349</v>
      </c>
      <c r="J1648">
        <v>561.33439999999996</v>
      </c>
    </row>
    <row r="1649" spans="1:10">
      <c r="A1649" t="s">
        <v>2998</v>
      </c>
      <c r="B1649" s="1">
        <v>45669</v>
      </c>
      <c r="C1649" t="s">
        <v>325</v>
      </c>
      <c r="D1649" t="s">
        <v>1167</v>
      </c>
      <c r="E1649" t="s">
        <v>1277</v>
      </c>
      <c r="F1649">
        <v>4</v>
      </c>
      <c r="G1649">
        <v>92.35</v>
      </c>
      <c r="H1649">
        <v>0.15</v>
      </c>
      <c r="I1649" t="s">
        <v>1349</v>
      </c>
      <c r="J1649">
        <v>313.99</v>
      </c>
    </row>
    <row r="1650" spans="1:10">
      <c r="A1650" t="s">
        <v>2999</v>
      </c>
      <c r="B1650" s="1">
        <v>45606</v>
      </c>
      <c r="C1650" t="s">
        <v>500</v>
      </c>
      <c r="D1650" t="s">
        <v>1151</v>
      </c>
      <c r="E1650" t="s">
        <v>1319</v>
      </c>
      <c r="F1650">
        <v>4</v>
      </c>
      <c r="G1650">
        <v>721.54</v>
      </c>
      <c r="H1650">
        <v>0.21</v>
      </c>
      <c r="I1650" t="s">
        <v>1349</v>
      </c>
      <c r="J1650">
        <v>2280.0664000000002</v>
      </c>
    </row>
    <row r="1651" spans="1:10">
      <c r="A1651" t="s">
        <v>3000</v>
      </c>
      <c r="B1651" s="1">
        <v>45787</v>
      </c>
      <c r="C1651" t="s">
        <v>150</v>
      </c>
      <c r="D1651" t="s">
        <v>1149</v>
      </c>
      <c r="E1651" t="s">
        <v>1311</v>
      </c>
      <c r="F1651">
        <v>1</v>
      </c>
      <c r="G1651">
        <v>228.69</v>
      </c>
      <c r="H1651">
        <v>0.14000000000000001</v>
      </c>
      <c r="I1651" t="s">
        <v>1349</v>
      </c>
      <c r="J1651">
        <v>196.67339999999999</v>
      </c>
    </row>
    <row r="1652" spans="1:10">
      <c r="A1652" t="s">
        <v>3001</v>
      </c>
      <c r="B1652" s="1">
        <v>45929</v>
      </c>
      <c r="C1652" t="s">
        <v>773</v>
      </c>
      <c r="D1652" t="s">
        <v>1179</v>
      </c>
      <c r="E1652" t="s">
        <v>1314</v>
      </c>
      <c r="F1652">
        <v>1</v>
      </c>
      <c r="G1652">
        <v>899.09</v>
      </c>
      <c r="H1652">
        <v>0.2</v>
      </c>
      <c r="I1652" t="s">
        <v>1351</v>
      </c>
      <c r="J1652">
        <v>719.27200000000005</v>
      </c>
    </row>
    <row r="1653" spans="1:10">
      <c r="A1653" t="s">
        <v>3002</v>
      </c>
      <c r="B1653" s="1">
        <v>45379</v>
      </c>
      <c r="C1653" t="s">
        <v>831</v>
      </c>
      <c r="D1653" t="s">
        <v>1087</v>
      </c>
      <c r="E1653" t="s">
        <v>1307</v>
      </c>
      <c r="F1653">
        <v>4</v>
      </c>
      <c r="G1653">
        <v>195.75</v>
      </c>
      <c r="H1653">
        <v>0.17</v>
      </c>
      <c r="I1653" t="s">
        <v>1349</v>
      </c>
      <c r="J1653">
        <v>649.89</v>
      </c>
    </row>
    <row r="1654" spans="1:10">
      <c r="A1654" t="s">
        <v>3003</v>
      </c>
      <c r="B1654" s="1">
        <v>45532</v>
      </c>
      <c r="C1654" t="s">
        <v>915</v>
      </c>
      <c r="D1654" t="s">
        <v>1259</v>
      </c>
      <c r="E1654" t="s">
        <v>1326</v>
      </c>
      <c r="F1654">
        <v>3</v>
      </c>
      <c r="G1654">
        <v>199.13</v>
      </c>
      <c r="H1654">
        <v>0.24</v>
      </c>
      <c r="I1654" t="s">
        <v>1349</v>
      </c>
      <c r="J1654">
        <v>454.01639999999998</v>
      </c>
    </row>
    <row r="1655" spans="1:10">
      <c r="A1655" t="s">
        <v>3004</v>
      </c>
      <c r="B1655" s="1">
        <v>45466</v>
      </c>
      <c r="C1655" t="s">
        <v>381</v>
      </c>
      <c r="D1655" t="s">
        <v>1117</v>
      </c>
      <c r="E1655" t="s">
        <v>1324</v>
      </c>
      <c r="F1655">
        <v>2</v>
      </c>
      <c r="G1655">
        <v>833.62</v>
      </c>
      <c r="H1655">
        <v>0.18</v>
      </c>
      <c r="I1655" t="s">
        <v>1349</v>
      </c>
      <c r="J1655">
        <v>1367.1368</v>
      </c>
    </row>
    <row r="1656" spans="1:10">
      <c r="A1656" t="s">
        <v>3005</v>
      </c>
      <c r="B1656" s="1">
        <v>45395</v>
      </c>
      <c r="C1656" t="s">
        <v>1029</v>
      </c>
      <c r="D1656" t="s">
        <v>1223</v>
      </c>
      <c r="E1656" t="s">
        <v>1277</v>
      </c>
      <c r="F1656">
        <v>1</v>
      </c>
      <c r="G1656">
        <v>676.26</v>
      </c>
      <c r="H1656">
        <v>0.14000000000000001</v>
      </c>
      <c r="I1656" t="s">
        <v>1349</v>
      </c>
      <c r="J1656">
        <v>581.58359999999993</v>
      </c>
    </row>
    <row r="1657" spans="1:10">
      <c r="A1657" t="s">
        <v>3006</v>
      </c>
      <c r="B1657" s="1">
        <v>45708</v>
      </c>
      <c r="C1657" t="s">
        <v>99</v>
      </c>
      <c r="D1657" t="s">
        <v>1193</v>
      </c>
      <c r="E1657" t="s">
        <v>1311</v>
      </c>
      <c r="F1657">
        <v>2</v>
      </c>
      <c r="G1657">
        <v>666.49</v>
      </c>
      <c r="H1657">
        <v>0.06</v>
      </c>
      <c r="I1657" t="s">
        <v>1349</v>
      </c>
      <c r="J1657">
        <v>1253.0011999999999</v>
      </c>
    </row>
    <row r="1658" spans="1:10">
      <c r="A1658" t="s">
        <v>3007</v>
      </c>
      <c r="B1658" s="1">
        <v>45735</v>
      </c>
      <c r="C1658" t="s">
        <v>982</v>
      </c>
      <c r="D1658" t="s">
        <v>1103</v>
      </c>
      <c r="E1658" t="s">
        <v>1294</v>
      </c>
      <c r="F1658">
        <v>3</v>
      </c>
      <c r="G1658">
        <v>471.19</v>
      </c>
      <c r="H1658">
        <v>0.28000000000000003</v>
      </c>
      <c r="I1658" t="s">
        <v>1354</v>
      </c>
      <c r="J1658">
        <v>1017.7704</v>
      </c>
    </row>
    <row r="1659" spans="1:10">
      <c r="A1659" t="s">
        <v>3008</v>
      </c>
      <c r="B1659" s="1">
        <v>45237</v>
      </c>
      <c r="C1659" t="s">
        <v>298</v>
      </c>
      <c r="D1659" t="s">
        <v>1087</v>
      </c>
      <c r="E1659" t="s">
        <v>1291</v>
      </c>
      <c r="F1659">
        <v>4</v>
      </c>
      <c r="G1659">
        <v>555.65</v>
      </c>
      <c r="H1659">
        <v>0.25</v>
      </c>
      <c r="I1659" t="s">
        <v>1354</v>
      </c>
      <c r="J1659">
        <v>1666.95</v>
      </c>
    </row>
    <row r="1660" spans="1:10">
      <c r="A1660" t="s">
        <v>3009</v>
      </c>
      <c r="B1660" s="1">
        <v>45282</v>
      </c>
      <c r="C1660" t="s">
        <v>107</v>
      </c>
      <c r="D1660" t="s">
        <v>1263</v>
      </c>
      <c r="E1660" t="s">
        <v>1324</v>
      </c>
      <c r="F1660">
        <v>2</v>
      </c>
      <c r="G1660">
        <v>100.42</v>
      </c>
      <c r="H1660">
        <v>0.06</v>
      </c>
      <c r="I1660" t="s">
        <v>1349</v>
      </c>
      <c r="J1660">
        <v>188.78960000000001</v>
      </c>
    </row>
    <row r="1661" spans="1:10">
      <c r="A1661" t="s">
        <v>3010</v>
      </c>
      <c r="B1661" s="1">
        <v>45337</v>
      </c>
      <c r="C1661" t="s">
        <v>142</v>
      </c>
      <c r="D1661" t="s">
        <v>1269</v>
      </c>
      <c r="E1661" t="s">
        <v>1335</v>
      </c>
      <c r="F1661">
        <v>3</v>
      </c>
      <c r="G1661">
        <v>981.69</v>
      </c>
      <c r="H1661">
        <v>0.05</v>
      </c>
      <c r="I1661" t="s">
        <v>1354</v>
      </c>
      <c r="J1661">
        <v>2797.8164999999999</v>
      </c>
    </row>
    <row r="1662" spans="1:10">
      <c r="A1662" t="s">
        <v>3011</v>
      </c>
      <c r="B1662" s="1">
        <v>45310</v>
      </c>
      <c r="C1662" t="s">
        <v>718</v>
      </c>
      <c r="D1662" t="s">
        <v>1093</v>
      </c>
      <c r="E1662" t="s">
        <v>1329</v>
      </c>
      <c r="F1662">
        <v>2</v>
      </c>
      <c r="G1662">
        <v>848.87</v>
      </c>
      <c r="H1662">
        <v>0.09</v>
      </c>
      <c r="I1662" t="s">
        <v>1354</v>
      </c>
      <c r="J1662">
        <v>1544.9434000000001</v>
      </c>
    </row>
    <row r="1663" spans="1:10">
      <c r="A1663" t="s">
        <v>3012</v>
      </c>
      <c r="B1663" s="1">
        <v>45230</v>
      </c>
      <c r="C1663" t="s">
        <v>813</v>
      </c>
      <c r="D1663" t="s">
        <v>1265</v>
      </c>
      <c r="E1663" t="s">
        <v>1314</v>
      </c>
      <c r="F1663">
        <v>3</v>
      </c>
      <c r="G1663">
        <v>582.32000000000005</v>
      </c>
      <c r="H1663">
        <v>0</v>
      </c>
      <c r="I1663" t="s">
        <v>1351</v>
      </c>
      <c r="J1663">
        <v>1746.96</v>
      </c>
    </row>
    <row r="1664" spans="1:10">
      <c r="A1664" t="s">
        <v>3013</v>
      </c>
      <c r="B1664" s="1">
        <v>45341</v>
      </c>
      <c r="C1664" t="s">
        <v>403</v>
      </c>
      <c r="D1664" t="s">
        <v>1171</v>
      </c>
      <c r="E1664" t="s">
        <v>1332</v>
      </c>
      <c r="F1664">
        <v>2</v>
      </c>
      <c r="G1664">
        <v>869.43</v>
      </c>
      <c r="H1664">
        <v>0.24</v>
      </c>
      <c r="I1664" t="s">
        <v>1354</v>
      </c>
      <c r="J1664">
        <v>1321.5336</v>
      </c>
    </row>
    <row r="1665" spans="1:10">
      <c r="A1665" t="s">
        <v>3014</v>
      </c>
      <c r="B1665" s="1">
        <v>45440</v>
      </c>
      <c r="C1665" t="s">
        <v>72</v>
      </c>
      <c r="D1665" t="s">
        <v>1181</v>
      </c>
      <c r="E1665" t="s">
        <v>1294</v>
      </c>
      <c r="F1665">
        <v>1</v>
      </c>
      <c r="G1665">
        <v>62.26</v>
      </c>
      <c r="H1665">
        <v>0.03</v>
      </c>
      <c r="I1665" t="s">
        <v>1354</v>
      </c>
      <c r="J1665">
        <v>60.392200000000003</v>
      </c>
    </row>
    <row r="1666" spans="1:10">
      <c r="A1666" t="s">
        <v>3015</v>
      </c>
      <c r="B1666" s="1">
        <v>45798</v>
      </c>
      <c r="C1666" t="s">
        <v>365</v>
      </c>
      <c r="D1666" t="s">
        <v>1151</v>
      </c>
      <c r="E1666" t="s">
        <v>1324</v>
      </c>
      <c r="F1666">
        <v>3</v>
      </c>
      <c r="G1666">
        <v>343.97</v>
      </c>
      <c r="H1666">
        <v>0.04</v>
      </c>
      <c r="I1666" t="s">
        <v>1354</v>
      </c>
      <c r="J1666">
        <v>990.6336</v>
      </c>
    </row>
    <row r="1667" spans="1:10">
      <c r="A1667" t="s">
        <v>3016</v>
      </c>
      <c r="B1667" s="1">
        <v>45293</v>
      </c>
      <c r="C1667" t="s">
        <v>670</v>
      </c>
      <c r="D1667" t="s">
        <v>1121</v>
      </c>
      <c r="E1667" t="s">
        <v>1319</v>
      </c>
      <c r="F1667">
        <v>3</v>
      </c>
      <c r="G1667">
        <v>304.67</v>
      </c>
      <c r="H1667">
        <v>0.11</v>
      </c>
      <c r="I1667" t="s">
        <v>1349</v>
      </c>
      <c r="J1667">
        <v>813.46889999999996</v>
      </c>
    </row>
    <row r="1668" spans="1:10">
      <c r="A1668" t="s">
        <v>3017</v>
      </c>
      <c r="B1668" s="1">
        <v>45296</v>
      </c>
      <c r="C1668" t="s">
        <v>793</v>
      </c>
      <c r="D1668" t="s">
        <v>1127</v>
      </c>
      <c r="E1668" t="s">
        <v>1311</v>
      </c>
      <c r="F1668">
        <v>4</v>
      </c>
      <c r="G1668">
        <v>208.34</v>
      </c>
      <c r="H1668">
        <v>0.01</v>
      </c>
      <c r="I1668" t="s">
        <v>1351</v>
      </c>
      <c r="J1668">
        <v>825.02639999999997</v>
      </c>
    </row>
    <row r="1669" spans="1:10">
      <c r="A1669" t="s">
        <v>3018</v>
      </c>
      <c r="B1669" s="1">
        <v>45860</v>
      </c>
      <c r="C1669" t="s">
        <v>688</v>
      </c>
      <c r="D1669" t="s">
        <v>1245</v>
      </c>
      <c r="E1669" t="s">
        <v>1282</v>
      </c>
      <c r="F1669">
        <v>1</v>
      </c>
      <c r="G1669">
        <v>119.04</v>
      </c>
      <c r="H1669">
        <v>0.13</v>
      </c>
      <c r="I1669" t="s">
        <v>1354</v>
      </c>
      <c r="J1669">
        <v>103.56480000000001</v>
      </c>
    </row>
    <row r="1670" spans="1:10">
      <c r="A1670" t="s">
        <v>3019</v>
      </c>
      <c r="B1670" s="1">
        <v>45843</v>
      </c>
      <c r="C1670" t="s">
        <v>706</v>
      </c>
      <c r="D1670" t="s">
        <v>1161</v>
      </c>
      <c r="E1670" t="s">
        <v>1311</v>
      </c>
      <c r="F1670">
        <v>4</v>
      </c>
      <c r="G1670">
        <v>791.65</v>
      </c>
      <c r="H1670">
        <v>0.06</v>
      </c>
      <c r="I1670" t="s">
        <v>1354</v>
      </c>
      <c r="J1670">
        <v>2976.6039999999998</v>
      </c>
    </row>
    <row r="1671" spans="1:10">
      <c r="A1671" t="s">
        <v>3020</v>
      </c>
      <c r="B1671" s="1">
        <v>45862</v>
      </c>
      <c r="C1671" t="s">
        <v>147</v>
      </c>
      <c r="D1671" t="s">
        <v>1101</v>
      </c>
      <c r="E1671" t="s">
        <v>1286</v>
      </c>
      <c r="F1671">
        <v>2</v>
      </c>
      <c r="G1671">
        <v>414.86</v>
      </c>
      <c r="H1671">
        <v>0.23</v>
      </c>
      <c r="I1671" t="s">
        <v>1349</v>
      </c>
      <c r="J1671">
        <v>638.88440000000003</v>
      </c>
    </row>
    <row r="1672" spans="1:10">
      <c r="A1672" t="s">
        <v>3021</v>
      </c>
      <c r="B1672" s="1">
        <v>45385</v>
      </c>
      <c r="C1672" t="s">
        <v>1018</v>
      </c>
      <c r="D1672" t="s">
        <v>1149</v>
      </c>
      <c r="E1672" t="s">
        <v>1319</v>
      </c>
      <c r="F1672">
        <v>2</v>
      </c>
      <c r="G1672">
        <v>960.81</v>
      </c>
      <c r="H1672">
        <v>0.28000000000000003</v>
      </c>
      <c r="I1672" t="s">
        <v>1351</v>
      </c>
      <c r="J1672">
        <v>1383.5663999999999</v>
      </c>
    </row>
    <row r="1673" spans="1:10">
      <c r="A1673" t="s">
        <v>3022</v>
      </c>
      <c r="B1673" s="1">
        <v>45668</v>
      </c>
      <c r="C1673" t="s">
        <v>486</v>
      </c>
      <c r="D1673" t="s">
        <v>1173</v>
      </c>
      <c r="E1673" t="s">
        <v>1294</v>
      </c>
      <c r="F1673">
        <v>4</v>
      </c>
      <c r="G1673">
        <v>943.36</v>
      </c>
      <c r="H1673">
        <v>0.18</v>
      </c>
      <c r="I1673" t="s">
        <v>1351</v>
      </c>
      <c r="J1673">
        <v>3094.2208000000001</v>
      </c>
    </row>
    <row r="1674" spans="1:10">
      <c r="A1674" t="s">
        <v>3023</v>
      </c>
      <c r="B1674" s="1">
        <v>45561</v>
      </c>
      <c r="C1674" t="s">
        <v>488</v>
      </c>
      <c r="D1674" t="s">
        <v>1076</v>
      </c>
      <c r="E1674" t="s">
        <v>1322</v>
      </c>
      <c r="F1674">
        <v>1</v>
      </c>
      <c r="G1674">
        <v>830.42</v>
      </c>
      <c r="H1674">
        <v>0.26</v>
      </c>
      <c r="I1674" t="s">
        <v>1354</v>
      </c>
      <c r="J1674">
        <v>614.51080000000002</v>
      </c>
    </row>
    <row r="1675" spans="1:10">
      <c r="A1675" t="s">
        <v>3024</v>
      </c>
      <c r="B1675" s="1">
        <v>45637</v>
      </c>
      <c r="C1675" t="s">
        <v>770</v>
      </c>
      <c r="D1675" t="s">
        <v>1207</v>
      </c>
      <c r="E1675" t="s">
        <v>1332</v>
      </c>
      <c r="F1675">
        <v>1</v>
      </c>
      <c r="G1675">
        <v>762.55</v>
      </c>
      <c r="H1675">
        <v>0.19</v>
      </c>
      <c r="I1675" t="s">
        <v>1349</v>
      </c>
      <c r="J1675">
        <v>617.66549999999995</v>
      </c>
    </row>
    <row r="1676" spans="1:10">
      <c r="A1676" t="s">
        <v>3025</v>
      </c>
      <c r="B1676" s="1">
        <v>45839</v>
      </c>
      <c r="C1676" t="s">
        <v>750</v>
      </c>
      <c r="D1676" t="s">
        <v>1221</v>
      </c>
      <c r="E1676" t="s">
        <v>1335</v>
      </c>
      <c r="F1676">
        <v>2</v>
      </c>
      <c r="G1676">
        <v>464.43</v>
      </c>
      <c r="H1676">
        <v>0.24</v>
      </c>
      <c r="I1676" t="s">
        <v>1354</v>
      </c>
      <c r="J1676">
        <v>705.93360000000007</v>
      </c>
    </row>
    <row r="1677" spans="1:10">
      <c r="A1677" t="s">
        <v>3026</v>
      </c>
      <c r="B1677" s="1">
        <v>45851</v>
      </c>
      <c r="C1677" t="s">
        <v>59</v>
      </c>
      <c r="D1677" t="s">
        <v>1201</v>
      </c>
      <c r="E1677" t="s">
        <v>1335</v>
      </c>
      <c r="F1677">
        <v>1</v>
      </c>
      <c r="G1677">
        <v>711.08</v>
      </c>
      <c r="H1677">
        <v>0.24</v>
      </c>
      <c r="I1677" t="s">
        <v>1351</v>
      </c>
      <c r="J1677">
        <v>540.42079999999999</v>
      </c>
    </row>
    <row r="1678" spans="1:10">
      <c r="A1678" t="s">
        <v>3027</v>
      </c>
      <c r="B1678" s="1">
        <v>45656</v>
      </c>
      <c r="C1678" t="s">
        <v>565</v>
      </c>
      <c r="D1678" t="s">
        <v>1163</v>
      </c>
      <c r="E1678" t="s">
        <v>1324</v>
      </c>
      <c r="F1678">
        <v>2</v>
      </c>
      <c r="G1678">
        <v>984.96</v>
      </c>
      <c r="H1678">
        <v>0.16</v>
      </c>
      <c r="I1678" t="s">
        <v>1351</v>
      </c>
      <c r="J1678">
        <v>1654.7328</v>
      </c>
    </row>
    <row r="1679" spans="1:10">
      <c r="A1679" t="s">
        <v>3028</v>
      </c>
      <c r="B1679" s="1">
        <v>45759</v>
      </c>
      <c r="C1679" t="s">
        <v>750</v>
      </c>
      <c r="D1679" t="s">
        <v>1149</v>
      </c>
      <c r="E1679" t="s">
        <v>1319</v>
      </c>
      <c r="F1679">
        <v>1</v>
      </c>
      <c r="G1679">
        <v>21.14</v>
      </c>
      <c r="H1679">
        <v>0.06</v>
      </c>
      <c r="I1679" t="s">
        <v>1354</v>
      </c>
      <c r="J1679">
        <v>19.871600000000001</v>
      </c>
    </row>
    <row r="1680" spans="1:10">
      <c r="A1680" t="s">
        <v>3029</v>
      </c>
      <c r="B1680" s="1">
        <v>45679</v>
      </c>
      <c r="C1680" t="s">
        <v>271</v>
      </c>
      <c r="D1680" t="s">
        <v>1269</v>
      </c>
      <c r="E1680" t="s">
        <v>1307</v>
      </c>
      <c r="F1680">
        <v>1</v>
      </c>
      <c r="G1680">
        <v>343.03</v>
      </c>
      <c r="H1680">
        <v>0.16</v>
      </c>
      <c r="I1680" t="s">
        <v>1349</v>
      </c>
      <c r="J1680">
        <v>288.14519999999999</v>
      </c>
    </row>
    <row r="1681" spans="1:10">
      <c r="A1681" t="s">
        <v>3030</v>
      </c>
      <c r="B1681" s="1">
        <v>45237</v>
      </c>
      <c r="C1681" t="s">
        <v>557</v>
      </c>
      <c r="D1681" t="s">
        <v>1113</v>
      </c>
      <c r="E1681" t="s">
        <v>1335</v>
      </c>
      <c r="F1681">
        <v>3</v>
      </c>
      <c r="G1681">
        <v>94.83</v>
      </c>
      <c r="H1681">
        <v>0.16</v>
      </c>
      <c r="I1681" t="s">
        <v>1354</v>
      </c>
      <c r="J1681">
        <v>238.9716</v>
      </c>
    </row>
    <row r="1682" spans="1:10">
      <c r="A1682" t="s">
        <v>3031</v>
      </c>
      <c r="B1682" s="1">
        <v>45790</v>
      </c>
      <c r="C1682" t="s">
        <v>64</v>
      </c>
      <c r="D1682" t="s">
        <v>1211</v>
      </c>
      <c r="E1682" t="s">
        <v>1338</v>
      </c>
      <c r="F1682">
        <v>3</v>
      </c>
      <c r="G1682">
        <v>74.66</v>
      </c>
      <c r="H1682">
        <v>0.03</v>
      </c>
      <c r="I1682" t="s">
        <v>1351</v>
      </c>
      <c r="J1682">
        <v>217.26060000000001</v>
      </c>
    </row>
    <row r="1683" spans="1:10">
      <c r="A1683" t="s">
        <v>3032</v>
      </c>
      <c r="B1683" s="1">
        <v>45268</v>
      </c>
      <c r="C1683" t="s">
        <v>333</v>
      </c>
      <c r="D1683" t="s">
        <v>1147</v>
      </c>
      <c r="E1683" t="s">
        <v>1326</v>
      </c>
      <c r="F1683">
        <v>3</v>
      </c>
      <c r="G1683">
        <v>281.95999999999998</v>
      </c>
      <c r="H1683">
        <v>0.01</v>
      </c>
      <c r="I1683" t="s">
        <v>1354</v>
      </c>
      <c r="J1683">
        <v>837.42119999999989</v>
      </c>
    </row>
    <row r="1684" spans="1:10">
      <c r="A1684" t="s">
        <v>3033</v>
      </c>
      <c r="B1684" s="1">
        <v>45664</v>
      </c>
      <c r="C1684" t="s">
        <v>535</v>
      </c>
      <c r="D1684" t="s">
        <v>1215</v>
      </c>
      <c r="E1684" t="s">
        <v>1335</v>
      </c>
      <c r="F1684">
        <v>4</v>
      </c>
      <c r="G1684">
        <v>622.27</v>
      </c>
      <c r="H1684">
        <v>0.02</v>
      </c>
      <c r="I1684" t="s">
        <v>1351</v>
      </c>
      <c r="J1684">
        <v>2439.2984000000001</v>
      </c>
    </row>
    <row r="1685" spans="1:10">
      <c r="A1685" t="s">
        <v>3034</v>
      </c>
      <c r="B1685" s="1">
        <v>45475</v>
      </c>
      <c r="C1685" t="s">
        <v>263</v>
      </c>
      <c r="D1685" t="s">
        <v>1147</v>
      </c>
      <c r="E1685" t="s">
        <v>1304</v>
      </c>
      <c r="F1685">
        <v>2</v>
      </c>
      <c r="G1685">
        <v>78.27</v>
      </c>
      <c r="H1685">
        <v>0.28999999999999998</v>
      </c>
      <c r="I1685" t="s">
        <v>1354</v>
      </c>
      <c r="J1685">
        <v>111.1434</v>
      </c>
    </row>
    <row r="1686" spans="1:10">
      <c r="A1686" t="s">
        <v>3035</v>
      </c>
      <c r="B1686" s="1">
        <v>45845</v>
      </c>
      <c r="C1686" t="s">
        <v>47</v>
      </c>
      <c r="D1686" t="s">
        <v>1197</v>
      </c>
      <c r="E1686" t="s">
        <v>1322</v>
      </c>
      <c r="F1686">
        <v>4</v>
      </c>
      <c r="G1686">
        <v>676.58</v>
      </c>
      <c r="H1686">
        <v>0.23</v>
      </c>
      <c r="I1686" t="s">
        <v>1354</v>
      </c>
      <c r="J1686">
        <v>2083.8663999999999</v>
      </c>
    </row>
    <row r="1687" spans="1:10">
      <c r="A1687" t="s">
        <v>3036</v>
      </c>
      <c r="B1687" s="1">
        <v>45446</v>
      </c>
      <c r="C1687" t="s">
        <v>1033</v>
      </c>
      <c r="D1687" t="s">
        <v>1135</v>
      </c>
      <c r="E1687" t="s">
        <v>1282</v>
      </c>
      <c r="F1687">
        <v>2</v>
      </c>
      <c r="G1687">
        <v>938.6</v>
      </c>
      <c r="H1687">
        <v>0.04</v>
      </c>
      <c r="I1687" t="s">
        <v>1351</v>
      </c>
      <c r="J1687">
        <v>1802.1120000000001</v>
      </c>
    </row>
    <row r="1688" spans="1:10">
      <c r="A1688" t="s">
        <v>3037</v>
      </c>
      <c r="B1688" s="1">
        <v>45761</v>
      </c>
      <c r="C1688" t="s">
        <v>773</v>
      </c>
      <c r="D1688" t="s">
        <v>1099</v>
      </c>
      <c r="E1688" t="s">
        <v>1324</v>
      </c>
      <c r="F1688">
        <v>2</v>
      </c>
      <c r="G1688">
        <v>859.47</v>
      </c>
      <c r="H1688">
        <v>0.01</v>
      </c>
      <c r="I1688" t="s">
        <v>1349</v>
      </c>
      <c r="J1688">
        <v>1701.7506000000001</v>
      </c>
    </row>
    <row r="1689" spans="1:10">
      <c r="A1689" t="s">
        <v>3038</v>
      </c>
      <c r="B1689" s="1">
        <v>45363</v>
      </c>
      <c r="C1689" t="s">
        <v>159</v>
      </c>
      <c r="D1689" t="s">
        <v>1127</v>
      </c>
      <c r="E1689" t="s">
        <v>1324</v>
      </c>
      <c r="F1689">
        <v>3</v>
      </c>
      <c r="G1689">
        <v>672.98</v>
      </c>
      <c r="H1689">
        <v>0.23</v>
      </c>
      <c r="I1689" t="s">
        <v>1351</v>
      </c>
      <c r="J1689">
        <v>1554.5838000000001</v>
      </c>
    </row>
    <row r="1690" spans="1:10">
      <c r="A1690" t="s">
        <v>3039</v>
      </c>
      <c r="B1690" s="1">
        <v>45420</v>
      </c>
      <c r="C1690" t="s">
        <v>474</v>
      </c>
      <c r="D1690" t="s">
        <v>1185</v>
      </c>
      <c r="E1690" t="s">
        <v>1335</v>
      </c>
      <c r="F1690">
        <v>1</v>
      </c>
      <c r="G1690">
        <v>75.8</v>
      </c>
      <c r="H1690">
        <v>0.28999999999999998</v>
      </c>
      <c r="I1690" t="s">
        <v>1351</v>
      </c>
      <c r="J1690">
        <v>53.817999999999998</v>
      </c>
    </row>
    <row r="1691" spans="1:10">
      <c r="A1691" t="s">
        <v>3040</v>
      </c>
      <c r="B1691" s="1">
        <v>45536</v>
      </c>
      <c r="C1691" t="s">
        <v>104</v>
      </c>
      <c r="D1691" t="s">
        <v>1107</v>
      </c>
      <c r="E1691" t="s">
        <v>1326</v>
      </c>
      <c r="F1691">
        <v>4</v>
      </c>
      <c r="G1691">
        <v>742.15</v>
      </c>
      <c r="H1691">
        <v>0.1</v>
      </c>
      <c r="I1691" t="s">
        <v>1354</v>
      </c>
      <c r="J1691">
        <v>2671.74</v>
      </c>
    </row>
    <row r="1692" spans="1:10">
      <c r="A1692" t="s">
        <v>3041</v>
      </c>
      <c r="B1692" s="1">
        <v>45445</v>
      </c>
      <c r="C1692" t="s">
        <v>194</v>
      </c>
      <c r="D1692" t="s">
        <v>1133</v>
      </c>
      <c r="E1692" t="s">
        <v>1304</v>
      </c>
      <c r="F1692">
        <v>1</v>
      </c>
      <c r="G1692">
        <v>637.39</v>
      </c>
      <c r="H1692">
        <v>0.22</v>
      </c>
      <c r="I1692" t="s">
        <v>1351</v>
      </c>
      <c r="J1692">
        <v>497.16419999999999</v>
      </c>
    </row>
    <row r="1693" spans="1:10">
      <c r="A1693" t="s">
        <v>3042</v>
      </c>
      <c r="B1693" s="1">
        <v>45230</v>
      </c>
      <c r="C1693" t="s">
        <v>845</v>
      </c>
      <c r="D1693" t="s">
        <v>1082</v>
      </c>
      <c r="E1693" t="s">
        <v>1332</v>
      </c>
      <c r="F1693">
        <v>1</v>
      </c>
      <c r="G1693">
        <v>631</v>
      </c>
      <c r="H1693">
        <v>0.04</v>
      </c>
      <c r="I1693" t="s">
        <v>1349</v>
      </c>
      <c r="J1693">
        <v>605.76</v>
      </c>
    </row>
    <row r="1694" spans="1:10">
      <c r="A1694" t="s">
        <v>3043</v>
      </c>
      <c r="B1694" s="1">
        <v>45916</v>
      </c>
      <c r="C1694" t="s">
        <v>849</v>
      </c>
      <c r="D1694" t="s">
        <v>1233</v>
      </c>
      <c r="E1694" t="s">
        <v>1291</v>
      </c>
      <c r="F1694">
        <v>4</v>
      </c>
      <c r="G1694">
        <v>983.98</v>
      </c>
      <c r="H1694">
        <v>0.11</v>
      </c>
      <c r="I1694" t="s">
        <v>1354</v>
      </c>
      <c r="J1694">
        <v>3502.9688000000001</v>
      </c>
    </row>
    <row r="1695" spans="1:10">
      <c r="A1695" t="s">
        <v>3044</v>
      </c>
      <c r="B1695" s="1">
        <v>45353</v>
      </c>
      <c r="C1695" t="s">
        <v>152</v>
      </c>
      <c r="D1695" t="s">
        <v>1183</v>
      </c>
      <c r="E1695" t="s">
        <v>1317</v>
      </c>
      <c r="F1695">
        <v>4</v>
      </c>
      <c r="G1695">
        <v>73.69</v>
      </c>
      <c r="H1695">
        <v>0.08</v>
      </c>
      <c r="I1695" t="s">
        <v>1349</v>
      </c>
      <c r="J1695">
        <v>271.17919999999998</v>
      </c>
    </row>
    <row r="1696" spans="1:10">
      <c r="A1696" t="s">
        <v>3045</v>
      </c>
      <c r="B1696" s="1">
        <v>45490</v>
      </c>
      <c r="C1696" t="s">
        <v>929</v>
      </c>
      <c r="D1696" t="s">
        <v>1095</v>
      </c>
      <c r="E1696" t="s">
        <v>1304</v>
      </c>
      <c r="F1696">
        <v>3</v>
      </c>
      <c r="G1696">
        <v>110.99</v>
      </c>
      <c r="H1696">
        <v>0.21</v>
      </c>
      <c r="I1696" t="s">
        <v>1349</v>
      </c>
      <c r="J1696">
        <v>263.04629999999997</v>
      </c>
    </row>
    <row r="1697" spans="1:10">
      <c r="A1697" t="s">
        <v>3046</v>
      </c>
      <c r="B1697" s="1">
        <v>45850</v>
      </c>
      <c r="C1697" t="s">
        <v>220</v>
      </c>
      <c r="D1697" t="s">
        <v>1093</v>
      </c>
      <c r="E1697" t="s">
        <v>1304</v>
      </c>
      <c r="F1697">
        <v>1</v>
      </c>
      <c r="G1697">
        <v>66.86</v>
      </c>
      <c r="H1697">
        <v>0.22</v>
      </c>
      <c r="I1697" t="s">
        <v>1354</v>
      </c>
      <c r="J1697">
        <v>52.150799999999997</v>
      </c>
    </row>
    <row r="1698" spans="1:10">
      <c r="A1698" t="s">
        <v>3047</v>
      </c>
      <c r="B1698" s="1">
        <v>45515</v>
      </c>
      <c r="C1698" t="s">
        <v>897</v>
      </c>
      <c r="D1698" t="s">
        <v>1207</v>
      </c>
      <c r="E1698" t="s">
        <v>1335</v>
      </c>
      <c r="F1698">
        <v>1</v>
      </c>
      <c r="G1698">
        <v>980.26</v>
      </c>
      <c r="H1698">
        <v>0.14000000000000001</v>
      </c>
      <c r="I1698" t="s">
        <v>1351</v>
      </c>
      <c r="J1698">
        <v>843.02359999999999</v>
      </c>
    </row>
    <row r="1699" spans="1:10">
      <c r="A1699" t="s">
        <v>3048</v>
      </c>
      <c r="B1699" s="1">
        <v>45322</v>
      </c>
      <c r="C1699" t="s">
        <v>111</v>
      </c>
      <c r="D1699" t="s">
        <v>1109</v>
      </c>
      <c r="E1699" t="s">
        <v>1335</v>
      </c>
      <c r="F1699">
        <v>1</v>
      </c>
      <c r="G1699">
        <v>235.28</v>
      </c>
      <c r="H1699">
        <v>0.05</v>
      </c>
      <c r="I1699" t="s">
        <v>1351</v>
      </c>
      <c r="J1699">
        <v>223.51599999999999</v>
      </c>
    </row>
    <row r="1700" spans="1:10">
      <c r="A1700" t="s">
        <v>3049</v>
      </c>
      <c r="B1700" s="1">
        <v>45542</v>
      </c>
      <c r="C1700" t="s">
        <v>895</v>
      </c>
      <c r="D1700" t="s">
        <v>1068</v>
      </c>
      <c r="E1700" t="s">
        <v>1326</v>
      </c>
      <c r="F1700">
        <v>3</v>
      </c>
      <c r="G1700">
        <v>407.39</v>
      </c>
      <c r="H1700">
        <v>0.08</v>
      </c>
      <c r="I1700" t="s">
        <v>1351</v>
      </c>
      <c r="J1700">
        <v>1124.3964000000001</v>
      </c>
    </row>
    <row r="1701" spans="1:10">
      <c r="A1701" t="s">
        <v>3050</v>
      </c>
      <c r="B1701" s="1">
        <v>45675</v>
      </c>
      <c r="C1701" t="s">
        <v>185</v>
      </c>
      <c r="D1701" t="s">
        <v>1127</v>
      </c>
      <c r="E1701" t="s">
        <v>1324</v>
      </c>
      <c r="F1701">
        <v>4</v>
      </c>
      <c r="G1701">
        <v>459.83</v>
      </c>
      <c r="H1701">
        <v>0.12</v>
      </c>
      <c r="I1701" t="s">
        <v>1354</v>
      </c>
      <c r="J1701">
        <v>1618.6016</v>
      </c>
    </row>
    <row r="1702" spans="1:10">
      <c r="A1702" t="s">
        <v>3051</v>
      </c>
      <c r="B1702" s="1">
        <v>45333</v>
      </c>
      <c r="C1702" t="s">
        <v>355</v>
      </c>
      <c r="D1702" t="s">
        <v>1259</v>
      </c>
      <c r="E1702" t="s">
        <v>1294</v>
      </c>
      <c r="F1702">
        <v>3</v>
      </c>
      <c r="G1702">
        <v>706.6</v>
      </c>
      <c r="H1702">
        <v>0.17</v>
      </c>
      <c r="I1702" t="s">
        <v>1351</v>
      </c>
      <c r="J1702">
        <v>1759.434</v>
      </c>
    </row>
    <row r="1703" spans="1:10">
      <c r="A1703" t="s">
        <v>3052</v>
      </c>
      <c r="B1703" s="1">
        <v>45819</v>
      </c>
      <c r="C1703" t="s">
        <v>986</v>
      </c>
      <c r="D1703" t="s">
        <v>1255</v>
      </c>
      <c r="E1703" t="s">
        <v>1338</v>
      </c>
      <c r="F1703">
        <v>3</v>
      </c>
      <c r="G1703">
        <v>811.16</v>
      </c>
      <c r="H1703">
        <v>0.1</v>
      </c>
      <c r="I1703" t="s">
        <v>1354</v>
      </c>
      <c r="J1703">
        <v>2190.1320000000001</v>
      </c>
    </row>
    <row r="1704" spans="1:10">
      <c r="A1704" t="s">
        <v>3053</v>
      </c>
      <c r="B1704" s="1">
        <v>45268</v>
      </c>
      <c r="C1704" t="s">
        <v>496</v>
      </c>
      <c r="D1704" t="s">
        <v>1147</v>
      </c>
      <c r="E1704" t="s">
        <v>1304</v>
      </c>
      <c r="F1704">
        <v>2</v>
      </c>
      <c r="G1704">
        <v>985.79</v>
      </c>
      <c r="H1704">
        <v>0.04</v>
      </c>
      <c r="I1704" t="s">
        <v>1351</v>
      </c>
      <c r="J1704">
        <v>1892.7167999999999</v>
      </c>
    </row>
    <row r="1705" spans="1:10">
      <c r="A1705" t="s">
        <v>3054</v>
      </c>
      <c r="B1705" s="1">
        <v>45521</v>
      </c>
      <c r="C1705" t="s">
        <v>436</v>
      </c>
      <c r="D1705" t="s">
        <v>1139</v>
      </c>
      <c r="E1705" t="s">
        <v>1324</v>
      </c>
      <c r="F1705">
        <v>1</v>
      </c>
      <c r="G1705">
        <v>255.02</v>
      </c>
      <c r="H1705">
        <v>0.3</v>
      </c>
      <c r="I1705" t="s">
        <v>1349</v>
      </c>
      <c r="J1705">
        <v>178.51400000000001</v>
      </c>
    </row>
    <row r="1706" spans="1:10">
      <c r="A1706" t="s">
        <v>3055</v>
      </c>
      <c r="B1706" s="1">
        <v>45693</v>
      </c>
      <c r="C1706" t="s">
        <v>248</v>
      </c>
      <c r="D1706" t="s">
        <v>1111</v>
      </c>
      <c r="E1706" t="s">
        <v>1307</v>
      </c>
      <c r="F1706">
        <v>1</v>
      </c>
      <c r="G1706">
        <v>153.57</v>
      </c>
      <c r="H1706">
        <v>0.01</v>
      </c>
      <c r="I1706" t="s">
        <v>1351</v>
      </c>
      <c r="J1706">
        <v>152.0343</v>
      </c>
    </row>
    <row r="1707" spans="1:10">
      <c r="A1707" t="s">
        <v>3056</v>
      </c>
      <c r="B1707" s="1">
        <v>45734</v>
      </c>
      <c r="C1707" t="s">
        <v>569</v>
      </c>
      <c r="D1707" t="s">
        <v>1159</v>
      </c>
      <c r="E1707" t="s">
        <v>1335</v>
      </c>
      <c r="F1707">
        <v>3</v>
      </c>
      <c r="G1707">
        <v>962.98</v>
      </c>
      <c r="H1707">
        <v>0.21</v>
      </c>
      <c r="I1707" t="s">
        <v>1349</v>
      </c>
      <c r="J1707">
        <v>2282.2626</v>
      </c>
    </row>
    <row r="1708" spans="1:10">
      <c r="A1708" t="s">
        <v>3057</v>
      </c>
      <c r="B1708" s="1">
        <v>45377</v>
      </c>
      <c r="C1708" t="s">
        <v>159</v>
      </c>
      <c r="D1708" t="s">
        <v>1161</v>
      </c>
      <c r="E1708" t="s">
        <v>1307</v>
      </c>
      <c r="F1708">
        <v>3</v>
      </c>
      <c r="G1708">
        <v>884.46</v>
      </c>
      <c r="H1708">
        <v>0.25</v>
      </c>
      <c r="I1708" t="s">
        <v>1349</v>
      </c>
      <c r="J1708">
        <v>1990.0350000000001</v>
      </c>
    </row>
    <row r="1709" spans="1:10">
      <c r="A1709" t="s">
        <v>3058</v>
      </c>
      <c r="B1709" s="1">
        <v>45778</v>
      </c>
      <c r="C1709" t="s">
        <v>937</v>
      </c>
      <c r="D1709" t="s">
        <v>1207</v>
      </c>
      <c r="E1709" t="s">
        <v>1314</v>
      </c>
      <c r="F1709">
        <v>4</v>
      </c>
      <c r="G1709">
        <v>359.71</v>
      </c>
      <c r="H1709">
        <v>0.05</v>
      </c>
      <c r="I1709" t="s">
        <v>1351</v>
      </c>
      <c r="J1709">
        <v>1366.8979999999999</v>
      </c>
    </row>
    <row r="1710" spans="1:10">
      <c r="A1710" t="s">
        <v>3059</v>
      </c>
      <c r="B1710" s="1">
        <v>45715</v>
      </c>
      <c r="C1710" t="s">
        <v>145</v>
      </c>
      <c r="D1710" t="s">
        <v>1173</v>
      </c>
      <c r="E1710" t="s">
        <v>1294</v>
      </c>
      <c r="F1710">
        <v>3</v>
      </c>
      <c r="G1710">
        <v>766.47</v>
      </c>
      <c r="H1710">
        <v>0.18</v>
      </c>
      <c r="I1710" t="s">
        <v>1349</v>
      </c>
      <c r="J1710">
        <v>1885.5162</v>
      </c>
    </row>
    <row r="1711" spans="1:10">
      <c r="A1711" t="s">
        <v>3060</v>
      </c>
      <c r="B1711" s="1">
        <v>45492</v>
      </c>
      <c r="C1711" t="s">
        <v>509</v>
      </c>
      <c r="D1711" t="s">
        <v>1185</v>
      </c>
      <c r="E1711" t="s">
        <v>1335</v>
      </c>
      <c r="F1711">
        <v>1</v>
      </c>
      <c r="G1711">
        <v>772.07</v>
      </c>
      <c r="H1711">
        <v>0.26</v>
      </c>
      <c r="I1711" t="s">
        <v>1351</v>
      </c>
      <c r="J1711">
        <v>571.33180000000004</v>
      </c>
    </row>
    <row r="1712" spans="1:10">
      <c r="A1712" t="s">
        <v>3061</v>
      </c>
      <c r="B1712" s="1">
        <v>45292</v>
      </c>
      <c r="C1712" t="s">
        <v>618</v>
      </c>
      <c r="D1712" t="s">
        <v>1111</v>
      </c>
      <c r="E1712" t="s">
        <v>1298</v>
      </c>
      <c r="F1712">
        <v>3</v>
      </c>
      <c r="G1712">
        <v>108.31</v>
      </c>
      <c r="H1712">
        <v>0.26</v>
      </c>
      <c r="I1712" t="s">
        <v>1354</v>
      </c>
      <c r="J1712">
        <v>240.44820000000001</v>
      </c>
    </row>
    <row r="1713" spans="1:10">
      <c r="A1713" t="s">
        <v>3062</v>
      </c>
      <c r="B1713" s="1">
        <v>45316</v>
      </c>
      <c r="C1713" t="s">
        <v>498</v>
      </c>
      <c r="D1713" t="s">
        <v>1231</v>
      </c>
      <c r="E1713" t="s">
        <v>1301</v>
      </c>
      <c r="F1713">
        <v>1</v>
      </c>
      <c r="G1713">
        <v>502.53</v>
      </c>
      <c r="H1713">
        <v>0</v>
      </c>
      <c r="I1713" t="s">
        <v>1351</v>
      </c>
      <c r="J1713">
        <v>502.53</v>
      </c>
    </row>
    <row r="1714" spans="1:10">
      <c r="A1714" t="s">
        <v>3063</v>
      </c>
      <c r="B1714" s="1">
        <v>45548</v>
      </c>
      <c r="C1714" t="s">
        <v>204</v>
      </c>
      <c r="D1714" t="s">
        <v>1071</v>
      </c>
      <c r="E1714" t="s">
        <v>1329</v>
      </c>
      <c r="F1714">
        <v>2</v>
      </c>
      <c r="G1714">
        <v>508.52</v>
      </c>
      <c r="H1714">
        <v>0.11</v>
      </c>
      <c r="I1714" t="s">
        <v>1354</v>
      </c>
      <c r="J1714">
        <v>905.16559999999993</v>
      </c>
    </row>
    <row r="1715" spans="1:10">
      <c r="A1715" t="s">
        <v>3064</v>
      </c>
      <c r="B1715" s="1">
        <v>45572</v>
      </c>
      <c r="C1715" t="s">
        <v>998</v>
      </c>
      <c r="D1715" t="s">
        <v>1221</v>
      </c>
      <c r="E1715" t="s">
        <v>1291</v>
      </c>
      <c r="F1715">
        <v>1</v>
      </c>
      <c r="G1715">
        <v>492</v>
      </c>
      <c r="H1715">
        <v>0.26</v>
      </c>
      <c r="I1715" t="s">
        <v>1351</v>
      </c>
      <c r="J1715">
        <v>364.08</v>
      </c>
    </row>
    <row r="1716" spans="1:10">
      <c r="A1716" t="s">
        <v>3065</v>
      </c>
      <c r="B1716" s="1">
        <v>45347</v>
      </c>
      <c r="C1716" t="s">
        <v>1031</v>
      </c>
      <c r="D1716" t="s">
        <v>1147</v>
      </c>
      <c r="E1716" t="s">
        <v>1324</v>
      </c>
      <c r="F1716">
        <v>4</v>
      </c>
      <c r="G1716">
        <v>746.36</v>
      </c>
      <c r="H1716">
        <v>0.02</v>
      </c>
      <c r="I1716" t="s">
        <v>1349</v>
      </c>
      <c r="J1716">
        <v>2925.7312000000002</v>
      </c>
    </row>
    <row r="1717" spans="1:10">
      <c r="A1717" t="s">
        <v>3066</v>
      </c>
      <c r="B1717" s="1">
        <v>45823</v>
      </c>
      <c r="C1717" t="s">
        <v>929</v>
      </c>
      <c r="D1717" t="s">
        <v>1097</v>
      </c>
      <c r="E1717" t="s">
        <v>1282</v>
      </c>
      <c r="F1717">
        <v>1</v>
      </c>
      <c r="G1717">
        <v>120.83</v>
      </c>
      <c r="H1717">
        <v>0.08</v>
      </c>
      <c r="I1717" t="s">
        <v>1349</v>
      </c>
      <c r="J1717">
        <v>111.1636</v>
      </c>
    </row>
    <row r="1718" spans="1:10">
      <c r="A1718" t="s">
        <v>3067</v>
      </c>
      <c r="B1718" s="1">
        <v>45394</v>
      </c>
      <c r="C1718" t="s">
        <v>861</v>
      </c>
      <c r="D1718" t="s">
        <v>1227</v>
      </c>
      <c r="E1718" t="s">
        <v>1335</v>
      </c>
      <c r="F1718">
        <v>2</v>
      </c>
      <c r="G1718">
        <v>68.31</v>
      </c>
      <c r="H1718">
        <v>0.28999999999999998</v>
      </c>
      <c r="I1718" t="s">
        <v>1354</v>
      </c>
      <c r="J1718">
        <v>97.000199999999992</v>
      </c>
    </row>
    <row r="1719" spans="1:10">
      <c r="A1719" t="s">
        <v>3068</v>
      </c>
      <c r="B1719" s="1">
        <v>45265</v>
      </c>
      <c r="C1719" t="s">
        <v>170</v>
      </c>
      <c r="D1719" t="s">
        <v>1117</v>
      </c>
      <c r="E1719" t="s">
        <v>1335</v>
      </c>
      <c r="F1719">
        <v>2</v>
      </c>
      <c r="G1719">
        <v>761.71</v>
      </c>
      <c r="H1719">
        <v>0.02</v>
      </c>
      <c r="I1719" t="s">
        <v>1351</v>
      </c>
      <c r="J1719">
        <v>1492.9516000000001</v>
      </c>
    </row>
    <row r="1720" spans="1:10">
      <c r="A1720" t="s">
        <v>3069</v>
      </c>
      <c r="B1720" s="1">
        <v>45261</v>
      </c>
      <c r="C1720" t="s">
        <v>180</v>
      </c>
      <c r="D1720" t="s">
        <v>1229</v>
      </c>
      <c r="E1720" t="s">
        <v>1291</v>
      </c>
      <c r="F1720">
        <v>4</v>
      </c>
      <c r="G1720">
        <v>346.37</v>
      </c>
      <c r="H1720">
        <v>0.18</v>
      </c>
      <c r="I1720" t="s">
        <v>1354</v>
      </c>
      <c r="J1720">
        <v>1136.0935999999999</v>
      </c>
    </row>
    <row r="1721" spans="1:10">
      <c r="A1721" t="s">
        <v>3070</v>
      </c>
      <c r="B1721" s="1">
        <v>45702</v>
      </c>
      <c r="C1721" t="s">
        <v>33</v>
      </c>
      <c r="D1721" t="s">
        <v>1183</v>
      </c>
      <c r="E1721" t="s">
        <v>1319</v>
      </c>
      <c r="F1721">
        <v>1</v>
      </c>
      <c r="G1721">
        <v>846.3</v>
      </c>
      <c r="H1721">
        <v>0.14000000000000001</v>
      </c>
      <c r="I1721" t="s">
        <v>1351</v>
      </c>
      <c r="J1721">
        <v>727.81799999999998</v>
      </c>
    </row>
    <row r="1722" spans="1:10">
      <c r="A1722" t="s">
        <v>3071</v>
      </c>
      <c r="B1722" s="1">
        <v>45624</v>
      </c>
      <c r="C1722" t="s">
        <v>927</v>
      </c>
      <c r="D1722" t="s">
        <v>1068</v>
      </c>
      <c r="E1722" t="s">
        <v>1338</v>
      </c>
      <c r="F1722">
        <v>1</v>
      </c>
      <c r="G1722">
        <v>458.97</v>
      </c>
      <c r="H1722">
        <v>0.1</v>
      </c>
      <c r="I1722" t="s">
        <v>1351</v>
      </c>
      <c r="J1722">
        <v>413.07299999999998</v>
      </c>
    </row>
    <row r="1723" spans="1:10">
      <c r="A1723" t="s">
        <v>3072</v>
      </c>
      <c r="B1723" s="1">
        <v>45736</v>
      </c>
      <c r="C1723" t="s">
        <v>642</v>
      </c>
      <c r="D1723" t="s">
        <v>1159</v>
      </c>
      <c r="E1723" t="s">
        <v>1304</v>
      </c>
      <c r="F1723">
        <v>2</v>
      </c>
      <c r="G1723">
        <v>536.61</v>
      </c>
      <c r="H1723">
        <v>0.14000000000000001</v>
      </c>
      <c r="I1723" t="s">
        <v>1349</v>
      </c>
      <c r="J1723">
        <v>922.9692</v>
      </c>
    </row>
    <row r="1724" spans="1:10">
      <c r="A1724" t="s">
        <v>3073</v>
      </c>
      <c r="B1724" s="1">
        <v>45709</v>
      </c>
      <c r="C1724" t="s">
        <v>903</v>
      </c>
      <c r="D1724" t="s">
        <v>1189</v>
      </c>
      <c r="E1724" t="s">
        <v>1277</v>
      </c>
      <c r="F1724">
        <v>3</v>
      </c>
      <c r="G1724">
        <v>130.41</v>
      </c>
      <c r="H1724">
        <v>0.14000000000000001</v>
      </c>
      <c r="I1724" t="s">
        <v>1351</v>
      </c>
      <c r="J1724">
        <v>336.45780000000002</v>
      </c>
    </row>
    <row r="1725" spans="1:10">
      <c r="A1725" t="s">
        <v>3074</v>
      </c>
      <c r="B1725" s="1">
        <v>45738</v>
      </c>
      <c r="C1725" t="s">
        <v>1053</v>
      </c>
      <c r="D1725" t="s">
        <v>1251</v>
      </c>
      <c r="E1725" t="s">
        <v>1319</v>
      </c>
      <c r="F1725">
        <v>4</v>
      </c>
      <c r="G1725">
        <v>706.67</v>
      </c>
      <c r="H1725">
        <v>0.01</v>
      </c>
      <c r="I1725" t="s">
        <v>1349</v>
      </c>
      <c r="J1725">
        <v>2798.4132</v>
      </c>
    </row>
    <row r="1726" spans="1:10">
      <c r="A1726" t="s">
        <v>3075</v>
      </c>
      <c r="B1726" s="1">
        <v>45685</v>
      </c>
      <c r="C1726" t="s">
        <v>847</v>
      </c>
      <c r="D1726" t="s">
        <v>1127</v>
      </c>
      <c r="E1726" t="s">
        <v>1291</v>
      </c>
      <c r="F1726">
        <v>3</v>
      </c>
      <c r="G1726">
        <v>523.45000000000005</v>
      </c>
      <c r="H1726">
        <v>0.17</v>
      </c>
      <c r="I1726" t="s">
        <v>1349</v>
      </c>
      <c r="J1726">
        <v>1303.3905</v>
      </c>
    </row>
    <row r="1727" spans="1:10">
      <c r="A1727" t="s">
        <v>3076</v>
      </c>
      <c r="B1727" s="1">
        <v>45701</v>
      </c>
      <c r="C1727" t="s">
        <v>39</v>
      </c>
      <c r="D1727" t="s">
        <v>1255</v>
      </c>
      <c r="E1727" t="s">
        <v>1335</v>
      </c>
      <c r="F1727">
        <v>3</v>
      </c>
      <c r="G1727">
        <v>482.2</v>
      </c>
      <c r="H1727">
        <v>0.23</v>
      </c>
      <c r="I1727" t="s">
        <v>1354</v>
      </c>
      <c r="J1727">
        <v>1113.8820000000001</v>
      </c>
    </row>
    <row r="1728" spans="1:10">
      <c r="A1728" t="s">
        <v>3077</v>
      </c>
      <c r="B1728" s="1">
        <v>45745</v>
      </c>
      <c r="C1728" t="s">
        <v>308</v>
      </c>
      <c r="D1728" t="s">
        <v>1199</v>
      </c>
      <c r="E1728" t="s">
        <v>1298</v>
      </c>
      <c r="F1728">
        <v>4</v>
      </c>
      <c r="G1728">
        <v>688.86</v>
      </c>
      <c r="H1728">
        <v>0.02</v>
      </c>
      <c r="I1728" t="s">
        <v>1354</v>
      </c>
      <c r="J1728">
        <v>2700.3312000000001</v>
      </c>
    </row>
    <row r="1729" spans="1:10">
      <c r="A1729" t="s">
        <v>3078</v>
      </c>
      <c r="B1729" s="1">
        <v>45214</v>
      </c>
      <c r="C1729" t="s">
        <v>77</v>
      </c>
      <c r="D1729" t="s">
        <v>1097</v>
      </c>
      <c r="E1729" t="s">
        <v>1277</v>
      </c>
      <c r="F1729">
        <v>1</v>
      </c>
      <c r="G1729">
        <v>145.47999999999999</v>
      </c>
      <c r="H1729">
        <v>0.1</v>
      </c>
      <c r="I1729" t="s">
        <v>1354</v>
      </c>
      <c r="J1729">
        <v>130.93199999999999</v>
      </c>
    </row>
    <row r="1730" spans="1:10">
      <c r="A1730" t="s">
        <v>3079</v>
      </c>
      <c r="B1730" s="1">
        <v>45547</v>
      </c>
      <c r="C1730" t="s">
        <v>147</v>
      </c>
      <c r="D1730" t="s">
        <v>1135</v>
      </c>
      <c r="E1730" t="s">
        <v>1317</v>
      </c>
      <c r="F1730">
        <v>4</v>
      </c>
      <c r="G1730">
        <v>862.25</v>
      </c>
      <c r="H1730">
        <v>0.28000000000000003</v>
      </c>
      <c r="I1730" t="s">
        <v>1351</v>
      </c>
      <c r="J1730">
        <v>2483.2800000000002</v>
      </c>
    </row>
    <row r="1731" spans="1:10">
      <c r="A1731" t="s">
        <v>3080</v>
      </c>
      <c r="B1731" s="1">
        <v>45296</v>
      </c>
      <c r="C1731" t="s">
        <v>648</v>
      </c>
      <c r="D1731" t="s">
        <v>1071</v>
      </c>
      <c r="E1731" t="s">
        <v>1324</v>
      </c>
      <c r="F1731">
        <v>4</v>
      </c>
      <c r="G1731">
        <v>146.12</v>
      </c>
      <c r="H1731">
        <v>0.12</v>
      </c>
      <c r="I1731" t="s">
        <v>1354</v>
      </c>
      <c r="J1731">
        <v>514.3424</v>
      </c>
    </row>
    <row r="1732" spans="1:10">
      <c r="A1732" t="s">
        <v>3081</v>
      </c>
      <c r="B1732" s="1">
        <v>45549</v>
      </c>
      <c r="C1732" t="s">
        <v>1018</v>
      </c>
      <c r="D1732" t="s">
        <v>1135</v>
      </c>
      <c r="E1732" t="s">
        <v>1335</v>
      </c>
      <c r="F1732">
        <v>2</v>
      </c>
      <c r="G1732">
        <v>695.02</v>
      </c>
      <c r="H1732">
        <v>0.3</v>
      </c>
      <c r="I1732" t="s">
        <v>1354</v>
      </c>
      <c r="J1732">
        <v>973.02799999999991</v>
      </c>
    </row>
    <row r="1733" spans="1:10">
      <c r="A1733" t="s">
        <v>3082</v>
      </c>
      <c r="B1733" s="1">
        <v>45231</v>
      </c>
      <c r="C1733" t="s">
        <v>500</v>
      </c>
      <c r="D1733" t="s">
        <v>1261</v>
      </c>
      <c r="E1733" t="s">
        <v>1314</v>
      </c>
      <c r="F1733">
        <v>2</v>
      </c>
      <c r="G1733">
        <v>886.67</v>
      </c>
      <c r="H1733">
        <v>0.24</v>
      </c>
      <c r="I1733" t="s">
        <v>1351</v>
      </c>
      <c r="J1733">
        <v>1347.7384</v>
      </c>
    </row>
    <row r="1734" spans="1:10">
      <c r="A1734" t="s">
        <v>3083</v>
      </c>
      <c r="B1734" s="1">
        <v>45628</v>
      </c>
      <c r="C1734" t="s">
        <v>152</v>
      </c>
      <c r="D1734" t="s">
        <v>1205</v>
      </c>
      <c r="E1734" t="s">
        <v>1335</v>
      </c>
      <c r="F1734">
        <v>2</v>
      </c>
      <c r="G1734">
        <v>864.09</v>
      </c>
      <c r="H1734">
        <v>0.06</v>
      </c>
      <c r="I1734" t="s">
        <v>1354</v>
      </c>
      <c r="J1734">
        <v>1624.4892</v>
      </c>
    </row>
    <row r="1735" spans="1:10">
      <c r="A1735" t="s">
        <v>3084</v>
      </c>
      <c r="B1735" s="1">
        <v>45862</v>
      </c>
      <c r="C1735" t="s">
        <v>20</v>
      </c>
      <c r="D1735" t="s">
        <v>1097</v>
      </c>
      <c r="E1735" t="s">
        <v>1311</v>
      </c>
      <c r="F1735">
        <v>1</v>
      </c>
      <c r="G1735">
        <v>437.65</v>
      </c>
      <c r="H1735">
        <v>0.02</v>
      </c>
      <c r="I1735" t="s">
        <v>1351</v>
      </c>
      <c r="J1735">
        <v>428.89699999999999</v>
      </c>
    </row>
    <row r="1736" spans="1:10">
      <c r="A1736" t="s">
        <v>3085</v>
      </c>
      <c r="B1736" s="1">
        <v>45843</v>
      </c>
      <c r="C1736" t="s">
        <v>466</v>
      </c>
      <c r="D1736" t="s">
        <v>1145</v>
      </c>
      <c r="E1736" t="s">
        <v>1322</v>
      </c>
      <c r="F1736">
        <v>2</v>
      </c>
      <c r="G1736">
        <v>208.09</v>
      </c>
      <c r="H1736">
        <v>0.27</v>
      </c>
      <c r="I1736" t="s">
        <v>1349</v>
      </c>
      <c r="J1736">
        <v>303.81139999999999</v>
      </c>
    </row>
    <row r="1737" spans="1:10">
      <c r="A1737" t="s">
        <v>3086</v>
      </c>
      <c r="B1737" s="1">
        <v>45482</v>
      </c>
      <c r="C1737" t="s">
        <v>152</v>
      </c>
      <c r="D1737" t="s">
        <v>1259</v>
      </c>
      <c r="E1737" t="s">
        <v>1332</v>
      </c>
      <c r="F1737">
        <v>4</v>
      </c>
      <c r="G1737">
        <v>825.78</v>
      </c>
      <c r="H1737">
        <v>0.02</v>
      </c>
      <c r="I1737" t="s">
        <v>1349</v>
      </c>
      <c r="J1737">
        <v>3237.0576000000001</v>
      </c>
    </row>
    <row r="1738" spans="1:10">
      <c r="A1738" t="s">
        <v>3087</v>
      </c>
      <c r="B1738" s="1">
        <v>45313</v>
      </c>
      <c r="C1738" t="s">
        <v>292</v>
      </c>
      <c r="D1738" t="s">
        <v>1123</v>
      </c>
      <c r="E1738" t="s">
        <v>1332</v>
      </c>
      <c r="F1738">
        <v>3</v>
      </c>
      <c r="G1738">
        <v>849.77</v>
      </c>
      <c r="H1738">
        <v>0.12</v>
      </c>
      <c r="I1738" t="s">
        <v>1351</v>
      </c>
      <c r="J1738">
        <v>2243.3928000000001</v>
      </c>
    </row>
    <row r="1739" spans="1:10">
      <c r="A1739" t="s">
        <v>3088</v>
      </c>
      <c r="B1739" s="1">
        <v>45314</v>
      </c>
      <c r="C1739" t="s">
        <v>752</v>
      </c>
      <c r="D1739" t="s">
        <v>1193</v>
      </c>
      <c r="E1739" t="s">
        <v>1294</v>
      </c>
      <c r="F1739">
        <v>1</v>
      </c>
      <c r="G1739">
        <v>88.78</v>
      </c>
      <c r="H1739">
        <v>0.18</v>
      </c>
      <c r="I1739" t="s">
        <v>1349</v>
      </c>
      <c r="J1739">
        <v>72.799600000000012</v>
      </c>
    </row>
    <row r="1740" spans="1:10">
      <c r="A1740" t="s">
        <v>3089</v>
      </c>
      <c r="B1740" s="1">
        <v>45526</v>
      </c>
      <c r="C1740" t="s">
        <v>444</v>
      </c>
      <c r="D1740" t="s">
        <v>1229</v>
      </c>
      <c r="E1740" t="s">
        <v>1294</v>
      </c>
      <c r="F1740">
        <v>4</v>
      </c>
      <c r="G1740">
        <v>507.22</v>
      </c>
      <c r="H1740">
        <v>0.14000000000000001</v>
      </c>
      <c r="I1740" t="s">
        <v>1351</v>
      </c>
      <c r="J1740">
        <v>1744.8368</v>
      </c>
    </row>
    <row r="1741" spans="1:10">
      <c r="A1741" t="s">
        <v>3090</v>
      </c>
      <c r="B1741" s="1">
        <v>45887</v>
      </c>
      <c r="C1741" t="s">
        <v>696</v>
      </c>
      <c r="D1741" t="s">
        <v>1265</v>
      </c>
      <c r="E1741" t="s">
        <v>1277</v>
      </c>
      <c r="F1741">
        <v>3</v>
      </c>
      <c r="G1741">
        <v>330.98</v>
      </c>
      <c r="H1741">
        <v>0.11</v>
      </c>
      <c r="I1741" t="s">
        <v>1349</v>
      </c>
      <c r="J1741">
        <v>883.71660000000008</v>
      </c>
    </row>
    <row r="1742" spans="1:10">
      <c r="A1742" t="s">
        <v>3091</v>
      </c>
      <c r="B1742" s="1">
        <v>45562</v>
      </c>
      <c r="C1742" t="s">
        <v>145</v>
      </c>
      <c r="D1742" t="s">
        <v>1147</v>
      </c>
      <c r="E1742" t="s">
        <v>1338</v>
      </c>
      <c r="F1742">
        <v>4</v>
      </c>
      <c r="G1742">
        <v>442.87</v>
      </c>
      <c r="H1742">
        <v>0.08</v>
      </c>
      <c r="I1742" t="s">
        <v>1349</v>
      </c>
      <c r="J1742">
        <v>1629.7616</v>
      </c>
    </row>
    <row r="1743" spans="1:10">
      <c r="A1743" t="s">
        <v>3092</v>
      </c>
      <c r="B1743" s="1">
        <v>45880</v>
      </c>
      <c r="C1743" t="s">
        <v>39</v>
      </c>
      <c r="D1743" t="s">
        <v>1265</v>
      </c>
      <c r="E1743" t="s">
        <v>1286</v>
      </c>
      <c r="F1743">
        <v>2</v>
      </c>
      <c r="G1743">
        <v>939.66</v>
      </c>
      <c r="H1743">
        <v>0.14000000000000001</v>
      </c>
      <c r="I1743" t="s">
        <v>1351</v>
      </c>
      <c r="J1743">
        <v>1616.2152000000001</v>
      </c>
    </row>
    <row r="1744" spans="1:10">
      <c r="A1744" t="s">
        <v>3093</v>
      </c>
      <c r="B1744" s="1">
        <v>45556</v>
      </c>
      <c r="C1744" t="s">
        <v>650</v>
      </c>
      <c r="D1744" t="s">
        <v>1219</v>
      </c>
      <c r="E1744" t="s">
        <v>1291</v>
      </c>
      <c r="F1744">
        <v>1</v>
      </c>
      <c r="G1744">
        <v>24.13</v>
      </c>
      <c r="H1744">
        <v>0</v>
      </c>
      <c r="I1744" t="s">
        <v>1349</v>
      </c>
      <c r="J1744">
        <v>24.13</v>
      </c>
    </row>
    <row r="1745" spans="1:10">
      <c r="A1745" t="s">
        <v>3094</v>
      </c>
      <c r="B1745" s="1">
        <v>45355</v>
      </c>
      <c r="C1745" t="s">
        <v>791</v>
      </c>
      <c r="D1745" t="s">
        <v>1155</v>
      </c>
      <c r="E1745" t="s">
        <v>1291</v>
      </c>
      <c r="F1745">
        <v>3</v>
      </c>
      <c r="G1745">
        <v>239.54</v>
      </c>
      <c r="H1745">
        <v>0.28999999999999998</v>
      </c>
      <c r="I1745" t="s">
        <v>1354</v>
      </c>
      <c r="J1745">
        <v>510.22019999999998</v>
      </c>
    </row>
    <row r="1746" spans="1:10">
      <c r="A1746" t="s">
        <v>3095</v>
      </c>
      <c r="B1746" s="1">
        <v>45244</v>
      </c>
      <c r="C1746" t="s">
        <v>1026</v>
      </c>
      <c r="D1746" t="s">
        <v>1165</v>
      </c>
      <c r="E1746" t="s">
        <v>1324</v>
      </c>
      <c r="F1746">
        <v>1</v>
      </c>
      <c r="G1746">
        <v>588.53</v>
      </c>
      <c r="H1746">
        <v>0.1</v>
      </c>
      <c r="I1746" t="s">
        <v>1349</v>
      </c>
      <c r="J1746">
        <v>529.67700000000002</v>
      </c>
    </row>
    <row r="1747" spans="1:10">
      <c r="A1747" t="s">
        <v>3096</v>
      </c>
      <c r="B1747" s="1">
        <v>45863</v>
      </c>
      <c r="C1747" t="s">
        <v>640</v>
      </c>
      <c r="D1747" t="s">
        <v>1193</v>
      </c>
      <c r="E1747" t="s">
        <v>1326</v>
      </c>
      <c r="F1747">
        <v>1</v>
      </c>
      <c r="G1747">
        <v>145.96</v>
      </c>
      <c r="H1747">
        <v>0.3</v>
      </c>
      <c r="I1747" t="s">
        <v>1349</v>
      </c>
      <c r="J1747">
        <v>102.172</v>
      </c>
    </row>
    <row r="1748" spans="1:10">
      <c r="A1748" t="s">
        <v>3097</v>
      </c>
      <c r="B1748" s="1">
        <v>45573</v>
      </c>
      <c r="C1748" t="s">
        <v>261</v>
      </c>
      <c r="D1748" t="s">
        <v>1213</v>
      </c>
      <c r="E1748" t="s">
        <v>1294</v>
      </c>
      <c r="F1748">
        <v>4</v>
      </c>
      <c r="G1748">
        <v>640.91</v>
      </c>
      <c r="H1748">
        <v>0.06</v>
      </c>
      <c r="I1748" t="s">
        <v>1349</v>
      </c>
      <c r="J1748">
        <v>2409.8216000000002</v>
      </c>
    </row>
    <row r="1749" spans="1:10">
      <c r="A1749" t="s">
        <v>3098</v>
      </c>
      <c r="B1749" s="1">
        <v>45792</v>
      </c>
      <c r="C1749" t="s">
        <v>123</v>
      </c>
      <c r="D1749" t="s">
        <v>1201</v>
      </c>
      <c r="E1749" t="s">
        <v>1317</v>
      </c>
      <c r="F1749">
        <v>3</v>
      </c>
      <c r="G1749">
        <v>773.86</v>
      </c>
      <c r="H1749">
        <v>0.22</v>
      </c>
      <c r="I1749" t="s">
        <v>1349</v>
      </c>
      <c r="J1749">
        <v>1810.8324</v>
      </c>
    </row>
    <row r="1750" spans="1:10">
      <c r="A1750" t="s">
        <v>3099</v>
      </c>
      <c r="B1750" s="1">
        <v>45744</v>
      </c>
      <c r="C1750" t="s">
        <v>988</v>
      </c>
      <c r="D1750" t="s">
        <v>1135</v>
      </c>
      <c r="E1750" t="s">
        <v>1326</v>
      </c>
      <c r="F1750">
        <v>2</v>
      </c>
      <c r="G1750">
        <v>31.28</v>
      </c>
      <c r="H1750">
        <v>0.2</v>
      </c>
      <c r="I1750" t="s">
        <v>1354</v>
      </c>
      <c r="J1750">
        <v>50.048000000000002</v>
      </c>
    </row>
    <row r="1751" spans="1:10">
      <c r="A1751" t="s">
        <v>3100</v>
      </c>
      <c r="B1751" s="1">
        <v>45842</v>
      </c>
      <c r="C1751" t="s">
        <v>809</v>
      </c>
      <c r="D1751" t="s">
        <v>1237</v>
      </c>
      <c r="E1751" t="s">
        <v>1301</v>
      </c>
      <c r="F1751">
        <v>4</v>
      </c>
      <c r="G1751">
        <v>389.22</v>
      </c>
      <c r="H1751">
        <v>0.18</v>
      </c>
      <c r="I1751" t="s">
        <v>1349</v>
      </c>
      <c r="J1751">
        <v>1276.6415999999999</v>
      </c>
    </row>
    <row r="1752" spans="1:10">
      <c r="A1752" t="s">
        <v>3101</v>
      </c>
      <c r="B1752" s="1">
        <v>45502</v>
      </c>
      <c r="C1752" t="s">
        <v>56</v>
      </c>
      <c r="D1752" t="s">
        <v>1201</v>
      </c>
      <c r="E1752" t="s">
        <v>1326</v>
      </c>
      <c r="F1752">
        <v>3</v>
      </c>
      <c r="G1752">
        <v>543.44000000000005</v>
      </c>
      <c r="H1752">
        <v>0.13</v>
      </c>
      <c r="I1752" t="s">
        <v>1351</v>
      </c>
      <c r="J1752">
        <v>1418.3784000000001</v>
      </c>
    </row>
    <row r="1753" spans="1:10">
      <c r="A1753" t="s">
        <v>3102</v>
      </c>
      <c r="B1753" s="1">
        <v>45296</v>
      </c>
      <c r="C1753" t="s">
        <v>577</v>
      </c>
      <c r="D1753" t="s">
        <v>1267</v>
      </c>
      <c r="E1753" t="s">
        <v>1338</v>
      </c>
      <c r="F1753">
        <v>4</v>
      </c>
      <c r="G1753">
        <v>715.42</v>
      </c>
      <c r="H1753">
        <v>0.28999999999999998</v>
      </c>
      <c r="I1753" t="s">
        <v>1351</v>
      </c>
      <c r="J1753">
        <v>2031.7927999999999</v>
      </c>
    </row>
    <row r="1754" spans="1:10">
      <c r="A1754" t="s">
        <v>3103</v>
      </c>
      <c r="B1754" s="1">
        <v>45886</v>
      </c>
      <c r="C1754" t="s">
        <v>145</v>
      </c>
      <c r="D1754" t="s">
        <v>1097</v>
      </c>
      <c r="E1754" t="s">
        <v>1294</v>
      </c>
      <c r="F1754">
        <v>4</v>
      </c>
      <c r="G1754">
        <v>676.14</v>
      </c>
      <c r="H1754">
        <v>0.11</v>
      </c>
      <c r="I1754" t="s">
        <v>1354</v>
      </c>
      <c r="J1754">
        <v>2407.0583999999999</v>
      </c>
    </row>
    <row r="1755" spans="1:10">
      <c r="A1755" t="s">
        <v>3104</v>
      </c>
      <c r="B1755" s="1">
        <v>45425</v>
      </c>
      <c r="C1755" t="s">
        <v>234</v>
      </c>
      <c r="D1755" t="s">
        <v>1151</v>
      </c>
      <c r="E1755" t="s">
        <v>1282</v>
      </c>
      <c r="F1755">
        <v>4</v>
      </c>
      <c r="G1755">
        <v>352.72</v>
      </c>
      <c r="H1755">
        <v>0.25</v>
      </c>
      <c r="I1755" t="s">
        <v>1349</v>
      </c>
      <c r="J1755">
        <v>1058.1600000000001</v>
      </c>
    </row>
    <row r="1756" spans="1:10">
      <c r="A1756" t="s">
        <v>3105</v>
      </c>
      <c r="B1756" s="1">
        <v>45797</v>
      </c>
      <c r="C1756" t="s">
        <v>407</v>
      </c>
      <c r="D1756" t="s">
        <v>1095</v>
      </c>
      <c r="E1756" t="s">
        <v>1319</v>
      </c>
      <c r="F1756">
        <v>1</v>
      </c>
      <c r="G1756">
        <v>470.18</v>
      </c>
      <c r="H1756">
        <v>0.19</v>
      </c>
      <c r="I1756" t="s">
        <v>1351</v>
      </c>
      <c r="J1756">
        <v>380.84580000000011</v>
      </c>
    </row>
    <row r="1757" spans="1:10">
      <c r="A1757" t="s">
        <v>3106</v>
      </c>
      <c r="B1757" s="1">
        <v>45898</v>
      </c>
      <c r="C1757" t="s">
        <v>523</v>
      </c>
      <c r="D1757" t="s">
        <v>1205</v>
      </c>
      <c r="E1757" t="s">
        <v>1317</v>
      </c>
      <c r="F1757">
        <v>1</v>
      </c>
      <c r="G1757">
        <v>891.79</v>
      </c>
      <c r="H1757">
        <v>0.03</v>
      </c>
      <c r="I1757" t="s">
        <v>1349</v>
      </c>
      <c r="J1757">
        <v>865.03629999999998</v>
      </c>
    </row>
    <row r="1758" spans="1:10">
      <c r="A1758" t="s">
        <v>3107</v>
      </c>
      <c r="B1758" s="1">
        <v>45390</v>
      </c>
      <c r="C1758" t="s">
        <v>760</v>
      </c>
      <c r="D1758" t="s">
        <v>1251</v>
      </c>
      <c r="E1758" t="s">
        <v>1332</v>
      </c>
      <c r="F1758">
        <v>2</v>
      </c>
      <c r="G1758">
        <v>433.07</v>
      </c>
      <c r="H1758">
        <v>0.25</v>
      </c>
      <c r="I1758" t="s">
        <v>1354</v>
      </c>
      <c r="J1758">
        <v>649.60500000000002</v>
      </c>
    </row>
    <row r="1759" spans="1:10">
      <c r="A1759" t="s">
        <v>3108</v>
      </c>
      <c r="B1759" s="1">
        <v>45355</v>
      </c>
      <c r="C1759" t="s">
        <v>47</v>
      </c>
      <c r="D1759" t="s">
        <v>1205</v>
      </c>
      <c r="E1759" t="s">
        <v>1338</v>
      </c>
      <c r="F1759">
        <v>3</v>
      </c>
      <c r="G1759">
        <v>626.71</v>
      </c>
      <c r="H1759">
        <v>7.0000000000000007E-2</v>
      </c>
      <c r="I1759" t="s">
        <v>1354</v>
      </c>
      <c r="J1759">
        <v>1748.5209</v>
      </c>
    </row>
    <row r="1760" spans="1:10">
      <c r="A1760" t="s">
        <v>3109</v>
      </c>
      <c r="B1760" s="1">
        <v>45916</v>
      </c>
      <c r="C1760" t="s">
        <v>204</v>
      </c>
      <c r="D1760" t="s">
        <v>1145</v>
      </c>
      <c r="E1760" t="s">
        <v>1277</v>
      </c>
      <c r="F1760">
        <v>2</v>
      </c>
      <c r="G1760">
        <v>324.18</v>
      </c>
      <c r="H1760">
        <v>0.06</v>
      </c>
      <c r="I1760" t="s">
        <v>1354</v>
      </c>
      <c r="J1760">
        <v>609.45839999999998</v>
      </c>
    </row>
    <row r="1761" spans="1:10">
      <c r="A1761" t="s">
        <v>3110</v>
      </c>
      <c r="B1761" s="1">
        <v>45448</v>
      </c>
      <c r="C1761" t="s">
        <v>50</v>
      </c>
      <c r="D1761" t="s">
        <v>1101</v>
      </c>
      <c r="E1761" t="s">
        <v>1332</v>
      </c>
      <c r="F1761">
        <v>4</v>
      </c>
      <c r="G1761">
        <v>839.74</v>
      </c>
      <c r="H1761">
        <v>0.13</v>
      </c>
      <c r="I1761" t="s">
        <v>1351</v>
      </c>
      <c r="J1761">
        <v>2922.2952</v>
      </c>
    </row>
    <row r="1762" spans="1:10">
      <c r="A1762" t="s">
        <v>3111</v>
      </c>
      <c r="B1762" s="1">
        <v>45402</v>
      </c>
      <c r="C1762" t="s">
        <v>373</v>
      </c>
      <c r="D1762" t="s">
        <v>1197</v>
      </c>
      <c r="E1762" t="s">
        <v>1326</v>
      </c>
      <c r="F1762">
        <v>3</v>
      </c>
      <c r="G1762">
        <v>252.63</v>
      </c>
      <c r="H1762">
        <v>0.28000000000000003</v>
      </c>
      <c r="I1762" t="s">
        <v>1349</v>
      </c>
      <c r="J1762">
        <v>545.68079999999998</v>
      </c>
    </row>
    <row r="1763" spans="1:10">
      <c r="A1763" t="s">
        <v>3112</v>
      </c>
      <c r="B1763" s="1">
        <v>45581</v>
      </c>
      <c r="C1763" t="s">
        <v>573</v>
      </c>
      <c r="D1763" t="s">
        <v>1231</v>
      </c>
      <c r="E1763" t="s">
        <v>1338</v>
      </c>
      <c r="F1763">
        <v>2</v>
      </c>
      <c r="G1763">
        <v>60.53</v>
      </c>
      <c r="H1763">
        <v>0.18</v>
      </c>
      <c r="I1763" t="s">
        <v>1349</v>
      </c>
      <c r="J1763">
        <v>99.269200000000012</v>
      </c>
    </row>
    <row r="1764" spans="1:10">
      <c r="A1764" t="s">
        <v>3113</v>
      </c>
      <c r="B1764" s="1">
        <v>45610</v>
      </c>
      <c r="C1764" t="s">
        <v>152</v>
      </c>
      <c r="D1764" t="s">
        <v>1241</v>
      </c>
      <c r="E1764" t="s">
        <v>1322</v>
      </c>
      <c r="F1764">
        <v>4</v>
      </c>
      <c r="G1764">
        <v>341.95</v>
      </c>
      <c r="H1764">
        <v>0.25</v>
      </c>
      <c r="I1764" t="s">
        <v>1349</v>
      </c>
      <c r="J1764">
        <v>1025.8499999999999</v>
      </c>
    </row>
    <row r="1765" spans="1:10">
      <c r="A1765" t="s">
        <v>3114</v>
      </c>
      <c r="B1765" s="1">
        <v>45438</v>
      </c>
      <c r="C1765" t="s">
        <v>630</v>
      </c>
      <c r="D1765" t="s">
        <v>1117</v>
      </c>
      <c r="E1765" t="s">
        <v>1329</v>
      </c>
      <c r="F1765">
        <v>4</v>
      </c>
      <c r="G1765">
        <v>300.12</v>
      </c>
      <c r="H1765">
        <v>0.05</v>
      </c>
      <c r="I1765" t="s">
        <v>1351</v>
      </c>
      <c r="J1765">
        <v>1140.4559999999999</v>
      </c>
    </row>
    <row r="1766" spans="1:10">
      <c r="A1766" t="s">
        <v>3115</v>
      </c>
      <c r="B1766" s="1">
        <v>45705</v>
      </c>
      <c r="C1766" t="s">
        <v>290</v>
      </c>
      <c r="D1766" t="s">
        <v>1129</v>
      </c>
      <c r="E1766" t="s">
        <v>1332</v>
      </c>
      <c r="F1766">
        <v>2</v>
      </c>
      <c r="G1766">
        <v>289.14</v>
      </c>
      <c r="H1766">
        <v>0.12</v>
      </c>
      <c r="I1766" t="s">
        <v>1354</v>
      </c>
      <c r="J1766">
        <v>508.88639999999998</v>
      </c>
    </row>
    <row r="1767" spans="1:10">
      <c r="A1767" t="s">
        <v>3116</v>
      </c>
      <c r="B1767" s="1">
        <v>45695</v>
      </c>
      <c r="C1767" t="s">
        <v>131</v>
      </c>
      <c r="D1767" t="s">
        <v>1123</v>
      </c>
      <c r="E1767" t="s">
        <v>1277</v>
      </c>
      <c r="F1767">
        <v>2</v>
      </c>
      <c r="G1767">
        <v>596.84</v>
      </c>
      <c r="H1767">
        <v>0.01</v>
      </c>
      <c r="I1767" t="s">
        <v>1351</v>
      </c>
      <c r="J1767">
        <v>1181.7431999999999</v>
      </c>
    </row>
    <row r="1768" spans="1:10">
      <c r="A1768" t="s">
        <v>3117</v>
      </c>
      <c r="B1768" s="1">
        <v>45571</v>
      </c>
      <c r="C1768" t="s">
        <v>935</v>
      </c>
      <c r="D1768" t="s">
        <v>1111</v>
      </c>
      <c r="E1768" t="s">
        <v>1307</v>
      </c>
      <c r="F1768">
        <v>4</v>
      </c>
      <c r="G1768">
        <v>466.24</v>
      </c>
      <c r="H1768">
        <v>0.16</v>
      </c>
      <c r="I1768" t="s">
        <v>1349</v>
      </c>
      <c r="J1768">
        <v>1566.5663999999999</v>
      </c>
    </row>
    <row r="1769" spans="1:10">
      <c r="A1769" t="s">
        <v>3118</v>
      </c>
      <c r="B1769" s="1">
        <v>45544</v>
      </c>
      <c r="C1769" t="s">
        <v>567</v>
      </c>
      <c r="D1769" t="s">
        <v>1099</v>
      </c>
      <c r="E1769" t="s">
        <v>1329</v>
      </c>
      <c r="F1769">
        <v>2</v>
      </c>
      <c r="G1769">
        <v>330.59</v>
      </c>
      <c r="H1769">
        <v>0.14000000000000001</v>
      </c>
      <c r="I1769" t="s">
        <v>1349</v>
      </c>
      <c r="J1769">
        <v>568.61479999999995</v>
      </c>
    </row>
    <row r="1770" spans="1:10">
      <c r="A1770" t="s">
        <v>3119</v>
      </c>
      <c r="B1770" s="1">
        <v>45654</v>
      </c>
      <c r="C1770" t="s">
        <v>1047</v>
      </c>
      <c r="D1770" t="s">
        <v>1117</v>
      </c>
      <c r="E1770" t="s">
        <v>1301</v>
      </c>
      <c r="F1770">
        <v>2</v>
      </c>
      <c r="G1770">
        <v>616.42999999999995</v>
      </c>
      <c r="H1770">
        <v>0.02</v>
      </c>
      <c r="I1770" t="s">
        <v>1354</v>
      </c>
      <c r="J1770">
        <v>1208.2028</v>
      </c>
    </row>
    <row r="1771" spans="1:10">
      <c r="A1771" t="s">
        <v>3120</v>
      </c>
      <c r="B1771" s="1">
        <v>45589</v>
      </c>
      <c r="C1771" t="s">
        <v>869</v>
      </c>
      <c r="D1771" t="s">
        <v>1199</v>
      </c>
      <c r="E1771" t="s">
        <v>1301</v>
      </c>
      <c r="F1771">
        <v>3</v>
      </c>
      <c r="G1771">
        <v>195.89</v>
      </c>
      <c r="H1771">
        <v>0.16</v>
      </c>
      <c r="I1771" t="s">
        <v>1351</v>
      </c>
      <c r="J1771">
        <v>493.64280000000002</v>
      </c>
    </row>
    <row r="1772" spans="1:10">
      <c r="A1772" t="s">
        <v>3121</v>
      </c>
      <c r="B1772" s="1">
        <v>45487</v>
      </c>
      <c r="C1772" t="s">
        <v>750</v>
      </c>
      <c r="D1772" t="s">
        <v>1085</v>
      </c>
      <c r="E1772" t="s">
        <v>1314</v>
      </c>
      <c r="F1772">
        <v>4</v>
      </c>
      <c r="G1772">
        <v>614.76</v>
      </c>
      <c r="H1772">
        <v>0.16</v>
      </c>
      <c r="I1772" t="s">
        <v>1349</v>
      </c>
      <c r="J1772">
        <v>2065.5936000000002</v>
      </c>
    </row>
    <row r="1773" spans="1:10">
      <c r="A1773" t="s">
        <v>3122</v>
      </c>
      <c r="B1773" s="1">
        <v>45418</v>
      </c>
      <c r="C1773" t="s">
        <v>871</v>
      </c>
      <c r="D1773" t="s">
        <v>1231</v>
      </c>
      <c r="E1773" t="s">
        <v>1304</v>
      </c>
      <c r="F1773">
        <v>1</v>
      </c>
      <c r="G1773">
        <v>224.49</v>
      </c>
      <c r="H1773">
        <v>0.11</v>
      </c>
      <c r="I1773" t="s">
        <v>1351</v>
      </c>
      <c r="J1773">
        <v>199.7961</v>
      </c>
    </row>
    <row r="1774" spans="1:10">
      <c r="A1774" t="s">
        <v>3123</v>
      </c>
      <c r="B1774" s="1">
        <v>45338</v>
      </c>
      <c r="C1774" t="s">
        <v>775</v>
      </c>
      <c r="D1774" t="s">
        <v>1183</v>
      </c>
      <c r="E1774" t="s">
        <v>1319</v>
      </c>
      <c r="F1774">
        <v>1</v>
      </c>
      <c r="G1774">
        <v>967.76</v>
      </c>
      <c r="H1774">
        <v>0.09</v>
      </c>
      <c r="I1774" t="s">
        <v>1349</v>
      </c>
      <c r="J1774">
        <v>880.66160000000002</v>
      </c>
    </row>
    <row r="1775" spans="1:10">
      <c r="A1775" t="s">
        <v>3124</v>
      </c>
      <c r="B1775" s="1">
        <v>45507</v>
      </c>
      <c r="C1775" t="s">
        <v>182</v>
      </c>
      <c r="D1775" t="s">
        <v>1155</v>
      </c>
      <c r="E1775" t="s">
        <v>1338</v>
      </c>
      <c r="F1775">
        <v>2</v>
      </c>
      <c r="G1775">
        <v>56.52</v>
      </c>
      <c r="H1775">
        <v>0.17</v>
      </c>
      <c r="I1775" t="s">
        <v>1351</v>
      </c>
      <c r="J1775">
        <v>93.8232</v>
      </c>
    </row>
    <row r="1776" spans="1:10">
      <c r="A1776" t="s">
        <v>3125</v>
      </c>
      <c r="B1776" s="1">
        <v>45275</v>
      </c>
      <c r="C1776" t="s">
        <v>1041</v>
      </c>
      <c r="D1776" t="s">
        <v>1207</v>
      </c>
      <c r="E1776" t="s">
        <v>1282</v>
      </c>
      <c r="F1776">
        <v>4</v>
      </c>
      <c r="G1776">
        <v>921.84</v>
      </c>
      <c r="H1776">
        <v>0.04</v>
      </c>
      <c r="I1776" t="s">
        <v>1349</v>
      </c>
      <c r="J1776">
        <v>3539.8656000000001</v>
      </c>
    </row>
    <row r="1777" spans="1:10">
      <c r="A1777" t="s">
        <v>3126</v>
      </c>
      <c r="B1777" s="1">
        <v>45319</v>
      </c>
      <c r="C1777" t="s">
        <v>720</v>
      </c>
      <c r="D1777" t="s">
        <v>1245</v>
      </c>
      <c r="E1777" t="s">
        <v>1329</v>
      </c>
      <c r="F1777">
        <v>3</v>
      </c>
      <c r="G1777">
        <v>738.47</v>
      </c>
      <c r="H1777">
        <v>0.28000000000000003</v>
      </c>
      <c r="I1777" t="s">
        <v>1349</v>
      </c>
      <c r="J1777">
        <v>1595.0952</v>
      </c>
    </row>
    <row r="1778" spans="1:10">
      <c r="A1778" t="s">
        <v>3127</v>
      </c>
      <c r="B1778" s="1">
        <v>45620</v>
      </c>
      <c r="C1778" t="s">
        <v>720</v>
      </c>
      <c r="D1778" t="s">
        <v>1080</v>
      </c>
      <c r="E1778" t="s">
        <v>1277</v>
      </c>
      <c r="F1778">
        <v>4</v>
      </c>
      <c r="G1778">
        <v>477.83</v>
      </c>
      <c r="H1778">
        <v>0.05</v>
      </c>
      <c r="I1778" t="s">
        <v>1354</v>
      </c>
      <c r="J1778">
        <v>1815.7539999999999</v>
      </c>
    </row>
    <row r="1779" spans="1:10">
      <c r="A1779" t="s">
        <v>3128</v>
      </c>
      <c r="B1779" s="1">
        <v>45831</v>
      </c>
      <c r="C1779" t="s">
        <v>397</v>
      </c>
      <c r="D1779" t="s">
        <v>1157</v>
      </c>
      <c r="E1779" t="s">
        <v>1319</v>
      </c>
      <c r="F1779">
        <v>3</v>
      </c>
      <c r="G1779">
        <v>605.83000000000004</v>
      </c>
      <c r="H1779">
        <v>0.28000000000000003</v>
      </c>
      <c r="I1779" t="s">
        <v>1354</v>
      </c>
      <c r="J1779">
        <v>1308.5927999999999</v>
      </c>
    </row>
    <row r="1780" spans="1:10">
      <c r="A1780" t="s">
        <v>3129</v>
      </c>
      <c r="B1780" s="1">
        <v>45373</v>
      </c>
      <c r="C1780" t="s">
        <v>182</v>
      </c>
      <c r="D1780" t="s">
        <v>1159</v>
      </c>
      <c r="E1780" t="s">
        <v>1291</v>
      </c>
      <c r="F1780">
        <v>2</v>
      </c>
      <c r="G1780">
        <v>521.44000000000005</v>
      </c>
      <c r="H1780">
        <v>0.25</v>
      </c>
      <c r="I1780" t="s">
        <v>1354</v>
      </c>
      <c r="J1780">
        <v>782.16000000000008</v>
      </c>
    </row>
    <row r="1781" spans="1:10">
      <c r="A1781" t="s">
        <v>3130</v>
      </c>
      <c r="B1781" s="1">
        <v>45863</v>
      </c>
      <c r="C1781" t="s">
        <v>809</v>
      </c>
      <c r="D1781" t="s">
        <v>1093</v>
      </c>
      <c r="E1781" t="s">
        <v>1304</v>
      </c>
      <c r="F1781">
        <v>4</v>
      </c>
      <c r="G1781">
        <v>499.02</v>
      </c>
      <c r="H1781">
        <v>0.06</v>
      </c>
      <c r="I1781" t="s">
        <v>1349</v>
      </c>
      <c r="J1781">
        <v>1876.3152</v>
      </c>
    </row>
    <row r="1782" spans="1:10">
      <c r="A1782" t="s">
        <v>3131</v>
      </c>
      <c r="B1782" s="1">
        <v>45758</v>
      </c>
      <c r="C1782" t="s">
        <v>367</v>
      </c>
      <c r="D1782" t="s">
        <v>1078</v>
      </c>
      <c r="E1782" t="s">
        <v>1335</v>
      </c>
      <c r="F1782">
        <v>4</v>
      </c>
      <c r="G1782">
        <v>299.45999999999998</v>
      </c>
      <c r="H1782">
        <v>0.18</v>
      </c>
      <c r="I1782" t="s">
        <v>1354</v>
      </c>
      <c r="J1782">
        <v>982.22879999999998</v>
      </c>
    </row>
    <row r="1783" spans="1:10">
      <c r="A1783" t="s">
        <v>3132</v>
      </c>
      <c r="B1783" s="1">
        <v>45285</v>
      </c>
      <c r="C1783" t="s">
        <v>977</v>
      </c>
      <c r="D1783" t="s">
        <v>1151</v>
      </c>
      <c r="E1783" t="s">
        <v>1277</v>
      </c>
      <c r="F1783">
        <v>1</v>
      </c>
      <c r="G1783">
        <v>609.29</v>
      </c>
      <c r="H1783">
        <v>0.15</v>
      </c>
      <c r="I1783" t="s">
        <v>1349</v>
      </c>
      <c r="J1783">
        <v>517.89649999999995</v>
      </c>
    </row>
    <row r="1784" spans="1:10">
      <c r="A1784" t="s">
        <v>3133</v>
      </c>
      <c r="B1784" s="1">
        <v>45656</v>
      </c>
      <c r="C1784" t="s">
        <v>261</v>
      </c>
      <c r="D1784" t="s">
        <v>1074</v>
      </c>
      <c r="E1784" t="s">
        <v>1307</v>
      </c>
      <c r="F1784">
        <v>1</v>
      </c>
      <c r="G1784">
        <v>213.74</v>
      </c>
      <c r="H1784">
        <v>7.0000000000000007E-2</v>
      </c>
      <c r="I1784" t="s">
        <v>1354</v>
      </c>
      <c r="J1784">
        <v>198.7782</v>
      </c>
    </row>
    <row r="1785" spans="1:10">
      <c r="A1785" t="s">
        <v>3134</v>
      </c>
      <c r="B1785" s="1">
        <v>45718</v>
      </c>
      <c r="C1785" t="s">
        <v>367</v>
      </c>
      <c r="D1785" t="s">
        <v>1183</v>
      </c>
      <c r="E1785" t="s">
        <v>1329</v>
      </c>
      <c r="F1785">
        <v>4</v>
      </c>
      <c r="G1785">
        <v>613.16999999999996</v>
      </c>
      <c r="H1785">
        <v>0.26</v>
      </c>
      <c r="I1785" t="s">
        <v>1349</v>
      </c>
      <c r="J1785">
        <v>1814.9831999999999</v>
      </c>
    </row>
    <row r="1786" spans="1:10">
      <c r="A1786" t="s">
        <v>3135</v>
      </c>
      <c r="B1786" s="1">
        <v>45293</v>
      </c>
      <c r="C1786" t="s">
        <v>777</v>
      </c>
      <c r="D1786" t="s">
        <v>1191</v>
      </c>
      <c r="E1786" t="s">
        <v>1317</v>
      </c>
      <c r="F1786">
        <v>2</v>
      </c>
      <c r="G1786">
        <v>687.36</v>
      </c>
      <c r="H1786">
        <v>7.0000000000000007E-2</v>
      </c>
      <c r="I1786" t="s">
        <v>1354</v>
      </c>
      <c r="J1786">
        <v>1278.4896000000001</v>
      </c>
    </row>
    <row r="1787" spans="1:10">
      <c r="A1787" t="s">
        <v>3136</v>
      </c>
      <c r="B1787" s="1">
        <v>45915</v>
      </c>
      <c r="C1787" t="s">
        <v>716</v>
      </c>
      <c r="D1787" t="s">
        <v>1207</v>
      </c>
      <c r="E1787" t="s">
        <v>1322</v>
      </c>
      <c r="F1787">
        <v>3</v>
      </c>
      <c r="G1787">
        <v>115.39</v>
      </c>
      <c r="H1787">
        <v>0.02</v>
      </c>
      <c r="I1787" t="s">
        <v>1351</v>
      </c>
      <c r="J1787">
        <v>339.2466</v>
      </c>
    </row>
    <row r="1788" spans="1:10">
      <c r="A1788" t="s">
        <v>3137</v>
      </c>
      <c r="B1788" s="1">
        <v>45359</v>
      </c>
      <c r="C1788" t="s">
        <v>420</v>
      </c>
      <c r="D1788" t="s">
        <v>1121</v>
      </c>
      <c r="E1788" t="s">
        <v>1319</v>
      </c>
      <c r="F1788">
        <v>2</v>
      </c>
      <c r="G1788">
        <v>722.06</v>
      </c>
      <c r="H1788">
        <v>7.0000000000000007E-2</v>
      </c>
      <c r="I1788" t="s">
        <v>1349</v>
      </c>
      <c r="J1788">
        <v>1343.0316</v>
      </c>
    </row>
    <row r="1789" spans="1:10">
      <c r="A1789" t="s">
        <v>3138</v>
      </c>
      <c r="B1789" s="1">
        <v>45652</v>
      </c>
      <c r="C1789" t="s">
        <v>913</v>
      </c>
      <c r="D1789" t="s">
        <v>1085</v>
      </c>
      <c r="E1789" t="s">
        <v>1326</v>
      </c>
      <c r="F1789">
        <v>1</v>
      </c>
      <c r="G1789">
        <v>384.57</v>
      </c>
      <c r="H1789">
        <v>0.06</v>
      </c>
      <c r="I1789" t="s">
        <v>1351</v>
      </c>
      <c r="J1789">
        <v>361.49579999999997</v>
      </c>
    </row>
    <row r="1790" spans="1:10">
      <c r="A1790" t="s">
        <v>3139</v>
      </c>
      <c r="B1790" s="1">
        <v>45735</v>
      </c>
      <c r="C1790" t="s">
        <v>482</v>
      </c>
      <c r="D1790" t="s">
        <v>1087</v>
      </c>
      <c r="E1790" t="s">
        <v>1322</v>
      </c>
      <c r="F1790">
        <v>2</v>
      </c>
      <c r="G1790">
        <v>194.09</v>
      </c>
      <c r="H1790">
        <v>0.18</v>
      </c>
      <c r="I1790" t="s">
        <v>1351</v>
      </c>
      <c r="J1790">
        <v>318.30759999999998</v>
      </c>
    </row>
    <row r="1791" spans="1:10">
      <c r="A1791" t="s">
        <v>3140</v>
      </c>
      <c r="B1791" s="1">
        <v>45579</v>
      </c>
      <c r="C1791" t="s">
        <v>405</v>
      </c>
      <c r="D1791" t="s">
        <v>1249</v>
      </c>
      <c r="E1791" t="s">
        <v>1291</v>
      </c>
      <c r="F1791">
        <v>2</v>
      </c>
      <c r="G1791">
        <v>403.91</v>
      </c>
      <c r="H1791">
        <v>7.0000000000000007E-2</v>
      </c>
      <c r="I1791" t="s">
        <v>1349</v>
      </c>
      <c r="J1791">
        <v>751.27260000000001</v>
      </c>
    </row>
    <row r="1792" spans="1:10">
      <c r="A1792" t="s">
        <v>3141</v>
      </c>
      <c r="B1792" s="1">
        <v>45721</v>
      </c>
      <c r="C1792" t="s">
        <v>204</v>
      </c>
      <c r="D1792" t="s">
        <v>1107</v>
      </c>
      <c r="E1792" t="s">
        <v>1324</v>
      </c>
      <c r="F1792">
        <v>1</v>
      </c>
      <c r="G1792">
        <v>878.69</v>
      </c>
      <c r="H1792">
        <v>0.3</v>
      </c>
      <c r="I1792" t="s">
        <v>1351</v>
      </c>
      <c r="J1792">
        <v>615.08299999999997</v>
      </c>
    </row>
    <row r="1793" spans="1:10">
      <c r="A1793" t="s">
        <v>3142</v>
      </c>
      <c r="B1793" s="1">
        <v>45446</v>
      </c>
      <c r="C1793" t="s">
        <v>825</v>
      </c>
      <c r="D1793" t="s">
        <v>1139</v>
      </c>
      <c r="E1793" t="s">
        <v>1326</v>
      </c>
      <c r="F1793">
        <v>1</v>
      </c>
      <c r="G1793">
        <v>161.16999999999999</v>
      </c>
      <c r="H1793">
        <v>0.05</v>
      </c>
      <c r="I1793" t="s">
        <v>1349</v>
      </c>
      <c r="J1793">
        <v>153.11150000000001</v>
      </c>
    </row>
    <row r="1794" spans="1:10">
      <c r="A1794" t="s">
        <v>3143</v>
      </c>
      <c r="B1794" s="1">
        <v>45387</v>
      </c>
      <c r="C1794" t="s">
        <v>490</v>
      </c>
      <c r="D1794" t="s">
        <v>1219</v>
      </c>
      <c r="E1794" t="s">
        <v>1324</v>
      </c>
      <c r="F1794">
        <v>2</v>
      </c>
      <c r="G1794">
        <v>720.15</v>
      </c>
      <c r="H1794">
        <v>0.22</v>
      </c>
      <c r="I1794" t="s">
        <v>1354</v>
      </c>
      <c r="J1794">
        <v>1123.434</v>
      </c>
    </row>
    <row r="1795" spans="1:10">
      <c r="A1795" t="s">
        <v>3144</v>
      </c>
      <c r="B1795" s="1">
        <v>45222</v>
      </c>
      <c r="C1795" t="s">
        <v>758</v>
      </c>
      <c r="D1795" t="s">
        <v>1125</v>
      </c>
      <c r="E1795" t="s">
        <v>1307</v>
      </c>
      <c r="F1795">
        <v>1</v>
      </c>
      <c r="G1795">
        <v>361.8</v>
      </c>
      <c r="H1795">
        <v>0.02</v>
      </c>
      <c r="I1795" t="s">
        <v>1354</v>
      </c>
      <c r="J1795">
        <v>354.56400000000002</v>
      </c>
    </row>
    <row r="1796" spans="1:10">
      <c r="A1796" t="s">
        <v>3145</v>
      </c>
      <c r="B1796" s="1">
        <v>45402</v>
      </c>
      <c r="C1796" t="s">
        <v>523</v>
      </c>
      <c r="D1796" t="s">
        <v>1263</v>
      </c>
      <c r="E1796" t="s">
        <v>1301</v>
      </c>
      <c r="F1796">
        <v>1</v>
      </c>
      <c r="G1796">
        <v>779.84</v>
      </c>
      <c r="H1796">
        <v>0.28999999999999998</v>
      </c>
      <c r="I1796" t="s">
        <v>1351</v>
      </c>
      <c r="J1796">
        <v>553.68640000000005</v>
      </c>
    </row>
    <row r="1797" spans="1:10">
      <c r="A1797" t="s">
        <v>3146</v>
      </c>
      <c r="B1797" s="1">
        <v>45455</v>
      </c>
      <c r="C1797" t="s">
        <v>23</v>
      </c>
      <c r="D1797" t="s">
        <v>1265</v>
      </c>
      <c r="E1797" t="s">
        <v>1294</v>
      </c>
      <c r="F1797">
        <v>2</v>
      </c>
      <c r="G1797">
        <v>649.89</v>
      </c>
      <c r="H1797">
        <v>0.17</v>
      </c>
      <c r="I1797" t="s">
        <v>1354</v>
      </c>
      <c r="J1797">
        <v>1078.8173999999999</v>
      </c>
    </row>
    <row r="1798" spans="1:10">
      <c r="A1798" t="s">
        <v>3147</v>
      </c>
      <c r="B1798" s="1">
        <v>45877</v>
      </c>
      <c r="C1798" t="s">
        <v>470</v>
      </c>
      <c r="D1798" t="s">
        <v>1179</v>
      </c>
      <c r="E1798" t="s">
        <v>1301</v>
      </c>
      <c r="F1798">
        <v>1</v>
      </c>
      <c r="G1798">
        <v>952.73</v>
      </c>
      <c r="H1798">
        <v>0.17</v>
      </c>
      <c r="I1798" t="s">
        <v>1349</v>
      </c>
      <c r="J1798">
        <v>790.76589999999999</v>
      </c>
    </row>
    <row r="1799" spans="1:10">
      <c r="A1799" t="s">
        <v>3148</v>
      </c>
      <c r="B1799" s="1">
        <v>45875</v>
      </c>
      <c r="C1799" t="s">
        <v>222</v>
      </c>
      <c r="D1799" t="s">
        <v>1271</v>
      </c>
      <c r="E1799" t="s">
        <v>1329</v>
      </c>
      <c r="F1799">
        <v>4</v>
      </c>
      <c r="G1799">
        <v>820.78</v>
      </c>
      <c r="H1799">
        <v>0.25</v>
      </c>
      <c r="I1799" t="s">
        <v>1349</v>
      </c>
      <c r="J1799">
        <v>2462.34</v>
      </c>
    </row>
    <row r="1800" spans="1:10">
      <c r="A1800" t="s">
        <v>3149</v>
      </c>
      <c r="B1800" s="1">
        <v>45592</v>
      </c>
      <c r="C1800" t="s">
        <v>748</v>
      </c>
      <c r="D1800" t="s">
        <v>1149</v>
      </c>
      <c r="E1800" t="s">
        <v>1291</v>
      </c>
      <c r="F1800">
        <v>4</v>
      </c>
      <c r="G1800">
        <v>247.55</v>
      </c>
      <c r="H1800">
        <v>0.05</v>
      </c>
      <c r="I1800" t="s">
        <v>1349</v>
      </c>
      <c r="J1800">
        <v>940.69</v>
      </c>
    </row>
    <row r="1801" spans="1:10">
      <c r="A1801" t="s">
        <v>3150</v>
      </c>
      <c r="B1801" s="1">
        <v>45369</v>
      </c>
      <c r="C1801" t="s">
        <v>517</v>
      </c>
      <c r="D1801" t="s">
        <v>1271</v>
      </c>
      <c r="E1801" t="s">
        <v>1307</v>
      </c>
      <c r="F1801">
        <v>3</v>
      </c>
      <c r="G1801">
        <v>561.44000000000005</v>
      </c>
      <c r="H1801">
        <v>0.2</v>
      </c>
      <c r="I1801" t="s">
        <v>1354</v>
      </c>
      <c r="J1801">
        <v>1347.4559999999999</v>
      </c>
    </row>
    <row r="1802" spans="1:10">
      <c r="A1802" t="s">
        <v>3151</v>
      </c>
      <c r="B1802" s="1">
        <v>45249</v>
      </c>
      <c r="C1802" t="s">
        <v>626</v>
      </c>
      <c r="D1802" t="s">
        <v>1217</v>
      </c>
      <c r="E1802" t="s">
        <v>1307</v>
      </c>
      <c r="F1802">
        <v>4</v>
      </c>
      <c r="G1802">
        <v>214.37</v>
      </c>
      <c r="H1802">
        <v>0.11</v>
      </c>
      <c r="I1802" t="s">
        <v>1354</v>
      </c>
      <c r="J1802">
        <v>763.15719999999999</v>
      </c>
    </row>
    <row r="1803" spans="1:10">
      <c r="A1803" t="s">
        <v>3152</v>
      </c>
      <c r="B1803" s="1">
        <v>45741</v>
      </c>
      <c r="C1803" t="s">
        <v>897</v>
      </c>
      <c r="D1803" t="s">
        <v>1107</v>
      </c>
      <c r="E1803" t="s">
        <v>1329</v>
      </c>
      <c r="F1803">
        <v>3</v>
      </c>
      <c r="G1803">
        <v>123.74</v>
      </c>
      <c r="H1803">
        <v>0.23</v>
      </c>
      <c r="I1803" t="s">
        <v>1351</v>
      </c>
      <c r="J1803">
        <v>285.83940000000001</v>
      </c>
    </row>
    <row r="1804" spans="1:10">
      <c r="A1804" t="s">
        <v>3153</v>
      </c>
      <c r="B1804" s="1">
        <v>45427</v>
      </c>
      <c r="C1804" t="s">
        <v>50</v>
      </c>
      <c r="D1804" t="s">
        <v>1207</v>
      </c>
      <c r="E1804" t="s">
        <v>1317</v>
      </c>
      <c r="F1804">
        <v>4</v>
      </c>
      <c r="G1804">
        <v>645.71</v>
      </c>
      <c r="H1804">
        <v>0.1</v>
      </c>
      <c r="I1804" t="s">
        <v>1351</v>
      </c>
      <c r="J1804">
        <v>2324.556</v>
      </c>
    </row>
    <row r="1805" spans="1:10">
      <c r="A1805" t="s">
        <v>3154</v>
      </c>
      <c r="B1805" s="1">
        <v>45736</v>
      </c>
      <c r="C1805" t="s">
        <v>102</v>
      </c>
      <c r="D1805" t="s">
        <v>1115</v>
      </c>
      <c r="E1805" t="s">
        <v>1319</v>
      </c>
      <c r="F1805">
        <v>3</v>
      </c>
      <c r="G1805">
        <v>587.12</v>
      </c>
      <c r="H1805">
        <v>0.3</v>
      </c>
      <c r="I1805" t="s">
        <v>1349</v>
      </c>
      <c r="J1805">
        <v>1232.952</v>
      </c>
    </row>
    <row r="1806" spans="1:10">
      <c r="A1806" t="s">
        <v>3155</v>
      </c>
      <c r="B1806" s="1">
        <v>45941</v>
      </c>
      <c r="C1806" t="s">
        <v>545</v>
      </c>
      <c r="D1806" t="s">
        <v>1123</v>
      </c>
      <c r="E1806" t="s">
        <v>1335</v>
      </c>
      <c r="F1806">
        <v>1</v>
      </c>
      <c r="G1806">
        <v>401.18</v>
      </c>
      <c r="H1806">
        <v>0.15</v>
      </c>
      <c r="I1806" t="s">
        <v>1354</v>
      </c>
      <c r="J1806">
        <v>341.00299999999999</v>
      </c>
    </row>
    <row r="1807" spans="1:10">
      <c r="A1807" t="s">
        <v>3156</v>
      </c>
      <c r="B1807" s="1">
        <v>45486</v>
      </c>
      <c r="C1807" t="s">
        <v>795</v>
      </c>
      <c r="D1807" t="s">
        <v>1189</v>
      </c>
      <c r="E1807" t="s">
        <v>1335</v>
      </c>
      <c r="F1807">
        <v>3</v>
      </c>
      <c r="G1807">
        <v>658.33</v>
      </c>
      <c r="H1807">
        <v>0.12</v>
      </c>
      <c r="I1807" t="s">
        <v>1354</v>
      </c>
      <c r="J1807">
        <v>1737.9911999999999</v>
      </c>
    </row>
    <row r="1808" spans="1:10">
      <c r="A1808" t="s">
        <v>3157</v>
      </c>
      <c r="B1808" s="1">
        <v>45474</v>
      </c>
      <c r="C1808" t="s">
        <v>464</v>
      </c>
      <c r="D1808" t="s">
        <v>1171</v>
      </c>
      <c r="E1808" t="s">
        <v>1317</v>
      </c>
      <c r="F1808">
        <v>4</v>
      </c>
      <c r="G1808">
        <v>450.3</v>
      </c>
      <c r="H1808">
        <v>0.02</v>
      </c>
      <c r="I1808" t="s">
        <v>1349</v>
      </c>
      <c r="J1808">
        <v>1765.1759999999999</v>
      </c>
    </row>
    <row r="1809" spans="1:10">
      <c r="A1809" t="s">
        <v>3158</v>
      </c>
      <c r="B1809" s="1">
        <v>45757</v>
      </c>
      <c r="C1809" t="s">
        <v>351</v>
      </c>
      <c r="D1809" t="s">
        <v>1261</v>
      </c>
      <c r="E1809" t="s">
        <v>1314</v>
      </c>
      <c r="F1809">
        <v>4</v>
      </c>
      <c r="G1809">
        <v>33.630000000000003</v>
      </c>
      <c r="H1809">
        <v>0.05</v>
      </c>
      <c r="I1809" t="s">
        <v>1349</v>
      </c>
      <c r="J1809">
        <v>127.794</v>
      </c>
    </row>
    <row r="1810" spans="1:10">
      <c r="A1810" t="s">
        <v>3159</v>
      </c>
      <c r="B1810" s="1">
        <v>45475</v>
      </c>
      <c r="C1810" t="s">
        <v>107</v>
      </c>
      <c r="D1810" t="s">
        <v>1105</v>
      </c>
      <c r="E1810" t="s">
        <v>1277</v>
      </c>
      <c r="F1810">
        <v>3</v>
      </c>
      <c r="G1810">
        <v>168.89</v>
      </c>
      <c r="H1810">
        <v>0.03</v>
      </c>
      <c r="I1810" t="s">
        <v>1354</v>
      </c>
      <c r="J1810">
        <v>491.46989999999988</v>
      </c>
    </row>
    <row r="1811" spans="1:10">
      <c r="A1811" t="s">
        <v>3160</v>
      </c>
      <c r="B1811" s="1">
        <v>45546</v>
      </c>
      <c r="C1811" t="s">
        <v>248</v>
      </c>
      <c r="D1811" t="s">
        <v>1193</v>
      </c>
      <c r="E1811" t="s">
        <v>1317</v>
      </c>
      <c r="F1811">
        <v>1</v>
      </c>
      <c r="G1811">
        <v>141.85</v>
      </c>
      <c r="H1811">
        <v>0.06</v>
      </c>
      <c r="I1811" t="s">
        <v>1351</v>
      </c>
      <c r="J1811">
        <v>133.339</v>
      </c>
    </row>
    <row r="1812" spans="1:10">
      <c r="A1812" t="s">
        <v>3161</v>
      </c>
      <c r="B1812" s="1">
        <v>45520</v>
      </c>
      <c r="C1812" t="s">
        <v>676</v>
      </c>
      <c r="D1812" t="s">
        <v>1143</v>
      </c>
      <c r="E1812" t="s">
        <v>1304</v>
      </c>
      <c r="F1812">
        <v>1</v>
      </c>
      <c r="G1812">
        <v>617.4</v>
      </c>
      <c r="H1812">
        <v>0.21</v>
      </c>
      <c r="I1812" t="s">
        <v>1349</v>
      </c>
      <c r="J1812">
        <v>487.74599999999998</v>
      </c>
    </row>
    <row r="1813" spans="1:10">
      <c r="A1813" t="s">
        <v>3162</v>
      </c>
      <c r="B1813" s="1">
        <v>45534</v>
      </c>
      <c r="C1813" t="s">
        <v>355</v>
      </c>
      <c r="D1813" t="s">
        <v>1179</v>
      </c>
      <c r="E1813" t="s">
        <v>1282</v>
      </c>
      <c r="F1813">
        <v>3</v>
      </c>
      <c r="G1813">
        <v>841.47</v>
      </c>
      <c r="H1813">
        <v>0.15</v>
      </c>
      <c r="I1813" t="s">
        <v>1354</v>
      </c>
      <c r="J1813">
        <v>2145.7485000000001</v>
      </c>
    </row>
    <row r="1814" spans="1:10">
      <c r="A1814" t="s">
        <v>3163</v>
      </c>
      <c r="B1814" s="1">
        <v>45334</v>
      </c>
      <c r="C1814" t="s">
        <v>164</v>
      </c>
      <c r="D1814" t="s">
        <v>1115</v>
      </c>
      <c r="E1814" t="s">
        <v>1322</v>
      </c>
      <c r="F1814">
        <v>2</v>
      </c>
      <c r="G1814">
        <v>960.41</v>
      </c>
      <c r="H1814">
        <v>0.18</v>
      </c>
      <c r="I1814" t="s">
        <v>1349</v>
      </c>
      <c r="J1814">
        <v>1575.0724</v>
      </c>
    </row>
    <row r="1815" spans="1:10">
      <c r="A1815" t="s">
        <v>3164</v>
      </c>
      <c r="B1815" s="1">
        <v>45289</v>
      </c>
      <c r="C1815" t="s">
        <v>965</v>
      </c>
      <c r="D1815" t="s">
        <v>1223</v>
      </c>
      <c r="E1815" t="s">
        <v>1335</v>
      </c>
      <c r="F1815">
        <v>3</v>
      </c>
      <c r="G1815">
        <v>717.22</v>
      </c>
      <c r="H1815">
        <v>0.24</v>
      </c>
      <c r="I1815" t="s">
        <v>1351</v>
      </c>
      <c r="J1815">
        <v>1635.2616</v>
      </c>
    </row>
    <row r="1816" spans="1:10">
      <c r="A1816" t="s">
        <v>3165</v>
      </c>
      <c r="B1816" s="1">
        <v>45832</v>
      </c>
      <c r="C1816" t="s">
        <v>290</v>
      </c>
      <c r="D1816" t="s">
        <v>1097</v>
      </c>
      <c r="E1816" t="s">
        <v>1277</v>
      </c>
      <c r="F1816">
        <v>1</v>
      </c>
      <c r="G1816">
        <v>281.83</v>
      </c>
      <c r="H1816">
        <v>0.16</v>
      </c>
      <c r="I1816" t="s">
        <v>1354</v>
      </c>
      <c r="J1816">
        <v>236.7372</v>
      </c>
    </row>
    <row r="1817" spans="1:10">
      <c r="A1817" t="s">
        <v>3166</v>
      </c>
      <c r="B1817" s="1">
        <v>45400</v>
      </c>
      <c r="C1817" t="s">
        <v>470</v>
      </c>
      <c r="D1817" t="s">
        <v>1191</v>
      </c>
      <c r="E1817" t="s">
        <v>1324</v>
      </c>
      <c r="F1817">
        <v>1</v>
      </c>
      <c r="G1817">
        <v>509.08</v>
      </c>
      <c r="H1817">
        <v>0.04</v>
      </c>
      <c r="I1817" t="s">
        <v>1351</v>
      </c>
      <c r="J1817">
        <v>488.71679999999998</v>
      </c>
    </row>
    <row r="1818" spans="1:10">
      <c r="A1818" t="s">
        <v>3167</v>
      </c>
      <c r="B1818" s="1">
        <v>45930</v>
      </c>
      <c r="C1818" t="s">
        <v>863</v>
      </c>
      <c r="D1818" t="s">
        <v>1265</v>
      </c>
      <c r="E1818" t="s">
        <v>1286</v>
      </c>
      <c r="F1818">
        <v>4</v>
      </c>
      <c r="G1818">
        <v>827.09</v>
      </c>
      <c r="H1818">
        <v>0.3</v>
      </c>
      <c r="I1818" t="s">
        <v>1349</v>
      </c>
      <c r="J1818">
        <v>2315.8519999999999</v>
      </c>
    </row>
    <row r="1819" spans="1:10">
      <c r="A1819" t="s">
        <v>3168</v>
      </c>
      <c r="B1819" s="1">
        <v>45935</v>
      </c>
      <c r="C1819" t="s">
        <v>482</v>
      </c>
      <c r="D1819" t="s">
        <v>1131</v>
      </c>
      <c r="E1819" t="s">
        <v>1294</v>
      </c>
      <c r="F1819">
        <v>2</v>
      </c>
      <c r="G1819">
        <v>823.36</v>
      </c>
      <c r="H1819">
        <v>0.23</v>
      </c>
      <c r="I1819" t="s">
        <v>1349</v>
      </c>
      <c r="J1819">
        <v>1267.9744000000001</v>
      </c>
    </row>
    <row r="1820" spans="1:10">
      <c r="A1820" t="s">
        <v>3169</v>
      </c>
      <c r="B1820" s="1">
        <v>45814</v>
      </c>
      <c r="C1820" t="s">
        <v>335</v>
      </c>
      <c r="D1820" t="s">
        <v>1125</v>
      </c>
      <c r="E1820" t="s">
        <v>1298</v>
      </c>
      <c r="F1820">
        <v>4</v>
      </c>
      <c r="G1820">
        <v>282.18</v>
      </c>
      <c r="H1820">
        <v>0.13</v>
      </c>
      <c r="I1820" t="s">
        <v>1354</v>
      </c>
      <c r="J1820">
        <v>981.9864</v>
      </c>
    </row>
    <row r="1821" spans="1:10">
      <c r="A1821" t="s">
        <v>3170</v>
      </c>
      <c r="B1821" s="1">
        <v>45323</v>
      </c>
      <c r="C1821" t="s">
        <v>405</v>
      </c>
      <c r="D1821" t="s">
        <v>1115</v>
      </c>
      <c r="E1821" t="s">
        <v>1282</v>
      </c>
      <c r="F1821">
        <v>1</v>
      </c>
      <c r="G1821">
        <v>486.39</v>
      </c>
      <c r="H1821">
        <v>0.09</v>
      </c>
      <c r="I1821" t="s">
        <v>1354</v>
      </c>
      <c r="J1821">
        <v>442.61489999999998</v>
      </c>
    </row>
    <row r="1822" spans="1:10">
      <c r="A1822" t="s">
        <v>3171</v>
      </c>
      <c r="B1822" s="1">
        <v>45312</v>
      </c>
      <c r="C1822" t="s">
        <v>129</v>
      </c>
      <c r="D1822" t="s">
        <v>1109</v>
      </c>
      <c r="E1822" t="s">
        <v>1291</v>
      </c>
      <c r="F1822">
        <v>2</v>
      </c>
      <c r="G1822">
        <v>603.62</v>
      </c>
      <c r="H1822">
        <v>0.18</v>
      </c>
      <c r="I1822" t="s">
        <v>1354</v>
      </c>
      <c r="J1822">
        <v>989.93680000000006</v>
      </c>
    </row>
    <row r="1823" spans="1:10">
      <c r="A1823" t="s">
        <v>3172</v>
      </c>
      <c r="B1823" s="1">
        <v>45554</v>
      </c>
      <c r="C1823" t="s">
        <v>355</v>
      </c>
      <c r="D1823" t="s">
        <v>1147</v>
      </c>
      <c r="E1823" t="s">
        <v>1307</v>
      </c>
      <c r="F1823">
        <v>3</v>
      </c>
      <c r="G1823">
        <v>204.17</v>
      </c>
      <c r="H1823">
        <v>0.1</v>
      </c>
      <c r="I1823" t="s">
        <v>1351</v>
      </c>
      <c r="J1823">
        <v>551.25900000000001</v>
      </c>
    </row>
    <row r="1824" spans="1:10">
      <c r="A1824" t="s">
        <v>3173</v>
      </c>
      <c r="B1824" s="1">
        <v>45310</v>
      </c>
      <c r="C1824" t="s">
        <v>335</v>
      </c>
      <c r="D1824" t="s">
        <v>1087</v>
      </c>
      <c r="E1824" t="s">
        <v>1326</v>
      </c>
      <c r="F1824">
        <v>1</v>
      </c>
      <c r="G1824">
        <v>43.58</v>
      </c>
      <c r="H1824">
        <v>0.01</v>
      </c>
      <c r="I1824" t="s">
        <v>1354</v>
      </c>
      <c r="J1824">
        <v>43.144199999999998</v>
      </c>
    </row>
    <row r="1825" spans="1:10">
      <c r="A1825" t="s">
        <v>3174</v>
      </c>
      <c r="B1825" s="1">
        <v>45594</v>
      </c>
      <c r="C1825" t="s">
        <v>728</v>
      </c>
      <c r="D1825" t="s">
        <v>1167</v>
      </c>
      <c r="E1825" t="s">
        <v>1286</v>
      </c>
      <c r="F1825">
        <v>3</v>
      </c>
      <c r="G1825">
        <v>469.33</v>
      </c>
      <c r="H1825">
        <v>0.14000000000000001</v>
      </c>
      <c r="I1825" t="s">
        <v>1351</v>
      </c>
      <c r="J1825">
        <v>1210.8714</v>
      </c>
    </row>
    <row r="1826" spans="1:10">
      <c r="A1826" t="s">
        <v>3175</v>
      </c>
      <c r="B1826" s="1">
        <v>45840</v>
      </c>
      <c r="C1826" t="s">
        <v>480</v>
      </c>
      <c r="D1826" t="s">
        <v>1087</v>
      </c>
      <c r="E1826" t="s">
        <v>1307</v>
      </c>
      <c r="F1826">
        <v>4</v>
      </c>
      <c r="G1826">
        <v>836.23</v>
      </c>
      <c r="H1826">
        <v>0.12</v>
      </c>
      <c r="I1826" t="s">
        <v>1349</v>
      </c>
      <c r="J1826">
        <v>2943.5295999999998</v>
      </c>
    </row>
    <row r="1827" spans="1:10">
      <c r="A1827" t="s">
        <v>3176</v>
      </c>
      <c r="B1827" s="1">
        <v>45549</v>
      </c>
      <c r="C1827" t="s">
        <v>418</v>
      </c>
      <c r="D1827" t="s">
        <v>1207</v>
      </c>
      <c r="E1827" t="s">
        <v>1338</v>
      </c>
      <c r="F1827">
        <v>2</v>
      </c>
      <c r="G1827">
        <v>661.53</v>
      </c>
      <c r="H1827">
        <v>0.2</v>
      </c>
      <c r="I1827" t="s">
        <v>1351</v>
      </c>
      <c r="J1827">
        <v>1058.4480000000001</v>
      </c>
    </row>
    <row r="1828" spans="1:10">
      <c r="A1828" t="s">
        <v>3177</v>
      </c>
      <c r="B1828" s="1">
        <v>45903</v>
      </c>
      <c r="C1828" t="s">
        <v>296</v>
      </c>
      <c r="D1828" t="s">
        <v>1185</v>
      </c>
      <c r="E1828" t="s">
        <v>1329</v>
      </c>
      <c r="F1828">
        <v>3</v>
      </c>
      <c r="G1828">
        <v>753.47</v>
      </c>
      <c r="H1828">
        <v>0.25</v>
      </c>
      <c r="I1828" t="s">
        <v>1351</v>
      </c>
      <c r="J1828">
        <v>1695.3074999999999</v>
      </c>
    </row>
    <row r="1829" spans="1:10">
      <c r="A1829" t="s">
        <v>3178</v>
      </c>
      <c r="B1829" s="1">
        <v>45673</v>
      </c>
      <c r="C1829" t="s">
        <v>373</v>
      </c>
      <c r="D1829" t="s">
        <v>1201</v>
      </c>
      <c r="E1829" t="s">
        <v>1277</v>
      </c>
      <c r="F1829">
        <v>3</v>
      </c>
      <c r="G1829">
        <v>713.95</v>
      </c>
      <c r="H1829">
        <v>0</v>
      </c>
      <c r="I1829" t="s">
        <v>1349</v>
      </c>
      <c r="J1829">
        <v>2141.85</v>
      </c>
    </row>
    <row r="1830" spans="1:10">
      <c r="A1830" t="s">
        <v>3179</v>
      </c>
      <c r="B1830" s="1">
        <v>45395</v>
      </c>
      <c r="C1830" t="s">
        <v>256</v>
      </c>
      <c r="D1830" t="s">
        <v>1095</v>
      </c>
      <c r="E1830" t="s">
        <v>1298</v>
      </c>
      <c r="F1830">
        <v>3</v>
      </c>
      <c r="G1830">
        <v>596</v>
      </c>
      <c r="H1830">
        <v>0.28000000000000003</v>
      </c>
      <c r="I1830" t="s">
        <v>1354</v>
      </c>
      <c r="J1830">
        <v>1287.3599999999999</v>
      </c>
    </row>
    <row r="1831" spans="1:10">
      <c r="A1831" t="s">
        <v>3180</v>
      </c>
      <c r="B1831" s="1">
        <v>45379</v>
      </c>
      <c r="C1831" t="s">
        <v>732</v>
      </c>
      <c r="D1831" t="s">
        <v>1090</v>
      </c>
      <c r="E1831" t="s">
        <v>1311</v>
      </c>
      <c r="F1831">
        <v>2</v>
      </c>
      <c r="G1831">
        <v>169.46</v>
      </c>
      <c r="H1831">
        <v>0.03</v>
      </c>
      <c r="I1831" t="s">
        <v>1351</v>
      </c>
      <c r="J1831">
        <v>328.75240000000002</v>
      </c>
    </row>
    <row r="1832" spans="1:10">
      <c r="A1832" t="s">
        <v>3181</v>
      </c>
      <c r="B1832" s="1">
        <v>45860</v>
      </c>
      <c r="C1832" t="s">
        <v>664</v>
      </c>
      <c r="D1832" t="s">
        <v>1203</v>
      </c>
      <c r="E1832" t="s">
        <v>1324</v>
      </c>
      <c r="F1832">
        <v>4</v>
      </c>
      <c r="G1832">
        <v>611.91999999999996</v>
      </c>
      <c r="H1832">
        <v>0.2</v>
      </c>
      <c r="I1832" t="s">
        <v>1351</v>
      </c>
      <c r="J1832">
        <v>1958.144</v>
      </c>
    </row>
    <row r="1833" spans="1:10">
      <c r="A1833" t="s">
        <v>3182</v>
      </c>
      <c r="B1833" s="1">
        <v>45704</v>
      </c>
      <c r="C1833" t="s">
        <v>20</v>
      </c>
      <c r="D1833" t="s">
        <v>1221</v>
      </c>
      <c r="E1833" t="s">
        <v>1326</v>
      </c>
      <c r="F1833">
        <v>2</v>
      </c>
      <c r="G1833">
        <v>25.3</v>
      </c>
      <c r="H1833">
        <v>0.21</v>
      </c>
      <c r="I1833" t="s">
        <v>1349</v>
      </c>
      <c r="J1833">
        <v>39.973999999999997</v>
      </c>
    </row>
    <row r="1834" spans="1:10">
      <c r="A1834" t="s">
        <v>3183</v>
      </c>
      <c r="B1834" s="1">
        <v>45327</v>
      </c>
      <c r="C1834" t="s">
        <v>929</v>
      </c>
      <c r="D1834" t="s">
        <v>1219</v>
      </c>
      <c r="E1834" t="s">
        <v>1314</v>
      </c>
      <c r="F1834">
        <v>4</v>
      </c>
      <c r="G1834">
        <v>166.93</v>
      </c>
      <c r="H1834">
        <v>0.02</v>
      </c>
      <c r="I1834" t="s">
        <v>1351</v>
      </c>
      <c r="J1834">
        <v>654.36559999999997</v>
      </c>
    </row>
    <row r="1835" spans="1:10">
      <c r="A1835" t="s">
        <v>3184</v>
      </c>
      <c r="B1835" s="1">
        <v>45721</v>
      </c>
      <c r="C1835" t="s">
        <v>624</v>
      </c>
      <c r="D1835" t="s">
        <v>1193</v>
      </c>
      <c r="E1835" t="s">
        <v>1317</v>
      </c>
      <c r="F1835">
        <v>4</v>
      </c>
      <c r="G1835">
        <v>861.55</v>
      </c>
      <c r="H1835">
        <v>0.12</v>
      </c>
      <c r="I1835" t="s">
        <v>1349</v>
      </c>
      <c r="J1835">
        <v>3032.6559999999999</v>
      </c>
    </row>
    <row r="1836" spans="1:10">
      <c r="A1836" t="s">
        <v>3185</v>
      </c>
      <c r="B1836" s="1">
        <v>45842</v>
      </c>
      <c r="C1836" t="s">
        <v>783</v>
      </c>
      <c r="D1836" t="s">
        <v>1159</v>
      </c>
      <c r="E1836" t="s">
        <v>1298</v>
      </c>
      <c r="F1836">
        <v>3</v>
      </c>
      <c r="G1836">
        <v>56.17</v>
      </c>
      <c r="H1836">
        <v>0.01</v>
      </c>
      <c r="I1836" t="s">
        <v>1354</v>
      </c>
      <c r="J1836">
        <v>166.82490000000001</v>
      </c>
    </row>
    <row r="1837" spans="1:10">
      <c r="A1837" t="s">
        <v>3186</v>
      </c>
      <c r="B1837" s="1">
        <v>45862</v>
      </c>
      <c r="C1837" t="s">
        <v>596</v>
      </c>
      <c r="D1837" t="s">
        <v>1103</v>
      </c>
      <c r="E1837" t="s">
        <v>1338</v>
      </c>
      <c r="F1837">
        <v>1</v>
      </c>
      <c r="G1837">
        <v>582.29</v>
      </c>
      <c r="H1837">
        <v>0.2</v>
      </c>
      <c r="I1837" t="s">
        <v>1349</v>
      </c>
      <c r="J1837">
        <v>465.83199999999999</v>
      </c>
    </row>
    <row r="1838" spans="1:10">
      <c r="A1838" t="s">
        <v>3187</v>
      </c>
      <c r="B1838" s="1">
        <v>45681</v>
      </c>
      <c r="C1838" t="s">
        <v>585</v>
      </c>
      <c r="D1838" t="s">
        <v>1239</v>
      </c>
      <c r="E1838" t="s">
        <v>1277</v>
      </c>
      <c r="F1838">
        <v>3</v>
      </c>
      <c r="G1838">
        <v>63.96</v>
      </c>
      <c r="H1838">
        <v>0.02</v>
      </c>
      <c r="I1838" t="s">
        <v>1349</v>
      </c>
      <c r="J1838">
        <v>188.04239999999999</v>
      </c>
    </row>
    <row r="1839" spans="1:10">
      <c r="A1839" t="s">
        <v>3188</v>
      </c>
      <c r="B1839" s="1">
        <v>45392</v>
      </c>
      <c r="C1839" t="s">
        <v>178</v>
      </c>
      <c r="D1839" t="s">
        <v>1090</v>
      </c>
      <c r="E1839" t="s">
        <v>1319</v>
      </c>
      <c r="F1839">
        <v>1</v>
      </c>
      <c r="G1839">
        <v>829.83</v>
      </c>
      <c r="H1839">
        <v>0.26</v>
      </c>
      <c r="I1839" t="s">
        <v>1354</v>
      </c>
      <c r="J1839">
        <v>614.07420000000002</v>
      </c>
    </row>
    <row r="1840" spans="1:10">
      <c r="A1840" t="s">
        <v>3189</v>
      </c>
      <c r="B1840" s="1">
        <v>45586</v>
      </c>
      <c r="C1840" t="s">
        <v>803</v>
      </c>
      <c r="D1840" t="s">
        <v>1141</v>
      </c>
      <c r="E1840" t="s">
        <v>1329</v>
      </c>
      <c r="F1840">
        <v>2</v>
      </c>
      <c r="G1840">
        <v>858.15</v>
      </c>
      <c r="H1840">
        <v>0.03</v>
      </c>
      <c r="I1840" t="s">
        <v>1349</v>
      </c>
      <c r="J1840">
        <v>1664.8109999999999</v>
      </c>
    </row>
    <row r="1841" spans="1:10">
      <c r="A1841" t="s">
        <v>3190</v>
      </c>
      <c r="B1841" s="1">
        <v>45340</v>
      </c>
      <c r="C1841" t="s">
        <v>781</v>
      </c>
      <c r="D1841" t="s">
        <v>1219</v>
      </c>
      <c r="E1841" t="s">
        <v>1322</v>
      </c>
      <c r="F1841">
        <v>3</v>
      </c>
      <c r="G1841">
        <v>717.32</v>
      </c>
      <c r="H1841">
        <v>0.23</v>
      </c>
      <c r="I1841" t="s">
        <v>1354</v>
      </c>
      <c r="J1841">
        <v>1657.0092</v>
      </c>
    </row>
    <row r="1842" spans="1:10">
      <c r="A1842" t="s">
        <v>3191</v>
      </c>
      <c r="B1842" s="1">
        <v>45853</v>
      </c>
      <c r="C1842" t="s">
        <v>919</v>
      </c>
      <c r="D1842" t="s">
        <v>1239</v>
      </c>
      <c r="E1842" t="s">
        <v>1319</v>
      </c>
      <c r="F1842">
        <v>1</v>
      </c>
      <c r="G1842">
        <v>163.19999999999999</v>
      </c>
      <c r="H1842">
        <v>0.22</v>
      </c>
      <c r="I1842" t="s">
        <v>1351</v>
      </c>
      <c r="J1842">
        <v>127.29600000000001</v>
      </c>
    </row>
    <row r="1843" spans="1:10">
      <c r="A1843" t="s">
        <v>3192</v>
      </c>
      <c r="B1843" s="1">
        <v>45489</v>
      </c>
      <c r="C1843" t="s">
        <v>313</v>
      </c>
      <c r="D1843" t="s">
        <v>1235</v>
      </c>
      <c r="E1843" t="s">
        <v>1319</v>
      </c>
      <c r="F1843">
        <v>2</v>
      </c>
      <c r="G1843">
        <v>966.71</v>
      </c>
      <c r="H1843">
        <v>0.11</v>
      </c>
      <c r="I1843" t="s">
        <v>1349</v>
      </c>
      <c r="J1843">
        <v>1720.7438</v>
      </c>
    </row>
    <row r="1844" spans="1:10">
      <c r="A1844" t="s">
        <v>3193</v>
      </c>
      <c r="B1844" s="1">
        <v>45761</v>
      </c>
      <c r="C1844" t="s">
        <v>760</v>
      </c>
      <c r="D1844" t="s">
        <v>1143</v>
      </c>
      <c r="E1844" t="s">
        <v>1322</v>
      </c>
      <c r="F1844">
        <v>2</v>
      </c>
      <c r="G1844">
        <v>873.94</v>
      </c>
      <c r="H1844">
        <v>0.14000000000000001</v>
      </c>
      <c r="I1844" t="s">
        <v>1354</v>
      </c>
      <c r="J1844">
        <v>1503.1768</v>
      </c>
    </row>
    <row r="1845" spans="1:10">
      <c r="A1845" t="s">
        <v>3194</v>
      </c>
      <c r="B1845" s="1">
        <v>45379</v>
      </c>
      <c r="C1845" t="s">
        <v>359</v>
      </c>
      <c r="D1845" t="s">
        <v>1068</v>
      </c>
      <c r="E1845" t="s">
        <v>1291</v>
      </c>
      <c r="F1845">
        <v>1</v>
      </c>
      <c r="G1845">
        <v>140.24</v>
      </c>
      <c r="H1845">
        <v>0.27</v>
      </c>
      <c r="I1845" t="s">
        <v>1349</v>
      </c>
      <c r="J1845">
        <v>102.37520000000001</v>
      </c>
    </row>
    <row r="1846" spans="1:10">
      <c r="A1846" t="s">
        <v>3195</v>
      </c>
      <c r="B1846" s="1">
        <v>45716</v>
      </c>
      <c r="C1846" t="s">
        <v>464</v>
      </c>
      <c r="D1846" t="s">
        <v>1159</v>
      </c>
      <c r="E1846" t="s">
        <v>1298</v>
      </c>
      <c r="F1846">
        <v>2</v>
      </c>
      <c r="G1846">
        <v>549.91999999999996</v>
      </c>
      <c r="H1846">
        <v>0.28000000000000003</v>
      </c>
      <c r="I1846" t="s">
        <v>1349</v>
      </c>
      <c r="J1846">
        <v>791.88479999999993</v>
      </c>
    </row>
    <row r="1847" spans="1:10">
      <c r="A1847" t="s">
        <v>3196</v>
      </c>
      <c r="B1847" s="1">
        <v>45364</v>
      </c>
      <c r="C1847" t="s">
        <v>281</v>
      </c>
      <c r="D1847" t="s">
        <v>1107</v>
      </c>
      <c r="E1847" t="s">
        <v>1298</v>
      </c>
      <c r="F1847">
        <v>4</v>
      </c>
      <c r="G1847">
        <v>715.88</v>
      </c>
      <c r="H1847">
        <v>0.19</v>
      </c>
      <c r="I1847" t="s">
        <v>1351</v>
      </c>
      <c r="J1847">
        <v>2319.4512</v>
      </c>
    </row>
    <row r="1848" spans="1:10">
      <c r="A1848" t="s">
        <v>3197</v>
      </c>
      <c r="B1848" s="1">
        <v>45752</v>
      </c>
      <c r="C1848" t="s">
        <v>805</v>
      </c>
      <c r="D1848" t="s">
        <v>1074</v>
      </c>
      <c r="E1848" t="s">
        <v>1307</v>
      </c>
      <c r="F1848">
        <v>3</v>
      </c>
      <c r="G1848">
        <v>591.9</v>
      </c>
      <c r="H1848">
        <v>0.27</v>
      </c>
      <c r="I1848" t="s">
        <v>1349</v>
      </c>
      <c r="J1848">
        <v>1296.261</v>
      </c>
    </row>
    <row r="1849" spans="1:10">
      <c r="A1849" t="s">
        <v>3198</v>
      </c>
      <c r="B1849" s="1">
        <v>45883</v>
      </c>
      <c r="C1849" t="s">
        <v>813</v>
      </c>
      <c r="D1849" t="s">
        <v>1117</v>
      </c>
      <c r="E1849" t="s">
        <v>1314</v>
      </c>
      <c r="F1849">
        <v>2</v>
      </c>
      <c r="G1849">
        <v>523.14</v>
      </c>
      <c r="H1849">
        <v>0.13</v>
      </c>
      <c r="I1849" t="s">
        <v>1351</v>
      </c>
      <c r="J1849">
        <v>910.2636</v>
      </c>
    </row>
    <row r="1850" spans="1:10">
      <c r="A1850" t="s">
        <v>3199</v>
      </c>
      <c r="B1850" s="1">
        <v>45477</v>
      </c>
      <c r="C1850" t="s">
        <v>515</v>
      </c>
      <c r="D1850" t="s">
        <v>1211</v>
      </c>
      <c r="E1850" t="s">
        <v>1324</v>
      </c>
      <c r="F1850">
        <v>2</v>
      </c>
      <c r="G1850">
        <v>478.62</v>
      </c>
      <c r="H1850">
        <v>0.17</v>
      </c>
      <c r="I1850" t="s">
        <v>1354</v>
      </c>
      <c r="J1850">
        <v>794.50919999999996</v>
      </c>
    </row>
    <row r="1851" spans="1:10">
      <c r="A1851" t="s">
        <v>3200</v>
      </c>
      <c r="B1851" s="1">
        <v>45556</v>
      </c>
      <c r="C1851" t="s">
        <v>662</v>
      </c>
      <c r="D1851" t="s">
        <v>1237</v>
      </c>
      <c r="E1851" t="s">
        <v>1282</v>
      </c>
      <c r="F1851">
        <v>4</v>
      </c>
      <c r="G1851">
        <v>740.5</v>
      </c>
      <c r="H1851">
        <v>0.17</v>
      </c>
      <c r="I1851" t="s">
        <v>1351</v>
      </c>
      <c r="J1851">
        <v>2458.46</v>
      </c>
    </row>
    <row r="1852" spans="1:10">
      <c r="A1852" t="s">
        <v>3201</v>
      </c>
      <c r="B1852" s="1">
        <v>45465</v>
      </c>
      <c r="C1852" t="s">
        <v>283</v>
      </c>
      <c r="D1852" t="s">
        <v>1165</v>
      </c>
      <c r="E1852" t="s">
        <v>1286</v>
      </c>
      <c r="F1852">
        <v>1</v>
      </c>
      <c r="G1852">
        <v>780.24</v>
      </c>
      <c r="H1852">
        <v>0.04</v>
      </c>
      <c r="I1852" t="s">
        <v>1354</v>
      </c>
      <c r="J1852">
        <v>749.03039999999999</v>
      </c>
    </row>
    <row r="1853" spans="1:10">
      <c r="A1853" t="s">
        <v>3202</v>
      </c>
      <c r="B1853" s="1">
        <v>45552</v>
      </c>
      <c r="C1853" t="s">
        <v>273</v>
      </c>
      <c r="D1853" t="s">
        <v>1213</v>
      </c>
      <c r="E1853" t="s">
        <v>1329</v>
      </c>
      <c r="F1853">
        <v>4</v>
      </c>
      <c r="G1853">
        <v>579.24</v>
      </c>
      <c r="H1853">
        <v>0.04</v>
      </c>
      <c r="I1853" t="s">
        <v>1354</v>
      </c>
      <c r="J1853">
        <v>2224.2815999999998</v>
      </c>
    </row>
    <row r="1854" spans="1:10">
      <c r="A1854" t="s">
        <v>3203</v>
      </c>
      <c r="B1854" s="1">
        <v>45635</v>
      </c>
      <c r="C1854" t="s">
        <v>805</v>
      </c>
      <c r="D1854" t="s">
        <v>1071</v>
      </c>
      <c r="E1854" t="s">
        <v>1286</v>
      </c>
      <c r="F1854">
        <v>3</v>
      </c>
      <c r="G1854">
        <v>268.95</v>
      </c>
      <c r="H1854">
        <v>0.04</v>
      </c>
      <c r="I1854" t="s">
        <v>1351</v>
      </c>
      <c r="J1854">
        <v>774.57599999999991</v>
      </c>
    </row>
    <row r="1855" spans="1:10">
      <c r="A1855" t="s">
        <v>3204</v>
      </c>
      <c r="B1855" s="1">
        <v>45740</v>
      </c>
      <c r="C1855" t="s">
        <v>674</v>
      </c>
      <c r="D1855" t="s">
        <v>1080</v>
      </c>
      <c r="E1855" t="s">
        <v>1294</v>
      </c>
      <c r="F1855">
        <v>1</v>
      </c>
      <c r="G1855">
        <v>47.47</v>
      </c>
      <c r="H1855">
        <v>0.28000000000000003</v>
      </c>
      <c r="I1855" t="s">
        <v>1349</v>
      </c>
      <c r="J1855">
        <v>34.178400000000003</v>
      </c>
    </row>
    <row r="1856" spans="1:10">
      <c r="A1856" t="s">
        <v>3205</v>
      </c>
      <c r="B1856" s="1">
        <v>45796</v>
      </c>
      <c r="C1856" t="s">
        <v>577</v>
      </c>
      <c r="D1856" t="s">
        <v>1139</v>
      </c>
      <c r="E1856" t="s">
        <v>1332</v>
      </c>
      <c r="F1856">
        <v>3</v>
      </c>
      <c r="G1856">
        <v>858.81</v>
      </c>
      <c r="H1856">
        <v>7.0000000000000007E-2</v>
      </c>
      <c r="I1856" t="s">
        <v>1349</v>
      </c>
      <c r="J1856">
        <v>2396.0799000000002</v>
      </c>
    </row>
    <row r="1857" spans="1:10">
      <c r="A1857" t="s">
        <v>3206</v>
      </c>
      <c r="B1857" s="1">
        <v>45710</v>
      </c>
      <c r="C1857" t="s">
        <v>684</v>
      </c>
      <c r="D1857" t="s">
        <v>1111</v>
      </c>
      <c r="E1857" t="s">
        <v>1314</v>
      </c>
      <c r="F1857">
        <v>3</v>
      </c>
      <c r="G1857">
        <v>569.98</v>
      </c>
      <c r="H1857">
        <v>0.05</v>
      </c>
      <c r="I1857" t="s">
        <v>1349</v>
      </c>
      <c r="J1857">
        <v>1624.443</v>
      </c>
    </row>
    <row r="1858" spans="1:10">
      <c r="A1858" t="s">
        <v>3207</v>
      </c>
      <c r="B1858" s="1">
        <v>45596</v>
      </c>
      <c r="C1858" t="s">
        <v>718</v>
      </c>
      <c r="D1858" t="s">
        <v>1221</v>
      </c>
      <c r="E1858" t="s">
        <v>1319</v>
      </c>
      <c r="F1858">
        <v>3</v>
      </c>
      <c r="G1858">
        <v>306.52</v>
      </c>
      <c r="H1858">
        <v>0.01</v>
      </c>
      <c r="I1858" t="s">
        <v>1354</v>
      </c>
      <c r="J1858">
        <v>910.36439999999993</v>
      </c>
    </row>
    <row r="1859" spans="1:10">
      <c r="A1859" t="s">
        <v>3208</v>
      </c>
      <c r="B1859" s="1">
        <v>45354</v>
      </c>
      <c r="C1859" t="s">
        <v>176</v>
      </c>
      <c r="D1859" t="s">
        <v>1185</v>
      </c>
      <c r="E1859" t="s">
        <v>1322</v>
      </c>
      <c r="F1859">
        <v>3</v>
      </c>
      <c r="G1859">
        <v>184.67</v>
      </c>
      <c r="H1859">
        <v>0.03</v>
      </c>
      <c r="I1859" t="s">
        <v>1354</v>
      </c>
      <c r="J1859">
        <v>537.38969999999995</v>
      </c>
    </row>
    <row r="1860" spans="1:10">
      <c r="A1860" t="s">
        <v>3209</v>
      </c>
      <c r="B1860" s="1">
        <v>45428</v>
      </c>
      <c r="C1860" t="s">
        <v>1026</v>
      </c>
      <c r="D1860" t="s">
        <v>1125</v>
      </c>
      <c r="E1860" t="s">
        <v>1298</v>
      </c>
      <c r="F1860">
        <v>4</v>
      </c>
      <c r="G1860">
        <v>189.56</v>
      </c>
      <c r="H1860">
        <v>0</v>
      </c>
      <c r="I1860" t="s">
        <v>1354</v>
      </c>
      <c r="J1860">
        <v>758.24</v>
      </c>
    </row>
    <row r="1861" spans="1:10">
      <c r="A1861" t="s">
        <v>3210</v>
      </c>
      <c r="B1861" s="1">
        <v>45511</v>
      </c>
      <c r="C1861" t="s">
        <v>478</v>
      </c>
      <c r="D1861" t="s">
        <v>1223</v>
      </c>
      <c r="E1861" t="s">
        <v>1298</v>
      </c>
      <c r="F1861">
        <v>1</v>
      </c>
      <c r="G1861">
        <v>805.24</v>
      </c>
      <c r="H1861">
        <v>0.04</v>
      </c>
      <c r="I1861" t="s">
        <v>1351</v>
      </c>
      <c r="J1861">
        <v>773.03039999999999</v>
      </c>
    </row>
    <row r="1862" spans="1:10">
      <c r="A1862" t="s">
        <v>3211</v>
      </c>
      <c r="B1862" s="1">
        <v>45549</v>
      </c>
      <c r="C1862" t="s">
        <v>438</v>
      </c>
      <c r="D1862" t="s">
        <v>1181</v>
      </c>
      <c r="E1862" t="s">
        <v>1332</v>
      </c>
      <c r="F1862">
        <v>3</v>
      </c>
      <c r="G1862">
        <v>683.74</v>
      </c>
      <c r="H1862">
        <v>0.24</v>
      </c>
      <c r="I1862" t="s">
        <v>1349</v>
      </c>
      <c r="J1862">
        <v>1558.9272000000001</v>
      </c>
    </row>
    <row r="1863" spans="1:10">
      <c r="A1863" t="s">
        <v>3212</v>
      </c>
      <c r="B1863" s="1">
        <v>45573</v>
      </c>
      <c r="C1863" t="s">
        <v>482</v>
      </c>
      <c r="D1863" t="s">
        <v>1185</v>
      </c>
      <c r="E1863" t="s">
        <v>1335</v>
      </c>
      <c r="F1863">
        <v>3</v>
      </c>
      <c r="G1863">
        <v>439.21</v>
      </c>
      <c r="H1863">
        <v>0.28000000000000003</v>
      </c>
      <c r="I1863" t="s">
        <v>1354</v>
      </c>
      <c r="J1863">
        <v>948.69359999999983</v>
      </c>
    </row>
    <row r="1864" spans="1:10">
      <c r="A1864" t="s">
        <v>3213</v>
      </c>
      <c r="B1864" s="1">
        <v>45904</v>
      </c>
      <c r="C1864" t="s">
        <v>298</v>
      </c>
      <c r="D1864" t="s">
        <v>1205</v>
      </c>
      <c r="E1864" t="s">
        <v>1301</v>
      </c>
      <c r="F1864">
        <v>1</v>
      </c>
      <c r="G1864">
        <v>126.92</v>
      </c>
      <c r="H1864">
        <v>0.24</v>
      </c>
      <c r="I1864" t="s">
        <v>1354</v>
      </c>
      <c r="J1864">
        <v>96.459199999999996</v>
      </c>
    </row>
    <row r="1865" spans="1:10">
      <c r="A1865" t="s">
        <v>3214</v>
      </c>
      <c r="B1865" s="1">
        <v>45489</v>
      </c>
      <c r="C1865" t="s">
        <v>23</v>
      </c>
      <c r="D1865" t="s">
        <v>1219</v>
      </c>
      <c r="E1865" t="s">
        <v>1294</v>
      </c>
      <c r="F1865">
        <v>4</v>
      </c>
      <c r="G1865">
        <v>834.7</v>
      </c>
      <c r="H1865">
        <v>0.14000000000000001</v>
      </c>
      <c r="I1865" t="s">
        <v>1349</v>
      </c>
      <c r="J1865">
        <v>2871.3679999999999</v>
      </c>
    </row>
    <row r="1866" spans="1:10">
      <c r="A1866" t="s">
        <v>3215</v>
      </c>
      <c r="B1866" s="1">
        <v>45909</v>
      </c>
      <c r="C1866" t="s">
        <v>746</v>
      </c>
      <c r="D1866" t="s">
        <v>1157</v>
      </c>
      <c r="E1866" t="s">
        <v>1317</v>
      </c>
      <c r="F1866">
        <v>2</v>
      </c>
      <c r="G1866">
        <v>271.88</v>
      </c>
      <c r="H1866">
        <v>0.11</v>
      </c>
      <c r="I1866" t="s">
        <v>1354</v>
      </c>
      <c r="J1866">
        <v>483.94639999999998</v>
      </c>
    </row>
    <row r="1867" spans="1:10">
      <c r="A1867" t="s">
        <v>3216</v>
      </c>
      <c r="B1867" s="1">
        <v>45720</v>
      </c>
      <c r="C1867" t="s">
        <v>1022</v>
      </c>
      <c r="D1867" t="s">
        <v>1095</v>
      </c>
      <c r="E1867" t="s">
        <v>1282</v>
      </c>
      <c r="F1867">
        <v>4</v>
      </c>
      <c r="G1867">
        <v>972.14</v>
      </c>
      <c r="H1867">
        <v>0.25</v>
      </c>
      <c r="I1867" t="s">
        <v>1349</v>
      </c>
      <c r="J1867">
        <v>2916.42</v>
      </c>
    </row>
    <row r="1868" spans="1:10">
      <c r="A1868" t="s">
        <v>3217</v>
      </c>
      <c r="B1868" s="1">
        <v>45831</v>
      </c>
      <c r="C1868" t="s">
        <v>244</v>
      </c>
      <c r="D1868" t="s">
        <v>1159</v>
      </c>
      <c r="E1868" t="s">
        <v>1294</v>
      </c>
      <c r="F1868">
        <v>3</v>
      </c>
      <c r="G1868">
        <v>523.66</v>
      </c>
      <c r="H1868">
        <v>0.27</v>
      </c>
      <c r="I1868" t="s">
        <v>1351</v>
      </c>
      <c r="J1868">
        <v>1146.8154</v>
      </c>
    </row>
    <row r="1869" spans="1:10">
      <c r="A1869" t="s">
        <v>3218</v>
      </c>
      <c r="B1869" s="1">
        <v>45602</v>
      </c>
      <c r="C1869" t="s">
        <v>357</v>
      </c>
      <c r="D1869" t="s">
        <v>1201</v>
      </c>
      <c r="E1869" t="s">
        <v>1286</v>
      </c>
      <c r="F1869">
        <v>4</v>
      </c>
      <c r="G1869">
        <v>838.99</v>
      </c>
      <c r="H1869">
        <v>0.16</v>
      </c>
      <c r="I1869" t="s">
        <v>1349</v>
      </c>
      <c r="J1869">
        <v>2819.0064000000002</v>
      </c>
    </row>
    <row r="1870" spans="1:10">
      <c r="A1870" t="s">
        <v>3219</v>
      </c>
      <c r="B1870" s="1">
        <v>45722</v>
      </c>
      <c r="C1870" t="s">
        <v>331</v>
      </c>
      <c r="D1870" t="s">
        <v>1095</v>
      </c>
      <c r="E1870" t="s">
        <v>1332</v>
      </c>
      <c r="F1870">
        <v>4</v>
      </c>
      <c r="G1870">
        <v>838.7</v>
      </c>
      <c r="H1870">
        <v>0.21</v>
      </c>
      <c r="I1870" t="s">
        <v>1354</v>
      </c>
      <c r="J1870">
        <v>2650.2919999999999</v>
      </c>
    </row>
    <row r="1871" spans="1:10">
      <c r="A1871" t="s">
        <v>3220</v>
      </c>
      <c r="B1871" s="1">
        <v>45794</v>
      </c>
      <c r="C1871" t="s">
        <v>903</v>
      </c>
      <c r="D1871" t="s">
        <v>1221</v>
      </c>
      <c r="E1871" t="s">
        <v>1307</v>
      </c>
      <c r="F1871">
        <v>3</v>
      </c>
      <c r="G1871">
        <v>943.24</v>
      </c>
      <c r="H1871">
        <v>0.21</v>
      </c>
      <c r="I1871" t="s">
        <v>1349</v>
      </c>
      <c r="J1871">
        <v>2235.4787999999999</v>
      </c>
    </row>
    <row r="1872" spans="1:10">
      <c r="A1872" t="s">
        <v>3221</v>
      </c>
      <c r="B1872" s="1">
        <v>45659</v>
      </c>
      <c r="C1872" t="s">
        <v>662</v>
      </c>
      <c r="D1872" t="s">
        <v>1068</v>
      </c>
      <c r="E1872" t="s">
        <v>1332</v>
      </c>
      <c r="F1872">
        <v>2</v>
      </c>
      <c r="G1872">
        <v>310.33</v>
      </c>
      <c r="H1872">
        <v>0.26</v>
      </c>
      <c r="I1872" t="s">
        <v>1349</v>
      </c>
      <c r="J1872">
        <v>459.28840000000002</v>
      </c>
    </row>
    <row r="1873" spans="1:10">
      <c r="A1873" t="s">
        <v>3222</v>
      </c>
      <c r="B1873" s="1">
        <v>45501</v>
      </c>
      <c r="C1873" t="s">
        <v>756</v>
      </c>
      <c r="D1873" t="s">
        <v>1163</v>
      </c>
      <c r="E1873" t="s">
        <v>1277</v>
      </c>
      <c r="F1873">
        <v>3</v>
      </c>
      <c r="G1873">
        <v>201.05</v>
      </c>
      <c r="H1873">
        <v>0.23</v>
      </c>
      <c r="I1873" t="s">
        <v>1351</v>
      </c>
      <c r="J1873">
        <v>464.42550000000011</v>
      </c>
    </row>
    <row r="1874" spans="1:10">
      <c r="A1874" t="s">
        <v>3223</v>
      </c>
      <c r="B1874" s="1">
        <v>45408</v>
      </c>
      <c r="C1874" t="s">
        <v>567</v>
      </c>
      <c r="D1874" t="s">
        <v>1189</v>
      </c>
      <c r="E1874" t="s">
        <v>1332</v>
      </c>
      <c r="F1874">
        <v>1</v>
      </c>
      <c r="G1874">
        <v>803.37</v>
      </c>
      <c r="H1874">
        <v>0.3</v>
      </c>
      <c r="I1874" t="s">
        <v>1351</v>
      </c>
      <c r="J1874">
        <v>562.35899999999992</v>
      </c>
    </row>
    <row r="1875" spans="1:10">
      <c r="A1875" t="s">
        <v>3224</v>
      </c>
      <c r="B1875" s="1">
        <v>45886</v>
      </c>
      <c r="C1875" t="s">
        <v>109</v>
      </c>
      <c r="D1875" t="s">
        <v>1195</v>
      </c>
      <c r="E1875" t="s">
        <v>1326</v>
      </c>
      <c r="F1875">
        <v>3</v>
      </c>
      <c r="G1875">
        <v>259.98</v>
      </c>
      <c r="H1875">
        <v>7.0000000000000007E-2</v>
      </c>
      <c r="I1875" t="s">
        <v>1354</v>
      </c>
      <c r="J1875">
        <v>725.3442</v>
      </c>
    </row>
    <row r="1876" spans="1:10">
      <c r="A1876" t="s">
        <v>3225</v>
      </c>
      <c r="B1876" s="1">
        <v>45426</v>
      </c>
      <c r="C1876" t="s">
        <v>308</v>
      </c>
      <c r="D1876" t="s">
        <v>1074</v>
      </c>
      <c r="E1876" t="s">
        <v>1291</v>
      </c>
      <c r="F1876">
        <v>4</v>
      </c>
      <c r="G1876">
        <v>591.9</v>
      </c>
      <c r="H1876">
        <v>0.2</v>
      </c>
      <c r="I1876" t="s">
        <v>1351</v>
      </c>
      <c r="J1876">
        <v>1894.08</v>
      </c>
    </row>
    <row r="1877" spans="1:10">
      <c r="A1877" t="s">
        <v>3226</v>
      </c>
      <c r="B1877" s="1">
        <v>45730</v>
      </c>
      <c r="C1877" t="s">
        <v>96</v>
      </c>
      <c r="D1877" t="s">
        <v>1193</v>
      </c>
      <c r="E1877" t="s">
        <v>1319</v>
      </c>
      <c r="F1877">
        <v>2</v>
      </c>
      <c r="G1877">
        <v>396.9</v>
      </c>
      <c r="H1877">
        <v>0.18</v>
      </c>
      <c r="I1877" t="s">
        <v>1351</v>
      </c>
      <c r="J1877">
        <v>650.91600000000005</v>
      </c>
    </row>
    <row r="1878" spans="1:10">
      <c r="A1878" t="s">
        <v>3227</v>
      </c>
      <c r="B1878" s="1">
        <v>45731</v>
      </c>
      <c r="C1878" t="s">
        <v>969</v>
      </c>
      <c r="D1878" t="s">
        <v>1269</v>
      </c>
      <c r="E1878" t="s">
        <v>1286</v>
      </c>
      <c r="F1878">
        <v>1</v>
      </c>
      <c r="G1878">
        <v>176.84</v>
      </c>
      <c r="H1878">
        <v>0.19</v>
      </c>
      <c r="I1878" t="s">
        <v>1349</v>
      </c>
      <c r="J1878">
        <v>143.24039999999999</v>
      </c>
    </row>
    <row r="1879" spans="1:10">
      <c r="A1879" t="s">
        <v>3228</v>
      </c>
      <c r="B1879" s="1">
        <v>45272</v>
      </c>
      <c r="C1879" t="s">
        <v>571</v>
      </c>
      <c r="D1879" t="s">
        <v>1125</v>
      </c>
      <c r="E1879" t="s">
        <v>1277</v>
      </c>
      <c r="F1879">
        <v>2</v>
      </c>
      <c r="G1879">
        <v>614.21</v>
      </c>
      <c r="H1879">
        <v>0.11</v>
      </c>
      <c r="I1879" t="s">
        <v>1351</v>
      </c>
      <c r="J1879">
        <v>1093.2937999999999</v>
      </c>
    </row>
    <row r="1880" spans="1:10">
      <c r="A1880" t="s">
        <v>3229</v>
      </c>
      <c r="B1880" s="1">
        <v>45584</v>
      </c>
      <c r="C1880" t="s">
        <v>275</v>
      </c>
      <c r="D1880" t="s">
        <v>1076</v>
      </c>
      <c r="E1880" t="s">
        <v>1304</v>
      </c>
      <c r="F1880">
        <v>3</v>
      </c>
      <c r="G1880">
        <v>604.66</v>
      </c>
      <c r="H1880">
        <v>0.18</v>
      </c>
      <c r="I1880" t="s">
        <v>1354</v>
      </c>
      <c r="J1880">
        <v>1487.4636</v>
      </c>
    </row>
    <row r="1881" spans="1:10">
      <c r="A1881" t="s">
        <v>3230</v>
      </c>
      <c r="B1881" s="1">
        <v>45534</v>
      </c>
      <c r="C1881" t="s">
        <v>1057</v>
      </c>
      <c r="D1881" t="s">
        <v>1074</v>
      </c>
      <c r="E1881" t="s">
        <v>1319</v>
      </c>
      <c r="F1881">
        <v>3</v>
      </c>
      <c r="G1881">
        <v>24.29</v>
      </c>
      <c r="H1881">
        <v>0.12</v>
      </c>
      <c r="I1881" t="s">
        <v>1351</v>
      </c>
      <c r="J1881">
        <v>64.125600000000006</v>
      </c>
    </row>
    <row r="1882" spans="1:10">
      <c r="A1882" t="s">
        <v>3231</v>
      </c>
      <c r="B1882" s="1">
        <v>45482</v>
      </c>
      <c r="C1882" t="s">
        <v>302</v>
      </c>
      <c r="D1882" t="s">
        <v>1199</v>
      </c>
      <c r="E1882" t="s">
        <v>1317</v>
      </c>
      <c r="F1882">
        <v>1</v>
      </c>
      <c r="G1882">
        <v>503.95</v>
      </c>
      <c r="H1882">
        <v>0.24</v>
      </c>
      <c r="I1882" t="s">
        <v>1351</v>
      </c>
      <c r="J1882">
        <v>383.00200000000001</v>
      </c>
    </row>
    <row r="1883" spans="1:10">
      <c r="A1883" t="s">
        <v>3232</v>
      </c>
      <c r="B1883" s="1">
        <v>45475</v>
      </c>
      <c r="C1883" t="s">
        <v>702</v>
      </c>
      <c r="D1883" t="s">
        <v>1175</v>
      </c>
      <c r="E1883" t="s">
        <v>1324</v>
      </c>
      <c r="F1883">
        <v>4</v>
      </c>
      <c r="G1883">
        <v>860.78</v>
      </c>
      <c r="H1883">
        <v>0.03</v>
      </c>
      <c r="I1883" t="s">
        <v>1349</v>
      </c>
      <c r="J1883">
        <v>3339.8263999999999</v>
      </c>
    </row>
    <row r="1884" spans="1:10">
      <c r="A1884" t="s">
        <v>3233</v>
      </c>
      <c r="B1884" s="1">
        <v>45234</v>
      </c>
      <c r="C1884" t="s">
        <v>456</v>
      </c>
      <c r="D1884" t="s">
        <v>1157</v>
      </c>
      <c r="E1884" t="s">
        <v>1291</v>
      </c>
      <c r="F1884">
        <v>3</v>
      </c>
      <c r="G1884">
        <v>41.97</v>
      </c>
      <c r="H1884">
        <v>0.03</v>
      </c>
      <c r="I1884" t="s">
        <v>1354</v>
      </c>
      <c r="J1884">
        <v>122.1327</v>
      </c>
    </row>
    <row r="1885" spans="1:10">
      <c r="A1885" t="s">
        <v>3234</v>
      </c>
      <c r="B1885" s="1">
        <v>45397</v>
      </c>
      <c r="C1885" t="s">
        <v>102</v>
      </c>
      <c r="D1885" t="s">
        <v>1103</v>
      </c>
      <c r="E1885" t="s">
        <v>1298</v>
      </c>
      <c r="F1885">
        <v>1</v>
      </c>
      <c r="G1885">
        <v>649.59</v>
      </c>
      <c r="H1885">
        <v>0.12</v>
      </c>
      <c r="I1885" t="s">
        <v>1354</v>
      </c>
      <c r="J1885">
        <v>571.63920000000007</v>
      </c>
    </row>
    <row r="1886" spans="1:10">
      <c r="A1886" t="s">
        <v>3235</v>
      </c>
      <c r="B1886" s="1">
        <v>45502</v>
      </c>
      <c r="C1886" t="s">
        <v>150</v>
      </c>
      <c r="D1886" t="s">
        <v>1199</v>
      </c>
      <c r="E1886" t="s">
        <v>1311</v>
      </c>
      <c r="F1886">
        <v>2</v>
      </c>
      <c r="G1886">
        <v>386.09</v>
      </c>
      <c r="H1886">
        <v>0.19</v>
      </c>
      <c r="I1886" t="s">
        <v>1351</v>
      </c>
      <c r="J1886">
        <v>625.46579999999994</v>
      </c>
    </row>
    <row r="1887" spans="1:10">
      <c r="A1887" t="s">
        <v>3236</v>
      </c>
      <c r="B1887" s="1">
        <v>45644</v>
      </c>
      <c r="C1887" t="s">
        <v>256</v>
      </c>
      <c r="D1887" t="s">
        <v>1175</v>
      </c>
      <c r="E1887" t="s">
        <v>1319</v>
      </c>
      <c r="F1887">
        <v>1</v>
      </c>
      <c r="G1887">
        <v>891.62</v>
      </c>
      <c r="H1887">
        <v>0.06</v>
      </c>
      <c r="I1887" t="s">
        <v>1351</v>
      </c>
      <c r="J1887">
        <v>838.12279999999998</v>
      </c>
    </row>
    <row r="1888" spans="1:10">
      <c r="A1888" t="s">
        <v>3237</v>
      </c>
      <c r="B1888" s="1">
        <v>45617</v>
      </c>
      <c r="C1888" t="s">
        <v>825</v>
      </c>
      <c r="D1888" t="s">
        <v>1201</v>
      </c>
      <c r="E1888" t="s">
        <v>1326</v>
      </c>
      <c r="F1888">
        <v>2</v>
      </c>
      <c r="G1888">
        <v>558.9</v>
      </c>
      <c r="H1888">
        <v>0.05</v>
      </c>
      <c r="I1888" t="s">
        <v>1354</v>
      </c>
      <c r="J1888">
        <v>1061.9100000000001</v>
      </c>
    </row>
    <row r="1889" spans="1:10">
      <c r="A1889" t="s">
        <v>3238</v>
      </c>
      <c r="B1889" s="1">
        <v>45797</v>
      </c>
      <c r="C1889" t="s">
        <v>768</v>
      </c>
      <c r="D1889" t="s">
        <v>1071</v>
      </c>
      <c r="E1889" t="s">
        <v>1291</v>
      </c>
      <c r="F1889">
        <v>2</v>
      </c>
      <c r="G1889">
        <v>99.04</v>
      </c>
      <c r="H1889">
        <v>0.26</v>
      </c>
      <c r="I1889" t="s">
        <v>1354</v>
      </c>
      <c r="J1889">
        <v>146.57919999999999</v>
      </c>
    </row>
    <row r="1890" spans="1:10">
      <c r="A1890" t="s">
        <v>3239</v>
      </c>
      <c r="B1890" s="1">
        <v>45740</v>
      </c>
      <c r="C1890" t="s">
        <v>646</v>
      </c>
      <c r="D1890" t="s">
        <v>1076</v>
      </c>
      <c r="E1890" t="s">
        <v>1307</v>
      </c>
      <c r="F1890">
        <v>4</v>
      </c>
      <c r="G1890">
        <v>625.13</v>
      </c>
      <c r="H1890">
        <v>0.06</v>
      </c>
      <c r="I1890" t="s">
        <v>1349</v>
      </c>
      <c r="J1890">
        <v>2350.4888000000001</v>
      </c>
    </row>
    <row r="1891" spans="1:10">
      <c r="A1891" t="s">
        <v>3240</v>
      </c>
      <c r="B1891" s="1">
        <v>45824</v>
      </c>
      <c r="C1891" t="s">
        <v>109</v>
      </c>
      <c r="D1891" t="s">
        <v>1153</v>
      </c>
      <c r="E1891" t="s">
        <v>1335</v>
      </c>
      <c r="F1891">
        <v>4</v>
      </c>
      <c r="G1891">
        <v>38.380000000000003</v>
      </c>
      <c r="H1891">
        <v>0.16</v>
      </c>
      <c r="I1891" t="s">
        <v>1354</v>
      </c>
      <c r="J1891">
        <v>128.95679999999999</v>
      </c>
    </row>
    <row r="1892" spans="1:10">
      <c r="A1892" t="s">
        <v>3241</v>
      </c>
      <c r="B1892" s="1">
        <v>45404</v>
      </c>
      <c r="C1892" t="s">
        <v>1045</v>
      </c>
      <c r="D1892" t="s">
        <v>1261</v>
      </c>
      <c r="E1892" t="s">
        <v>1314</v>
      </c>
      <c r="F1892">
        <v>4</v>
      </c>
      <c r="G1892">
        <v>731.72</v>
      </c>
      <c r="H1892">
        <v>0.22</v>
      </c>
      <c r="I1892" t="s">
        <v>1354</v>
      </c>
      <c r="J1892">
        <v>2282.9663999999998</v>
      </c>
    </row>
    <row r="1893" spans="1:10">
      <c r="A1893" t="s">
        <v>3242</v>
      </c>
      <c r="B1893" s="1">
        <v>45916</v>
      </c>
      <c r="C1893" t="s">
        <v>977</v>
      </c>
      <c r="D1893" t="s">
        <v>1235</v>
      </c>
      <c r="E1893" t="s">
        <v>1338</v>
      </c>
      <c r="F1893">
        <v>3</v>
      </c>
      <c r="G1893">
        <v>825.33</v>
      </c>
      <c r="H1893">
        <v>0.21</v>
      </c>
      <c r="I1893" t="s">
        <v>1349</v>
      </c>
      <c r="J1893">
        <v>1956.0320999999999</v>
      </c>
    </row>
    <row r="1894" spans="1:10">
      <c r="A1894" t="s">
        <v>3243</v>
      </c>
      <c r="B1894" s="1">
        <v>45269</v>
      </c>
      <c r="C1894" t="s">
        <v>164</v>
      </c>
      <c r="D1894" t="s">
        <v>1213</v>
      </c>
      <c r="E1894" t="s">
        <v>1324</v>
      </c>
      <c r="F1894">
        <v>2</v>
      </c>
      <c r="G1894">
        <v>47.3</v>
      </c>
      <c r="H1894">
        <v>0.01</v>
      </c>
      <c r="I1894" t="s">
        <v>1351</v>
      </c>
      <c r="J1894">
        <v>93.653999999999996</v>
      </c>
    </row>
    <row r="1895" spans="1:10">
      <c r="A1895" t="s">
        <v>3244</v>
      </c>
      <c r="B1895" s="1">
        <v>45493</v>
      </c>
      <c r="C1895" t="s">
        <v>403</v>
      </c>
      <c r="D1895" t="s">
        <v>1217</v>
      </c>
      <c r="E1895" t="s">
        <v>1332</v>
      </c>
      <c r="F1895">
        <v>1</v>
      </c>
      <c r="G1895">
        <v>389.12</v>
      </c>
      <c r="H1895">
        <v>0.18</v>
      </c>
      <c r="I1895" t="s">
        <v>1351</v>
      </c>
      <c r="J1895">
        <v>319.07839999999999</v>
      </c>
    </row>
    <row r="1896" spans="1:10">
      <c r="A1896" t="s">
        <v>3245</v>
      </c>
      <c r="B1896" s="1">
        <v>45558</v>
      </c>
      <c r="C1896" t="s">
        <v>979</v>
      </c>
      <c r="D1896" t="s">
        <v>1237</v>
      </c>
      <c r="E1896" t="s">
        <v>1335</v>
      </c>
      <c r="F1896">
        <v>3</v>
      </c>
      <c r="G1896">
        <v>543.83000000000004</v>
      </c>
      <c r="H1896">
        <v>0.05</v>
      </c>
      <c r="I1896" t="s">
        <v>1349</v>
      </c>
      <c r="J1896">
        <v>1549.9155000000001</v>
      </c>
    </row>
    <row r="1897" spans="1:10">
      <c r="A1897" t="s">
        <v>3246</v>
      </c>
      <c r="B1897" s="1">
        <v>45423</v>
      </c>
      <c r="C1897" t="s">
        <v>79</v>
      </c>
      <c r="D1897" t="s">
        <v>1101</v>
      </c>
      <c r="E1897" t="s">
        <v>1282</v>
      </c>
      <c r="F1897">
        <v>2</v>
      </c>
      <c r="G1897">
        <v>660.27</v>
      </c>
      <c r="H1897">
        <v>0.01</v>
      </c>
      <c r="I1897" t="s">
        <v>1351</v>
      </c>
      <c r="J1897">
        <v>1307.3345999999999</v>
      </c>
    </row>
    <row r="1898" spans="1:10">
      <c r="A1898" t="s">
        <v>3247</v>
      </c>
      <c r="B1898" s="1">
        <v>45780</v>
      </c>
      <c r="C1898" t="s">
        <v>931</v>
      </c>
      <c r="D1898" t="s">
        <v>1099</v>
      </c>
      <c r="E1898" t="s">
        <v>1307</v>
      </c>
      <c r="F1898">
        <v>4</v>
      </c>
      <c r="G1898">
        <v>729.31</v>
      </c>
      <c r="H1898">
        <v>0.03</v>
      </c>
      <c r="I1898" t="s">
        <v>1349</v>
      </c>
      <c r="J1898">
        <v>2829.7228</v>
      </c>
    </row>
    <row r="1899" spans="1:10">
      <c r="A1899" t="s">
        <v>3248</v>
      </c>
      <c r="B1899" s="1">
        <v>45345</v>
      </c>
      <c r="C1899" t="s">
        <v>905</v>
      </c>
      <c r="D1899" t="s">
        <v>1247</v>
      </c>
      <c r="E1899" t="s">
        <v>1301</v>
      </c>
      <c r="F1899">
        <v>2</v>
      </c>
      <c r="G1899">
        <v>152.91</v>
      </c>
      <c r="H1899">
        <v>0.24</v>
      </c>
      <c r="I1899" t="s">
        <v>1351</v>
      </c>
      <c r="J1899">
        <v>232.42320000000001</v>
      </c>
    </row>
    <row r="1900" spans="1:10">
      <c r="A1900" t="s">
        <v>3249</v>
      </c>
      <c r="B1900" s="1">
        <v>45344</v>
      </c>
      <c r="C1900" t="s">
        <v>984</v>
      </c>
      <c r="D1900" t="s">
        <v>1221</v>
      </c>
      <c r="E1900" t="s">
        <v>1326</v>
      </c>
      <c r="F1900">
        <v>4</v>
      </c>
      <c r="G1900">
        <v>592.14</v>
      </c>
      <c r="H1900">
        <v>0.12</v>
      </c>
      <c r="I1900" t="s">
        <v>1354</v>
      </c>
      <c r="J1900">
        <v>2084.3328000000001</v>
      </c>
    </row>
    <row r="1901" spans="1:10">
      <c r="A1901" t="s">
        <v>3250</v>
      </c>
      <c r="B1901" s="1">
        <v>45525</v>
      </c>
      <c r="C1901" t="s">
        <v>170</v>
      </c>
      <c r="D1901" t="s">
        <v>1229</v>
      </c>
      <c r="E1901" t="s">
        <v>1319</v>
      </c>
      <c r="F1901">
        <v>1</v>
      </c>
      <c r="G1901">
        <v>984.37</v>
      </c>
      <c r="H1901">
        <v>0</v>
      </c>
      <c r="I1901" t="s">
        <v>1351</v>
      </c>
      <c r="J1901">
        <v>984.37</v>
      </c>
    </row>
    <row r="1902" spans="1:10">
      <c r="A1902" t="s">
        <v>3251</v>
      </c>
      <c r="B1902" s="1">
        <v>45329</v>
      </c>
      <c r="C1902" t="s">
        <v>648</v>
      </c>
      <c r="D1902" t="s">
        <v>1071</v>
      </c>
      <c r="E1902" t="s">
        <v>1319</v>
      </c>
      <c r="F1902">
        <v>2</v>
      </c>
      <c r="G1902">
        <v>237.59</v>
      </c>
      <c r="H1902">
        <v>0.12</v>
      </c>
      <c r="I1902" t="s">
        <v>1349</v>
      </c>
      <c r="J1902">
        <v>418.15839999999997</v>
      </c>
    </row>
    <row r="1903" spans="1:10">
      <c r="A1903" t="s">
        <v>3252</v>
      </c>
      <c r="B1903" s="1">
        <v>45250</v>
      </c>
      <c r="C1903" t="s">
        <v>925</v>
      </c>
      <c r="D1903" t="s">
        <v>1123</v>
      </c>
      <c r="E1903" t="s">
        <v>1307</v>
      </c>
      <c r="F1903">
        <v>1</v>
      </c>
      <c r="G1903">
        <v>52.06</v>
      </c>
      <c r="H1903">
        <v>0.27</v>
      </c>
      <c r="I1903" t="s">
        <v>1354</v>
      </c>
      <c r="J1903">
        <v>38.003799999999998</v>
      </c>
    </row>
    <row r="1904" spans="1:10">
      <c r="A1904" t="s">
        <v>3253</v>
      </c>
      <c r="B1904" s="1">
        <v>45691</v>
      </c>
      <c r="C1904" t="s">
        <v>973</v>
      </c>
      <c r="D1904" t="s">
        <v>1076</v>
      </c>
      <c r="E1904" t="s">
        <v>1282</v>
      </c>
      <c r="F1904">
        <v>2</v>
      </c>
      <c r="G1904">
        <v>594.63</v>
      </c>
      <c r="H1904">
        <v>0.12</v>
      </c>
      <c r="I1904" t="s">
        <v>1349</v>
      </c>
      <c r="J1904">
        <v>1046.5488</v>
      </c>
    </row>
    <row r="1905" spans="1:10">
      <c r="A1905" t="s">
        <v>3254</v>
      </c>
      <c r="B1905" s="1">
        <v>45644</v>
      </c>
      <c r="C1905" t="s">
        <v>395</v>
      </c>
      <c r="D1905" t="s">
        <v>1076</v>
      </c>
      <c r="E1905" t="s">
        <v>1277</v>
      </c>
      <c r="F1905">
        <v>3</v>
      </c>
      <c r="G1905">
        <v>476.1</v>
      </c>
      <c r="H1905">
        <v>0.05</v>
      </c>
      <c r="I1905" t="s">
        <v>1354</v>
      </c>
      <c r="J1905">
        <v>1356.885</v>
      </c>
    </row>
    <row r="1906" spans="1:10">
      <c r="A1906" t="s">
        <v>3255</v>
      </c>
      <c r="B1906" s="1">
        <v>45514</v>
      </c>
      <c r="C1906" t="s">
        <v>168</v>
      </c>
      <c r="D1906" t="s">
        <v>1195</v>
      </c>
      <c r="E1906" t="s">
        <v>1301</v>
      </c>
      <c r="F1906">
        <v>1</v>
      </c>
      <c r="G1906">
        <v>546.47</v>
      </c>
      <c r="H1906">
        <v>0.08</v>
      </c>
      <c r="I1906" t="s">
        <v>1354</v>
      </c>
      <c r="J1906">
        <v>502.75240000000002</v>
      </c>
    </row>
    <row r="1907" spans="1:10">
      <c r="A1907" t="s">
        <v>3256</v>
      </c>
      <c r="B1907" s="1">
        <v>45760</v>
      </c>
      <c r="C1907" t="s">
        <v>413</v>
      </c>
      <c r="D1907" t="s">
        <v>1223</v>
      </c>
      <c r="E1907" t="s">
        <v>1319</v>
      </c>
      <c r="F1907">
        <v>1</v>
      </c>
      <c r="G1907">
        <v>979.49</v>
      </c>
      <c r="H1907">
        <v>0.19</v>
      </c>
      <c r="I1907" t="s">
        <v>1354</v>
      </c>
      <c r="J1907">
        <v>793.38690000000008</v>
      </c>
    </row>
    <row r="1908" spans="1:10">
      <c r="A1908" t="s">
        <v>3257</v>
      </c>
      <c r="B1908" s="1">
        <v>45289</v>
      </c>
      <c r="C1908" t="s">
        <v>448</v>
      </c>
      <c r="D1908" t="s">
        <v>1107</v>
      </c>
      <c r="E1908" t="s">
        <v>1286</v>
      </c>
      <c r="F1908">
        <v>3</v>
      </c>
      <c r="G1908">
        <v>988.53</v>
      </c>
      <c r="H1908">
        <v>0.3</v>
      </c>
      <c r="I1908" t="s">
        <v>1354</v>
      </c>
      <c r="J1908">
        <v>2075.913</v>
      </c>
    </row>
    <row r="1909" spans="1:10">
      <c r="A1909" t="s">
        <v>3258</v>
      </c>
      <c r="B1909" s="1">
        <v>45704</v>
      </c>
      <c r="C1909" t="s">
        <v>573</v>
      </c>
      <c r="D1909" t="s">
        <v>1225</v>
      </c>
      <c r="E1909" t="s">
        <v>1291</v>
      </c>
      <c r="F1909">
        <v>4</v>
      </c>
      <c r="G1909">
        <v>849.29</v>
      </c>
      <c r="H1909">
        <v>0.26</v>
      </c>
      <c r="I1909" t="s">
        <v>1349</v>
      </c>
      <c r="J1909">
        <v>2513.8984</v>
      </c>
    </row>
    <row r="1910" spans="1:10">
      <c r="A1910" t="s">
        <v>3259</v>
      </c>
      <c r="B1910" s="1">
        <v>45318</v>
      </c>
      <c r="C1910" t="s">
        <v>750</v>
      </c>
      <c r="D1910" t="s">
        <v>1263</v>
      </c>
      <c r="E1910" t="s">
        <v>1324</v>
      </c>
      <c r="F1910">
        <v>2</v>
      </c>
      <c r="G1910">
        <v>452.29</v>
      </c>
      <c r="H1910">
        <v>0.01</v>
      </c>
      <c r="I1910" t="s">
        <v>1354</v>
      </c>
      <c r="J1910">
        <v>895.53420000000006</v>
      </c>
    </row>
    <row r="1911" spans="1:10">
      <c r="A1911" t="s">
        <v>3260</v>
      </c>
      <c r="B1911" s="1">
        <v>45495</v>
      </c>
      <c r="C1911" t="s">
        <v>953</v>
      </c>
      <c r="D1911" t="s">
        <v>1181</v>
      </c>
      <c r="E1911" t="s">
        <v>1335</v>
      </c>
      <c r="F1911">
        <v>2</v>
      </c>
      <c r="G1911">
        <v>810.81</v>
      </c>
      <c r="H1911">
        <v>0.11</v>
      </c>
      <c r="I1911" t="s">
        <v>1354</v>
      </c>
      <c r="J1911">
        <v>1443.2418</v>
      </c>
    </row>
    <row r="1912" spans="1:10">
      <c r="A1912" t="s">
        <v>3261</v>
      </c>
      <c r="B1912" s="1">
        <v>45560</v>
      </c>
      <c r="C1912" t="s">
        <v>96</v>
      </c>
      <c r="D1912" t="s">
        <v>1195</v>
      </c>
      <c r="E1912" t="s">
        <v>1307</v>
      </c>
      <c r="F1912">
        <v>1</v>
      </c>
      <c r="G1912">
        <v>846.67</v>
      </c>
      <c r="H1912">
        <v>0.1</v>
      </c>
      <c r="I1912" t="s">
        <v>1354</v>
      </c>
      <c r="J1912">
        <v>762.00299999999993</v>
      </c>
    </row>
    <row r="1913" spans="1:10">
      <c r="A1913" t="s">
        <v>3262</v>
      </c>
      <c r="B1913" s="1">
        <v>45367</v>
      </c>
      <c r="C1913" t="s">
        <v>61</v>
      </c>
      <c r="D1913" t="s">
        <v>1121</v>
      </c>
      <c r="E1913" t="s">
        <v>1301</v>
      </c>
      <c r="F1913">
        <v>4</v>
      </c>
      <c r="G1913">
        <v>73.55</v>
      </c>
      <c r="H1913">
        <v>0.24</v>
      </c>
      <c r="I1913" t="s">
        <v>1354</v>
      </c>
      <c r="J1913">
        <v>223.59200000000001</v>
      </c>
    </row>
    <row r="1914" spans="1:10">
      <c r="A1914" t="s">
        <v>3263</v>
      </c>
      <c r="B1914" s="1">
        <v>45861</v>
      </c>
      <c r="C1914" t="s">
        <v>620</v>
      </c>
      <c r="D1914" t="s">
        <v>1257</v>
      </c>
      <c r="E1914" t="s">
        <v>1301</v>
      </c>
      <c r="F1914">
        <v>1</v>
      </c>
      <c r="G1914">
        <v>882.03</v>
      </c>
      <c r="H1914">
        <v>0.04</v>
      </c>
      <c r="I1914" t="s">
        <v>1354</v>
      </c>
      <c r="J1914">
        <v>846.74879999999996</v>
      </c>
    </row>
    <row r="1915" spans="1:10">
      <c r="A1915" t="s">
        <v>3264</v>
      </c>
      <c r="B1915" s="1">
        <v>45589</v>
      </c>
      <c r="C1915" t="s">
        <v>36</v>
      </c>
      <c r="D1915" t="s">
        <v>1117</v>
      </c>
      <c r="E1915" t="s">
        <v>1324</v>
      </c>
      <c r="F1915">
        <v>1</v>
      </c>
      <c r="G1915">
        <v>958.44</v>
      </c>
      <c r="H1915">
        <v>0.21</v>
      </c>
      <c r="I1915" t="s">
        <v>1349</v>
      </c>
      <c r="J1915">
        <v>757.16760000000011</v>
      </c>
    </row>
    <row r="1916" spans="1:10">
      <c r="A1916" t="s">
        <v>3265</v>
      </c>
      <c r="B1916" s="1">
        <v>45560</v>
      </c>
      <c r="C1916" t="s">
        <v>36</v>
      </c>
      <c r="D1916" t="s">
        <v>1271</v>
      </c>
      <c r="E1916" t="s">
        <v>1286</v>
      </c>
      <c r="F1916">
        <v>1</v>
      </c>
      <c r="G1916">
        <v>716.29</v>
      </c>
      <c r="H1916">
        <v>0.01</v>
      </c>
      <c r="I1916" t="s">
        <v>1351</v>
      </c>
      <c r="J1916">
        <v>709.12709999999993</v>
      </c>
    </row>
    <row r="1917" spans="1:10">
      <c r="A1917" t="s">
        <v>3266</v>
      </c>
      <c r="B1917" s="1">
        <v>45408</v>
      </c>
      <c r="C1917" t="s">
        <v>710</v>
      </c>
      <c r="D1917" t="s">
        <v>1090</v>
      </c>
      <c r="E1917" t="s">
        <v>1329</v>
      </c>
      <c r="F1917">
        <v>2</v>
      </c>
      <c r="G1917">
        <v>409.14</v>
      </c>
      <c r="H1917">
        <v>0.01</v>
      </c>
      <c r="I1917" t="s">
        <v>1351</v>
      </c>
      <c r="J1917">
        <v>810.09719999999993</v>
      </c>
    </row>
    <row r="1918" spans="1:10">
      <c r="A1918" t="s">
        <v>3267</v>
      </c>
      <c r="B1918" s="1">
        <v>45714</v>
      </c>
      <c r="C1918" t="s">
        <v>222</v>
      </c>
      <c r="D1918" t="s">
        <v>1271</v>
      </c>
      <c r="E1918" t="s">
        <v>1311</v>
      </c>
      <c r="F1918">
        <v>4</v>
      </c>
      <c r="G1918">
        <v>261.73</v>
      </c>
      <c r="H1918">
        <v>0.1</v>
      </c>
      <c r="I1918" t="s">
        <v>1351</v>
      </c>
      <c r="J1918">
        <v>942.22800000000007</v>
      </c>
    </row>
    <row r="1919" spans="1:10">
      <c r="A1919" t="s">
        <v>3268</v>
      </c>
      <c r="B1919" s="1">
        <v>45661</v>
      </c>
      <c r="C1919" t="s">
        <v>994</v>
      </c>
      <c r="D1919" t="s">
        <v>1097</v>
      </c>
      <c r="E1919" t="s">
        <v>1277</v>
      </c>
      <c r="F1919">
        <v>2</v>
      </c>
      <c r="G1919">
        <v>687.35</v>
      </c>
      <c r="H1919">
        <v>0.2</v>
      </c>
      <c r="I1919" t="s">
        <v>1354</v>
      </c>
      <c r="J1919">
        <v>1099.76</v>
      </c>
    </row>
    <row r="1920" spans="1:10">
      <c r="A1920" t="s">
        <v>3269</v>
      </c>
      <c r="B1920" s="1">
        <v>45921</v>
      </c>
      <c r="C1920" t="s">
        <v>476</v>
      </c>
      <c r="D1920" t="s">
        <v>1241</v>
      </c>
      <c r="E1920" t="s">
        <v>1307</v>
      </c>
      <c r="F1920">
        <v>2</v>
      </c>
      <c r="G1920">
        <v>30.14</v>
      </c>
      <c r="H1920">
        <v>0.21</v>
      </c>
      <c r="I1920" t="s">
        <v>1349</v>
      </c>
      <c r="J1920">
        <v>47.621200000000002</v>
      </c>
    </row>
    <row r="1921" spans="1:10">
      <c r="A1921" t="s">
        <v>3270</v>
      </c>
      <c r="B1921" s="1">
        <v>45651</v>
      </c>
      <c r="C1921" t="s">
        <v>256</v>
      </c>
      <c r="D1921" t="s">
        <v>1141</v>
      </c>
      <c r="E1921" t="s">
        <v>1307</v>
      </c>
      <c r="F1921">
        <v>3</v>
      </c>
      <c r="G1921">
        <v>570.12</v>
      </c>
      <c r="H1921">
        <v>0.12</v>
      </c>
      <c r="I1921" t="s">
        <v>1351</v>
      </c>
      <c r="J1921">
        <v>1505.1168</v>
      </c>
    </row>
    <row r="1922" spans="1:10">
      <c r="A1922" t="s">
        <v>3271</v>
      </c>
      <c r="B1922" s="1">
        <v>45883</v>
      </c>
      <c r="C1922" t="s">
        <v>626</v>
      </c>
      <c r="D1922" t="s">
        <v>1227</v>
      </c>
      <c r="E1922" t="s">
        <v>1338</v>
      </c>
      <c r="F1922">
        <v>3</v>
      </c>
      <c r="G1922">
        <v>401.87</v>
      </c>
      <c r="H1922">
        <v>0.28999999999999998</v>
      </c>
      <c r="I1922" t="s">
        <v>1354</v>
      </c>
      <c r="J1922">
        <v>855.98310000000004</v>
      </c>
    </row>
    <row r="1923" spans="1:10">
      <c r="A1923" t="s">
        <v>3272</v>
      </c>
      <c r="B1923" s="1">
        <v>45624</v>
      </c>
      <c r="C1923" t="s">
        <v>1053</v>
      </c>
      <c r="D1923" t="s">
        <v>1231</v>
      </c>
      <c r="E1923" t="s">
        <v>1319</v>
      </c>
      <c r="F1923">
        <v>4</v>
      </c>
      <c r="G1923">
        <v>619.35</v>
      </c>
      <c r="H1923">
        <v>0.3</v>
      </c>
      <c r="I1923" t="s">
        <v>1349</v>
      </c>
      <c r="J1923">
        <v>1734.18</v>
      </c>
    </row>
    <row r="1924" spans="1:10">
      <c r="A1924" t="s">
        <v>3273</v>
      </c>
      <c r="B1924" s="1">
        <v>45276</v>
      </c>
      <c r="C1924" t="s">
        <v>557</v>
      </c>
      <c r="D1924" t="s">
        <v>1165</v>
      </c>
      <c r="E1924" t="s">
        <v>1332</v>
      </c>
      <c r="F1924">
        <v>4</v>
      </c>
      <c r="G1924">
        <v>569.36</v>
      </c>
      <c r="H1924">
        <v>0.27</v>
      </c>
      <c r="I1924" t="s">
        <v>1351</v>
      </c>
      <c r="J1924">
        <v>1662.5311999999999</v>
      </c>
    </row>
    <row r="1925" spans="1:10">
      <c r="A1925" t="s">
        <v>3274</v>
      </c>
      <c r="B1925" s="1">
        <v>45344</v>
      </c>
      <c r="C1925" t="s">
        <v>1014</v>
      </c>
      <c r="D1925" t="s">
        <v>1127</v>
      </c>
      <c r="E1925" t="s">
        <v>1294</v>
      </c>
      <c r="F1925">
        <v>2</v>
      </c>
      <c r="G1925">
        <v>846.35</v>
      </c>
      <c r="H1925">
        <v>0.3</v>
      </c>
      <c r="I1925" t="s">
        <v>1354</v>
      </c>
      <c r="J1925">
        <v>1184.8900000000001</v>
      </c>
    </row>
    <row r="1926" spans="1:10">
      <c r="A1926" t="s">
        <v>3275</v>
      </c>
      <c r="B1926" s="1">
        <v>45849</v>
      </c>
      <c r="C1926" t="s">
        <v>931</v>
      </c>
      <c r="D1926" t="s">
        <v>1133</v>
      </c>
      <c r="E1926" t="s">
        <v>1286</v>
      </c>
      <c r="F1926">
        <v>1</v>
      </c>
      <c r="G1926">
        <v>788.45</v>
      </c>
      <c r="H1926">
        <v>0.28999999999999998</v>
      </c>
      <c r="I1926" t="s">
        <v>1351</v>
      </c>
      <c r="J1926">
        <v>559.79949999999997</v>
      </c>
    </row>
    <row r="1927" spans="1:10">
      <c r="A1927" t="s">
        <v>3276</v>
      </c>
      <c r="B1927" s="1">
        <v>45880</v>
      </c>
      <c r="C1927" t="s">
        <v>783</v>
      </c>
      <c r="D1927" t="s">
        <v>1143</v>
      </c>
      <c r="E1927" t="s">
        <v>1319</v>
      </c>
      <c r="F1927">
        <v>2</v>
      </c>
      <c r="G1927">
        <v>338.81</v>
      </c>
      <c r="H1927">
        <v>7.0000000000000007E-2</v>
      </c>
      <c r="I1927" t="s">
        <v>1354</v>
      </c>
      <c r="J1927">
        <v>630.1866</v>
      </c>
    </row>
    <row r="1928" spans="1:10">
      <c r="A1928" t="s">
        <v>3277</v>
      </c>
      <c r="B1928" s="1">
        <v>45907</v>
      </c>
      <c r="C1928" t="s">
        <v>84</v>
      </c>
      <c r="D1928" t="s">
        <v>1101</v>
      </c>
      <c r="E1928" t="s">
        <v>1298</v>
      </c>
      <c r="F1928">
        <v>4</v>
      </c>
      <c r="G1928">
        <v>94.48</v>
      </c>
      <c r="H1928">
        <v>0.06</v>
      </c>
      <c r="I1928" t="s">
        <v>1354</v>
      </c>
      <c r="J1928">
        <v>355.2448</v>
      </c>
    </row>
    <row r="1929" spans="1:10">
      <c r="A1929" t="s">
        <v>3278</v>
      </c>
      <c r="B1929" s="1">
        <v>45545</v>
      </c>
      <c r="C1929" t="s">
        <v>1016</v>
      </c>
      <c r="D1929" t="s">
        <v>1111</v>
      </c>
      <c r="E1929" t="s">
        <v>1322</v>
      </c>
      <c r="F1929">
        <v>3</v>
      </c>
      <c r="G1929">
        <v>941.85</v>
      </c>
      <c r="H1929">
        <v>0.16</v>
      </c>
      <c r="I1929" t="s">
        <v>1351</v>
      </c>
      <c r="J1929">
        <v>2373.462</v>
      </c>
    </row>
    <row r="1930" spans="1:10">
      <c r="A1930" t="s">
        <v>3279</v>
      </c>
      <c r="B1930" s="1">
        <v>45257</v>
      </c>
      <c r="C1930" t="s">
        <v>383</v>
      </c>
      <c r="D1930" t="s">
        <v>1163</v>
      </c>
      <c r="E1930" t="s">
        <v>1298</v>
      </c>
      <c r="F1930">
        <v>2</v>
      </c>
      <c r="G1930">
        <v>336.97</v>
      </c>
      <c r="H1930">
        <v>0.14000000000000001</v>
      </c>
      <c r="I1930" t="s">
        <v>1351</v>
      </c>
      <c r="J1930">
        <v>579.58840000000009</v>
      </c>
    </row>
    <row r="1931" spans="1:10">
      <c r="A1931" t="s">
        <v>3280</v>
      </c>
      <c r="B1931" s="1">
        <v>45466</v>
      </c>
      <c r="C1931" t="s">
        <v>684</v>
      </c>
      <c r="D1931" t="s">
        <v>1080</v>
      </c>
      <c r="E1931" t="s">
        <v>1298</v>
      </c>
      <c r="F1931">
        <v>2</v>
      </c>
      <c r="G1931">
        <v>344.16</v>
      </c>
      <c r="H1931">
        <v>0.09</v>
      </c>
      <c r="I1931" t="s">
        <v>1351</v>
      </c>
      <c r="J1931">
        <v>626.37120000000004</v>
      </c>
    </row>
    <row r="1932" spans="1:10">
      <c r="A1932" t="s">
        <v>3281</v>
      </c>
      <c r="B1932" s="1">
        <v>45847</v>
      </c>
      <c r="C1932" t="s">
        <v>664</v>
      </c>
      <c r="D1932" t="s">
        <v>1169</v>
      </c>
      <c r="E1932" t="s">
        <v>1311</v>
      </c>
      <c r="F1932">
        <v>1</v>
      </c>
      <c r="G1932">
        <v>841.53</v>
      </c>
      <c r="H1932">
        <v>0.15</v>
      </c>
      <c r="I1932" t="s">
        <v>1349</v>
      </c>
      <c r="J1932">
        <v>715.30049999999994</v>
      </c>
    </row>
    <row r="1933" spans="1:10">
      <c r="A1933" t="s">
        <v>3282</v>
      </c>
      <c r="B1933" s="1">
        <v>45825</v>
      </c>
      <c r="C1933" t="s">
        <v>911</v>
      </c>
      <c r="D1933" t="s">
        <v>1239</v>
      </c>
      <c r="E1933" t="s">
        <v>1332</v>
      </c>
      <c r="F1933">
        <v>3</v>
      </c>
      <c r="G1933">
        <v>63.36</v>
      </c>
      <c r="H1933">
        <v>0.28999999999999998</v>
      </c>
      <c r="I1933" t="s">
        <v>1354</v>
      </c>
      <c r="J1933">
        <v>134.95679999999999</v>
      </c>
    </row>
    <row r="1934" spans="1:10">
      <c r="A1934" t="s">
        <v>3283</v>
      </c>
      <c r="B1934" s="1">
        <v>45839</v>
      </c>
      <c r="C1934" t="s">
        <v>1053</v>
      </c>
      <c r="D1934" t="s">
        <v>1229</v>
      </c>
      <c r="E1934" t="s">
        <v>1307</v>
      </c>
      <c r="F1934">
        <v>2</v>
      </c>
      <c r="G1934">
        <v>552.49</v>
      </c>
      <c r="H1934">
        <v>0.1</v>
      </c>
      <c r="I1934" t="s">
        <v>1349</v>
      </c>
      <c r="J1934">
        <v>994.48200000000008</v>
      </c>
    </row>
    <row r="1935" spans="1:10">
      <c r="A1935" t="s">
        <v>3284</v>
      </c>
      <c r="B1935" s="1">
        <v>45720</v>
      </c>
      <c r="C1935" t="s">
        <v>535</v>
      </c>
      <c r="D1935" t="s">
        <v>1121</v>
      </c>
      <c r="E1935" t="s">
        <v>1301</v>
      </c>
      <c r="F1935">
        <v>3</v>
      </c>
      <c r="G1935">
        <v>447.38</v>
      </c>
      <c r="H1935">
        <v>0.03</v>
      </c>
      <c r="I1935" t="s">
        <v>1349</v>
      </c>
      <c r="J1935">
        <v>1301.8758</v>
      </c>
    </row>
    <row r="1936" spans="1:10">
      <c r="A1936" t="s">
        <v>3285</v>
      </c>
      <c r="B1936" s="1">
        <v>45250</v>
      </c>
      <c r="C1936" t="s">
        <v>963</v>
      </c>
      <c r="D1936" t="s">
        <v>1219</v>
      </c>
      <c r="E1936" t="s">
        <v>1338</v>
      </c>
      <c r="F1936">
        <v>1</v>
      </c>
      <c r="G1936">
        <v>727.7</v>
      </c>
      <c r="H1936">
        <v>0.21</v>
      </c>
      <c r="I1936" t="s">
        <v>1354</v>
      </c>
      <c r="J1936">
        <v>574.88300000000004</v>
      </c>
    </row>
    <row r="1937" spans="1:10">
      <c r="A1937" t="s">
        <v>3286</v>
      </c>
      <c r="B1937" s="1">
        <v>45258</v>
      </c>
      <c r="C1937" t="s">
        <v>935</v>
      </c>
      <c r="D1937" t="s">
        <v>1175</v>
      </c>
      <c r="E1937" t="s">
        <v>1304</v>
      </c>
      <c r="F1937">
        <v>4</v>
      </c>
      <c r="G1937">
        <v>581.34</v>
      </c>
      <c r="H1937">
        <v>0.08</v>
      </c>
      <c r="I1937" t="s">
        <v>1349</v>
      </c>
      <c r="J1937">
        <v>2139.3312000000001</v>
      </c>
    </row>
    <row r="1938" spans="1:10">
      <c r="A1938" t="s">
        <v>3287</v>
      </c>
      <c r="B1938" s="1">
        <v>45793</v>
      </c>
      <c r="C1938" t="s">
        <v>250</v>
      </c>
      <c r="D1938" t="s">
        <v>1205</v>
      </c>
      <c r="E1938" t="s">
        <v>1282</v>
      </c>
      <c r="F1938">
        <v>1</v>
      </c>
      <c r="G1938">
        <v>338.83</v>
      </c>
      <c r="H1938">
        <v>0.19</v>
      </c>
      <c r="I1938" t="s">
        <v>1351</v>
      </c>
      <c r="J1938">
        <v>274.45229999999998</v>
      </c>
    </row>
    <row r="1939" spans="1:10">
      <c r="A1939" t="s">
        <v>3288</v>
      </c>
      <c r="B1939" s="1">
        <v>45265</v>
      </c>
      <c r="C1939" t="s">
        <v>634</v>
      </c>
      <c r="D1939" t="s">
        <v>1171</v>
      </c>
      <c r="E1939" t="s">
        <v>1322</v>
      </c>
      <c r="F1939">
        <v>4</v>
      </c>
      <c r="G1939">
        <v>568.80999999999995</v>
      </c>
      <c r="H1939">
        <v>0.25</v>
      </c>
      <c r="I1939" t="s">
        <v>1349</v>
      </c>
      <c r="J1939">
        <v>1706.43</v>
      </c>
    </row>
    <row r="1940" spans="1:10">
      <c r="A1940" t="s">
        <v>3289</v>
      </c>
      <c r="B1940" s="1">
        <v>45607</v>
      </c>
      <c r="C1940" t="s">
        <v>813</v>
      </c>
      <c r="D1940" t="s">
        <v>1195</v>
      </c>
      <c r="E1940" t="s">
        <v>1332</v>
      </c>
      <c r="F1940">
        <v>2</v>
      </c>
      <c r="G1940">
        <v>352.63</v>
      </c>
      <c r="H1940">
        <v>0.15</v>
      </c>
      <c r="I1940" t="s">
        <v>1351</v>
      </c>
      <c r="J1940">
        <v>599.471</v>
      </c>
    </row>
    <row r="1941" spans="1:10">
      <c r="A1941" t="s">
        <v>3290</v>
      </c>
      <c r="B1941" s="1">
        <v>45382</v>
      </c>
      <c r="C1941" t="s">
        <v>373</v>
      </c>
      <c r="D1941" t="s">
        <v>1265</v>
      </c>
      <c r="E1941" t="s">
        <v>1322</v>
      </c>
      <c r="F1941">
        <v>2</v>
      </c>
      <c r="G1941">
        <v>629.86</v>
      </c>
      <c r="H1941">
        <v>0.15</v>
      </c>
      <c r="I1941" t="s">
        <v>1351</v>
      </c>
      <c r="J1941">
        <v>1070.7619999999999</v>
      </c>
    </row>
    <row r="1942" spans="1:10">
      <c r="A1942" t="s">
        <v>3291</v>
      </c>
      <c r="B1942" s="1">
        <v>45793</v>
      </c>
      <c r="C1942" t="s">
        <v>1047</v>
      </c>
      <c r="D1942" t="s">
        <v>1269</v>
      </c>
      <c r="E1942" t="s">
        <v>1291</v>
      </c>
      <c r="F1942">
        <v>3</v>
      </c>
      <c r="G1942">
        <v>212.08</v>
      </c>
      <c r="H1942">
        <v>7.0000000000000007E-2</v>
      </c>
      <c r="I1942" t="s">
        <v>1349</v>
      </c>
      <c r="J1942">
        <v>591.70319999999992</v>
      </c>
    </row>
    <row r="1943" spans="1:10">
      <c r="A1943" t="s">
        <v>3292</v>
      </c>
      <c r="B1943" s="1">
        <v>45590</v>
      </c>
      <c r="C1943" t="s">
        <v>383</v>
      </c>
      <c r="D1943" t="s">
        <v>1187</v>
      </c>
      <c r="E1943" t="s">
        <v>1286</v>
      </c>
      <c r="F1943">
        <v>3</v>
      </c>
      <c r="G1943">
        <v>878.62</v>
      </c>
      <c r="H1943">
        <v>0.05</v>
      </c>
      <c r="I1943" t="s">
        <v>1351</v>
      </c>
      <c r="J1943">
        <v>2504.067</v>
      </c>
    </row>
    <row r="1944" spans="1:10">
      <c r="A1944" t="s">
        <v>3293</v>
      </c>
      <c r="B1944" s="1">
        <v>45679</v>
      </c>
      <c r="C1944" t="s">
        <v>585</v>
      </c>
      <c r="D1944" t="s">
        <v>1233</v>
      </c>
      <c r="E1944" t="s">
        <v>1314</v>
      </c>
      <c r="F1944">
        <v>4</v>
      </c>
      <c r="G1944">
        <v>87.83</v>
      </c>
      <c r="H1944">
        <v>0.23</v>
      </c>
      <c r="I1944" t="s">
        <v>1351</v>
      </c>
      <c r="J1944">
        <v>270.51639999999998</v>
      </c>
    </row>
    <row r="1945" spans="1:10">
      <c r="A1945" t="s">
        <v>3294</v>
      </c>
      <c r="B1945" s="1">
        <v>45814</v>
      </c>
      <c r="C1945" t="s">
        <v>614</v>
      </c>
      <c r="D1945" t="s">
        <v>1185</v>
      </c>
      <c r="E1945" t="s">
        <v>1311</v>
      </c>
      <c r="F1945">
        <v>3</v>
      </c>
      <c r="G1945">
        <v>442.64</v>
      </c>
      <c r="H1945">
        <v>0.15</v>
      </c>
      <c r="I1945" t="s">
        <v>1354</v>
      </c>
      <c r="J1945">
        <v>1128.732</v>
      </c>
    </row>
    <row r="1946" spans="1:10">
      <c r="A1946" t="s">
        <v>3295</v>
      </c>
      <c r="B1946" s="1">
        <v>45795</v>
      </c>
      <c r="C1946" t="s">
        <v>244</v>
      </c>
      <c r="D1946" t="s">
        <v>1149</v>
      </c>
      <c r="E1946" t="s">
        <v>1286</v>
      </c>
      <c r="F1946">
        <v>3</v>
      </c>
      <c r="G1946">
        <v>410.04</v>
      </c>
      <c r="H1946">
        <v>0.09</v>
      </c>
      <c r="I1946" t="s">
        <v>1354</v>
      </c>
      <c r="J1946">
        <v>1119.4092000000001</v>
      </c>
    </row>
    <row r="1947" spans="1:10">
      <c r="A1947" t="s">
        <v>3296</v>
      </c>
      <c r="B1947" s="1">
        <v>45797</v>
      </c>
      <c r="C1947" t="s">
        <v>327</v>
      </c>
      <c r="D1947" t="s">
        <v>1261</v>
      </c>
      <c r="E1947" t="s">
        <v>1332</v>
      </c>
      <c r="F1947">
        <v>1</v>
      </c>
      <c r="G1947">
        <v>355.31</v>
      </c>
      <c r="H1947">
        <v>0.27</v>
      </c>
      <c r="I1947" t="s">
        <v>1349</v>
      </c>
      <c r="J1947">
        <v>259.37630000000001</v>
      </c>
    </row>
    <row r="1948" spans="1:10">
      <c r="A1948" t="s">
        <v>3297</v>
      </c>
      <c r="B1948" s="1">
        <v>45607</v>
      </c>
      <c r="C1948" t="s">
        <v>815</v>
      </c>
      <c r="D1948" t="s">
        <v>1090</v>
      </c>
      <c r="E1948" t="s">
        <v>1322</v>
      </c>
      <c r="F1948">
        <v>4</v>
      </c>
      <c r="G1948">
        <v>243.13</v>
      </c>
      <c r="H1948">
        <v>0.25</v>
      </c>
      <c r="I1948" t="s">
        <v>1354</v>
      </c>
      <c r="J1948">
        <v>729.39</v>
      </c>
    </row>
    <row r="1949" spans="1:10">
      <c r="A1949" t="s">
        <v>3298</v>
      </c>
      <c r="B1949" s="1">
        <v>45614</v>
      </c>
      <c r="C1949" t="s">
        <v>521</v>
      </c>
      <c r="D1949" t="s">
        <v>1191</v>
      </c>
      <c r="E1949" t="s">
        <v>1317</v>
      </c>
      <c r="F1949">
        <v>2</v>
      </c>
      <c r="G1949">
        <v>410.63</v>
      </c>
      <c r="H1949">
        <v>0.28000000000000003</v>
      </c>
      <c r="I1949" t="s">
        <v>1354</v>
      </c>
      <c r="J1949">
        <v>591.30719999999997</v>
      </c>
    </row>
    <row r="1950" spans="1:10">
      <c r="A1950" t="s">
        <v>3299</v>
      </c>
      <c r="B1950" s="1">
        <v>45293</v>
      </c>
      <c r="C1950" t="s">
        <v>913</v>
      </c>
      <c r="D1950" t="s">
        <v>1261</v>
      </c>
      <c r="E1950" t="s">
        <v>1314</v>
      </c>
      <c r="F1950">
        <v>4</v>
      </c>
      <c r="G1950">
        <v>101.25</v>
      </c>
      <c r="H1950">
        <v>0.16</v>
      </c>
      <c r="I1950" t="s">
        <v>1351</v>
      </c>
      <c r="J1950">
        <v>340.2</v>
      </c>
    </row>
    <row r="1951" spans="1:10">
      <c r="A1951" t="s">
        <v>3300</v>
      </c>
      <c r="B1951" s="1">
        <v>45301</v>
      </c>
      <c r="C1951" t="s">
        <v>515</v>
      </c>
      <c r="D1951" t="s">
        <v>1085</v>
      </c>
      <c r="E1951" t="s">
        <v>1332</v>
      </c>
      <c r="F1951">
        <v>4</v>
      </c>
      <c r="G1951">
        <v>716.39</v>
      </c>
      <c r="H1951">
        <v>0.03</v>
      </c>
      <c r="I1951" t="s">
        <v>1351</v>
      </c>
      <c r="J1951">
        <v>2779.5931999999998</v>
      </c>
    </row>
    <row r="1952" spans="1:10">
      <c r="A1952" t="s">
        <v>3301</v>
      </c>
      <c r="B1952" s="1">
        <v>45311</v>
      </c>
      <c r="C1952" t="s">
        <v>246</v>
      </c>
      <c r="D1952" t="s">
        <v>1219</v>
      </c>
      <c r="E1952" t="s">
        <v>1282</v>
      </c>
      <c r="F1952">
        <v>1</v>
      </c>
      <c r="G1952">
        <v>721.74</v>
      </c>
      <c r="H1952">
        <v>0.24</v>
      </c>
      <c r="I1952" t="s">
        <v>1351</v>
      </c>
      <c r="J1952">
        <v>548.52240000000006</v>
      </c>
    </row>
    <row r="1953" spans="1:10">
      <c r="A1953" t="s">
        <v>3302</v>
      </c>
      <c r="B1953" s="1">
        <v>45702</v>
      </c>
      <c r="C1953" t="s">
        <v>152</v>
      </c>
      <c r="D1953" t="s">
        <v>1197</v>
      </c>
      <c r="E1953" t="s">
        <v>1317</v>
      </c>
      <c r="F1953">
        <v>2</v>
      </c>
      <c r="G1953">
        <v>527.91</v>
      </c>
      <c r="H1953">
        <v>0.02</v>
      </c>
      <c r="I1953" t="s">
        <v>1349</v>
      </c>
      <c r="J1953">
        <v>1034.7036000000001</v>
      </c>
    </row>
    <row r="1954" spans="1:10">
      <c r="A1954" t="s">
        <v>3303</v>
      </c>
      <c r="B1954" s="1">
        <v>45525</v>
      </c>
      <c r="C1954" t="s">
        <v>702</v>
      </c>
      <c r="D1954" t="s">
        <v>1177</v>
      </c>
      <c r="E1954" t="s">
        <v>1322</v>
      </c>
      <c r="F1954">
        <v>2</v>
      </c>
      <c r="G1954">
        <v>945.92</v>
      </c>
      <c r="H1954">
        <v>0.19</v>
      </c>
      <c r="I1954" t="s">
        <v>1354</v>
      </c>
      <c r="J1954">
        <v>1532.3904</v>
      </c>
    </row>
    <row r="1955" spans="1:10">
      <c r="A1955" t="s">
        <v>3304</v>
      </c>
      <c r="B1955" s="1">
        <v>45780</v>
      </c>
      <c r="C1955" t="s">
        <v>216</v>
      </c>
      <c r="D1955" t="s">
        <v>1185</v>
      </c>
      <c r="E1955" t="s">
        <v>1332</v>
      </c>
      <c r="F1955">
        <v>2</v>
      </c>
      <c r="G1955">
        <v>981.35</v>
      </c>
      <c r="H1955">
        <v>0.16</v>
      </c>
      <c r="I1955" t="s">
        <v>1351</v>
      </c>
      <c r="J1955">
        <v>1648.6679999999999</v>
      </c>
    </row>
    <row r="1956" spans="1:10">
      <c r="A1956" t="s">
        <v>3305</v>
      </c>
      <c r="B1956" s="1">
        <v>45819</v>
      </c>
      <c r="C1956" t="s">
        <v>509</v>
      </c>
      <c r="D1956" t="s">
        <v>1191</v>
      </c>
      <c r="E1956" t="s">
        <v>1291</v>
      </c>
      <c r="F1956">
        <v>1</v>
      </c>
      <c r="G1956">
        <v>913.99</v>
      </c>
      <c r="H1956">
        <v>0.14000000000000001</v>
      </c>
      <c r="I1956" t="s">
        <v>1349</v>
      </c>
      <c r="J1956">
        <v>786.03139999999996</v>
      </c>
    </row>
    <row r="1957" spans="1:10">
      <c r="A1957" t="s">
        <v>3306</v>
      </c>
      <c r="B1957" s="1">
        <v>45863</v>
      </c>
      <c r="C1957" t="s">
        <v>44</v>
      </c>
      <c r="D1957" t="s">
        <v>1205</v>
      </c>
      <c r="E1957" t="s">
        <v>1307</v>
      </c>
      <c r="F1957">
        <v>4</v>
      </c>
      <c r="G1957">
        <v>270.69</v>
      </c>
      <c r="H1957">
        <v>0.18</v>
      </c>
      <c r="I1957" t="s">
        <v>1351</v>
      </c>
      <c r="J1957">
        <v>887.86320000000001</v>
      </c>
    </row>
    <row r="1958" spans="1:10">
      <c r="A1958" t="s">
        <v>3307</v>
      </c>
      <c r="B1958" s="1">
        <v>45687</v>
      </c>
      <c r="C1958" t="s">
        <v>383</v>
      </c>
      <c r="D1958" t="s">
        <v>1227</v>
      </c>
      <c r="E1958" t="s">
        <v>1301</v>
      </c>
      <c r="F1958">
        <v>3</v>
      </c>
      <c r="G1958">
        <v>998.58</v>
      </c>
      <c r="H1958">
        <v>0.02</v>
      </c>
      <c r="I1958" t="s">
        <v>1349</v>
      </c>
      <c r="J1958">
        <v>2935.8252000000002</v>
      </c>
    </row>
    <row r="1959" spans="1:10">
      <c r="A1959" t="s">
        <v>3308</v>
      </c>
      <c r="B1959" s="1">
        <v>45806</v>
      </c>
      <c r="C1959" t="s">
        <v>975</v>
      </c>
      <c r="D1959" t="s">
        <v>1147</v>
      </c>
      <c r="E1959" t="s">
        <v>1311</v>
      </c>
      <c r="F1959">
        <v>3</v>
      </c>
      <c r="G1959">
        <v>765.12</v>
      </c>
      <c r="H1959">
        <v>0.18</v>
      </c>
      <c r="I1959" t="s">
        <v>1349</v>
      </c>
      <c r="J1959">
        <v>1882.1952000000001</v>
      </c>
    </row>
    <row r="1960" spans="1:10">
      <c r="A1960" t="s">
        <v>3309</v>
      </c>
      <c r="B1960" s="1">
        <v>45216</v>
      </c>
      <c r="C1960" t="s">
        <v>194</v>
      </c>
      <c r="D1960" t="s">
        <v>1201</v>
      </c>
      <c r="E1960" t="s">
        <v>1338</v>
      </c>
      <c r="F1960">
        <v>3</v>
      </c>
      <c r="G1960">
        <v>449.99</v>
      </c>
      <c r="H1960">
        <v>0.17</v>
      </c>
      <c r="I1960" t="s">
        <v>1354</v>
      </c>
      <c r="J1960">
        <v>1120.4751000000001</v>
      </c>
    </row>
    <row r="1961" spans="1:10">
      <c r="A1961" t="s">
        <v>3310</v>
      </c>
      <c r="B1961" s="1">
        <v>45639</v>
      </c>
      <c r="C1961" t="s">
        <v>567</v>
      </c>
      <c r="D1961" t="s">
        <v>1159</v>
      </c>
      <c r="E1961" t="s">
        <v>1317</v>
      </c>
      <c r="F1961">
        <v>2</v>
      </c>
      <c r="G1961">
        <v>249.02</v>
      </c>
      <c r="H1961">
        <v>0.01</v>
      </c>
      <c r="I1961" t="s">
        <v>1354</v>
      </c>
      <c r="J1961">
        <v>493.05959999999999</v>
      </c>
    </row>
    <row r="1962" spans="1:10">
      <c r="A1962" t="s">
        <v>3311</v>
      </c>
      <c r="B1962" s="1">
        <v>45454</v>
      </c>
      <c r="C1962" t="s">
        <v>335</v>
      </c>
      <c r="D1962" t="s">
        <v>1187</v>
      </c>
      <c r="E1962" t="s">
        <v>1338</v>
      </c>
      <c r="F1962">
        <v>3</v>
      </c>
      <c r="G1962">
        <v>223.64</v>
      </c>
      <c r="H1962">
        <v>0.05</v>
      </c>
      <c r="I1962" t="s">
        <v>1349</v>
      </c>
      <c r="J1962">
        <v>637.37399999999991</v>
      </c>
    </row>
    <row r="1963" spans="1:10">
      <c r="A1963" t="s">
        <v>3312</v>
      </c>
      <c r="B1963" s="1">
        <v>45934</v>
      </c>
      <c r="C1963" t="s">
        <v>271</v>
      </c>
      <c r="D1963" t="s">
        <v>1121</v>
      </c>
      <c r="E1963" t="s">
        <v>1294</v>
      </c>
      <c r="F1963">
        <v>2</v>
      </c>
      <c r="G1963">
        <v>92.94</v>
      </c>
      <c r="H1963">
        <v>0.12</v>
      </c>
      <c r="I1963" t="s">
        <v>1349</v>
      </c>
      <c r="J1963">
        <v>163.5744</v>
      </c>
    </row>
    <row r="1964" spans="1:10">
      <c r="A1964" t="s">
        <v>3313</v>
      </c>
      <c r="B1964" s="1">
        <v>45401</v>
      </c>
      <c r="C1964" t="s">
        <v>785</v>
      </c>
      <c r="D1964" t="s">
        <v>1105</v>
      </c>
      <c r="E1964" t="s">
        <v>1286</v>
      </c>
      <c r="F1964">
        <v>4</v>
      </c>
      <c r="G1964">
        <v>268.3</v>
      </c>
      <c r="H1964">
        <v>0.02</v>
      </c>
      <c r="I1964" t="s">
        <v>1354</v>
      </c>
      <c r="J1964">
        <v>1051.7360000000001</v>
      </c>
    </row>
    <row r="1965" spans="1:10">
      <c r="A1965" t="s">
        <v>3314</v>
      </c>
      <c r="B1965" s="1">
        <v>45770</v>
      </c>
      <c r="C1965" t="s">
        <v>947</v>
      </c>
      <c r="D1965" t="s">
        <v>1191</v>
      </c>
      <c r="E1965" t="s">
        <v>1338</v>
      </c>
      <c r="F1965">
        <v>4</v>
      </c>
      <c r="G1965">
        <v>835.61</v>
      </c>
      <c r="H1965">
        <v>0.03</v>
      </c>
      <c r="I1965" t="s">
        <v>1349</v>
      </c>
      <c r="J1965">
        <v>3242.1668</v>
      </c>
    </row>
    <row r="1966" spans="1:10">
      <c r="A1966" t="s">
        <v>3315</v>
      </c>
      <c r="B1966" s="1">
        <v>45405</v>
      </c>
      <c r="C1966" t="s">
        <v>827</v>
      </c>
      <c r="D1966" t="s">
        <v>1209</v>
      </c>
      <c r="E1966" t="s">
        <v>1298</v>
      </c>
      <c r="F1966">
        <v>3</v>
      </c>
      <c r="G1966">
        <v>120.97</v>
      </c>
      <c r="H1966">
        <v>0.11</v>
      </c>
      <c r="I1966" t="s">
        <v>1349</v>
      </c>
      <c r="J1966">
        <v>322.98989999999998</v>
      </c>
    </row>
    <row r="1967" spans="1:10">
      <c r="A1967" t="s">
        <v>3316</v>
      </c>
      <c r="B1967" s="1">
        <v>45424</v>
      </c>
      <c r="C1967" t="s">
        <v>94</v>
      </c>
      <c r="D1967" t="s">
        <v>1153</v>
      </c>
      <c r="E1967" t="s">
        <v>1311</v>
      </c>
      <c r="F1967">
        <v>2</v>
      </c>
      <c r="G1967">
        <v>26.36</v>
      </c>
      <c r="H1967">
        <v>0.03</v>
      </c>
      <c r="I1967" t="s">
        <v>1354</v>
      </c>
      <c r="J1967">
        <v>51.138399999999997</v>
      </c>
    </row>
    <row r="1968" spans="1:10">
      <c r="A1968" t="s">
        <v>3317</v>
      </c>
      <c r="B1968" s="1">
        <v>45881</v>
      </c>
      <c r="C1968" t="s">
        <v>102</v>
      </c>
      <c r="D1968" t="s">
        <v>1227</v>
      </c>
      <c r="E1968" t="s">
        <v>1301</v>
      </c>
      <c r="F1968">
        <v>1</v>
      </c>
      <c r="G1968">
        <v>918.87</v>
      </c>
      <c r="H1968">
        <v>0.11</v>
      </c>
      <c r="I1968" t="s">
        <v>1351</v>
      </c>
      <c r="J1968">
        <v>817.79430000000002</v>
      </c>
    </row>
    <row r="1969" spans="1:10">
      <c r="A1969" t="s">
        <v>3318</v>
      </c>
      <c r="B1969" s="1">
        <v>45794</v>
      </c>
      <c r="C1969" t="s">
        <v>96</v>
      </c>
      <c r="D1969" t="s">
        <v>1207</v>
      </c>
      <c r="E1969" t="s">
        <v>1317</v>
      </c>
      <c r="F1969">
        <v>2</v>
      </c>
      <c r="G1969">
        <v>924.73</v>
      </c>
      <c r="H1969">
        <v>0.28999999999999998</v>
      </c>
      <c r="I1969" t="s">
        <v>1351</v>
      </c>
      <c r="J1969">
        <v>1313.1166000000001</v>
      </c>
    </row>
    <row r="1970" spans="1:10">
      <c r="A1970" t="s">
        <v>3319</v>
      </c>
      <c r="B1970" s="1">
        <v>45665</v>
      </c>
      <c r="C1970" t="s">
        <v>72</v>
      </c>
      <c r="D1970" t="s">
        <v>1097</v>
      </c>
      <c r="E1970" t="s">
        <v>1314</v>
      </c>
      <c r="F1970">
        <v>3</v>
      </c>
      <c r="G1970">
        <v>195.31</v>
      </c>
      <c r="H1970">
        <v>0.13</v>
      </c>
      <c r="I1970" t="s">
        <v>1354</v>
      </c>
      <c r="J1970">
        <v>509.75909999999999</v>
      </c>
    </row>
    <row r="1971" spans="1:10">
      <c r="A1971" t="s">
        <v>3320</v>
      </c>
      <c r="B1971" s="1">
        <v>45793</v>
      </c>
      <c r="C1971" t="s">
        <v>345</v>
      </c>
      <c r="D1971" t="s">
        <v>1149</v>
      </c>
      <c r="E1971" t="s">
        <v>1307</v>
      </c>
      <c r="F1971">
        <v>1</v>
      </c>
      <c r="G1971">
        <v>91.38</v>
      </c>
      <c r="H1971">
        <v>0.14000000000000001</v>
      </c>
      <c r="I1971" t="s">
        <v>1349</v>
      </c>
      <c r="J1971">
        <v>78.586799999999997</v>
      </c>
    </row>
    <row r="1972" spans="1:10">
      <c r="A1972" t="s">
        <v>3321</v>
      </c>
      <c r="B1972" s="1">
        <v>45563</v>
      </c>
      <c r="C1972" t="s">
        <v>1028</v>
      </c>
      <c r="D1972" t="s">
        <v>1245</v>
      </c>
      <c r="E1972" t="s">
        <v>1317</v>
      </c>
      <c r="F1972">
        <v>2</v>
      </c>
      <c r="G1972">
        <v>494.35</v>
      </c>
      <c r="H1972">
        <v>0.1</v>
      </c>
      <c r="I1972" t="s">
        <v>1349</v>
      </c>
      <c r="J1972">
        <v>889.83</v>
      </c>
    </row>
    <row r="1973" spans="1:10">
      <c r="A1973" t="s">
        <v>3322</v>
      </c>
      <c r="B1973" s="1">
        <v>45577</v>
      </c>
      <c r="C1973" t="s">
        <v>573</v>
      </c>
      <c r="D1973" t="s">
        <v>1121</v>
      </c>
      <c r="E1973" t="s">
        <v>1314</v>
      </c>
      <c r="F1973">
        <v>1</v>
      </c>
      <c r="G1973">
        <v>412.2</v>
      </c>
      <c r="H1973">
        <v>0.11</v>
      </c>
      <c r="I1973" t="s">
        <v>1349</v>
      </c>
      <c r="J1973">
        <v>366.858</v>
      </c>
    </row>
    <row r="1974" spans="1:10">
      <c r="A1974" t="s">
        <v>3323</v>
      </c>
      <c r="B1974" s="1">
        <v>45466</v>
      </c>
      <c r="C1974" t="s">
        <v>851</v>
      </c>
      <c r="D1974" t="s">
        <v>1231</v>
      </c>
      <c r="E1974" t="s">
        <v>1329</v>
      </c>
      <c r="F1974">
        <v>1</v>
      </c>
      <c r="G1974">
        <v>650.47</v>
      </c>
      <c r="H1974">
        <v>0.13</v>
      </c>
      <c r="I1974" t="s">
        <v>1351</v>
      </c>
      <c r="J1974">
        <v>565.90890000000002</v>
      </c>
    </row>
    <row r="1975" spans="1:10">
      <c r="A1975" t="s">
        <v>3324</v>
      </c>
      <c r="B1975" s="1">
        <v>45256</v>
      </c>
      <c r="C1975" t="s">
        <v>371</v>
      </c>
      <c r="D1975" t="s">
        <v>1101</v>
      </c>
      <c r="E1975" t="s">
        <v>1319</v>
      </c>
      <c r="F1975">
        <v>1</v>
      </c>
      <c r="G1975">
        <v>68.209999999999994</v>
      </c>
      <c r="H1975">
        <v>0.05</v>
      </c>
      <c r="I1975" t="s">
        <v>1351</v>
      </c>
      <c r="J1975">
        <v>64.799499999999995</v>
      </c>
    </row>
    <row r="1976" spans="1:10">
      <c r="A1976" t="s">
        <v>3325</v>
      </c>
      <c r="B1976" s="1">
        <v>45886</v>
      </c>
      <c r="C1976" t="s">
        <v>331</v>
      </c>
      <c r="D1976" t="s">
        <v>1179</v>
      </c>
      <c r="E1976" t="s">
        <v>1304</v>
      </c>
      <c r="F1976">
        <v>2</v>
      </c>
      <c r="G1976">
        <v>842.89</v>
      </c>
      <c r="H1976">
        <v>0.25</v>
      </c>
      <c r="I1976" t="s">
        <v>1354</v>
      </c>
      <c r="J1976">
        <v>1264.335</v>
      </c>
    </row>
    <row r="1977" spans="1:10">
      <c r="A1977" t="s">
        <v>3326</v>
      </c>
      <c r="B1977" s="1">
        <v>45390</v>
      </c>
      <c r="C1977" t="s">
        <v>664</v>
      </c>
      <c r="D1977" t="s">
        <v>1080</v>
      </c>
      <c r="E1977" t="s">
        <v>1294</v>
      </c>
      <c r="F1977">
        <v>2</v>
      </c>
      <c r="G1977">
        <v>227.95</v>
      </c>
      <c r="H1977">
        <v>0.24</v>
      </c>
      <c r="I1977" t="s">
        <v>1354</v>
      </c>
      <c r="J1977">
        <v>346.48399999999998</v>
      </c>
    </row>
    <row r="1978" spans="1:10">
      <c r="A1978" t="s">
        <v>3327</v>
      </c>
      <c r="B1978" s="1">
        <v>45388</v>
      </c>
      <c r="C1978" t="s">
        <v>446</v>
      </c>
      <c r="D1978" t="s">
        <v>1205</v>
      </c>
      <c r="E1978" t="s">
        <v>1319</v>
      </c>
      <c r="F1978">
        <v>3</v>
      </c>
      <c r="G1978">
        <v>685.97</v>
      </c>
      <c r="H1978">
        <v>0.24</v>
      </c>
      <c r="I1978" t="s">
        <v>1351</v>
      </c>
      <c r="J1978">
        <v>1564.0116</v>
      </c>
    </row>
    <row r="1979" spans="1:10">
      <c r="A1979" t="s">
        <v>3328</v>
      </c>
      <c r="B1979" s="1">
        <v>45793</v>
      </c>
      <c r="C1979" t="s">
        <v>793</v>
      </c>
      <c r="D1979" t="s">
        <v>1131</v>
      </c>
      <c r="E1979" t="s">
        <v>1286</v>
      </c>
      <c r="F1979">
        <v>1</v>
      </c>
      <c r="G1979">
        <v>722.57</v>
      </c>
      <c r="H1979">
        <v>0.18</v>
      </c>
      <c r="I1979" t="s">
        <v>1349</v>
      </c>
      <c r="J1979">
        <v>592.50740000000008</v>
      </c>
    </row>
    <row r="1980" spans="1:10">
      <c r="A1980" t="s">
        <v>3329</v>
      </c>
      <c r="B1980" s="1">
        <v>45615</v>
      </c>
      <c r="C1980" t="s">
        <v>341</v>
      </c>
      <c r="D1980" t="s">
        <v>1143</v>
      </c>
      <c r="E1980" t="s">
        <v>1298</v>
      </c>
      <c r="F1980">
        <v>3</v>
      </c>
      <c r="G1980">
        <v>585.54999999999995</v>
      </c>
      <c r="H1980">
        <v>0.14000000000000001</v>
      </c>
      <c r="I1980" t="s">
        <v>1354</v>
      </c>
      <c r="J1980">
        <v>1510.7190000000001</v>
      </c>
    </row>
    <row r="1981" spans="1:10">
      <c r="A1981" t="s">
        <v>3330</v>
      </c>
      <c r="B1981" s="1">
        <v>45666</v>
      </c>
      <c r="C1981" t="s">
        <v>682</v>
      </c>
      <c r="D1981" t="s">
        <v>1165</v>
      </c>
      <c r="E1981" t="s">
        <v>1322</v>
      </c>
      <c r="F1981">
        <v>2</v>
      </c>
      <c r="G1981">
        <v>635.80999999999995</v>
      </c>
      <c r="H1981">
        <v>0.13</v>
      </c>
      <c r="I1981" t="s">
        <v>1351</v>
      </c>
      <c r="J1981">
        <v>1106.3094000000001</v>
      </c>
    </row>
    <row r="1982" spans="1:10">
      <c r="A1982" t="s">
        <v>3331</v>
      </c>
      <c r="B1982" s="1">
        <v>45644</v>
      </c>
      <c r="C1982" t="s">
        <v>618</v>
      </c>
      <c r="D1982" t="s">
        <v>1101</v>
      </c>
      <c r="E1982" t="s">
        <v>1294</v>
      </c>
      <c r="F1982">
        <v>2</v>
      </c>
      <c r="G1982">
        <v>353.74</v>
      </c>
      <c r="H1982">
        <v>0.01</v>
      </c>
      <c r="I1982" t="s">
        <v>1349</v>
      </c>
      <c r="J1982">
        <v>700.40520000000004</v>
      </c>
    </row>
    <row r="1983" spans="1:10">
      <c r="A1983" t="s">
        <v>3332</v>
      </c>
      <c r="B1983" s="1">
        <v>45648</v>
      </c>
      <c r="C1983" t="s">
        <v>591</v>
      </c>
      <c r="D1983" t="s">
        <v>1145</v>
      </c>
      <c r="E1983" t="s">
        <v>1304</v>
      </c>
      <c r="F1983">
        <v>1</v>
      </c>
      <c r="G1983">
        <v>377.52</v>
      </c>
      <c r="H1983">
        <v>0.15</v>
      </c>
      <c r="I1983" t="s">
        <v>1349</v>
      </c>
      <c r="J1983">
        <v>320.892</v>
      </c>
    </row>
    <row r="1984" spans="1:10">
      <c r="A1984" t="s">
        <v>3333</v>
      </c>
      <c r="B1984" s="1">
        <v>45500</v>
      </c>
      <c r="C1984" t="s">
        <v>472</v>
      </c>
      <c r="D1984" t="s">
        <v>1209</v>
      </c>
      <c r="E1984" t="s">
        <v>1286</v>
      </c>
      <c r="F1984">
        <v>3</v>
      </c>
      <c r="G1984">
        <v>901.49</v>
      </c>
      <c r="H1984">
        <v>0</v>
      </c>
      <c r="I1984" t="s">
        <v>1349</v>
      </c>
      <c r="J1984">
        <v>2704.47</v>
      </c>
    </row>
    <row r="1985" spans="1:10">
      <c r="A1985" t="s">
        <v>3334</v>
      </c>
      <c r="B1985" s="1">
        <v>45806</v>
      </c>
      <c r="C1985" t="s">
        <v>462</v>
      </c>
      <c r="D1985" t="s">
        <v>1133</v>
      </c>
      <c r="E1985" t="s">
        <v>1298</v>
      </c>
      <c r="F1985">
        <v>1</v>
      </c>
      <c r="G1985">
        <v>563.01</v>
      </c>
      <c r="H1985">
        <v>0.1</v>
      </c>
      <c r="I1985" t="s">
        <v>1349</v>
      </c>
      <c r="J1985">
        <v>506.709</v>
      </c>
    </row>
    <row r="1986" spans="1:10">
      <c r="A1986" t="s">
        <v>3335</v>
      </c>
      <c r="B1986" s="1">
        <v>45365</v>
      </c>
      <c r="C1986" t="s">
        <v>147</v>
      </c>
      <c r="D1986" t="s">
        <v>1213</v>
      </c>
      <c r="E1986" t="s">
        <v>1301</v>
      </c>
      <c r="F1986">
        <v>4</v>
      </c>
      <c r="G1986">
        <v>167.25</v>
      </c>
      <c r="H1986">
        <v>0.11</v>
      </c>
      <c r="I1986" t="s">
        <v>1349</v>
      </c>
      <c r="J1986">
        <v>595.41</v>
      </c>
    </row>
    <row r="1987" spans="1:10">
      <c r="A1987" t="s">
        <v>3336</v>
      </c>
      <c r="B1987" s="1">
        <v>45229</v>
      </c>
      <c r="C1987" t="s">
        <v>971</v>
      </c>
      <c r="D1987" t="s">
        <v>1193</v>
      </c>
      <c r="E1987" t="s">
        <v>1335</v>
      </c>
      <c r="F1987">
        <v>3</v>
      </c>
      <c r="G1987">
        <v>345.43</v>
      </c>
      <c r="H1987">
        <v>0.08</v>
      </c>
      <c r="I1987" t="s">
        <v>1354</v>
      </c>
      <c r="J1987">
        <v>953.38679999999999</v>
      </c>
    </row>
    <row r="1988" spans="1:10">
      <c r="A1988" t="s">
        <v>3337</v>
      </c>
      <c r="B1988" s="1">
        <v>45349</v>
      </c>
      <c r="C1988" t="s">
        <v>680</v>
      </c>
      <c r="D1988" t="s">
        <v>1237</v>
      </c>
      <c r="E1988" t="s">
        <v>1311</v>
      </c>
      <c r="F1988">
        <v>4</v>
      </c>
      <c r="G1988">
        <v>752.48</v>
      </c>
      <c r="H1988">
        <v>0.23</v>
      </c>
      <c r="I1988" t="s">
        <v>1349</v>
      </c>
      <c r="J1988">
        <v>2317.6383999999998</v>
      </c>
    </row>
    <row r="1989" spans="1:10">
      <c r="A1989" t="s">
        <v>3338</v>
      </c>
      <c r="B1989" s="1">
        <v>45886</v>
      </c>
      <c r="C1989" t="s">
        <v>961</v>
      </c>
      <c r="D1989" t="s">
        <v>1187</v>
      </c>
      <c r="E1989" t="s">
        <v>1338</v>
      </c>
      <c r="F1989">
        <v>1</v>
      </c>
      <c r="G1989">
        <v>120.02</v>
      </c>
      <c r="H1989">
        <v>0.26</v>
      </c>
      <c r="I1989" t="s">
        <v>1349</v>
      </c>
      <c r="J1989">
        <v>88.814799999999991</v>
      </c>
    </row>
    <row r="1990" spans="1:10">
      <c r="A1990" t="s">
        <v>3339</v>
      </c>
      <c r="B1990" s="1">
        <v>45359</v>
      </c>
      <c r="C1990" t="s">
        <v>710</v>
      </c>
      <c r="D1990" t="s">
        <v>1155</v>
      </c>
      <c r="E1990" t="s">
        <v>1307</v>
      </c>
      <c r="F1990">
        <v>3</v>
      </c>
      <c r="G1990">
        <v>146.71</v>
      </c>
      <c r="H1990">
        <v>0.28000000000000003</v>
      </c>
      <c r="I1990" t="s">
        <v>1349</v>
      </c>
      <c r="J1990">
        <v>316.89359999999999</v>
      </c>
    </row>
    <row r="1991" spans="1:10">
      <c r="A1991" t="s">
        <v>3340</v>
      </c>
      <c r="B1991" s="1">
        <v>45730</v>
      </c>
      <c r="C1991" t="s">
        <v>218</v>
      </c>
      <c r="D1991" t="s">
        <v>1201</v>
      </c>
      <c r="E1991" t="s">
        <v>1277</v>
      </c>
      <c r="F1991">
        <v>2</v>
      </c>
      <c r="G1991">
        <v>358.87</v>
      </c>
      <c r="H1991">
        <v>0.24</v>
      </c>
      <c r="I1991" t="s">
        <v>1349</v>
      </c>
      <c r="J1991">
        <v>545.48239999999998</v>
      </c>
    </row>
    <row r="1992" spans="1:10">
      <c r="A1992" t="s">
        <v>3341</v>
      </c>
      <c r="B1992" s="1">
        <v>45456</v>
      </c>
      <c r="C1992" t="s">
        <v>545</v>
      </c>
      <c r="D1992" t="s">
        <v>1177</v>
      </c>
      <c r="E1992" t="s">
        <v>1291</v>
      </c>
      <c r="F1992">
        <v>4</v>
      </c>
      <c r="G1992">
        <v>212.75</v>
      </c>
      <c r="H1992">
        <v>0.11</v>
      </c>
      <c r="I1992" t="s">
        <v>1354</v>
      </c>
      <c r="J1992">
        <v>757.39</v>
      </c>
    </row>
    <row r="1993" spans="1:10">
      <c r="A1993" t="s">
        <v>3342</v>
      </c>
      <c r="B1993" s="1">
        <v>45450</v>
      </c>
      <c r="C1993" t="s">
        <v>718</v>
      </c>
      <c r="D1993" t="s">
        <v>1163</v>
      </c>
      <c r="E1993" t="s">
        <v>1317</v>
      </c>
      <c r="F1993">
        <v>1</v>
      </c>
      <c r="G1993">
        <v>183.47</v>
      </c>
      <c r="H1993">
        <v>0.17</v>
      </c>
      <c r="I1993" t="s">
        <v>1351</v>
      </c>
      <c r="J1993">
        <v>152.2801</v>
      </c>
    </row>
    <row r="1994" spans="1:10">
      <c r="A1994" t="s">
        <v>3343</v>
      </c>
      <c r="B1994" s="1">
        <v>45493</v>
      </c>
      <c r="C1994" t="s">
        <v>185</v>
      </c>
      <c r="D1994" t="s">
        <v>1251</v>
      </c>
      <c r="E1994" t="s">
        <v>1326</v>
      </c>
      <c r="F1994">
        <v>4</v>
      </c>
      <c r="G1994">
        <v>569.98</v>
      </c>
      <c r="H1994">
        <v>0.23</v>
      </c>
      <c r="I1994" t="s">
        <v>1349</v>
      </c>
      <c r="J1994">
        <v>1755.5383999999999</v>
      </c>
    </row>
    <row r="1995" spans="1:10">
      <c r="A1995" t="s">
        <v>3344</v>
      </c>
      <c r="B1995" s="1">
        <v>45274</v>
      </c>
      <c r="C1995" t="s">
        <v>1006</v>
      </c>
      <c r="D1995" t="s">
        <v>1115</v>
      </c>
      <c r="E1995" t="s">
        <v>1319</v>
      </c>
      <c r="F1995">
        <v>3</v>
      </c>
      <c r="G1995">
        <v>984.12</v>
      </c>
      <c r="H1995">
        <v>0.27</v>
      </c>
      <c r="I1995" t="s">
        <v>1349</v>
      </c>
      <c r="J1995">
        <v>2155.2228</v>
      </c>
    </row>
    <row r="1996" spans="1:10">
      <c r="A1996" t="s">
        <v>3345</v>
      </c>
      <c r="B1996" s="1">
        <v>45844</v>
      </c>
      <c r="C1996" t="s">
        <v>1008</v>
      </c>
      <c r="D1996" t="s">
        <v>1241</v>
      </c>
      <c r="E1996" t="s">
        <v>1307</v>
      </c>
      <c r="F1996">
        <v>1</v>
      </c>
      <c r="G1996">
        <v>905.23</v>
      </c>
      <c r="H1996">
        <v>0</v>
      </c>
      <c r="I1996" t="s">
        <v>1349</v>
      </c>
      <c r="J1996">
        <v>905.23</v>
      </c>
    </row>
    <row r="1997" spans="1:10">
      <c r="A1997" t="s">
        <v>3346</v>
      </c>
      <c r="B1997" s="1">
        <v>45264</v>
      </c>
      <c r="C1997" t="s">
        <v>434</v>
      </c>
      <c r="D1997" t="s">
        <v>1271</v>
      </c>
      <c r="E1997" t="s">
        <v>1338</v>
      </c>
      <c r="F1997">
        <v>3</v>
      </c>
      <c r="G1997">
        <v>112.77</v>
      </c>
      <c r="H1997">
        <v>0.19</v>
      </c>
      <c r="I1997" t="s">
        <v>1349</v>
      </c>
      <c r="J1997">
        <v>274.03109999999998</v>
      </c>
    </row>
    <row r="1998" spans="1:10">
      <c r="A1998" t="s">
        <v>3347</v>
      </c>
      <c r="B1998" s="1">
        <v>45773</v>
      </c>
      <c r="C1998" t="s">
        <v>383</v>
      </c>
      <c r="D1998" t="s">
        <v>1143</v>
      </c>
      <c r="E1998" t="s">
        <v>1307</v>
      </c>
      <c r="F1998">
        <v>3</v>
      </c>
      <c r="G1998">
        <v>875.99</v>
      </c>
      <c r="H1998">
        <v>0.09</v>
      </c>
      <c r="I1998" t="s">
        <v>1351</v>
      </c>
      <c r="J1998">
        <v>2391.4526999999998</v>
      </c>
    </row>
    <row r="1999" spans="1:10">
      <c r="A1999" t="s">
        <v>3348</v>
      </c>
      <c r="B1999" s="1">
        <v>45460</v>
      </c>
      <c r="C1999" t="s">
        <v>317</v>
      </c>
      <c r="D1999" t="s">
        <v>1251</v>
      </c>
      <c r="E1999" t="s">
        <v>1314</v>
      </c>
      <c r="F1999">
        <v>2</v>
      </c>
      <c r="G1999">
        <v>685.31</v>
      </c>
      <c r="H1999">
        <v>0.26</v>
      </c>
      <c r="I1999" t="s">
        <v>1351</v>
      </c>
      <c r="J1999">
        <v>1014.2588</v>
      </c>
    </row>
    <row r="2000" spans="1:10">
      <c r="A2000" t="s">
        <v>3349</v>
      </c>
      <c r="B2000" s="1">
        <v>45607</v>
      </c>
      <c r="C2000" t="s">
        <v>147</v>
      </c>
      <c r="D2000" t="s">
        <v>1195</v>
      </c>
      <c r="E2000" t="s">
        <v>1317</v>
      </c>
      <c r="F2000">
        <v>3</v>
      </c>
      <c r="G2000">
        <v>945.37</v>
      </c>
      <c r="H2000">
        <v>0.05</v>
      </c>
      <c r="I2000" t="s">
        <v>1349</v>
      </c>
      <c r="J2000">
        <v>2694.3045000000002</v>
      </c>
    </row>
    <row r="2001" spans="1:10">
      <c r="A2001" t="s">
        <v>3350</v>
      </c>
      <c r="B2001" s="1">
        <v>45267</v>
      </c>
      <c r="C2001" t="s">
        <v>77</v>
      </c>
      <c r="D2001" t="s">
        <v>1225</v>
      </c>
      <c r="E2001" t="s">
        <v>1338</v>
      </c>
      <c r="F2001">
        <v>3</v>
      </c>
      <c r="G2001">
        <v>68.45</v>
      </c>
      <c r="H2001">
        <v>0.17</v>
      </c>
      <c r="I2001" t="s">
        <v>1351</v>
      </c>
      <c r="J2001">
        <v>170.44049999999999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9F66-4CC7-4E11-9981-641FEE67CB1A}">
  <dimension ref="A1:I501"/>
  <sheetViews>
    <sheetView workbookViewId="0">
      <selection activeCell="D2" sqref="D2"/>
    </sheetView>
  </sheetViews>
  <sheetFormatPr defaultRowHeight="14.5"/>
  <cols>
    <col min="1" max="1" width="14.36328125" customWidth="1"/>
    <col min="2" max="3" width="17.36328125" customWidth="1"/>
    <col min="4" max="4" width="5.90625" customWidth="1"/>
    <col min="5" max="5" width="9" customWidth="1"/>
    <col min="6" max="6" width="16" customWidth="1"/>
    <col min="7" max="7" width="9.54296875" customWidth="1"/>
    <col min="8" max="8" width="12.90625" customWidth="1"/>
    <col min="9" max="9" width="13.90625" customWidth="1"/>
  </cols>
  <sheetData>
    <row r="1" spans="1:9">
      <c r="A1" s="2" t="s">
        <v>0</v>
      </c>
      <c r="B1" s="2" t="s">
        <v>1</v>
      </c>
      <c r="C1" s="2" t="s">
        <v>3487</v>
      </c>
      <c r="D1" s="2" t="s">
        <v>2</v>
      </c>
      <c r="E1" s="2" t="s">
        <v>3</v>
      </c>
      <c r="F1" s="2" t="s">
        <v>5</v>
      </c>
      <c r="G1" s="2" t="s">
        <v>6</v>
      </c>
      <c r="H1" s="3" t="s">
        <v>3488</v>
      </c>
      <c r="I1" s="3" t="s">
        <v>7</v>
      </c>
    </row>
    <row r="2" spans="1:9">
      <c r="A2" t="s">
        <v>8</v>
      </c>
      <c r="B2" t="s">
        <v>3359</v>
      </c>
      <c r="C2" t="str">
        <f t="shared" ref="C2:C65" si="0">PROPER(TRIM(B2))</f>
        <v>Sheena Bonilla</v>
      </c>
      <c r="D2">
        <v>55</v>
      </c>
      <c r="E2" t="s">
        <v>9</v>
      </c>
      <c r="F2" t="s">
        <v>10</v>
      </c>
      <c r="G2" t="s">
        <v>11</v>
      </c>
      <c r="H2" t="str">
        <f>IF(ISBLANK(Table2[[#This Row],[Loyalty_Level]]),"Unknown",I2)</f>
        <v>Unknown</v>
      </c>
    </row>
    <row r="3" spans="1:9">
      <c r="A3" t="s">
        <v>13</v>
      </c>
      <c r="B3" t="s">
        <v>14</v>
      </c>
      <c r="C3" t="str">
        <f t="shared" si="0"/>
        <v>Eugene Nelson</v>
      </c>
      <c r="D3">
        <v>26</v>
      </c>
      <c r="E3" t="s">
        <v>15</v>
      </c>
      <c r="F3" t="s">
        <v>16</v>
      </c>
      <c r="G3" t="s">
        <v>11</v>
      </c>
      <c r="H3" t="str">
        <f>IF(ISBLANK(Table2[[#This Row],[Loyalty_Level]]),"Unknown",I3)</f>
        <v>Platinum</v>
      </c>
      <c r="I3" t="s">
        <v>17</v>
      </c>
    </row>
    <row r="4" spans="1:9">
      <c r="A4" t="s">
        <v>18</v>
      </c>
      <c r="B4" t="s">
        <v>3358</v>
      </c>
      <c r="C4" t="str">
        <f t="shared" si="0"/>
        <v>Dr. Benjamin Price</v>
      </c>
      <c r="D4">
        <v>29</v>
      </c>
      <c r="E4" t="s">
        <v>15</v>
      </c>
      <c r="F4" t="s">
        <v>19</v>
      </c>
      <c r="G4" t="s">
        <v>11</v>
      </c>
      <c r="H4" t="str">
        <f>IF(ISBLANK(Table2[[#This Row],[Loyalty_Level]]),"Unknown",I4)</f>
        <v>Platinum</v>
      </c>
      <c r="I4" t="s">
        <v>17</v>
      </c>
    </row>
    <row r="5" spans="1:9">
      <c r="A5" t="s">
        <v>20</v>
      </c>
      <c r="B5" t="s">
        <v>3360</v>
      </c>
      <c r="C5" t="str">
        <f t="shared" si="0"/>
        <v>Jeremy Harris</v>
      </c>
      <c r="D5">
        <v>59</v>
      </c>
      <c r="E5" t="s">
        <v>15</v>
      </c>
      <c r="F5" t="s">
        <v>21</v>
      </c>
      <c r="G5" t="s">
        <v>11</v>
      </c>
      <c r="H5" t="str">
        <f>IF(ISBLANK(Table2[[#This Row],[Loyalty_Level]]),"Unknown",I5)</f>
        <v>Bronze</v>
      </c>
      <c r="I5" t="s">
        <v>22</v>
      </c>
    </row>
    <row r="6" spans="1:9">
      <c r="A6" t="s">
        <v>23</v>
      </c>
      <c r="B6" t="s">
        <v>24</v>
      </c>
      <c r="C6" t="str">
        <f t="shared" si="0"/>
        <v>Caroline Collins</v>
      </c>
      <c r="D6">
        <v>64</v>
      </c>
      <c r="E6" t="s">
        <v>15</v>
      </c>
      <c r="F6" t="s">
        <v>25</v>
      </c>
      <c r="G6" t="s">
        <v>11</v>
      </c>
      <c r="H6" t="str">
        <f>IF(ISBLANK(Table2[[#This Row],[Loyalty_Level]]),"Unknown",I6)</f>
        <v>Silver</v>
      </c>
      <c r="I6" t="s">
        <v>26</v>
      </c>
    </row>
    <row r="7" spans="1:9">
      <c r="A7" t="s">
        <v>27</v>
      </c>
      <c r="B7" t="s">
        <v>28</v>
      </c>
      <c r="C7" t="str">
        <f t="shared" si="0"/>
        <v>Christine Vaughn</v>
      </c>
      <c r="D7">
        <v>24</v>
      </c>
      <c r="E7" t="s">
        <v>9</v>
      </c>
      <c r="F7" t="s">
        <v>29</v>
      </c>
      <c r="G7" t="s">
        <v>11</v>
      </c>
      <c r="H7" t="str">
        <f>IF(ISBLANK(Table2[[#This Row],[Loyalty_Level]]),"Unknown",I7)</f>
        <v>Bronze</v>
      </c>
      <c r="I7" t="s">
        <v>22</v>
      </c>
    </row>
    <row r="8" spans="1:9">
      <c r="A8" t="s">
        <v>30</v>
      </c>
      <c r="B8" t="s">
        <v>31</v>
      </c>
      <c r="C8" t="str">
        <f t="shared" si="0"/>
        <v>Amber Jackson</v>
      </c>
      <c r="D8">
        <v>29</v>
      </c>
      <c r="E8" t="s">
        <v>15</v>
      </c>
      <c r="F8" t="s">
        <v>32</v>
      </c>
      <c r="G8" t="s">
        <v>11</v>
      </c>
      <c r="H8" t="str">
        <f>IF(ISBLANK(Table2[[#This Row],[Loyalty_Level]]),"Unknown",I8)</f>
        <v>Platinum</v>
      </c>
      <c r="I8" t="s">
        <v>17</v>
      </c>
    </row>
    <row r="9" spans="1:9">
      <c r="A9" t="s">
        <v>33</v>
      </c>
      <c r="B9" t="s">
        <v>34</v>
      </c>
      <c r="C9" t="str">
        <f t="shared" si="0"/>
        <v>Daniel Boyd</v>
      </c>
      <c r="D9">
        <v>29</v>
      </c>
      <c r="E9" t="s">
        <v>15</v>
      </c>
      <c r="F9" t="s">
        <v>35</v>
      </c>
      <c r="G9" t="s">
        <v>11</v>
      </c>
      <c r="H9" t="str">
        <f>IF(ISBLANK(Table2[[#This Row],[Loyalty_Level]]),"Unknown",I9)</f>
        <v>Bronze</v>
      </c>
      <c r="I9" t="s">
        <v>22</v>
      </c>
    </row>
    <row r="10" spans="1:9">
      <c r="A10" t="s">
        <v>36</v>
      </c>
      <c r="B10" t="s">
        <v>37</v>
      </c>
      <c r="C10" t="str">
        <f t="shared" si="0"/>
        <v>Melissa Howard</v>
      </c>
      <c r="D10">
        <v>53</v>
      </c>
      <c r="E10" t="s">
        <v>15</v>
      </c>
      <c r="F10" t="s">
        <v>38</v>
      </c>
      <c r="G10" t="s">
        <v>11</v>
      </c>
      <c r="H10" t="str">
        <f>IF(ISBLANK(Table2[[#This Row],[Loyalty_Level]]),"Unknown",I10)</f>
        <v>Gold</v>
      </c>
      <c r="I10" t="s">
        <v>12</v>
      </c>
    </row>
    <row r="11" spans="1:9">
      <c r="A11" t="s">
        <v>39</v>
      </c>
      <c r="B11" t="s">
        <v>40</v>
      </c>
      <c r="C11" t="str">
        <f t="shared" si="0"/>
        <v>Ms. Maria Leach</v>
      </c>
      <c r="D11">
        <v>64</v>
      </c>
      <c r="E11" t="s">
        <v>9</v>
      </c>
      <c r="F11" t="s">
        <v>41</v>
      </c>
      <c r="G11" t="s">
        <v>11</v>
      </c>
      <c r="H11" t="str">
        <f>IF(ISBLANK(Table2[[#This Row],[Loyalty_Level]]),"Unknown",I11)</f>
        <v>Platinum</v>
      </c>
      <c r="I11" t="s">
        <v>17</v>
      </c>
    </row>
    <row r="12" spans="1:9">
      <c r="A12" t="s">
        <v>42</v>
      </c>
      <c r="B12" t="s">
        <v>43</v>
      </c>
      <c r="C12" t="str">
        <f t="shared" si="0"/>
        <v>Dominic Page</v>
      </c>
      <c r="D12">
        <v>53</v>
      </c>
      <c r="E12" t="s">
        <v>9</v>
      </c>
      <c r="F12" t="s">
        <v>41</v>
      </c>
      <c r="G12" t="s">
        <v>11</v>
      </c>
      <c r="H12" t="str">
        <f>IF(ISBLANK(Table2[[#This Row],[Loyalty_Level]]),"Unknown",I12)</f>
        <v>Bronze</v>
      </c>
      <c r="I12" t="s">
        <v>22</v>
      </c>
    </row>
    <row r="13" spans="1:9">
      <c r="A13" t="s">
        <v>44</v>
      </c>
      <c r="B13" t="s">
        <v>45</v>
      </c>
      <c r="C13" t="str">
        <f t="shared" si="0"/>
        <v>Brian Lopez</v>
      </c>
      <c r="D13">
        <v>28</v>
      </c>
      <c r="E13" t="s">
        <v>15</v>
      </c>
      <c r="F13" t="s">
        <v>46</v>
      </c>
      <c r="G13" t="s">
        <v>11</v>
      </c>
      <c r="H13" t="str">
        <f>IF(ISBLANK(Table2[[#This Row],[Loyalty_Level]]),"Unknown",I13)</f>
        <v>Gold</v>
      </c>
      <c r="I13" t="s">
        <v>12</v>
      </c>
    </row>
    <row r="14" spans="1:9">
      <c r="A14" t="s">
        <v>47</v>
      </c>
      <c r="B14" t="s">
        <v>48</v>
      </c>
      <c r="C14" t="str">
        <f t="shared" si="0"/>
        <v>Kenneth Lambert</v>
      </c>
      <c r="D14">
        <v>55</v>
      </c>
      <c r="E14" t="s">
        <v>15</v>
      </c>
      <c r="F14" t="s">
        <v>49</v>
      </c>
      <c r="G14" t="s">
        <v>11</v>
      </c>
      <c r="H14" t="str">
        <f>IF(ISBLANK(Table2[[#This Row],[Loyalty_Level]]),"Unknown",I14)</f>
        <v>Platinum</v>
      </c>
      <c r="I14" t="s">
        <v>17</v>
      </c>
    </row>
    <row r="15" spans="1:9">
      <c r="A15" t="s">
        <v>50</v>
      </c>
      <c r="B15" t="s">
        <v>51</v>
      </c>
      <c r="C15" t="str">
        <f t="shared" si="0"/>
        <v>Nathan Hernandez</v>
      </c>
      <c r="D15">
        <v>32</v>
      </c>
      <c r="E15" t="s">
        <v>15</v>
      </c>
      <c r="F15" t="s">
        <v>52</v>
      </c>
      <c r="G15" t="s">
        <v>11</v>
      </c>
      <c r="H15" t="str">
        <f>IF(ISBLANK(Table2[[#This Row],[Loyalty_Level]]),"Unknown",I15)</f>
        <v>Silver</v>
      </c>
      <c r="I15" t="s">
        <v>26</v>
      </c>
    </row>
    <row r="16" spans="1:9">
      <c r="A16" t="s">
        <v>53</v>
      </c>
      <c r="B16" t="s">
        <v>54</v>
      </c>
      <c r="C16" t="str">
        <f t="shared" si="0"/>
        <v>Ashley Cohen</v>
      </c>
      <c r="D16">
        <v>53</v>
      </c>
      <c r="E16" t="s">
        <v>15</v>
      </c>
      <c r="F16" t="s">
        <v>55</v>
      </c>
      <c r="G16" t="s">
        <v>11</v>
      </c>
      <c r="H16" t="str">
        <f>IF(ISBLANK(Table2[[#This Row],[Loyalty_Level]]),"Unknown",I16)</f>
        <v>Silver</v>
      </c>
      <c r="I16" t="s">
        <v>26</v>
      </c>
    </row>
    <row r="17" spans="1:9">
      <c r="A17" t="s">
        <v>56</v>
      </c>
      <c r="B17" t="s">
        <v>57</v>
      </c>
      <c r="C17" t="str">
        <f t="shared" si="0"/>
        <v>Laura Alvarez</v>
      </c>
      <c r="D17">
        <v>49</v>
      </c>
      <c r="E17" t="s">
        <v>15</v>
      </c>
      <c r="F17" t="s">
        <v>58</v>
      </c>
      <c r="G17" t="s">
        <v>11</v>
      </c>
      <c r="H17" t="str">
        <f>IF(ISBLANK(Table2[[#This Row],[Loyalty_Level]]),"Unknown",I17)</f>
        <v>Platinum</v>
      </c>
      <c r="I17" t="s">
        <v>17</v>
      </c>
    </row>
    <row r="18" spans="1:9">
      <c r="A18" t="s">
        <v>59</v>
      </c>
      <c r="B18" t="s">
        <v>60</v>
      </c>
      <c r="C18" t="str">
        <f t="shared" si="0"/>
        <v>John Scott</v>
      </c>
      <c r="D18">
        <v>24</v>
      </c>
      <c r="E18" t="s">
        <v>15</v>
      </c>
      <c r="F18" t="s">
        <v>41</v>
      </c>
      <c r="G18" t="s">
        <v>11</v>
      </c>
      <c r="H18" t="str">
        <f>IF(ISBLANK(Table2[[#This Row],[Loyalty_Level]]),"Unknown",I18)</f>
        <v>Bronze</v>
      </c>
      <c r="I18" t="s">
        <v>22</v>
      </c>
    </row>
    <row r="19" spans="1:9">
      <c r="A19" t="s">
        <v>61</v>
      </c>
      <c r="B19" t="s">
        <v>62</v>
      </c>
      <c r="C19" t="str">
        <f t="shared" si="0"/>
        <v>Adam Cruz</v>
      </c>
      <c r="D19">
        <v>60</v>
      </c>
      <c r="E19" t="s">
        <v>15</v>
      </c>
      <c r="F19" t="s">
        <v>63</v>
      </c>
      <c r="G19" t="s">
        <v>11</v>
      </c>
      <c r="H19" t="str">
        <f>IF(ISBLANK(Table2[[#This Row],[Loyalty_Level]]),"Unknown",I19)</f>
        <v>Platinum</v>
      </c>
      <c r="I19" t="s">
        <v>17</v>
      </c>
    </row>
    <row r="20" spans="1:9">
      <c r="A20" t="s">
        <v>64</v>
      </c>
      <c r="B20" t="s">
        <v>65</v>
      </c>
      <c r="C20" t="str">
        <f t="shared" si="0"/>
        <v>Rhonda Moss</v>
      </c>
      <c r="D20">
        <v>43</v>
      </c>
      <c r="E20" t="s">
        <v>9</v>
      </c>
      <c r="F20" t="s">
        <v>49</v>
      </c>
      <c r="G20" t="s">
        <v>11</v>
      </c>
      <c r="H20" t="str">
        <f>IF(ISBLANK(Table2[[#This Row],[Loyalty_Level]]),"Unknown",I20)</f>
        <v>Unknown</v>
      </c>
    </row>
    <row r="21" spans="1:9">
      <c r="A21" t="s">
        <v>66</v>
      </c>
      <c r="B21" t="s">
        <v>67</v>
      </c>
      <c r="C21" t="str">
        <f t="shared" si="0"/>
        <v>Michael Torres</v>
      </c>
      <c r="D21">
        <v>46</v>
      </c>
      <c r="E21" t="s">
        <v>15</v>
      </c>
      <c r="F21" t="s">
        <v>68</v>
      </c>
      <c r="G21" t="s">
        <v>11</v>
      </c>
      <c r="H21" t="str">
        <f>IF(ISBLANK(Table2[[#This Row],[Loyalty_Level]]),"Unknown",I21)</f>
        <v>Platinum</v>
      </c>
      <c r="I21" t="s">
        <v>17</v>
      </c>
    </row>
    <row r="22" spans="1:9">
      <c r="A22" t="s">
        <v>69</v>
      </c>
      <c r="B22" t="s">
        <v>70</v>
      </c>
      <c r="C22" t="str">
        <f t="shared" si="0"/>
        <v>Bridget Allen</v>
      </c>
      <c r="D22">
        <v>59</v>
      </c>
      <c r="E22" t="s">
        <v>9</v>
      </c>
      <c r="F22" t="s">
        <v>71</v>
      </c>
      <c r="G22" t="s">
        <v>11</v>
      </c>
      <c r="H22" t="str">
        <f>IF(ISBLANK(Table2[[#This Row],[Loyalty_Level]]),"Unknown",I22)</f>
        <v>Silver</v>
      </c>
      <c r="I22" t="s">
        <v>26</v>
      </c>
    </row>
    <row r="23" spans="1:9">
      <c r="A23" t="s">
        <v>72</v>
      </c>
      <c r="B23" t="s">
        <v>73</v>
      </c>
      <c r="C23" t="str">
        <f t="shared" si="0"/>
        <v>Jeff Martinez</v>
      </c>
      <c r="D23">
        <v>36</v>
      </c>
      <c r="E23" t="s">
        <v>15</v>
      </c>
      <c r="F23" t="s">
        <v>74</v>
      </c>
      <c r="G23" t="s">
        <v>11</v>
      </c>
      <c r="H23" t="str">
        <f>IF(ISBLANK(Table2[[#This Row],[Loyalty_Level]]),"Unknown",I23)</f>
        <v>Gold</v>
      </c>
      <c r="I23" t="s">
        <v>12</v>
      </c>
    </row>
    <row r="24" spans="1:9">
      <c r="A24" t="s">
        <v>75</v>
      </c>
      <c r="B24" t="s">
        <v>3361</v>
      </c>
      <c r="C24" t="str">
        <f t="shared" si="0"/>
        <v>Paul Fox</v>
      </c>
      <c r="D24">
        <v>33</v>
      </c>
      <c r="E24" t="s">
        <v>15</v>
      </c>
      <c r="F24" t="s">
        <v>76</v>
      </c>
      <c r="G24" t="s">
        <v>11</v>
      </c>
      <c r="H24" t="str">
        <f>IF(ISBLANK(Table2[[#This Row],[Loyalty_Level]]),"Unknown",I24)</f>
        <v>Silver</v>
      </c>
      <c r="I24" t="s">
        <v>26</v>
      </c>
    </row>
    <row r="25" spans="1:9">
      <c r="A25" t="s">
        <v>77</v>
      </c>
      <c r="B25" t="s">
        <v>78</v>
      </c>
      <c r="C25" t="str">
        <f t="shared" si="0"/>
        <v>Jonathan Steele</v>
      </c>
      <c r="D25">
        <v>52</v>
      </c>
      <c r="E25" t="s">
        <v>15</v>
      </c>
      <c r="F25" t="s">
        <v>29</v>
      </c>
      <c r="G25" t="s">
        <v>11</v>
      </c>
      <c r="H25" t="str">
        <f>IF(ISBLANK(Table2[[#This Row],[Loyalty_Level]]),"Unknown",I25)</f>
        <v>Silver</v>
      </c>
      <c r="I25" t="s">
        <v>26</v>
      </c>
    </row>
    <row r="26" spans="1:9">
      <c r="A26" t="s">
        <v>79</v>
      </c>
      <c r="B26" t="s">
        <v>80</v>
      </c>
      <c r="C26" t="str">
        <f t="shared" si="0"/>
        <v>Heather Collins</v>
      </c>
      <c r="D26">
        <v>40</v>
      </c>
      <c r="E26" t="s">
        <v>9</v>
      </c>
      <c r="F26" t="s">
        <v>81</v>
      </c>
      <c r="G26" t="s">
        <v>11</v>
      </c>
      <c r="H26" t="str">
        <f>IF(ISBLANK(Table2[[#This Row],[Loyalty_Level]]),"Unknown",I26)</f>
        <v>Platinum</v>
      </c>
      <c r="I26" t="s">
        <v>17</v>
      </c>
    </row>
    <row r="27" spans="1:9">
      <c r="A27" t="s">
        <v>82</v>
      </c>
      <c r="B27" t="s">
        <v>83</v>
      </c>
      <c r="C27" t="str">
        <f t="shared" si="0"/>
        <v>Diana Taylor</v>
      </c>
      <c r="D27">
        <v>59</v>
      </c>
      <c r="E27" t="s">
        <v>15</v>
      </c>
      <c r="F27" t="s">
        <v>25</v>
      </c>
      <c r="G27" t="s">
        <v>11</v>
      </c>
      <c r="H27" t="str">
        <f>IF(ISBLANK(Table2[[#This Row],[Loyalty_Level]]),"Unknown",I27)</f>
        <v>Bronze</v>
      </c>
      <c r="I27" t="s">
        <v>22</v>
      </c>
    </row>
    <row r="28" spans="1:9">
      <c r="A28" t="s">
        <v>84</v>
      </c>
      <c r="B28" t="s">
        <v>85</v>
      </c>
      <c r="C28" t="str">
        <f t="shared" si="0"/>
        <v>Amber Carlson</v>
      </c>
      <c r="D28">
        <v>18</v>
      </c>
      <c r="E28" t="s">
        <v>15</v>
      </c>
      <c r="F28" t="s">
        <v>86</v>
      </c>
      <c r="G28" t="s">
        <v>11</v>
      </c>
      <c r="H28" t="str">
        <f>IF(ISBLANK(Table2[[#This Row],[Loyalty_Level]]),"Unknown",I28)</f>
        <v>Gold</v>
      </c>
      <c r="I28" t="s">
        <v>12</v>
      </c>
    </row>
    <row r="29" spans="1:9">
      <c r="A29" t="s">
        <v>87</v>
      </c>
      <c r="B29" t="s">
        <v>88</v>
      </c>
      <c r="C29" t="str">
        <f t="shared" si="0"/>
        <v>Leslie Johnson</v>
      </c>
      <c r="D29">
        <v>31</v>
      </c>
      <c r="E29" t="s">
        <v>9</v>
      </c>
      <c r="F29" t="s">
        <v>89</v>
      </c>
      <c r="G29" t="s">
        <v>11</v>
      </c>
      <c r="H29" t="str">
        <f>IF(ISBLANK(Table2[[#This Row],[Loyalty_Level]]),"Unknown",I29)</f>
        <v>Unknown</v>
      </c>
    </row>
    <row r="30" spans="1:9">
      <c r="A30" t="s">
        <v>90</v>
      </c>
      <c r="B30" t="s">
        <v>91</v>
      </c>
      <c r="C30" t="str">
        <f t="shared" si="0"/>
        <v>Joshua Ryan</v>
      </c>
      <c r="D30">
        <v>27</v>
      </c>
      <c r="E30" t="s">
        <v>15</v>
      </c>
      <c r="F30" t="s">
        <v>68</v>
      </c>
      <c r="G30" t="s">
        <v>11</v>
      </c>
      <c r="H30" t="str">
        <f>IF(ISBLANK(Table2[[#This Row],[Loyalty_Level]]),"Unknown",I30)</f>
        <v>Platinum</v>
      </c>
      <c r="I30" t="s">
        <v>17</v>
      </c>
    </row>
    <row r="31" spans="1:9">
      <c r="A31" t="s">
        <v>92</v>
      </c>
      <c r="B31" t="s">
        <v>93</v>
      </c>
      <c r="C31" t="str">
        <f t="shared" si="0"/>
        <v>David Arnold</v>
      </c>
      <c r="D31">
        <v>54</v>
      </c>
      <c r="E31" t="s">
        <v>15</v>
      </c>
      <c r="F31" t="s">
        <v>25</v>
      </c>
      <c r="G31" t="s">
        <v>11</v>
      </c>
      <c r="H31" t="str">
        <f>IF(ISBLANK(Table2[[#This Row],[Loyalty_Level]]),"Unknown",I31)</f>
        <v>Silver</v>
      </c>
      <c r="I31" t="s">
        <v>26</v>
      </c>
    </row>
    <row r="32" spans="1:9">
      <c r="A32" t="s">
        <v>94</v>
      </c>
      <c r="B32" t="s">
        <v>95</v>
      </c>
      <c r="C32" t="str">
        <f t="shared" si="0"/>
        <v>Jessica Acevedo</v>
      </c>
      <c r="D32">
        <v>64</v>
      </c>
      <c r="E32" t="s">
        <v>15</v>
      </c>
      <c r="F32" t="s">
        <v>41</v>
      </c>
      <c r="G32" t="s">
        <v>11</v>
      </c>
      <c r="H32" t="str">
        <f>IF(ISBLANK(Table2[[#This Row],[Loyalty_Level]]),"Unknown",I32)</f>
        <v>Bronze</v>
      </c>
      <c r="I32" t="s">
        <v>22</v>
      </c>
    </row>
    <row r="33" spans="1:9">
      <c r="A33" t="s">
        <v>96</v>
      </c>
      <c r="B33" t="s">
        <v>97</v>
      </c>
      <c r="C33" t="str">
        <f t="shared" si="0"/>
        <v>Sarah Vance</v>
      </c>
      <c r="D33">
        <v>41</v>
      </c>
      <c r="E33" t="s">
        <v>9</v>
      </c>
      <c r="F33" t="s">
        <v>29</v>
      </c>
      <c r="G33" t="s">
        <v>11</v>
      </c>
      <c r="H33" t="str">
        <f>IF(ISBLANK(Table2[[#This Row],[Loyalty_Level]]),"Unknown",I33)</f>
        <v>Silver</v>
      </c>
      <c r="I33" t="s">
        <v>26</v>
      </c>
    </row>
    <row r="34" spans="1:9">
      <c r="A34" t="s">
        <v>99</v>
      </c>
      <c r="B34" t="s">
        <v>100</v>
      </c>
      <c r="C34" t="str">
        <f t="shared" si="0"/>
        <v>Mike Jennings</v>
      </c>
      <c r="D34">
        <v>48</v>
      </c>
      <c r="E34" t="s">
        <v>15</v>
      </c>
      <c r="F34" t="s">
        <v>101</v>
      </c>
      <c r="G34" t="s">
        <v>11</v>
      </c>
      <c r="H34" t="str">
        <f>IF(ISBLANK(Table2[[#This Row],[Loyalty_Level]]),"Unknown",I34)</f>
        <v>Gold</v>
      </c>
      <c r="I34" t="s">
        <v>12</v>
      </c>
    </row>
    <row r="35" spans="1:9">
      <c r="A35" t="s">
        <v>102</v>
      </c>
      <c r="B35" t="s">
        <v>103</v>
      </c>
      <c r="C35" t="str">
        <f t="shared" si="0"/>
        <v>Robert Jones Dds</v>
      </c>
      <c r="D35">
        <v>25</v>
      </c>
      <c r="E35" t="s">
        <v>9</v>
      </c>
      <c r="F35" t="s">
        <v>74</v>
      </c>
      <c r="G35" t="s">
        <v>11</v>
      </c>
      <c r="H35" t="str">
        <f>IF(ISBLANK(Table2[[#This Row],[Loyalty_Level]]),"Unknown",I35)</f>
        <v>Platinum</v>
      </c>
      <c r="I35" t="s">
        <v>17</v>
      </c>
    </row>
    <row r="36" spans="1:9">
      <c r="A36" t="s">
        <v>104</v>
      </c>
      <c r="B36" t="s">
        <v>105</v>
      </c>
      <c r="C36" t="str">
        <f t="shared" si="0"/>
        <v>Christopher Olson</v>
      </c>
      <c r="D36">
        <v>27</v>
      </c>
      <c r="E36" t="s">
        <v>15</v>
      </c>
      <c r="F36" t="s">
        <v>106</v>
      </c>
      <c r="G36" t="s">
        <v>11</v>
      </c>
      <c r="H36" t="str">
        <f>IF(ISBLANK(Table2[[#This Row],[Loyalty_Level]]),"Unknown",I36)</f>
        <v>Platinum</v>
      </c>
      <c r="I36" t="s">
        <v>17</v>
      </c>
    </row>
    <row r="37" spans="1:9">
      <c r="A37" t="s">
        <v>107</v>
      </c>
      <c r="B37" t="s">
        <v>108</v>
      </c>
      <c r="C37" t="str">
        <f t="shared" si="0"/>
        <v>Rachel Myers</v>
      </c>
      <c r="D37">
        <v>52</v>
      </c>
      <c r="E37" t="s">
        <v>9</v>
      </c>
      <c r="F37" t="s">
        <v>16</v>
      </c>
      <c r="G37" t="s">
        <v>11</v>
      </c>
      <c r="H37" t="str">
        <f>IF(ISBLANK(Table2[[#This Row],[Loyalty_Level]]),"Unknown",I37)</f>
        <v>Silver</v>
      </c>
      <c r="I37" t="s">
        <v>26</v>
      </c>
    </row>
    <row r="38" spans="1:9">
      <c r="A38" t="s">
        <v>109</v>
      </c>
      <c r="B38" t="s">
        <v>110</v>
      </c>
      <c r="C38" t="str">
        <f t="shared" si="0"/>
        <v>Thomas Phillips</v>
      </c>
      <c r="D38">
        <v>20</v>
      </c>
      <c r="E38" t="s">
        <v>15</v>
      </c>
      <c r="F38" t="s">
        <v>63</v>
      </c>
      <c r="G38" t="s">
        <v>11</v>
      </c>
      <c r="H38" t="str">
        <f>IF(ISBLANK(Table2[[#This Row],[Loyalty_Level]]),"Unknown",I38)</f>
        <v>Gold</v>
      </c>
      <c r="I38" t="s">
        <v>12</v>
      </c>
    </row>
    <row r="39" spans="1:9">
      <c r="A39" t="s">
        <v>111</v>
      </c>
      <c r="B39" t="s">
        <v>112</v>
      </c>
      <c r="C39" t="str">
        <f t="shared" si="0"/>
        <v>Christopher Carter</v>
      </c>
      <c r="D39">
        <v>27</v>
      </c>
      <c r="E39" t="s">
        <v>15</v>
      </c>
      <c r="F39" t="s">
        <v>32</v>
      </c>
      <c r="G39" t="s">
        <v>11</v>
      </c>
      <c r="H39" t="str">
        <f>IF(ISBLANK(Table2[[#This Row],[Loyalty_Level]]),"Unknown",I39)</f>
        <v>Unknown</v>
      </c>
    </row>
    <row r="40" spans="1:9">
      <c r="A40" t="s">
        <v>113</v>
      </c>
      <c r="B40" t="s">
        <v>114</v>
      </c>
      <c r="C40" t="str">
        <f t="shared" si="0"/>
        <v>Deanna Simpson</v>
      </c>
      <c r="D40">
        <v>35</v>
      </c>
      <c r="E40" t="s">
        <v>15</v>
      </c>
      <c r="F40" t="s">
        <v>16</v>
      </c>
      <c r="G40" t="s">
        <v>11</v>
      </c>
      <c r="H40" t="str">
        <f>IF(ISBLANK(Table2[[#This Row],[Loyalty_Level]]),"Unknown",I40)</f>
        <v>Bronze</v>
      </c>
      <c r="I40" t="s">
        <v>22</v>
      </c>
    </row>
    <row r="41" spans="1:9">
      <c r="A41" t="s">
        <v>115</v>
      </c>
      <c r="B41" t="s">
        <v>116</v>
      </c>
      <c r="C41" t="str">
        <f t="shared" si="0"/>
        <v>Tonya Reynolds</v>
      </c>
      <c r="D41">
        <v>55</v>
      </c>
      <c r="E41" t="s">
        <v>15</v>
      </c>
      <c r="F41" t="s">
        <v>117</v>
      </c>
      <c r="G41" t="s">
        <v>11</v>
      </c>
      <c r="H41" t="str">
        <f>IF(ISBLANK(Table2[[#This Row],[Loyalty_Level]]),"Unknown",I41)</f>
        <v>Gold</v>
      </c>
      <c r="I41" t="s">
        <v>12</v>
      </c>
    </row>
    <row r="42" spans="1:9">
      <c r="A42" t="s">
        <v>118</v>
      </c>
      <c r="B42" t="s">
        <v>119</v>
      </c>
      <c r="C42" t="str">
        <f t="shared" si="0"/>
        <v>Eric Vega</v>
      </c>
      <c r="D42">
        <v>50</v>
      </c>
      <c r="E42" t="s">
        <v>9</v>
      </c>
      <c r="F42" t="s">
        <v>49</v>
      </c>
      <c r="G42" t="s">
        <v>11</v>
      </c>
      <c r="H42" t="str">
        <f>IF(ISBLANK(Table2[[#This Row],[Loyalty_Level]]),"Unknown",I42)</f>
        <v>Gold</v>
      </c>
      <c r="I42" t="s">
        <v>12</v>
      </c>
    </row>
    <row r="43" spans="1:9">
      <c r="A43" t="s">
        <v>120</v>
      </c>
      <c r="B43" t="s">
        <v>121</v>
      </c>
      <c r="C43" t="str">
        <f t="shared" si="0"/>
        <v>James Gibbs</v>
      </c>
      <c r="D43">
        <v>21</v>
      </c>
      <c r="E43" t="s">
        <v>9</v>
      </c>
      <c r="F43" t="s">
        <v>122</v>
      </c>
      <c r="G43" t="s">
        <v>11</v>
      </c>
      <c r="H43" t="str">
        <f>IF(ISBLANK(Table2[[#This Row],[Loyalty_Level]]),"Unknown",I43)</f>
        <v>Platinum</v>
      </c>
      <c r="I43" t="s">
        <v>17</v>
      </c>
    </row>
    <row r="44" spans="1:9">
      <c r="A44" t="s">
        <v>123</v>
      </c>
      <c r="B44" t="s">
        <v>124</v>
      </c>
      <c r="C44" t="str">
        <f t="shared" si="0"/>
        <v>William Martin</v>
      </c>
      <c r="D44">
        <v>19</v>
      </c>
      <c r="E44" t="s">
        <v>9</v>
      </c>
      <c r="F44" t="s">
        <v>125</v>
      </c>
      <c r="G44" t="s">
        <v>11</v>
      </c>
      <c r="H44" t="str">
        <f>IF(ISBLANK(Table2[[#This Row],[Loyalty_Level]]),"Unknown",I44)</f>
        <v>Platinum</v>
      </c>
      <c r="I44" t="s">
        <v>17</v>
      </c>
    </row>
    <row r="45" spans="1:9">
      <c r="A45" t="s">
        <v>126</v>
      </c>
      <c r="B45" t="s">
        <v>127</v>
      </c>
      <c r="C45" t="str">
        <f t="shared" si="0"/>
        <v>Joseph Snow</v>
      </c>
      <c r="D45">
        <v>45</v>
      </c>
      <c r="E45" t="s">
        <v>9</v>
      </c>
      <c r="F45" t="s">
        <v>128</v>
      </c>
      <c r="G45" t="s">
        <v>11</v>
      </c>
      <c r="H45" t="str">
        <f>IF(ISBLANK(Table2[[#This Row],[Loyalty_Level]]),"Unknown",I45)</f>
        <v>Gold</v>
      </c>
      <c r="I45" t="s">
        <v>12</v>
      </c>
    </row>
    <row r="46" spans="1:9">
      <c r="A46" t="s">
        <v>129</v>
      </c>
      <c r="B46" t="s">
        <v>130</v>
      </c>
      <c r="C46" t="str">
        <f t="shared" si="0"/>
        <v>Denise Williams</v>
      </c>
      <c r="D46">
        <v>34</v>
      </c>
      <c r="E46" t="s">
        <v>9</v>
      </c>
      <c r="F46" t="s">
        <v>76</v>
      </c>
      <c r="G46" t="s">
        <v>11</v>
      </c>
      <c r="H46" t="str">
        <f>IF(ISBLANK(Table2[[#This Row],[Loyalty_Level]]),"Unknown",I46)</f>
        <v>Bronze</v>
      </c>
      <c r="I46" t="s">
        <v>22</v>
      </c>
    </row>
    <row r="47" spans="1:9">
      <c r="A47" t="s">
        <v>131</v>
      </c>
      <c r="B47" t="s">
        <v>132</v>
      </c>
      <c r="C47" t="str">
        <f t="shared" si="0"/>
        <v>Jordan Jackson Dds</v>
      </c>
      <c r="D47">
        <v>54</v>
      </c>
      <c r="E47" t="s">
        <v>9</v>
      </c>
      <c r="F47" t="s">
        <v>101</v>
      </c>
      <c r="G47" t="s">
        <v>11</v>
      </c>
      <c r="H47" t="str">
        <f>IF(ISBLANK(Table2[[#This Row],[Loyalty_Level]]),"Unknown",I47)</f>
        <v>Gold</v>
      </c>
      <c r="I47" t="s">
        <v>12</v>
      </c>
    </row>
    <row r="48" spans="1:9">
      <c r="A48" t="s">
        <v>133</v>
      </c>
      <c r="B48" t="s">
        <v>134</v>
      </c>
      <c r="C48" t="str">
        <f t="shared" si="0"/>
        <v>Michelle Garcia Dds</v>
      </c>
      <c r="D48">
        <v>55</v>
      </c>
      <c r="E48" t="s">
        <v>15</v>
      </c>
      <c r="F48" t="s">
        <v>21</v>
      </c>
      <c r="G48" t="s">
        <v>11</v>
      </c>
      <c r="H48" t="str">
        <f>IF(ISBLANK(Table2[[#This Row],[Loyalty_Level]]),"Unknown",I48)</f>
        <v>Platinum</v>
      </c>
      <c r="I48" t="s">
        <v>17</v>
      </c>
    </row>
    <row r="49" spans="1:9">
      <c r="A49" t="s">
        <v>135</v>
      </c>
      <c r="B49" t="s">
        <v>136</v>
      </c>
      <c r="C49" t="str">
        <f t="shared" si="0"/>
        <v>Gina Knight</v>
      </c>
      <c r="D49">
        <v>54</v>
      </c>
      <c r="E49" t="s">
        <v>15</v>
      </c>
      <c r="F49" t="s">
        <v>137</v>
      </c>
      <c r="G49" t="s">
        <v>11</v>
      </c>
      <c r="H49" t="str">
        <f>IF(ISBLANK(Table2[[#This Row],[Loyalty_Level]]),"Unknown",I49)</f>
        <v>Silver</v>
      </c>
      <c r="I49" t="s">
        <v>26</v>
      </c>
    </row>
    <row r="50" spans="1:9">
      <c r="A50" t="s">
        <v>138</v>
      </c>
      <c r="B50" t="s">
        <v>139</v>
      </c>
      <c r="C50" t="str">
        <f t="shared" si="0"/>
        <v>April Mullins</v>
      </c>
      <c r="D50">
        <v>54</v>
      </c>
      <c r="E50" t="s">
        <v>9</v>
      </c>
      <c r="F50" t="s">
        <v>10</v>
      </c>
      <c r="G50" t="s">
        <v>11</v>
      </c>
      <c r="H50" t="str">
        <f>IF(ISBLANK(Table2[[#This Row],[Loyalty_Level]]),"Unknown",I50)</f>
        <v>Platinum</v>
      </c>
      <c r="I50" t="s">
        <v>17</v>
      </c>
    </row>
    <row r="51" spans="1:9">
      <c r="A51" t="s">
        <v>140</v>
      </c>
      <c r="B51" t="s">
        <v>141</v>
      </c>
      <c r="C51" t="str">
        <f t="shared" si="0"/>
        <v>Timothy Weaver</v>
      </c>
      <c r="D51">
        <v>45</v>
      </c>
      <c r="E51" t="s">
        <v>15</v>
      </c>
      <c r="F51" t="s">
        <v>21</v>
      </c>
      <c r="G51" t="s">
        <v>11</v>
      </c>
      <c r="H51" t="str">
        <f>IF(ISBLANK(Table2[[#This Row],[Loyalty_Level]]),"Unknown",I51)</f>
        <v>Gold</v>
      </c>
      <c r="I51" t="s">
        <v>12</v>
      </c>
    </row>
    <row r="52" spans="1:9">
      <c r="A52" t="s">
        <v>142</v>
      </c>
      <c r="B52" t="s">
        <v>143</v>
      </c>
      <c r="C52" t="str">
        <f t="shared" si="0"/>
        <v>Matthew Hunter Jr.</v>
      </c>
      <c r="D52">
        <v>61</v>
      </c>
      <c r="E52" t="s">
        <v>15</v>
      </c>
      <c r="F52" t="s">
        <v>144</v>
      </c>
      <c r="G52" t="s">
        <v>11</v>
      </c>
      <c r="H52" t="str">
        <f>IF(ISBLANK(Table2[[#This Row],[Loyalty_Level]]),"Unknown",I52)</f>
        <v>Gold</v>
      </c>
      <c r="I52" t="s">
        <v>12</v>
      </c>
    </row>
    <row r="53" spans="1:9">
      <c r="A53" t="s">
        <v>145</v>
      </c>
      <c r="B53" t="s">
        <v>146</v>
      </c>
      <c r="C53" t="str">
        <f t="shared" si="0"/>
        <v>Sarah Rodgers</v>
      </c>
      <c r="D53">
        <v>23</v>
      </c>
      <c r="E53" t="s">
        <v>15</v>
      </c>
      <c r="F53" t="s">
        <v>35</v>
      </c>
      <c r="G53" t="s">
        <v>11</v>
      </c>
      <c r="H53" t="str">
        <f>IF(ISBLANK(Table2[[#This Row],[Loyalty_Level]]),"Unknown",I53)</f>
        <v>Gold</v>
      </c>
      <c r="I53" t="s">
        <v>12</v>
      </c>
    </row>
    <row r="54" spans="1:9">
      <c r="A54" t="s">
        <v>147</v>
      </c>
      <c r="B54" t="s">
        <v>148</v>
      </c>
      <c r="C54" t="str">
        <f t="shared" si="0"/>
        <v>Debra Liu</v>
      </c>
      <c r="D54">
        <v>55</v>
      </c>
      <c r="E54" t="s">
        <v>9</v>
      </c>
      <c r="F54" t="s">
        <v>149</v>
      </c>
      <c r="G54" t="s">
        <v>11</v>
      </c>
      <c r="H54" t="str">
        <f>IF(ISBLANK(Table2[[#This Row],[Loyalty_Level]]),"Unknown",I54)</f>
        <v>Bronze</v>
      </c>
      <c r="I54" t="s">
        <v>22</v>
      </c>
    </row>
    <row r="55" spans="1:9">
      <c r="A55" t="s">
        <v>150</v>
      </c>
      <c r="B55" t="s">
        <v>151</v>
      </c>
      <c r="C55" t="str">
        <f t="shared" si="0"/>
        <v>Sharon Brown</v>
      </c>
      <c r="D55">
        <v>37</v>
      </c>
      <c r="E55" t="s">
        <v>15</v>
      </c>
      <c r="F55" t="s">
        <v>117</v>
      </c>
      <c r="G55" t="s">
        <v>11</v>
      </c>
      <c r="H55" t="str">
        <f>IF(ISBLANK(Table2[[#This Row],[Loyalty_Level]]),"Unknown",I55)</f>
        <v>Gold</v>
      </c>
      <c r="I55" t="s">
        <v>12</v>
      </c>
    </row>
    <row r="56" spans="1:9">
      <c r="A56" t="s">
        <v>152</v>
      </c>
      <c r="B56" t="s">
        <v>153</v>
      </c>
      <c r="C56" t="str">
        <f t="shared" si="0"/>
        <v>Katherine Dorsey</v>
      </c>
      <c r="D56">
        <v>24</v>
      </c>
      <c r="E56" t="s">
        <v>9</v>
      </c>
      <c r="F56" t="s">
        <v>74</v>
      </c>
      <c r="G56" t="s">
        <v>11</v>
      </c>
      <c r="H56" t="str">
        <f>IF(ISBLANK(Table2[[#This Row],[Loyalty_Level]]),"Unknown",I56)</f>
        <v>Platinum</v>
      </c>
      <c r="I56" t="s">
        <v>17</v>
      </c>
    </row>
    <row r="57" spans="1:9">
      <c r="A57" t="s">
        <v>155</v>
      </c>
      <c r="B57" t="s">
        <v>156</v>
      </c>
      <c r="C57" t="str">
        <f t="shared" si="0"/>
        <v>Wayne Mcpherson</v>
      </c>
      <c r="D57">
        <v>56</v>
      </c>
      <c r="E57" t="s">
        <v>15</v>
      </c>
      <c r="F57" t="s">
        <v>149</v>
      </c>
      <c r="G57" t="s">
        <v>11</v>
      </c>
      <c r="H57" t="str">
        <f>IF(ISBLANK(Table2[[#This Row],[Loyalty_Level]]),"Unknown",I57)</f>
        <v>Bronze</v>
      </c>
      <c r="I57" t="s">
        <v>22</v>
      </c>
    </row>
    <row r="58" spans="1:9">
      <c r="A58" t="s">
        <v>157</v>
      </c>
      <c r="B58" t="s">
        <v>158</v>
      </c>
      <c r="C58" t="str">
        <f t="shared" si="0"/>
        <v>Christopher Sutton</v>
      </c>
      <c r="D58">
        <v>49</v>
      </c>
      <c r="E58" t="s">
        <v>15</v>
      </c>
      <c r="F58" t="s">
        <v>41</v>
      </c>
      <c r="G58" t="s">
        <v>11</v>
      </c>
      <c r="H58" t="str">
        <f>IF(ISBLANK(Table2[[#This Row],[Loyalty_Level]]),"Unknown",I58)</f>
        <v>Gold</v>
      </c>
      <c r="I58" t="s">
        <v>12</v>
      </c>
    </row>
    <row r="59" spans="1:9">
      <c r="A59" t="s">
        <v>159</v>
      </c>
      <c r="B59" t="s">
        <v>160</v>
      </c>
      <c r="C59" t="str">
        <f t="shared" si="0"/>
        <v>Jay Patel</v>
      </c>
      <c r="D59">
        <v>43</v>
      </c>
      <c r="E59" t="s">
        <v>15</v>
      </c>
      <c r="F59" t="s">
        <v>161</v>
      </c>
      <c r="G59" t="s">
        <v>11</v>
      </c>
      <c r="H59" t="str">
        <f>IF(ISBLANK(Table2[[#This Row],[Loyalty_Level]]),"Unknown",I59)</f>
        <v>Platinum</v>
      </c>
      <c r="I59" t="s">
        <v>17</v>
      </c>
    </row>
    <row r="60" spans="1:9">
      <c r="A60" t="s">
        <v>162</v>
      </c>
      <c r="B60" t="s">
        <v>163</v>
      </c>
      <c r="C60" t="str">
        <f t="shared" si="0"/>
        <v>Cheryl Copeland</v>
      </c>
      <c r="D60">
        <v>51</v>
      </c>
      <c r="E60" t="s">
        <v>9</v>
      </c>
      <c r="F60" t="s">
        <v>106</v>
      </c>
      <c r="G60" t="s">
        <v>11</v>
      </c>
      <c r="H60" t="str">
        <f>IF(ISBLANK(Table2[[#This Row],[Loyalty_Level]]),"Unknown",I60)</f>
        <v>Platinum</v>
      </c>
      <c r="I60" t="s">
        <v>17</v>
      </c>
    </row>
    <row r="61" spans="1:9">
      <c r="A61" t="s">
        <v>164</v>
      </c>
      <c r="B61" t="s">
        <v>165</v>
      </c>
      <c r="C61" t="str">
        <f t="shared" si="0"/>
        <v>Alyssa Vargas</v>
      </c>
      <c r="D61">
        <v>53</v>
      </c>
      <c r="E61" t="s">
        <v>9</v>
      </c>
      <c r="F61" t="s">
        <v>52</v>
      </c>
      <c r="G61" t="s">
        <v>11</v>
      </c>
      <c r="H61" t="str">
        <f>IF(ISBLANK(Table2[[#This Row],[Loyalty_Level]]),"Unknown",I61)</f>
        <v>Platinum</v>
      </c>
      <c r="I61" t="s">
        <v>17</v>
      </c>
    </row>
    <row r="62" spans="1:9">
      <c r="A62" t="s">
        <v>166</v>
      </c>
      <c r="B62" t="s">
        <v>167</v>
      </c>
      <c r="C62" t="str">
        <f t="shared" si="0"/>
        <v>Dr. David Smith</v>
      </c>
      <c r="D62">
        <v>22</v>
      </c>
      <c r="E62" t="s">
        <v>15</v>
      </c>
      <c r="F62" t="s">
        <v>122</v>
      </c>
      <c r="G62" t="s">
        <v>11</v>
      </c>
      <c r="H62" t="str">
        <f>IF(ISBLANK(Table2[[#This Row],[Loyalty_Level]]),"Unknown",I62)</f>
        <v>Silver</v>
      </c>
      <c r="I62" t="s">
        <v>26</v>
      </c>
    </row>
    <row r="63" spans="1:9">
      <c r="A63" t="s">
        <v>168</v>
      </c>
      <c r="B63" t="s">
        <v>169</v>
      </c>
      <c r="C63" t="str">
        <f t="shared" si="0"/>
        <v>Kristin Stein</v>
      </c>
      <c r="D63">
        <v>23</v>
      </c>
      <c r="E63" t="s">
        <v>9</v>
      </c>
      <c r="F63" t="s">
        <v>86</v>
      </c>
      <c r="G63" t="s">
        <v>11</v>
      </c>
      <c r="H63" t="str">
        <f>IF(ISBLANK(Table2[[#This Row],[Loyalty_Level]]),"Unknown",I63)</f>
        <v>Silver</v>
      </c>
      <c r="I63" t="s">
        <v>26</v>
      </c>
    </row>
    <row r="64" spans="1:9">
      <c r="A64" t="s">
        <v>170</v>
      </c>
      <c r="B64" t="s">
        <v>171</v>
      </c>
      <c r="C64" t="str">
        <f t="shared" si="0"/>
        <v>James Bean</v>
      </c>
      <c r="D64">
        <v>50</v>
      </c>
      <c r="E64" t="s">
        <v>9</v>
      </c>
      <c r="F64" t="s">
        <v>172</v>
      </c>
      <c r="G64" t="s">
        <v>11</v>
      </c>
      <c r="H64" t="str">
        <f>IF(ISBLANK(Table2[[#This Row],[Loyalty_Level]]),"Unknown",I64)</f>
        <v>Bronze</v>
      </c>
      <c r="I64" t="s">
        <v>22</v>
      </c>
    </row>
    <row r="65" spans="1:9">
      <c r="A65" t="s">
        <v>173</v>
      </c>
      <c r="B65" t="s">
        <v>174</v>
      </c>
      <c r="C65" t="str">
        <f t="shared" si="0"/>
        <v>Michael Daniel</v>
      </c>
      <c r="D65">
        <v>51</v>
      </c>
      <c r="E65" t="s">
        <v>9</v>
      </c>
      <c r="F65" t="s">
        <v>175</v>
      </c>
      <c r="G65" t="s">
        <v>11</v>
      </c>
      <c r="H65" t="str">
        <f>IF(ISBLANK(Table2[[#This Row],[Loyalty_Level]]),"Unknown",I65)</f>
        <v>Platinum</v>
      </c>
      <c r="I65" t="s">
        <v>17</v>
      </c>
    </row>
    <row r="66" spans="1:9">
      <c r="A66" t="s">
        <v>176</v>
      </c>
      <c r="B66" t="s">
        <v>177</v>
      </c>
      <c r="C66" t="str">
        <f t="shared" ref="C66:C129" si="1">PROPER(TRIM(B66))</f>
        <v>Mr. Mason Butler</v>
      </c>
      <c r="D66">
        <v>33</v>
      </c>
      <c r="E66" t="s">
        <v>9</v>
      </c>
      <c r="F66" t="s">
        <v>101</v>
      </c>
      <c r="G66" t="s">
        <v>11</v>
      </c>
      <c r="H66" t="str">
        <f>IF(ISBLANK(Table2[[#This Row],[Loyalty_Level]]),"Unknown",I66)</f>
        <v>Gold</v>
      </c>
      <c r="I66" t="s">
        <v>12</v>
      </c>
    </row>
    <row r="67" spans="1:9">
      <c r="A67" t="s">
        <v>178</v>
      </c>
      <c r="B67" t="s">
        <v>179</v>
      </c>
      <c r="C67" t="str">
        <f t="shared" si="1"/>
        <v>Michael Thomas</v>
      </c>
      <c r="D67">
        <v>21</v>
      </c>
      <c r="E67" t="s">
        <v>15</v>
      </c>
      <c r="F67" t="s">
        <v>137</v>
      </c>
      <c r="G67" t="s">
        <v>11</v>
      </c>
      <c r="H67" t="str">
        <f>IF(ISBLANK(Table2[[#This Row],[Loyalty_Level]]),"Unknown",I67)</f>
        <v>Silver</v>
      </c>
      <c r="I67" t="s">
        <v>26</v>
      </c>
    </row>
    <row r="68" spans="1:9">
      <c r="A68" t="s">
        <v>180</v>
      </c>
      <c r="B68" t="s">
        <v>181</v>
      </c>
      <c r="C68" t="str">
        <f t="shared" si="1"/>
        <v>Cody Diaz</v>
      </c>
      <c r="D68">
        <v>27</v>
      </c>
      <c r="E68" t="s">
        <v>15</v>
      </c>
      <c r="F68" t="s">
        <v>38</v>
      </c>
      <c r="G68" t="s">
        <v>11</v>
      </c>
      <c r="H68" t="str">
        <f>IF(ISBLANK(Table2[[#This Row],[Loyalty_Level]]),"Unknown",I68)</f>
        <v>Silver</v>
      </c>
      <c r="I68" t="s">
        <v>26</v>
      </c>
    </row>
    <row r="69" spans="1:9">
      <c r="A69" t="s">
        <v>182</v>
      </c>
      <c r="B69" t="s">
        <v>183</v>
      </c>
      <c r="C69" t="str">
        <f t="shared" si="1"/>
        <v>Amber Mcclain</v>
      </c>
      <c r="D69">
        <v>58</v>
      </c>
      <c r="E69" t="s">
        <v>9</v>
      </c>
      <c r="F69" t="s">
        <v>184</v>
      </c>
      <c r="G69" t="s">
        <v>11</v>
      </c>
      <c r="H69" t="str">
        <f>IF(ISBLANK(Table2[[#This Row],[Loyalty_Level]]),"Unknown",I69)</f>
        <v>Silver</v>
      </c>
      <c r="I69" t="s">
        <v>26</v>
      </c>
    </row>
    <row r="70" spans="1:9">
      <c r="A70" t="s">
        <v>185</v>
      </c>
      <c r="B70" t="s">
        <v>186</v>
      </c>
      <c r="C70" t="str">
        <f t="shared" si="1"/>
        <v>Mr. Mark Beasley</v>
      </c>
      <c r="D70">
        <v>24</v>
      </c>
      <c r="E70" t="s">
        <v>15</v>
      </c>
      <c r="F70" t="s">
        <v>187</v>
      </c>
      <c r="G70" t="s">
        <v>11</v>
      </c>
      <c r="H70" t="str">
        <f>IF(ISBLANK(Table2[[#This Row],[Loyalty_Level]]),"Unknown",I70)</f>
        <v>Silver</v>
      </c>
      <c r="I70" t="s">
        <v>26</v>
      </c>
    </row>
    <row r="71" spans="1:9">
      <c r="A71" t="s">
        <v>188</v>
      </c>
      <c r="B71" t="s">
        <v>189</v>
      </c>
      <c r="C71" t="str">
        <f t="shared" si="1"/>
        <v>Roy Cole</v>
      </c>
      <c r="D71">
        <v>24</v>
      </c>
      <c r="E71" t="s">
        <v>15</v>
      </c>
      <c r="F71" t="s">
        <v>68</v>
      </c>
      <c r="G71" t="s">
        <v>11</v>
      </c>
      <c r="H71" t="str">
        <f>IF(ISBLANK(Table2[[#This Row],[Loyalty_Level]]),"Unknown",I71)</f>
        <v>Platinum</v>
      </c>
      <c r="I71" t="s">
        <v>17</v>
      </c>
    </row>
    <row r="72" spans="1:9">
      <c r="A72" t="s">
        <v>190</v>
      </c>
      <c r="B72" t="s">
        <v>191</v>
      </c>
      <c r="C72" t="str">
        <f t="shared" si="1"/>
        <v>Eric Singh</v>
      </c>
      <c r="D72">
        <v>29</v>
      </c>
      <c r="E72" t="s">
        <v>15</v>
      </c>
      <c r="F72" t="s">
        <v>172</v>
      </c>
      <c r="G72" t="s">
        <v>11</v>
      </c>
      <c r="H72" t="str">
        <f>IF(ISBLANK(Table2[[#This Row],[Loyalty_Level]]),"Unknown",I72)</f>
        <v>Gold</v>
      </c>
      <c r="I72" t="s">
        <v>12</v>
      </c>
    </row>
    <row r="73" spans="1:9">
      <c r="A73" t="s">
        <v>192</v>
      </c>
      <c r="B73" t="s">
        <v>193</v>
      </c>
      <c r="C73" t="str">
        <f t="shared" si="1"/>
        <v>Andrea Perez</v>
      </c>
      <c r="D73">
        <v>61</v>
      </c>
      <c r="E73" t="s">
        <v>15</v>
      </c>
      <c r="F73" t="s">
        <v>172</v>
      </c>
      <c r="G73" t="s">
        <v>11</v>
      </c>
      <c r="H73" t="str">
        <f>IF(ISBLANK(Table2[[#This Row],[Loyalty_Level]]),"Unknown",I73)</f>
        <v>Gold</v>
      </c>
      <c r="I73" t="s">
        <v>12</v>
      </c>
    </row>
    <row r="74" spans="1:9">
      <c r="A74" t="s">
        <v>194</v>
      </c>
      <c r="B74" t="s">
        <v>195</v>
      </c>
      <c r="C74" t="str">
        <f t="shared" si="1"/>
        <v>Tonya Burch</v>
      </c>
      <c r="D74">
        <v>39</v>
      </c>
      <c r="E74" t="s">
        <v>15</v>
      </c>
      <c r="F74" t="s">
        <v>196</v>
      </c>
      <c r="G74" t="s">
        <v>11</v>
      </c>
      <c r="H74" t="str">
        <f>IF(ISBLANK(Table2[[#This Row],[Loyalty_Level]]),"Unknown",I74)</f>
        <v>Gold</v>
      </c>
      <c r="I74" t="s">
        <v>12</v>
      </c>
    </row>
    <row r="75" spans="1:9">
      <c r="A75" t="s">
        <v>197</v>
      </c>
      <c r="B75" t="s">
        <v>198</v>
      </c>
      <c r="C75" t="str">
        <f t="shared" si="1"/>
        <v>Christopher Brown</v>
      </c>
      <c r="D75">
        <v>56</v>
      </c>
      <c r="E75" t="s">
        <v>15</v>
      </c>
      <c r="F75" t="s">
        <v>35</v>
      </c>
      <c r="G75" t="s">
        <v>11</v>
      </c>
      <c r="H75" t="str">
        <f>IF(ISBLANK(Table2[[#This Row],[Loyalty_Level]]),"Unknown",I75)</f>
        <v>Silver</v>
      </c>
      <c r="I75" t="s">
        <v>26</v>
      </c>
    </row>
    <row r="76" spans="1:9">
      <c r="A76" t="s">
        <v>199</v>
      </c>
      <c r="B76" t="s">
        <v>200</v>
      </c>
      <c r="C76" t="str">
        <f t="shared" si="1"/>
        <v>John Mayer</v>
      </c>
      <c r="D76">
        <v>58</v>
      </c>
      <c r="E76" t="s">
        <v>9</v>
      </c>
      <c r="F76" t="s">
        <v>201</v>
      </c>
      <c r="G76" t="s">
        <v>11</v>
      </c>
      <c r="H76" t="str">
        <f>IF(ISBLANK(Table2[[#This Row],[Loyalty_Level]]),"Unknown",I76)</f>
        <v>Bronze</v>
      </c>
      <c r="I76" t="s">
        <v>22</v>
      </c>
    </row>
    <row r="77" spans="1:9">
      <c r="A77" t="s">
        <v>202</v>
      </c>
      <c r="B77" t="s">
        <v>203</v>
      </c>
      <c r="C77" t="str">
        <f t="shared" si="1"/>
        <v>Rhonda Morales</v>
      </c>
      <c r="D77">
        <v>61</v>
      </c>
      <c r="E77" t="s">
        <v>15</v>
      </c>
      <c r="F77" t="s">
        <v>25</v>
      </c>
      <c r="G77" t="s">
        <v>11</v>
      </c>
      <c r="H77" t="str">
        <f>IF(ISBLANK(Table2[[#This Row],[Loyalty_Level]]),"Unknown",I77)</f>
        <v>Gold</v>
      </c>
      <c r="I77" t="s">
        <v>12</v>
      </c>
    </row>
    <row r="78" spans="1:9">
      <c r="A78" t="s">
        <v>204</v>
      </c>
      <c r="B78" t="s">
        <v>205</v>
      </c>
      <c r="C78" t="str">
        <f t="shared" si="1"/>
        <v>Nathan Campbell</v>
      </c>
      <c r="D78">
        <v>37</v>
      </c>
      <c r="E78" t="s">
        <v>9</v>
      </c>
      <c r="F78" t="s">
        <v>74</v>
      </c>
      <c r="G78" t="s">
        <v>11</v>
      </c>
      <c r="H78" t="str">
        <f>IF(ISBLANK(Table2[[#This Row],[Loyalty_Level]]),"Unknown",I78)</f>
        <v>Gold</v>
      </c>
      <c r="I78" t="s">
        <v>12</v>
      </c>
    </row>
    <row r="79" spans="1:9">
      <c r="A79" t="s">
        <v>206</v>
      </c>
      <c r="B79" t="s">
        <v>207</v>
      </c>
      <c r="C79" t="str">
        <f t="shared" si="1"/>
        <v>Katherine Young</v>
      </c>
      <c r="D79">
        <v>29</v>
      </c>
      <c r="E79" t="s">
        <v>9</v>
      </c>
      <c r="F79" t="s">
        <v>128</v>
      </c>
      <c r="G79" t="s">
        <v>11</v>
      </c>
      <c r="H79" t="str">
        <f>IF(ISBLANK(Table2[[#This Row],[Loyalty_Level]]),"Unknown",I79)</f>
        <v>Gold</v>
      </c>
      <c r="I79" t="s">
        <v>12</v>
      </c>
    </row>
    <row r="80" spans="1:9">
      <c r="A80" t="s">
        <v>208</v>
      </c>
      <c r="B80" t="s">
        <v>209</v>
      </c>
      <c r="C80" t="str">
        <f t="shared" si="1"/>
        <v>Cody Blake</v>
      </c>
      <c r="D80">
        <v>21</v>
      </c>
      <c r="E80" t="s">
        <v>9</v>
      </c>
      <c r="F80" t="s">
        <v>210</v>
      </c>
      <c r="G80" t="s">
        <v>11</v>
      </c>
      <c r="H80" t="str">
        <f>IF(ISBLANK(Table2[[#This Row],[Loyalty_Level]]),"Unknown",I80)</f>
        <v>Gold</v>
      </c>
      <c r="I80" t="s">
        <v>12</v>
      </c>
    </row>
    <row r="81" spans="1:9">
      <c r="A81" t="s">
        <v>211</v>
      </c>
      <c r="B81" t="s">
        <v>212</v>
      </c>
      <c r="C81" t="str">
        <f t="shared" si="1"/>
        <v>Molly Gardner</v>
      </c>
      <c r="D81">
        <v>22</v>
      </c>
      <c r="E81" t="s">
        <v>15</v>
      </c>
      <c r="F81" t="s">
        <v>213</v>
      </c>
      <c r="G81" t="s">
        <v>11</v>
      </c>
      <c r="H81" t="str">
        <f>IF(ISBLANK(Table2[[#This Row],[Loyalty_Level]]),"Unknown",I81)</f>
        <v>Platinum</v>
      </c>
      <c r="I81" t="s">
        <v>17</v>
      </c>
    </row>
    <row r="82" spans="1:9">
      <c r="A82" t="s">
        <v>214</v>
      </c>
      <c r="B82" t="s">
        <v>215</v>
      </c>
      <c r="C82" t="str">
        <f t="shared" si="1"/>
        <v>Jennifer Garcia</v>
      </c>
      <c r="D82">
        <v>61</v>
      </c>
      <c r="E82" t="s">
        <v>15</v>
      </c>
      <c r="F82" t="s">
        <v>172</v>
      </c>
      <c r="G82" t="s">
        <v>11</v>
      </c>
      <c r="H82" t="str">
        <f>IF(ISBLANK(Table2[[#This Row],[Loyalty_Level]]),"Unknown",I82)</f>
        <v>Bronze</v>
      </c>
      <c r="I82" t="s">
        <v>22</v>
      </c>
    </row>
    <row r="83" spans="1:9">
      <c r="A83" t="s">
        <v>216</v>
      </c>
      <c r="B83" t="s">
        <v>217</v>
      </c>
      <c r="C83" t="str">
        <f t="shared" si="1"/>
        <v>Krystal Ford</v>
      </c>
      <c r="D83">
        <v>34</v>
      </c>
      <c r="E83" t="s">
        <v>15</v>
      </c>
      <c r="F83" t="s">
        <v>101</v>
      </c>
      <c r="G83" t="s">
        <v>11</v>
      </c>
      <c r="H83" t="str">
        <f>IF(ISBLANK(Table2[[#This Row],[Loyalty_Level]]),"Unknown",I83)</f>
        <v>Platinum</v>
      </c>
      <c r="I83" t="s">
        <v>17</v>
      </c>
    </row>
    <row r="84" spans="1:9">
      <c r="A84" t="s">
        <v>218</v>
      </c>
      <c r="B84" t="s">
        <v>219</v>
      </c>
      <c r="C84" t="str">
        <f t="shared" si="1"/>
        <v>George Rosario</v>
      </c>
      <c r="D84">
        <v>53</v>
      </c>
      <c r="E84" t="s">
        <v>9</v>
      </c>
      <c r="F84" t="s">
        <v>184</v>
      </c>
      <c r="G84" t="s">
        <v>11</v>
      </c>
      <c r="H84" t="str">
        <f>IF(ISBLANK(Table2[[#This Row],[Loyalty_Level]]),"Unknown",I84)</f>
        <v>Bronze</v>
      </c>
      <c r="I84" t="s">
        <v>22</v>
      </c>
    </row>
    <row r="85" spans="1:9">
      <c r="A85" t="s">
        <v>220</v>
      </c>
      <c r="B85" t="s">
        <v>221</v>
      </c>
      <c r="C85" t="str">
        <f t="shared" si="1"/>
        <v>Thomas Robinson</v>
      </c>
      <c r="D85">
        <v>48</v>
      </c>
      <c r="E85" t="s">
        <v>15</v>
      </c>
      <c r="F85" t="s">
        <v>63</v>
      </c>
      <c r="G85" t="s">
        <v>11</v>
      </c>
      <c r="H85" t="str">
        <f>IF(ISBLANK(Table2[[#This Row],[Loyalty_Level]]),"Unknown",I85)</f>
        <v>Bronze</v>
      </c>
      <c r="I85" t="s">
        <v>22</v>
      </c>
    </row>
    <row r="86" spans="1:9">
      <c r="A86" t="s">
        <v>222</v>
      </c>
      <c r="B86" t="s">
        <v>223</v>
      </c>
      <c r="C86" t="str">
        <f t="shared" si="1"/>
        <v>Christy Hoffman</v>
      </c>
      <c r="D86">
        <v>26</v>
      </c>
      <c r="E86" t="s">
        <v>15</v>
      </c>
      <c r="F86" t="s">
        <v>187</v>
      </c>
      <c r="G86" t="s">
        <v>11</v>
      </c>
      <c r="H86" t="str">
        <f>IF(ISBLANK(Table2[[#This Row],[Loyalty_Level]]),"Unknown",I86)</f>
        <v>Platinum</v>
      </c>
      <c r="I86" t="s">
        <v>17</v>
      </c>
    </row>
    <row r="87" spans="1:9">
      <c r="A87" t="s">
        <v>224</v>
      </c>
      <c r="B87" t="s">
        <v>225</v>
      </c>
      <c r="C87" t="str">
        <f t="shared" si="1"/>
        <v>Richard Delgado</v>
      </c>
      <c r="D87">
        <v>36</v>
      </c>
      <c r="E87" t="s">
        <v>9</v>
      </c>
      <c r="F87" t="s">
        <v>41</v>
      </c>
      <c r="G87" t="s">
        <v>11</v>
      </c>
      <c r="H87" t="str">
        <f>IF(ISBLANK(Table2[[#This Row],[Loyalty_Level]]),"Unknown",I87)</f>
        <v>Silver</v>
      </c>
      <c r="I87" t="s">
        <v>26</v>
      </c>
    </row>
    <row r="88" spans="1:9">
      <c r="A88" t="s">
        <v>226</v>
      </c>
      <c r="B88" t="s">
        <v>227</v>
      </c>
      <c r="C88" t="str">
        <f t="shared" si="1"/>
        <v>Tammy Miller Md</v>
      </c>
      <c r="D88">
        <v>19</v>
      </c>
      <c r="E88" t="s">
        <v>15</v>
      </c>
      <c r="F88" t="s">
        <v>228</v>
      </c>
      <c r="G88" t="s">
        <v>11</v>
      </c>
      <c r="H88" t="str">
        <f>IF(ISBLANK(Table2[[#This Row],[Loyalty_Level]]),"Unknown",I88)</f>
        <v>Gold</v>
      </c>
      <c r="I88" t="s">
        <v>12</v>
      </c>
    </row>
    <row r="89" spans="1:9">
      <c r="A89" t="s">
        <v>229</v>
      </c>
      <c r="B89" t="s">
        <v>230</v>
      </c>
      <c r="C89" t="str">
        <f t="shared" si="1"/>
        <v>Melissa Duffy Md</v>
      </c>
      <c r="D89">
        <v>58</v>
      </c>
      <c r="E89" t="s">
        <v>15</v>
      </c>
      <c r="F89" t="s">
        <v>231</v>
      </c>
      <c r="G89" t="s">
        <v>11</v>
      </c>
      <c r="H89" t="str">
        <f>IF(ISBLANK(Table2[[#This Row],[Loyalty_Level]]),"Unknown",I89)</f>
        <v>Bronze</v>
      </c>
      <c r="I89" t="s">
        <v>22</v>
      </c>
    </row>
    <row r="90" spans="1:9">
      <c r="A90" t="s">
        <v>232</v>
      </c>
      <c r="B90" t="s">
        <v>233</v>
      </c>
      <c r="C90" t="str">
        <f t="shared" si="1"/>
        <v>Timothy Wright</v>
      </c>
      <c r="D90">
        <v>58</v>
      </c>
      <c r="E90" t="s">
        <v>9</v>
      </c>
      <c r="F90" t="s">
        <v>213</v>
      </c>
      <c r="G90" t="s">
        <v>11</v>
      </c>
      <c r="H90" t="str">
        <f>IF(ISBLANK(Table2[[#This Row],[Loyalty_Level]]),"Unknown",I90)</f>
        <v>Silver</v>
      </c>
      <c r="I90" t="s">
        <v>26</v>
      </c>
    </row>
    <row r="91" spans="1:9">
      <c r="A91" t="s">
        <v>234</v>
      </c>
      <c r="B91" t="s">
        <v>235</v>
      </c>
      <c r="C91" t="str">
        <f t="shared" si="1"/>
        <v>Jamie Yoder</v>
      </c>
      <c r="D91">
        <v>43</v>
      </c>
      <c r="E91" t="s">
        <v>9</v>
      </c>
      <c r="F91" t="s">
        <v>236</v>
      </c>
      <c r="G91" t="s">
        <v>11</v>
      </c>
      <c r="H91" t="str">
        <f>IF(ISBLANK(Table2[[#This Row],[Loyalty_Level]]),"Unknown",I91)</f>
        <v>Platinum</v>
      </c>
      <c r="I91" t="s">
        <v>17</v>
      </c>
    </row>
    <row r="92" spans="1:9">
      <c r="A92" t="s">
        <v>237</v>
      </c>
      <c r="B92" t="s">
        <v>238</v>
      </c>
      <c r="C92" t="str">
        <f t="shared" si="1"/>
        <v>Oscar Moon</v>
      </c>
      <c r="D92">
        <v>58</v>
      </c>
      <c r="E92" t="s">
        <v>15</v>
      </c>
      <c r="F92" t="s">
        <v>239</v>
      </c>
      <c r="G92" t="s">
        <v>11</v>
      </c>
      <c r="H92" t="str">
        <f>IF(ISBLANK(Table2[[#This Row],[Loyalty_Level]]),"Unknown",I92)</f>
        <v>Platinum</v>
      </c>
      <c r="I92" t="s">
        <v>17</v>
      </c>
    </row>
    <row r="93" spans="1:9">
      <c r="A93" t="s">
        <v>240</v>
      </c>
      <c r="B93" t="s">
        <v>241</v>
      </c>
      <c r="C93" t="str">
        <f t="shared" si="1"/>
        <v>Donna Gregory</v>
      </c>
      <c r="D93">
        <v>29</v>
      </c>
      <c r="E93" t="s">
        <v>15</v>
      </c>
      <c r="F93" t="s">
        <v>101</v>
      </c>
      <c r="G93" t="s">
        <v>11</v>
      </c>
      <c r="H93" t="str">
        <f>IF(ISBLANK(Table2[[#This Row],[Loyalty_Level]]),"Unknown",I93)</f>
        <v>Silver</v>
      </c>
      <c r="I93" t="s">
        <v>26</v>
      </c>
    </row>
    <row r="94" spans="1:9">
      <c r="A94" t="s">
        <v>242</v>
      </c>
      <c r="B94" t="s">
        <v>243</v>
      </c>
      <c r="C94" t="str">
        <f t="shared" si="1"/>
        <v>Robert Jackson</v>
      </c>
      <c r="D94">
        <v>44</v>
      </c>
      <c r="E94" t="s">
        <v>15</v>
      </c>
      <c r="F94" t="s">
        <v>175</v>
      </c>
      <c r="G94" t="s">
        <v>11</v>
      </c>
      <c r="H94" t="str">
        <f>IF(ISBLANK(Table2[[#This Row],[Loyalty_Level]]),"Unknown",I94)</f>
        <v>Platinum</v>
      </c>
      <c r="I94" t="s">
        <v>17</v>
      </c>
    </row>
    <row r="95" spans="1:9">
      <c r="A95" t="s">
        <v>244</v>
      </c>
      <c r="B95" t="s">
        <v>245</v>
      </c>
      <c r="C95" t="str">
        <f t="shared" si="1"/>
        <v>Christy Vasquez</v>
      </c>
      <c r="D95">
        <v>28</v>
      </c>
      <c r="E95" t="s">
        <v>15</v>
      </c>
      <c r="F95" t="s">
        <v>231</v>
      </c>
      <c r="G95" t="s">
        <v>11</v>
      </c>
      <c r="H95" t="str">
        <f>IF(ISBLANK(Table2[[#This Row],[Loyalty_Level]]),"Unknown",I95)</f>
        <v>Gold</v>
      </c>
      <c r="I95" t="s">
        <v>12</v>
      </c>
    </row>
    <row r="96" spans="1:9">
      <c r="A96" t="s">
        <v>246</v>
      </c>
      <c r="B96" t="s">
        <v>247</v>
      </c>
      <c r="C96" t="str">
        <f t="shared" si="1"/>
        <v>David Patterson</v>
      </c>
      <c r="D96">
        <v>43</v>
      </c>
      <c r="E96" t="s">
        <v>15</v>
      </c>
      <c r="F96" t="s">
        <v>137</v>
      </c>
      <c r="G96" t="s">
        <v>11</v>
      </c>
      <c r="H96" t="str">
        <f>IF(ISBLANK(Table2[[#This Row],[Loyalty_Level]]),"Unknown",I96)</f>
        <v>Gold</v>
      </c>
      <c r="I96" t="s">
        <v>12</v>
      </c>
    </row>
    <row r="97" spans="1:9">
      <c r="A97" t="s">
        <v>248</v>
      </c>
      <c r="B97" t="s">
        <v>249</v>
      </c>
      <c r="C97" t="str">
        <f t="shared" si="1"/>
        <v>Amy Fowler</v>
      </c>
      <c r="D97">
        <v>62</v>
      </c>
      <c r="E97" t="s">
        <v>15</v>
      </c>
      <c r="F97" t="s">
        <v>46</v>
      </c>
      <c r="G97" t="s">
        <v>11</v>
      </c>
      <c r="H97" t="str">
        <f>IF(ISBLANK(Table2[[#This Row],[Loyalty_Level]]),"Unknown",I97)</f>
        <v>Platinum</v>
      </c>
      <c r="I97" t="s">
        <v>17</v>
      </c>
    </row>
    <row r="98" spans="1:9">
      <c r="A98" t="s">
        <v>250</v>
      </c>
      <c r="B98" t="s">
        <v>251</v>
      </c>
      <c r="C98" t="str">
        <f t="shared" si="1"/>
        <v>Samantha Walker</v>
      </c>
      <c r="D98">
        <v>30</v>
      </c>
      <c r="E98" t="s">
        <v>15</v>
      </c>
      <c r="F98" t="s">
        <v>239</v>
      </c>
      <c r="G98" t="s">
        <v>11</v>
      </c>
      <c r="H98" t="str">
        <f>IF(ISBLANK(Table2[[#This Row],[Loyalty_Level]]),"Unknown",I98)</f>
        <v>Platinum</v>
      </c>
      <c r="I98" t="s">
        <v>17</v>
      </c>
    </row>
    <row r="99" spans="1:9">
      <c r="A99" t="s">
        <v>252</v>
      </c>
      <c r="B99" t="s">
        <v>253</v>
      </c>
      <c r="C99" t="str">
        <f t="shared" si="1"/>
        <v>David Cobb</v>
      </c>
      <c r="D99">
        <v>36</v>
      </c>
      <c r="E99" t="s">
        <v>9</v>
      </c>
      <c r="F99" t="s">
        <v>32</v>
      </c>
      <c r="G99" t="s">
        <v>11</v>
      </c>
      <c r="H99" t="str">
        <f>IF(ISBLANK(Table2[[#This Row],[Loyalty_Level]]),"Unknown",I99)</f>
        <v>Silver</v>
      </c>
      <c r="I99" t="s">
        <v>26</v>
      </c>
    </row>
    <row r="100" spans="1:9">
      <c r="A100" t="s">
        <v>254</v>
      </c>
      <c r="B100" t="s">
        <v>255</v>
      </c>
      <c r="C100" t="str">
        <f t="shared" si="1"/>
        <v>Brittney Morgan</v>
      </c>
      <c r="D100">
        <v>24</v>
      </c>
      <c r="E100" t="s">
        <v>9</v>
      </c>
      <c r="F100" t="s">
        <v>122</v>
      </c>
      <c r="G100" t="s">
        <v>11</v>
      </c>
      <c r="H100" t="str">
        <f>IF(ISBLANK(Table2[[#This Row],[Loyalty_Level]]),"Unknown",I100)</f>
        <v>Gold</v>
      </c>
      <c r="I100" t="s">
        <v>12</v>
      </c>
    </row>
    <row r="101" spans="1:9">
      <c r="A101" t="s">
        <v>256</v>
      </c>
      <c r="B101" t="s">
        <v>257</v>
      </c>
      <c r="C101" t="str">
        <f t="shared" si="1"/>
        <v>Sheila Wilson</v>
      </c>
      <c r="D101">
        <v>35</v>
      </c>
      <c r="E101" t="s">
        <v>9</v>
      </c>
      <c r="F101" t="s">
        <v>175</v>
      </c>
      <c r="G101" t="s">
        <v>11</v>
      </c>
      <c r="H101" t="str">
        <f>IF(ISBLANK(Table2[[#This Row],[Loyalty_Level]]),"Unknown",I101)</f>
        <v>Silver</v>
      </c>
      <c r="I101" t="s">
        <v>26</v>
      </c>
    </row>
    <row r="102" spans="1:9">
      <c r="A102" t="s">
        <v>258</v>
      </c>
      <c r="B102" t="s">
        <v>259</v>
      </c>
      <c r="C102" t="str">
        <f t="shared" si="1"/>
        <v>Diane Watson</v>
      </c>
      <c r="D102">
        <v>53</v>
      </c>
      <c r="E102" t="s">
        <v>15</v>
      </c>
      <c r="F102" t="s">
        <v>260</v>
      </c>
      <c r="G102" t="s">
        <v>11</v>
      </c>
      <c r="H102" t="str">
        <f>IF(ISBLANK(Table2[[#This Row],[Loyalty_Level]]),"Unknown",I102)</f>
        <v>Platinum</v>
      </c>
      <c r="I102" t="s">
        <v>17</v>
      </c>
    </row>
    <row r="103" spans="1:9">
      <c r="A103" t="s">
        <v>261</v>
      </c>
      <c r="B103" t="s">
        <v>262</v>
      </c>
      <c r="C103" t="str">
        <f t="shared" si="1"/>
        <v>Colleen Maynard</v>
      </c>
      <c r="D103">
        <v>29</v>
      </c>
      <c r="E103" t="s">
        <v>9</v>
      </c>
      <c r="F103" t="s">
        <v>89</v>
      </c>
      <c r="G103" t="s">
        <v>11</v>
      </c>
      <c r="H103" t="str">
        <f>IF(ISBLANK(Table2[[#This Row],[Loyalty_Level]]),"Unknown",I103)</f>
        <v>Gold</v>
      </c>
      <c r="I103" t="s">
        <v>12</v>
      </c>
    </row>
    <row r="104" spans="1:9">
      <c r="A104" t="s">
        <v>263</v>
      </c>
      <c r="B104" t="s">
        <v>264</v>
      </c>
      <c r="C104" t="str">
        <f t="shared" si="1"/>
        <v>Sarah Schneider</v>
      </c>
      <c r="D104">
        <v>34</v>
      </c>
      <c r="E104" t="s">
        <v>15</v>
      </c>
      <c r="F104" t="s">
        <v>41</v>
      </c>
      <c r="G104" t="s">
        <v>11</v>
      </c>
      <c r="H104" t="str">
        <f>IF(ISBLANK(Table2[[#This Row],[Loyalty_Level]]),"Unknown",I104)</f>
        <v>Bronze</v>
      </c>
      <c r="I104" t="s">
        <v>22</v>
      </c>
    </row>
    <row r="105" spans="1:9">
      <c r="A105" t="s">
        <v>265</v>
      </c>
      <c r="B105" t="s">
        <v>266</v>
      </c>
      <c r="C105" t="str">
        <f t="shared" si="1"/>
        <v>Steven Stein</v>
      </c>
      <c r="D105">
        <v>21</v>
      </c>
      <c r="E105" t="s">
        <v>9</v>
      </c>
      <c r="F105" t="s">
        <v>125</v>
      </c>
      <c r="G105" t="s">
        <v>11</v>
      </c>
      <c r="H105" t="str">
        <f>IF(ISBLANK(Table2[[#This Row],[Loyalty_Level]]),"Unknown",I105)</f>
        <v>Bronze</v>
      </c>
      <c r="I105" t="s">
        <v>22</v>
      </c>
    </row>
    <row r="106" spans="1:9">
      <c r="A106" t="s">
        <v>267</v>
      </c>
      <c r="B106" t="s">
        <v>268</v>
      </c>
      <c r="C106" t="str">
        <f t="shared" si="1"/>
        <v>Christopher Lester</v>
      </c>
      <c r="D106">
        <v>64</v>
      </c>
      <c r="E106" t="s">
        <v>9</v>
      </c>
      <c r="F106" t="s">
        <v>63</v>
      </c>
      <c r="G106" t="s">
        <v>11</v>
      </c>
      <c r="H106" t="str">
        <f>IF(ISBLANK(Table2[[#This Row],[Loyalty_Level]]),"Unknown",I106)</f>
        <v>Silver</v>
      </c>
      <c r="I106" t="s">
        <v>26</v>
      </c>
    </row>
    <row r="107" spans="1:9">
      <c r="A107" t="s">
        <v>269</v>
      </c>
      <c r="B107" t="s">
        <v>270</v>
      </c>
      <c r="C107" t="str">
        <f t="shared" si="1"/>
        <v>Lance Baker</v>
      </c>
      <c r="D107">
        <v>50</v>
      </c>
      <c r="E107" t="s">
        <v>15</v>
      </c>
      <c r="F107" t="s">
        <v>184</v>
      </c>
      <c r="G107" t="s">
        <v>11</v>
      </c>
      <c r="H107" t="str">
        <f>IF(ISBLANK(Table2[[#This Row],[Loyalty_Level]]),"Unknown",I107)</f>
        <v>Gold</v>
      </c>
      <c r="I107" t="s">
        <v>12</v>
      </c>
    </row>
    <row r="108" spans="1:9">
      <c r="A108" t="s">
        <v>271</v>
      </c>
      <c r="B108" t="s">
        <v>272</v>
      </c>
      <c r="C108" t="str">
        <f t="shared" si="1"/>
        <v>Howard Summers</v>
      </c>
      <c r="D108">
        <v>53</v>
      </c>
      <c r="E108" t="s">
        <v>15</v>
      </c>
      <c r="F108" t="s">
        <v>161</v>
      </c>
      <c r="G108" t="s">
        <v>11</v>
      </c>
      <c r="H108" t="str">
        <f>IF(ISBLANK(Table2[[#This Row],[Loyalty_Level]]),"Unknown",I108)</f>
        <v>Bronze</v>
      </c>
      <c r="I108" t="s">
        <v>22</v>
      </c>
    </row>
    <row r="109" spans="1:9">
      <c r="A109" t="s">
        <v>273</v>
      </c>
      <c r="B109" t="s">
        <v>274</v>
      </c>
      <c r="C109" t="str">
        <f t="shared" si="1"/>
        <v>Erica Carney</v>
      </c>
      <c r="D109">
        <v>62</v>
      </c>
      <c r="E109" t="s">
        <v>15</v>
      </c>
      <c r="F109" t="s">
        <v>16</v>
      </c>
      <c r="G109" t="s">
        <v>11</v>
      </c>
      <c r="H109" t="str">
        <f>IF(ISBLANK(Table2[[#This Row],[Loyalty_Level]]),"Unknown",I109)</f>
        <v>Platinum</v>
      </c>
      <c r="I109" t="s">
        <v>17</v>
      </c>
    </row>
    <row r="110" spans="1:9">
      <c r="A110" t="s">
        <v>275</v>
      </c>
      <c r="B110" t="s">
        <v>276</v>
      </c>
      <c r="C110" t="str">
        <f t="shared" si="1"/>
        <v>Travis Holland</v>
      </c>
      <c r="D110">
        <v>38</v>
      </c>
      <c r="E110" t="s">
        <v>9</v>
      </c>
      <c r="F110" t="s">
        <v>38</v>
      </c>
      <c r="G110" t="s">
        <v>11</v>
      </c>
      <c r="H110" t="str">
        <f>IF(ISBLANK(Table2[[#This Row],[Loyalty_Level]]),"Unknown",I110)</f>
        <v>Bronze</v>
      </c>
      <c r="I110" t="s">
        <v>22</v>
      </c>
    </row>
    <row r="111" spans="1:9">
      <c r="A111" t="s">
        <v>277</v>
      </c>
      <c r="B111" t="s">
        <v>278</v>
      </c>
      <c r="C111" t="str">
        <f t="shared" si="1"/>
        <v>Amy Walker</v>
      </c>
      <c r="D111">
        <v>27</v>
      </c>
      <c r="E111" t="s">
        <v>9</v>
      </c>
      <c r="F111" t="s">
        <v>35</v>
      </c>
      <c r="G111" t="s">
        <v>11</v>
      </c>
      <c r="H111" t="str">
        <f>IF(ISBLANK(Table2[[#This Row],[Loyalty_Level]]),"Unknown",I111)</f>
        <v>Silver</v>
      </c>
      <c r="I111" t="s">
        <v>26</v>
      </c>
    </row>
    <row r="112" spans="1:9">
      <c r="A112" t="s">
        <v>279</v>
      </c>
      <c r="B112" t="s">
        <v>280</v>
      </c>
      <c r="C112" t="str">
        <f t="shared" si="1"/>
        <v>Ashley Griffin</v>
      </c>
      <c r="D112">
        <v>40</v>
      </c>
      <c r="E112" t="s">
        <v>15</v>
      </c>
      <c r="F112" t="s">
        <v>106</v>
      </c>
      <c r="G112" t="s">
        <v>11</v>
      </c>
      <c r="H112" t="str">
        <f>IF(ISBLANK(Table2[[#This Row],[Loyalty_Level]]),"Unknown",I112)</f>
        <v>Gold</v>
      </c>
      <c r="I112" t="s">
        <v>12</v>
      </c>
    </row>
    <row r="113" spans="1:9">
      <c r="A113" t="s">
        <v>281</v>
      </c>
      <c r="B113" t="s">
        <v>282</v>
      </c>
      <c r="C113" t="str">
        <f t="shared" si="1"/>
        <v>Julie Farmer</v>
      </c>
      <c r="D113">
        <v>18</v>
      </c>
      <c r="E113" t="s">
        <v>15</v>
      </c>
      <c r="F113" t="s">
        <v>101</v>
      </c>
      <c r="G113" t="s">
        <v>11</v>
      </c>
      <c r="H113" t="str">
        <f>IF(ISBLANK(Table2[[#This Row],[Loyalty_Level]]),"Unknown",I113)</f>
        <v>Platinum</v>
      </c>
      <c r="I113" t="s">
        <v>17</v>
      </c>
    </row>
    <row r="114" spans="1:9">
      <c r="A114" t="s">
        <v>283</v>
      </c>
      <c r="B114" t="s">
        <v>284</v>
      </c>
      <c r="C114" t="str">
        <f t="shared" si="1"/>
        <v>David Cole</v>
      </c>
      <c r="D114">
        <v>27</v>
      </c>
      <c r="E114" t="s">
        <v>15</v>
      </c>
      <c r="F114" t="s">
        <v>117</v>
      </c>
      <c r="G114" t="s">
        <v>11</v>
      </c>
      <c r="H114" t="str">
        <f>IF(ISBLANK(Table2[[#This Row],[Loyalty_Level]]),"Unknown",I114)</f>
        <v>Silver</v>
      </c>
      <c r="I114" t="s">
        <v>26</v>
      </c>
    </row>
    <row r="115" spans="1:9">
      <c r="A115" t="s">
        <v>286</v>
      </c>
      <c r="B115" t="s">
        <v>287</v>
      </c>
      <c r="C115" t="str">
        <f t="shared" si="1"/>
        <v>Edward Hall</v>
      </c>
      <c r="D115">
        <v>51</v>
      </c>
      <c r="E115" t="s">
        <v>9</v>
      </c>
      <c r="F115" t="s">
        <v>172</v>
      </c>
      <c r="G115" t="s">
        <v>11</v>
      </c>
      <c r="H115" t="str">
        <f>IF(ISBLANK(Table2[[#This Row],[Loyalty_Level]]),"Unknown",I115)</f>
        <v>Gold</v>
      </c>
      <c r="I115" t="s">
        <v>12</v>
      </c>
    </row>
    <row r="116" spans="1:9">
      <c r="A116" t="s">
        <v>288</v>
      </c>
      <c r="B116" t="s">
        <v>289</v>
      </c>
      <c r="C116" t="str">
        <f t="shared" si="1"/>
        <v>Ryan Hernandez</v>
      </c>
      <c r="D116">
        <v>30</v>
      </c>
      <c r="E116" t="s">
        <v>9</v>
      </c>
      <c r="F116" t="s">
        <v>137</v>
      </c>
      <c r="G116" t="s">
        <v>11</v>
      </c>
      <c r="H116" t="str">
        <f>IF(ISBLANK(Table2[[#This Row],[Loyalty_Level]]),"Unknown",I116)</f>
        <v>Bronze</v>
      </c>
      <c r="I116" t="s">
        <v>22</v>
      </c>
    </row>
    <row r="117" spans="1:9">
      <c r="A117" t="s">
        <v>290</v>
      </c>
      <c r="B117" t="s">
        <v>291</v>
      </c>
      <c r="C117" t="str">
        <f t="shared" si="1"/>
        <v>Tyler Conrad</v>
      </c>
      <c r="D117">
        <v>53</v>
      </c>
      <c r="E117" t="s">
        <v>15</v>
      </c>
      <c r="F117" t="s">
        <v>16</v>
      </c>
      <c r="G117" t="s">
        <v>11</v>
      </c>
      <c r="H117" t="str">
        <f>IF(ISBLANK(Table2[[#This Row],[Loyalty_Level]]),"Unknown",I117)</f>
        <v>Platinum</v>
      </c>
      <c r="I117" t="s">
        <v>17</v>
      </c>
    </row>
    <row r="118" spans="1:9">
      <c r="A118" t="s">
        <v>292</v>
      </c>
      <c r="B118" t="s">
        <v>293</v>
      </c>
      <c r="C118" t="str">
        <f t="shared" si="1"/>
        <v>Anthony Phillips</v>
      </c>
      <c r="D118">
        <v>18</v>
      </c>
      <c r="E118" t="s">
        <v>15</v>
      </c>
      <c r="F118" t="s">
        <v>161</v>
      </c>
      <c r="G118" t="s">
        <v>11</v>
      </c>
      <c r="H118" t="str">
        <f>IF(ISBLANK(Table2[[#This Row],[Loyalty_Level]]),"Unknown",I118)</f>
        <v>Platinum</v>
      </c>
      <c r="I118" t="s">
        <v>17</v>
      </c>
    </row>
    <row r="119" spans="1:9">
      <c r="A119" t="s">
        <v>294</v>
      </c>
      <c r="B119" t="s">
        <v>295</v>
      </c>
      <c r="C119" t="str">
        <f t="shared" si="1"/>
        <v>Colleen Mccarthy</v>
      </c>
      <c r="D119">
        <v>21</v>
      </c>
      <c r="E119" t="s">
        <v>15</v>
      </c>
      <c r="F119" t="s">
        <v>58</v>
      </c>
      <c r="G119" t="s">
        <v>11</v>
      </c>
      <c r="H119" t="str">
        <f>IF(ISBLANK(Table2[[#This Row],[Loyalty_Level]]),"Unknown",I119)</f>
        <v>Platinum</v>
      </c>
      <c r="I119" t="s">
        <v>17</v>
      </c>
    </row>
    <row r="120" spans="1:9">
      <c r="A120" t="s">
        <v>296</v>
      </c>
      <c r="B120" t="s">
        <v>297</v>
      </c>
      <c r="C120" t="str">
        <f t="shared" si="1"/>
        <v>Earl Allen</v>
      </c>
      <c r="D120">
        <v>36</v>
      </c>
      <c r="E120" t="s">
        <v>9</v>
      </c>
      <c r="F120" t="s">
        <v>55</v>
      </c>
      <c r="G120" t="s">
        <v>11</v>
      </c>
      <c r="H120" t="str">
        <f>IF(ISBLANK(Table2[[#This Row],[Loyalty_Level]]),"Unknown",I120)</f>
        <v>Platinum</v>
      </c>
      <c r="I120" t="s">
        <v>17</v>
      </c>
    </row>
    <row r="121" spans="1:9">
      <c r="A121" t="s">
        <v>298</v>
      </c>
      <c r="B121" t="s">
        <v>299</v>
      </c>
      <c r="C121" t="str">
        <f t="shared" si="1"/>
        <v>Michael Jones</v>
      </c>
      <c r="D121">
        <v>40</v>
      </c>
      <c r="E121" t="s">
        <v>9</v>
      </c>
      <c r="F121" t="s">
        <v>175</v>
      </c>
      <c r="G121" t="s">
        <v>11</v>
      </c>
      <c r="H121" t="str">
        <f>IF(ISBLANK(Table2[[#This Row],[Loyalty_Level]]),"Unknown",I121)</f>
        <v>Bronze</v>
      </c>
      <c r="I121" t="s">
        <v>22</v>
      </c>
    </row>
    <row r="122" spans="1:9">
      <c r="A122" t="s">
        <v>300</v>
      </c>
      <c r="B122" t="s">
        <v>301</v>
      </c>
      <c r="C122" t="str">
        <f t="shared" si="1"/>
        <v>Jacob Hopkins</v>
      </c>
      <c r="D122">
        <v>44</v>
      </c>
      <c r="E122" t="s">
        <v>15</v>
      </c>
      <c r="F122" t="s">
        <v>41</v>
      </c>
      <c r="G122" t="s">
        <v>11</v>
      </c>
      <c r="H122" t="str">
        <f>IF(ISBLANK(Table2[[#This Row],[Loyalty_Level]]),"Unknown",I122)</f>
        <v>Platinum</v>
      </c>
      <c r="I122" t="s">
        <v>17</v>
      </c>
    </row>
    <row r="123" spans="1:9">
      <c r="A123" t="s">
        <v>302</v>
      </c>
      <c r="B123" t="s">
        <v>303</v>
      </c>
      <c r="C123" t="str">
        <f t="shared" si="1"/>
        <v>Joel Robinson</v>
      </c>
      <c r="D123">
        <v>62</v>
      </c>
      <c r="E123" t="s">
        <v>9</v>
      </c>
      <c r="F123" t="s">
        <v>76</v>
      </c>
      <c r="G123" t="s">
        <v>11</v>
      </c>
      <c r="H123" t="str">
        <f>IF(ISBLANK(Table2[[#This Row],[Loyalty_Level]]),"Unknown",I123)</f>
        <v>Platinum</v>
      </c>
      <c r="I123" t="s">
        <v>17</v>
      </c>
    </row>
    <row r="124" spans="1:9">
      <c r="A124" t="s">
        <v>304</v>
      </c>
      <c r="B124" t="s">
        <v>305</v>
      </c>
      <c r="C124" t="str">
        <f t="shared" si="1"/>
        <v>Michael Chang</v>
      </c>
      <c r="D124">
        <v>50</v>
      </c>
      <c r="E124" t="s">
        <v>9</v>
      </c>
      <c r="F124" t="s">
        <v>10</v>
      </c>
      <c r="G124" t="s">
        <v>11</v>
      </c>
      <c r="H124" t="str">
        <f>IF(ISBLANK(Table2[[#This Row],[Loyalty_Level]]),"Unknown",I124)</f>
        <v>Platinum</v>
      </c>
      <c r="I124" t="s">
        <v>17</v>
      </c>
    </row>
    <row r="125" spans="1:9">
      <c r="A125" t="s">
        <v>306</v>
      </c>
      <c r="B125" t="s">
        <v>307</v>
      </c>
      <c r="C125" t="str">
        <f t="shared" si="1"/>
        <v>Erin Hopkins</v>
      </c>
      <c r="D125">
        <v>40</v>
      </c>
      <c r="E125" t="s">
        <v>9</v>
      </c>
      <c r="F125" t="s">
        <v>196</v>
      </c>
      <c r="G125" t="s">
        <v>11</v>
      </c>
      <c r="H125" t="str">
        <f>IF(ISBLANK(Table2[[#This Row],[Loyalty_Level]]),"Unknown",I125)</f>
        <v>Silver</v>
      </c>
      <c r="I125" t="s">
        <v>26</v>
      </c>
    </row>
    <row r="126" spans="1:9">
      <c r="A126" t="s">
        <v>308</v>
      </c>
      <c r="B126" t="s">
        <v>309</v>
      </c>
      <c r="C126" t="str">
        <f t="shared" si="1"/>
        <v>Donald Lee</v>
      </c>
      <c r="D126">
        <v>26</v>
      </c>
      <c r="E126" t="s">
        <v>9</v>
      </c>
      <c r="F126" t="s">
        <v>144</v>
      </c>
      <c r="G126" t="s">
        <v>11</v>
      </c>
      <c r="H126" t="str">
        <f>IF(ISBLANK(Table2[[#This Row],[Loyalty_Level]]),"Unknown",I126)</f>
        <v>Bronze</v>
      </c>
      <c r="I126" t="s">
        <v>22</v>
      </c>
    </row>
    <row r="127" spans="1:9">
      <c r="A127" t="s">
        <v>310</v>
      </c>
      <c r="B127" t="s">
        <v>311</v>
      </c>
      <c r="C127" t="str">
        <f t="shared" si="1"/>
        <v>Keith Miller</v>
      </c>
      <c r="D127">
        <v>64</v>
      </c>
      <c r="E127" t="s">
        <v>15</v>
      </c>
      <c r="F127" t="s">
        <v>312</v>
      </c>
      <c r="G127" t="s">
        <v>11</v>
      </c>
      <c r="H127" t="str">
        <f>IF(ISBLANK(Table2[[#This Row],[Loyalty_Level]]),"Unknown",I127)</f>
        <v>Platinum</v>
      </c>
      <c r="I127" t="s">
        <v>17</v>
      </c>
    </row>
    <row r="128" spans="1:9">
      <c r="A128" t="s">
        <v>313</v>
      </c>
      <c r="B128" t="s">
        <v>314</v>
      </c>
      <c r="C128" t="str">
        <f t="shared" si="1"/>
        <v>James Wolfe</v>
      </c>
      <c r="D128">
        <v>62</v>
      </c>
      <c r="E128" t="s">
        <v>15</v>
      </c>
      <c r="F128" t="s">
        <v>101</v>
      </c>
      <c r="G128" t="s">
        <v>11</v>
      </c>
      <c r="H128" t="str">
        <f>IF(ISBLANK(Table2[[#This Row],[Loyalty_Level]]),"Unknown",I128)</f>
        <v>Gold</v>
      </c>
      <c r="I128" t="s">
        <v>12</v>
      </c>
    </row>
    <row r="129" spans="1:9">
      <c r="A129" t="s">
        <v>315</v>
      </c>
      <c r="B129" t="s">
        <v>316</v>
      </c>
      <c r="C129" t="str">
        <f t="shared" si="1"/>
        <v>John Mcknight</v>
      </c>
      <c r="D129">
        <v>39</v>
      </c>
      <c r="E129" t="s">
        <v>9</v>
      </c>
      <c r="F129" t="s">
        <v>128</v>
      </c>
      <c r="G129" t="s">
        <v>11</v>
      </c>
      <c r="H129" t="str">
        <f>IF(ISBLANK(Table2[[#This Row],[Loyalty_Level]]),"Unknown",I129)</f>
        <v>Platinum</v>
      </c>
      <c r="I129" t="s">
        <v>17</v>
      </c>
    </row>
    <row r="130" spans="1:9">
      <c r="A130" t="s">
        <v>317</v>
      </c>
      <c r="B130" t="s">
        <v>318</v>
      </c>
      <c r="C130" t="str">
        <f t="shared" ref="C130:C193" si="2">PROPER(TRIM(B130))</f>
        <v>Susan Mcdonald</v>
      </c>
      <c r="D130">
        <v>45</v>
      </c>
      <c r="E130" t="s">
        <v>9</v>
      </c>
      <c r="F130" t="s">
        <v>213</v>
      </c>
      <c r="G130" t="s">
        <v>11</v>
      </c>
      <c r="H130" t="str">
        <f>IF(ISBLANK(Table2[[#This Row],[Loyalty_Level]]),"Unknown",I130)</f>
        <v>Silver</v>
      </c>
      <c r="I130" t="s">
        <v>26</v>
      </c>
    </row>
    <row r="131" spans="1:9">
      <c r="A131" t="s">
        <v>319</v>
      </c>
      <c r="B131" t="s">
        <v>320</v>
      </c>
      <c r="C131" t="str">
        <f t="shared" si="2"/>
        <v>Jessica Mitchell</v>
      </c>
      <c r="D131">
        <v>43</v>
      </c>
      <c r="E131" t="s">
        <v>15</v>
      </c>
      <c r="F131" t="s">
        <v>32</v>
      </c>
      <c r="G131" t="s">
        <v>11</v>
      </c>
      <c r="H131" t="str">
        <f>IF(ISBLANK(Table2[[#This Row],[Loyalty_Level]]),"Unknown",I131)</f>
        <v>Silver</v>
      </c>
      <c r="I131" t="s">
        <v>26</v>
      </c>
    </row>
    <row r="132" spans="1:9">
      <c r="A132" t="s">
        <v>321</v>
      </c>
      <c r="B132" t="s">
        <v>322</v>
      </c>
      <c r="C132" t="str">
        <f t="shared" si="2"/>
        <v>Jamie Reyes</v>
      </c>
      <c r="D132">
        <v>29</v>
      </c>
      <c r="E132" t="s">
        <v>9</v>
      </c>
      <c r="F132" t="s">
        <v>125</v>
      </c>
      <c r="G132" t="s">
        <v>11</v>
      </c>
      <c r="H132" t="str">
        <f>IF(ISBLANK(Table2[[#This Row],[Loyalty_Level]]),"Unknown",I132)</f>
        <v>Platinum</v>
      </c>
      <c r="I132" t="s">
        <v>17</v>
      </c>
    </row>
    <row r="133" spans="1:9">
      <c r="A133" t="s">
        <v>323</v>
      </c>
      <c r="B133" t="s">
        <v>324</v>
      </c>
      <c r="C133" t="str">
        <f t="shared" si="2"/>
        <v>Joseph Richards</v>
      </c>
      <c r="D133">
        <v>34</v>
      </c>
      <c r="E133" t="s">
        <v>15</v>
      </c>
      <c r="F133" t="s">
        <v>19</v>
      </c>
      <c r="G133" t="s">
        <v>11</v>
      </c>
      <c r="H133" t="str">
        <f>IF(ISBLANK(Table2[[#This Row],[Loyalty_Level]]),"Unknown",I133)</f>
        <v>Bronze</v>
      </c>
      <c r="I133" t="s">
        <v>22</v>
      </c>
    </row>
    <row r="134" spans="1:9">
      <c r="A134" t="s">
        <v>325</v>
      </c>
      <c r="B134" t="s">
        <v>326</v>
      </c>
      <c r="C134" t="str">
        <f t="shared" si="2"/>
        <v>Miguel Reynolds</v>
      </c>
      <c r="D134">
        <v>57</v>
      </c>
      <c r="E134" t="s">
        <v>15</v>
      </c>
      <c r="F134" t="s">
        <v>21</v>
      </c>
      <c r="G134" t="s">
        <v>11</v>
      </c>
      <c r="H134" t="str">
        <f>IF(ISBLANK(Table2[[#This Row],[Loyalty_Level]]),"Unknown",I134)</f>
        <v>Gold</v>
      </c>
      <c r="I134" t="s">
        <v>12</v>
      </c>
    </row>
    <row r="135" spans="1:9">
      <c r="A135" t="s">
        <v>327</v>
      </c>
      <c r="B135" t="s">
        <v>328</v>
      </c>
      <c r="C135" t="str">
        <f t="shared" si="2"/>
        <v>Hayley Pope</v>
      </c>
      <c r="D135">
        <v>62</v>
      </c>
      <c r="E135" t="s">
        <v>15</v>
      </c>
      <c r="F135" t="s">
        <v>184</v>
      </c>
      <c r="G135" t="s">
        <v>11</v>
      </c>
      <c r="H135" t="str">
        <f>IF(ISBLANK(Table2[[#This Row],[Loyalty_Level]]),"Unknown",I135)</f>
        <v>Bronze</v>
      </c>
      <c r="I135" t="s">
        <v>22</v>
      </c>
    </row>
    <row r="136" spans="1:9">
      <c r="A136" t="s">
        <v>329</v>
      </c>
      <c r="B136" t="s">
        <v>330</v>
      </c>
      <c r="C136" t="str">
        <f t="shared" si="2"/>
        <v>Morgan Bowen</v>
      </c>
      <c r="D136">
        <v>54</v>
      </c>
      <c r="E136" t="s">
        <v>9</v>
      </c>
      <c r="F136" t="s">
        <v>58</v>
      </c>
      <c r="G136" t="s">
        <v>11</v>
      </c>
      <c r="H136" t="str">
        <f>IF(ISBLANK(Table2[[#This Row],[Loyalty_Level]]),"Unknown",I136)</f>
        <v>Gold</v>
      </c>
      <c r="I136" t="s">
        <v>12</v>
      </c>
    </row>
    <row r="137" spans="1:9">
      <c r="A137" t="s">
        <v>331</v>
      </c>
      <c r="B137" t="s">
        <v>332</v>
      </c>
      <c r="C137" t="str">
        <f t="shared" si="2"/>
        <v>Matthew Hanna</v>
      </c>
      <c r="D137">
        <v>33</v>
      </c>
      <c r="E137" t="s">
        <v>15</v>
      </c>
      <c r="F137" t="s">
        <v>117</v>
      </c>
      <c r="G137" t="s">
        <v>11</v>
      </c>
      <c r="H137" t="str">
        <f>IF(ISBLANK(Table2[[#This Row],[Loyalty_Level]]),"Unknown",I137)</f>
        <v>Platinum</v>
      </c>
      <c r="I137" t="s">
        <v>17</v>
      </c>
    </row>
    <row r="138" spans="1:9">
      <c r="A138" t="s">
        <v>333</v>
      </c>
      <c r="B138" t="s">
        <v>334</v>
      </c>
      <c r="C138" t="str">
        <f t="shared" si="2"/>
        <v>Patrick Coleman</v>
      </c>
      <c r="D138">
        <v>29</v>
      </c>
      <c r="E138" t="s">
        <v>9</v>
      </c>
      <c r="F138" t="s">
        <v>55</v>
      </c>
      <c r="G138" t="s">
        <v>11</v>
      </c>
      <c r="H138" t="str">
        <f>IF(ISBLANK(Table2[[#This Row],[Loyalty_Level]]),"Unknown",I138)</f>
        <v>Silver</v>
      </c>
      <c r="I138" t="s">
        <v>26</v>
      </c>
    </row>
    <row r="139" spans="1:9">
      <c r="A139" t="s">
        <v>335</v>
      </c>
      <c r="B139" t="s">
        <v>336</v>
      </c>
      <c r="C139" t="str">
        <f t="shared" si="2"/>
        <v>Rick Dominguez</v>
      </c>
      <c r="D139">
        <v>55</v>
      </c>
      <c r="E139" t="s">
        <v>15</v>
      </c>
      <c r="F139" t="s">
        <v>21</v>
      </c>
      <c r="G139" t="s">
        <v>11</v>
      </c>
      <c r="H139" t="str">
        <f>IF(ISBLANK(Table2[[#This Row],[Loyalty_Level]]),"Unknown",I139)</f>
        <v>Platinum</v>
      </c>
      <c r="I139" t="s">
        <v>17</v>
      </c>
    </row>
    <row r="140" spans="1:9">
      <c r="A140" t="s">
        <v>337</v>
      </c>
      <c r="B140" t="s">
        <v>338</v>
      </c>
      <c r="C140" t="str">
        <f t="shared" si="2"/>
        <v>Sean Roth</v>
      </c>
      <c r="D140">
        <v>43</v>
      </c>
      <c r="E140" t="s">
        <v>9</v>
      </c>
      <c r="F140" t="s">
        <v>210</v>
      </c>
      <c r="G140" t="s">
        <v>11</v>
      </c>
      <c r="H140" t="str">
        <f>IF(ISBLANK(Table2[[#This Row],[Loyalty_Level]]),"Unknown",I140)</f>
        <v>Gold</v>
      </c>
      <c r="I140" t="s">
        <v>12</v>
      </c>
    </row>
    <row r="141" spans="1:9">
      <c r="A141" t="s">
        <v>339</v>
      </c>
      <c r="B141" t="s">
        <v>340</v>
      </c>
      <c r="C141" t="str">
        <f t="shared" si="2"/>
        <v>Brian Holder</v>
      </c>
      <c r="D141">
        <v>32</v>
      </c>
      <c r="E141" t="s">
        <v>9</v>
      </c>
      <c r="F141" t="s">
        <v>89</v>
      </c>
      <c r="G141" t="s">
        <v>11</v>
      </c>
      <c r="H141" t="str">
        <f>IF(ISBLANK(Table2[[#This Row],[Loyalty_Level]]),"Unknown",I141)</f>
        <v>Bronze</v>
      </c>
      <c r="I141" t="s">
        <v>22</v>
      </c>
    </row>
    <row r="142" spans="1:9">
      <c r="A142" t="s">
        <v>341</v>
      </c>
      <c r="B142" t="s">
        <v>342</v>
      </c>
      <c r="C142" t="str">
        <f t="shared" si="2"/>
        <v>Patty Francis</v>
      </c>
      <c r="D142">
        <v>63</v>
      </c>
      <c r="E142" t="s">
        <v>15</v>
      </c>
      <c r="F142" t="s">
        <v>41</v>
      </c>
      <c r="G142" t="s">
        <v>11</v>
      </c>
      <c r="H142" t="str">
        <f>IF(ISBLANK(Table2[[#This Row],[Loyalty_Level]]),"Unknown",I142)</f>
        <v>Gold</v>
      </c>
      <c r="I142" t="s">
        <v>12</v>
      </c>
    </row>
    <row r="143" spans="1:9">
      <c r="A143" t="s">
        <v>343</v>
      </c>
      <c r="B143" t="s">
        <v>344</v>
      </c>
      <c r="C143" t="str">
        <f t="shared" si="2"/>
        <v>Cristian Wright</v>
      </c>
      <c r="D143">
        <v>30</v>
      </c>
      <c r="E143" t="s">
        <v>9</v>
      </c>
      <c r="F143" t="s">
        <v>25</v>
      </c>
      <c r="G143" t="s">
        <v>11</v>
      </c>
      <c r="H143" t="str">
        <f>IF(ISBLANK(Table2[[#This Row],[Loyalty_Level]]),"Unknown",I143)</f>
        <v>Bronze</v>
      </c>
      <c r="I143" t="s">
        <v>22</v>
      </c>
    </row>
    <row r="144" spans="1:9">
      <c r="A144" t="s">
        <v>345</v>
      </c>
      <c r="B144" t="s">
        <v>346</v>
      </c>
      <c r="C144" t="str">
        <f t="shared" si="2"/>
        <v>Maria Ramirez</v>
      </c>
      <c r="D144">
        <v>37</v>
      </c>
      <c r="E144" t="s">
        <v>9</v>
      </c>
      <c r="F144" t="s">
        <v>52</v>
      </c>
      <c r="G144" t="s">
        <v>11</v>
      </c>
      <c r="H144" t="str">
        <f>IF(ISBLANK(Table2[[#This Row],[Loyalty_Level]]),"Unknown",I144)</f>
        <v>Bronze</v>
      </c>
      <c r="I144" t="s">
        <v>22</v>
      </c>
    </row>
    <row r="145" spans="1:9">
      <c r="A145" t="s">
        <v>347</v>
      </c>
      <c r="B145" t="s">
        <v>348</v>
      </c>
      <c r="C145" t="str">
        <f t="shared" si="2"/>
        <v>Carlos Skinner</v>
      </c>
      <c r="D145">
        <v>46</v>
      </c>
      <c r="E145" t="s">
        <v>9</v>
      </c>
      <c r="F145" t="s">
        <v>19</v>
      </c>
      <c r="G145" t="s">
        <v>11</v>
      </c>
      <c r="H145" t="str">
        <f>IF(ISBLANK(Table2[[#This Row],[Loyalty_Level]]),"Unknown",I145)</f>
        <v>Bronze</v>
      </c>
      <c r="I145" t="s">
        <v>22</v>
      </c>
    </row>
    <row r="146" spans="1:9">
      <c r="A146" t="s">
        <v>349</v>
      </c>
      <c r="B146" t="s">
        <v>350</v>
      </c>
      <c r="C146" t="str">
        <f t="shared" si="2"/>
        <v>Justin Cross</v>
      </c>
      <c r="D146">
        <v>62</v>
      </c>
      <c r="E146" t="s">
        <v>15</v>
      </c>
      <c r="F146" t="s">
        <v>137</v>
      </c>
      <c r="G146" t="s">
        <v>11</v>
      </c>
      <c r="H146" t="str">
        <f>IF(ISBLANK(Table2[[#This Row],[Loyalty_Level]]),"Unknown",I146)</f>
        <v>Bronze</v>
      </c>
      <c r="I146" t="s">
        <v>22</v>
      </c>
    </row>
    <row r="147" spans="1:9">
      <c r="A147" t="s">
        <v>351</v>
      </c>
      <c r="B147" t="s">
        <v>352</v>
      </c>
      <c r="C147" t="str">
        <f t="shared" si="2"/>
        <v>Cameron Simpson</v>
      </c>
      <c r="D147">
        <v>46</v>
      </c>
      <c r="E147" t="s">
        <v>9</v>
      </c>
      <c r="F147" t="s">
        <v>187</v>
      </c>
      <c r="G147" t="s">
        <v>11</v>
      </c>
      <c r="H147" t="str">
        <f>IF(ISBLANK(Table2[[#This Row],[Loyalty_Level]]),"Unknown",I147)</f>
        <v>Platinum</v>
      </c>
      <c r="I147" t="s">
        <v>17</v>
      </c>
    </row>
    <row r="148" spans="1:9">
      <c r="A148" t="s">
        <v>353</v>
      </c>
      <c r="B148" t="s">
        <v>354</v>
      </c>
      <c r="C148" t="str">
        <f t="shared" si="2"/>
        <v>Edward Rivera</v>
      </c>
      <c r="D148">
        <v>32</v>
      </c>
      <c r="E148" t="s">
        <v>15</v>
      </c>
      <c r="F148" t="s">
        <v>231</v>
      </c>
      <c r="G148" t="s">
        <v>11</v>
      </c>
      <c r="H148" t="str">
        <f>IF(ISBLANK(Table2[[#This Row],[Loyalty_Level]]),"Unknown",I148)</f>
        <v>Gold</v>
      </c>
      <c r="I148" t="s">
        <v>12</v>
      </c>
    </row>
    <row r="149" spans="1:9">
      <c r="A149" t="s">
        <v>355</v>
      </c>
      <c r="B149" t="s">
        <v>356</v>
      </c>
      <c r="C149" t="str">
        <f t="shared" si="2"/>
        <v>Rhonda Young</v>
      </c>
      <c r="D149">
        <v>49</v>
      </c>
      <c r="E149" t="s">
        <v>15</v>
      </c>
      <c r="F149" t="s">
        <v>122</v>
      </c>
      <c r="G149" t="s">
        <v>11</v>
      </c>
      <c r="H149" t="str">
        <f>IF(ISBLANK(Table2[[#This Row],[Loyalty_Level]]),"Unknown",I149)</f>
        <v>Platinum</v>
      </c>
      <c r="I149" t="s">
        <v>17</v>
      </c>
    </row>
    <row r="150" spans="1:9">
      <c r="A150" t="s">
        <v>357</v>
      </c>
      <c r="B150" t="s">
        <v>358</v>
      </c>
      <c r="C150" t="str">
        <f t="shared" si="2"/>
        <v>Theresa Campbell</v>
      </c>
      <c r="D150">
        <v>42</v>
      </c>
      <c r="E150" t="s">
        <v>15</v>
      </c>
      <c r="F150" t="s">
        <v>236</v>
      </c>
      <c r="G150" t="s">
        <v>11</v>
      </c>
      <c r="H150" t="str">
        <f>IF(ISBLANK(Table2[[#This Row],[Loyalty_Level]]),"Unknown",I150)</f>
        <v>Bronze</v>
      </c>
      <c r="I150" t="s">
        <v>22</v>
      </c>
    </row>
    <row r="151" spans="1:9">
      <c r="A151" t="s">
        <v>359</v>
      </c>
      <c r="B151" t="s">
        <v>360</v>
      </c>
      <c r="C151" t="str">
        <f t="shared" si="2"/>
        <v>Denise Griffin</v>
      </c>
      <c r="D151">
        <v>33</v>
      </c>
      <c r="E151" t="s">
        <v>9</v>
      </c>
      <c r="F151" t="s">
        <v>184</v>
      </c>
      <c r="G151" t="s">
        <v>11</v>
      </c>
      <c r="H151" t="str">
        <f>IF(ISBLANK(Table2[[#This Row],[Loyalty_Level]]),"Unknown",I151)</f>
        <v>Platinum</v>
      </c>
      <c r="I151" t="s">
        <v>17</v>
      </c>
    </row>
    <row r="152" spans="1:9">
      <c r="A152" t="s">
        <v>361</v>
      </c>
      <c r="B152" t="s">
        <v>362</v>
      </c>
      <c r="C152" t="str">
        <f t="shared" si="2"/>
        <v>Stephanie Conway</v>
      </c>
      <c r="D152">
        <v>24</v>
      </c>
      <c r="E152" t="s">
        <v>9</v>
      </c>
      <c r="F152" t="s">
        <v>228</v>
      </c>
      <c r="G152" t="s">
        <v>11</v>
      </c>
      <c r="H152" t="str">
        <f>IF(ISBLANK(Table2[[#This Row],[Loyalty_Level]]),"Unknown",I152)</f>
        <v>Gold</v>
      </c>
      <c r="I152" t="s">
        <v>12</v>
      </c>
    </row>
    <row r="153" spans="1:9">
      <c r="A153" t="s">
        <v>363</v>
      </c>
      <c r="B153" t="s">
        <v>364</v>
      </c>
      <c r="C153" t="str">
        <f t="shared" si="2"/>
        <v>Michael Davies</v>
      </c>
      <c r="D153">
        <v>25</v>
      </c>
      <c r="E153" t="s">
        <v>15</v>
      </c>
      <c r="F153" t="s">
        <v>29</v>
      </c>
      <c r="G153" t="s">
        <v>11</v>
      </c>
      <c r="H153" t="str">
        <f>IF(ISBLANK(Table2[[#This Row],[Loyalty_Level]]),"Unknown",I153)</f>
        <v>Gold</v>
      </c>
      <c r="I153" t="s">
        <v>12</v>
      </c>
    </row>
    <row r="154" spans="1:9">
      <c r="A154" t="s">
        <v>365</v>
      </c>
      <c r="B154" t="s">
        <v>366</v>
      </c>
      <c r="C154" t="str">
        <f t="shared" si="2"/>
        <v>Patrick Roberts</v>
      </c>
      <c r="D154">
        <v>41</v>
      </c>
      <c r="E154" t="s">
        <v>15</v>
      </c>
      <c r="F154" t="s">
        <v>86</v>
      </c>
      <c r="G154" t="s">
        <v>11</v>
      </c>
      <c r="H154" t="str">
        <f>IF(ISBLANK(Table2[[#This Row],[Loyalty_Level]]),"Unknown",I154)</f>
        <v>Platinum</v>
      </c>
      <c r="I154" t="s">
        <v>17</v>
      </c>
    </row>
    <row r="155" spans="1:9">
      <c r="A155" t="s">
        <v>367</v>
      </c>
      <c r="B155" t="s">
        <v>368</v>
      </c>
      <c r="C155" t="str">
        <f t="shared" si="2"/>
        <v>Joseph Faulkner</v>
      </c>
      <c r="D155">
        <v>31</v>
      </c>
      <c r="E155" t="s">
        <v>9</v>
      </c>
      <c r="F155" t="s">
        <v>16</v>
      </c>
      <c r="G155" t="s">
        <v>11</v>
      </c>
      <c r="H155" t="str">
        <f>IF(ISBLANK(Table2[[#This Row],[Loyalty_Level]]),"Unknown",I155)</f>
        <v>Bronze</v>
      </c>
      <c r="I155" t="s">
        <v>22</v>
      </c>
    </row>
    <row r="156" spans="1:9">
      <c r="A156" t="s">
        <v>369</v>
      </c>
      <c r="B156" t="s">
        <v>370</v>
      </c>
      <c r="C156" t="str">
        <f t="shared" si="2"/>
        <v>Julie Hale</v>
      </c>
      <c r="D156">
        <v>35</v>
      </c>
      <c r="E156" t="s">
        <v>15</v>
      </c>
      <c r="F156" t="s">
        <v>128</v>
      </c>
      <c r="G156" t="s">
        <v>11</v>
      </c>
      <c r="H156" t="str">
        <f>IF(ISBLANK(Table2[[#This Row],[Loyalty_Level]]),"Unknown",I156)</f>
        <v>Gold</v>
      </c>
      <c r="I156" t="s">
        <v>12</v>
      </c>
    </row>
    <row r="157" spans="1:9">
      <c r="A157" t="s">
        <v>371</v>
      </c>
      <c r="B157" t="s">
        <v>372</v>
      </c>
      <c r="C157" t="str">
        <f t="shared" si="2"/>
        <v>Curtis Haynes</v>
      </c>
      <c r="D157">
        <v>60</v>
      </c>
      <c r="E157" t="s">
        <v>15</v>
      </c>
      <c r="F157" t="s">
        <v>196</v>
      </c>
      <c r="G157" t="s">
        <v>11</v>
      </c>
      <c r="H157" t="str">
        <f>IF(ISBLANK(Table2[[#This Row],[Loyalty_Level]]),"Unknown",I157)</f>
        <v>Gold</v>
      </c>
      <c r="I157" t="s">
        <v>12</v>
      </c>
    </row>
    <row r="158" spans="1:9">
      <c r="A158" t="s">
        <v>373</v>
      </c>
      <c r="B158" t="s">
        <v>374</v>
      </c>
      <c r="C158" t="str">
        <f t="shared" si="2"/>
        <v>Maria Sanchez</v>
      </c>
      <c r="D158">
        <v>46</v>
      </c>
      <c r="E158" t="s">
        <v>9</v>
      </c>
      <c r="F158" t="s">
        <v>16</v>
      </c>
      <c r="G158" t="s">
        <v>11</v>
      </c>
      <c r="H158" t="str">
        <f>IF(ISBLANK(Table2[[#This Row],[Loyalty_Level]]),"Unknown",I158)</f>
        <v>Bronze</v>
      </c>
      <c r="I158" t="s">
        <v>22</v>
      </c>
    </row>
    <row r="159" spans="1:9">
      <c r="A159" t="s">
        <v>375</v>
      </c>
      <c r="B159" t="s">
        <v>376</v>
      </c>
      <c r="C159" t="str">
        <f t="shared" si="2"/>
        <v>Paul Zamora</v>
      </c>
      <c r="D159">
        <v>59</v>
      </c>
      <c r="E159" t="s">
        <v>9</v>
      </c>
      <c r="F159" t="s">
        <v>16</v>
      </c>
      <c r="G159" t="s">
        <v>11</v>
      </c>
      <c r="H159" t="str">
        <f>IF(ISBLANK(Table2[[#This Row],[Loyalty_Level]]),"Unknown",I159)</f>
        <v>Platinum</v>
      </c>
      <c r="I159" t="s">
        <v>17</v>
      </c>
    </row>
    <row r="160" spans="1:9">
      <c r="A160" t="s">
        <v>377</v>
      </c>
      <c r="B160" t="s">
        <v>378</v>
      </c>
      <c r="C160" t="str">
        <f t="shared" si="2"/>
        <v>Sean Powell</v>
      </c>
      <c r="D160">
        <v>43</v>
      </c>
      <c r="E160" t="s">
        <v>9</v>
      </c>
      <c r="F160" t="s">
        <v>128</v>
      </c>
      <c r="G160" t="s">
        <v>11</v>
      </c>
      <c r="H160" t="str">
        <f>IF(ISBLANK(Table2[[#This Row],[Loyalty_Level]]),"Unknown",I160)</f>
        <v>Bronze</v>
      </c>
      <c r="I160" t="s">
        <v>22</v>
      </c>
    </row>
    <row r="161" spans="1:9">
      <c r="A161" t="s">
        <v>379</v>
      </c>
      <c r="B161" t="s">
        <v>380</v>
      </c>
      <c r="C161" t="str">
        <f t="shared" si="2"/>
        <v>Brian Choi</v>
      </c>
      <c r="D161">
        <v>46</v>
      </c>
      <c r="E161" t="s">
        <v>15</v>
      </c>
      <c r="F161" t="s">
        <v>68</v>
      </c>
      <c r="G161" t="s">
        <v>11</v>
      </c>
      <c r="H161" t="str">
        <f>IF(ISBLANK(Table2[[#This Row],[Loyalty_Level]]),"Unknown",I161)</f>
        <v>Gold</v>
      </c>
      <c r="I161" t="s">
        <v>12</v>
      </c>
    </row>
    <row r="162" spans="1:9">
      <c r="A162" t="s">
        <v>381</v>
      </c>
      <c r="B162" t="s">
        <v>382</v>
      </c>
      <c r="C162" t="str">
        <f t="shared" si="2"/>
        <v>John Lawson</v>
      </c>
      <c r="D162">
        <v>41</v>
      </c>
      <c r="E162" t="s">
        <v>15</v>
      </c>
      <c r="F162" t="s">
        <v>10</v>
      </c>
      <c r="G162" t="s">
        <v>11</v>
      </c>
      <c r="H162" t="str">
        <f>IF(ISBLANK(Table2[[#This Row],[Loyalty_Level]]),"Unknown",I162)</f>
        <v>Platinum</v>
      </c>
      <c r="I162" t="s">
        <v>17</v>
      </c>
    </row>
    <row r="163" spans="1:9">
      <c r="A163" t="s">
        <v>383</v>
      </c>
      <c r="B163" t="s">
        <v>384</v>
      </c>
      <c r="C163" t="str">
        <f t="shared" si="2"/>
        <v>Cynthia Morris</v>
      </c>
      <c r="D163">
        <v>18</v>
      </c>
      <c r="E163" t="s">
        <v>15</v>
      </c>
      <c r="F163" t="s">
        <v>101</v>
      </c>
      <c r="G163" t="s">
        <v>11</v>
      </c>
      <c r="H163" t="str">
        <f>IF(ISBLANK(Table2[[#This Row],[Loyalty_Level]]),"Unknown",I163)</f>
        <v>Silver</v>
      </c>
      <c r="I163" t="s">
        <v>26</v>
      </c>
    </row>
    <row r="164" spans="1:9">
      <c r="A164" t="s">
        <v>385</v>
      </c>
      <c r="B164" t="s">
        <v>386</v>
      </c>
      <c r="C164" t="str">
        <f t="shared" si="2"/>
        <v>Mariah Brown</v>
      </c>
      <c r="D164">
        <v>37</v>
      </c>
      <c r="E164" t="s">
        <v>9</v>
      </c>
      <c r="F164" t="s">
        <v>175</v>
      </c>
      <c r="G164" t="s">
        <v>11</v>
      </c>
      <c r="H164" t="str">
        <f>IF(ISBLANK(Table2[[#This Row],[Loyalty_Level]]),"Unknown",I164)</f>
        <v>Silver</v>
      </c>
      <c r="I164" t="s">
        <v>26</v>
      </c>
    </row>
    <row r="165" spans="1:9">
      <c r="A165" t="s">
        <v>387</v>
      </c>
      <c r="B165" t="s">
        <v>388</v>
      </c>
      <c r="C165" t="str">
        <f t="shared" si="2"/>
        <v>Joseph Jones</v>
      </c>
      <c r="D165">
        <v>21</v>
      </c>
      <c r="E165" t="s">
        <v>9</v>
      </c>
      <c r="F165" t="s">
        <v>144</v>
      </c>
      <c r="G165" t="s">
        <v>11</v>
      </c>
      <c r="H165" t="str">
        <f>IF(ISBLANK(Table2[[#This Row],[Loyalty_Level]]),"Unknown",I165)</f>
        <v>Bronze</v>
      </c>
      <c r="I165" t="s">
        <v>22</v>
      </c>
    </row>
    <row r="166" spans="1:9">
      <c r="A166" t="s">
        <v>389</v>
      </c>
      <c r="B166" t="s">
        <v>390</v>
      </c>
      <c r="C166" t="str">
        <f t="shared" si="2"/>
        <v>Daniel Rivas</v>
      </c>
      <c r="D166">
        <v>39</v>
      </c>
      <c r="E166" t="s">
        <v>15</v>
      </c>
      <c r="F166" t="s">
        <v>63</v>
      </c>
      <c r="G166" t="s">
        <v>11</v>
      </c>
      <c r="H166" t="str">
        <f>IF(ISBLANK(Table2[[#This Row],[Loyalty_Level]]),"Unknown",I166)</f>
        <v>Silver</v>
      </c>
      <c r="I166" t="s">
        <v>26</v>
      </c>
    </row>
    <row r="167" spans="1:9">
      <c r="A167" t="s">
        <v>391</v>
      </c>
      <c r="B167" t="s">
        <v>392</v>
      </c>
      <c r="C167" t="str">
        <f t="shared" si="2"/>
        <v>Jason Wheeler</v>
      </c>
      <c r="D167">
        <v>47</v>
      </c>
      <c r="E167" t="s">
        <v>15</v>
      </c>
      <c r="F167" t="s">
        <v>144</v>
      </c>
      <c r="G167" t="s">
        <v>11</v>
      </c>
      <c r="H167" t="str">
        <f>IF(ISBLANK(Table2[[#This Row],[Loyalty_Level]]),"Unknown",I167)</f>
        <v>Platinum</v>
      </c>
      <c r="I167" t="s">
        <v>17</v>
      </c>
    </row>
    <row r="168" spans="1:9">
      <c r="A168" t="s">
        <v>393</v>
      </c>
      <c r="B168" t="s">
        <v>394</v>
      </c>
      <c r="C168" t="str">
        <f t="shared" si="2"/>
        <v>Patricia Gardner</v>
      </c>
      <c r="D168">
        <v>25</v>
      </c>
      <c r="E168" t="s">
        <v>15</v>
      </c>
      <c r="F168" t="s">
        <v>117</v>
      </c>
      <c r="G168" t="s">
        <v>11</v>
      </c>
      <c r="H168" t="str">
        <f>IF(ISBLANK(Table2[[#This Row],[Loyalty_Level]]),"Unknown",I168)</f>
        <v>Silver</v>
      </c>
      <c r="I168" t="s">
        <v>26</v>
      </c>
    </row>
    <row r="169" spans="1:9">
      <c r="A169" t="s">
        <v>395</v>
      </c>
      <c r="B169" t="s">
        <v>396</v>
      </c>
      <c r="C169" t="str">
        <f t="shared" si="2"/>
        <v>Antonio Wade</v>
      </c>
      <c r="D169">
        <v>36</v>
      </c>
      <c r="E169" t="s">
        <v>15</v>
      </c>
      <c r="F169" t="s">
        <v>175</v>
      </c>
      <c r="G169" t="s">
        <v>11</v>
      </c>
      <c r="H169" t="str">
        <f>IF(ISBLANK(Table2[[#This Row],[Loyalty_Level]]),"Unknown",I169)</f>
        <v>Gold</v>
      </c>
      <c r="I169" t="s">
        <v>12</v>
      </c>
    </row>
    <row r="170" spans="1:9">
      <c r="A170" t="s">
        <v>397</v>
      </c>
      <c r="B170" t="s">
        <v>398</v>
      </c>
      <c r="C170" t="str">
        <f t="shared" si="2"/>
        <v>Daniel Contreras</v>
      </c>
      <c r="D170">
        <v>36</v>
      </c>
      <c r="E170" t="s">
        <v>15</v>
      </c>
      <c r="F170" t="s">
        <v>184</v>
      </c>
      <c r="G170" t="s">
        <v>11</v>
      </c>
      <c r="H170" t="str">
        <f>IF(ISBLANK(Table2[[#This Row],[Loyalty_Level]]),"Unknown",I170)</f>
        <v>Platinum</v>
      </c>
      <c r="I170" t="s">
        <v>17</v>
      </c>
    </row>
    <row r="171" spans="1:9">
      <c r="A171" t="s">
        <v>399</v>
      </c>
      <c r="B171" t="s">
        <v>400</v>
      </c>
      <c r="C171" t="str">
        <f t="shared" si="2"/>
        <v>Steve Mclaughlin</v>
      </c>
      <c r="D171">
        <v>64</v>
      </c>
      <c r="E171" t="s">
        <v>9</v>
      </c>
      <c r="F171" t="s">
        <v>38</v>
      </c>
      <c r="G171" t="s">
        <v>11</v>
      </c>
      <c r="H171" t="str">
        <f>IF(ISBLANK(Table2[[#This Row],[Loyalty_Level]]),"Unknown",I171)</f>
        <v>Bronze</v>
      </c>
      <c r="I171" t="s">
        <v>22</v>
      </c>
    </row>
    <row r="172" spans="1:9">
      <c r="A172" t="s">
        <v>401</v>
      </c>
      <c r="B172" t="s">
        <v>402</v>
      </c>
      <c r="C172" t="str">
        <f t="shared" si="2"/>
        <v>Christopher Garcia Dds</v>
      </c>
      <c r="D172">
        <v>18</v>
      </c>
      <c r="E172" t="s">
        <v>9</v>
      </c>
      <c r="F172" t="s">
        <v>86</v>
      </c>
      <c r="G172" t="s">
        <v>11</v>
      </c>
      <c r="H172" t="str">
        <f>IF(ISBLANK(Table2[[#This Row],[Loyalty_Level]]),"Unknown",I172)</f>
        <v>Gold</v>
      </c>
      <c r="I172" t="s">
        <v>12</v>
      </c>
    </row>
    <row r="173" spans="1:9">
      <c r="A173" t="s">
        <v>403</v>
      </c>
      <c r="B173" t="s">
        <v>404</v>
      </c>
      <c r="C173" t="str">
        <f t="shared" si="2"/>
        <v>Amy Wilson</v>
      </c>
      <c r="D173">
        <v>44</v>
      </c>
      <c r="E173" t="s">
        <v>15</v>
      </c>
      <c r="F173" t="s">
        <v>187</v>
      </c>
      <c r="G173" t="s">
        <v>11</v>
      </c>
      <c r="H173" t="str">
        <f>IF(ISBLANK(Table2[[#This Row],[Loyalty_Level]]),"Unknown",I173)</f>
        <v>Platinum</v>
      </c>
      <c r="I173" t="s">
        <v>17</v>
      </c>
    </row>
    <row r="174" spans="1:9">
      <c r="A174" t="s">
        <v>405</v>
      </c>
      <c r="B174" t="s">
        <v>406</v>
      </c>
      <c r="C174" t="str">
        <f t="shared" si="2"/>
        <v>Thomas Rhodes</v>
      </c>
      <c r="D174">
        <v>41</v>
      </c>
      <c r="E174" t="s">
        <v>15</v>
      </c>
      <c r="F174" t="s">
        <v>35</v>
      </c>
      <c r="G174" t="s">
        <v>11</v>
      </c>
      <c r="H174" t="str">
        <f>IF(ISBLANK(Table2[[#This Row],[Loyalty_Level]]),"Unknown",I174)</f>
        <v>Bronze</v>
      </c>
      <c r="I174" t="s">
        <v>22</v>
      </c>
    </row>
    <row r="175" spans="1:9">
      <c r="A175" t="s">
        <v>407</v>
      </c>
      <c r="B175" t="s">
        <v>408</v>
      </c>
      <c r="C175" t="str">
        <f t="shared" si="2"/>
        <v>Teresa Stokes</v>
      </c>
      <c r="D175">
        <v>41</v>
      </c>
      <c r="E175" t="s">
        <v>15</v>
      </c>
      <c r="F175" t="s">
        <v>196</v>
      </c>
      <c r="G175" t="s">
        <v>3352</v>
      </c>
      <c r="H175" t="str">
        <f>IF(ISBLANK(Table2[[#This Row],[Loyalty_Level]]),"Unknown",I175)</f>
        <v>Platinum</v>
      </c>
      <c r="I175" t="s">
        <v>17</v>
      </c>
    </row>
    <row r="176" spans="1:9">
      <c r="A176" t="s">
        <v>409</v>
      </c>
      <c r="B176" t="s">
        <v>410</v>
      </c>
      <c r="C176" t="str">
        <f t="shared" si="2"/>
        <v>Maria Davis</v>
      </c>
      <c r="D176">
        <v>26</v>
      </c>
      <c r="E176" t="s">
        <v>15</v>
      </c>
      <c r="F176" t="s">
        <v>128</v>
      </c>
      <c r="G176" t="s">
        <v>11</v>
      </c>
      <c r="H176" t="str">
        <f>IF(ISBLANK(Table2[[#This Row],[Loyalty_Level]]),"Unknown",I176)</f>
        <v>Gold</v>
      </c>
      <c r="I176" t="s">
        <v>12</v>
      </c>
    </row>
    <row r="177" spans="1:9">
      <c r="A177" t="s">
        <v>411</v>
      </c>
      <c r="B177" t="s">
        <v>412</v>
      </c>
      <c r="C177" t="str">
        <f t="shared" si="2"/>
        <v>Michelle Rogers</v>
      </c>
      <c r="D177">
        <v>56</v>
      </c>
      <c r="E177" t="s">
        <v>9</v>
      </c>
      <c r="F177" t="s">
        <v>76</v>
      </c>
      <c r="G177" t="s">
        <v>11</v>
      </c>
      <c r="H177" t="str">
        <f>IF(ISBLANK(Table2[[#This Row],[Loyalty_Level]]),"Unknown",I177)</f>
        <v>Platinum</v>
      </c>
      <c r="I177" t="s">
        <v>17</v>
      </c>
    </row>
    <row r="178" spans="1:9">
      <c r="A178" t="s">
        <v>413</v>
      </c>
      <c r="B178" t="s">
        <v>414</v>
      </c>
      <c r="C178" t="str">
        <f t="shared" si="2"/>
        <v>John Bradford</v>
      </c>
      <c r="D178">
        <v>48</v>
      </c>
      <c r="E178" t="s">
        <v>9</v>
      </c>
      <c r="F178" t="s">
        <v>128</v>
      </c>
      <c r="G178" t="s">
        <v>11</v>
      </c>
      <c r="H178" t="str">
        <f>IF(ISBLANK(Table2[[#This Row],[Loyalty_Level]]),"Unknown",I178)</f>
        <v>Silver</v>
      </c>
      <c r="I178" t="s">
        <v>26</v>
      </c>
    </row>
    <row r="179" spans="1:9">
      <c r="A179" t="s">
        <v>415</v>
      </c>
      <c r="B179" t="s">
        <v>416</v>
      </c>
      <c r="C179" t="str">
        <f t="shared" si="2"/>
        <v>Curtis Lam</v>
      </c>
      <c r="D179">
        <v>55</v>
      </c>
      <c r="E179" t="s">
        <v>9</v>
      </c>
      <c r="F179" t="s">
        <v>417</v>
      </c>
      <c r="G179" t="s">
        <v>11</v>
      </c>
      <c r="H179" t="str">
        <f>IF(ISBLANK(Table2[[#This Row],[Loyalty_Level]]),"Unknown",I179)</f>
        <v>Platinum</v>
      </c>
      <c r="I179" t="s">
        <v>17</v>
      </c>
    </row>
    <row r="180" spans="1:9">
      <c r="A180" t="s">
        <v>418</v>
      </c>
      <c r="B180" t="s">
        <v>419</v>
      </c>
      <c r="C180" t="str">
        <f t="shared" si="2"/>
        <v>Michelle Myers</v>
      </c>
      <c r="D180">
        <v>33</v>
      </c>
      <c r="E180" t="s">
        <v>15</v>
      </c>
      <c r="F180" t="s">
        <v>231</v>
      </c>
      <c r="G180" t="s">
        <v>11</v>
      </c>
      <c r="H180" t="str">
        <f>IF(ISBLANK(Table2[[#This Row],[Loyalty_Level]]),"Unknown",I180)</f>
        <v>Bronze</v>
      </c>
      <c r="I180" t="s">
        <v>22</v>
      </c>
    </row>
    <row r="181" spans="1:9">
      <c r="A181" t="s">
        <v>420</v>
      </c>
      <c r="B181" t="s">
        <v>421</v>
      </c>
      <c r="C181" t="str">
        <f t="shared" si="2"/>
        <v>Nicholas Bradshaw</v>
      </c>
      <c r="D181">
        <v>43</v>
      </c>
      <c r="E181" t="s">
        <v>15</v>
      </c>
      <c r="F181" t="s">
        <v>89</v>
      </c>
      <c r="G181" t="s">
        <v>11</v>
      </c>
      <c r="H181" t="str">
        <f>IF(ISBLANK(Table2[[#This Row],[Loyalty_Level]]),"Unknown",I181)</f>
        <v>Silver</v>
      </c>
      <c r="I181" t="s">
        <v>26</v>
      </c>
    </row>
    <row r="182" spans="1:9">
      <c r="A182" t="s">
        <v>422</v>
      </c>
      <c r="B182" t="s">
        <v>423</v>
      </c>
      <c r="C182" t="str">
        <f t="shared" si="2"/>
        <v>Wesley Thompson</v>
      </c>
      <c r="D182">
        <v>38</v>
      </c>
      <c r="E182" t="s">
        <v>9</v>
      </c>
      <c r="F182" t="s">
        <v>312</v>
      </c>
      <c r="G182" t="s">
        <v>11</v>
      </c>
      <c r="H182" t="str">
        <f>IF(ISBLANK(Table2[[#This Row],[Loyalty_Level]]),"Unknown",I182)</f>
        <v>Bronze</v>
      </c>
      <c r="I182" t="s">
        <v>22</v>
      </c>
    </row>
    <row r="183" spans="1:9">
      <c r="A183" t="s">
        <v>424</v>
      </c>
      <c r="B183" t="s">
        <v>425</v>
      </c>
      <c r="C183" t="str">
        <f t="shared" si="2"/>
        <v>Erin Ward</v>
      </c>
      <c r="D183">
        <v>60</v>
      </c>
      <c r="E183" t="s">
        <v>9</v>
      </c>
      <c r="F183" t="s">
        <v>46</v>
      </c>
      <c r="G183" t="s">
        <v>11</v>
      </c>
      <c r="H183" t="str">
        <f>IF(ISBLANK(Table2[[#This Row],[Loyalty_Level]]),"Unknown",I183)</f>
        <v>Bronze</v>
      </c>
      <c r="I183" t="s">
        <v>22</v>
      </c>
    </row>
    <row r="184" spans="1:9">
      <c r="A184" t="s">
        <v>426</v>
      </c>
      <c r="B184" t="s">
        <v>427</v>
      </c>
      <c r="C184" t="str">
        <f t="shared" si="2"/>
        <v>Melissa Hamilton</v>
      </c>
      <c r="D184">
        <v>23</v>
      </c>
      <c r="E184" t="s">
        <v>15</v>
      </c>
      <c r="F184" t="s">
        <v>74</v>
      </c>
      <c r="G184" t="s">
        <v>11</v>
      </c>
      <c r="H184" t="str">
        <f>IF(ISBLANK(Table2[[#This Row],[Loyalty_Level]]),"Unknown",I184)</f>
        <v>Silver</v>
      </c>
      <c r="I184" t="s">
        <v>26</v>
      </c>
    </row>
    <row r="185" spans="1:9">
      <c r="A185" t="s">
        <v>428</v>
      </c>
      <c r="B185" t="s">
        <v>429</v>
      </c>
      <c r="C185" t="str">
        <f t="shared" si="2"/>
        <v>Mario Jacobs</v>
      </c>
      <c r="D185">
        <v>18</v>
      </c>
      <c r="E185" t="s">
        <v>9</v>
      </c>
      <c r="F185" t="s">
        <v>46</v>
      </c>
      <c r="G185" t="s">
        <v>11</v>
      </c>
      <c r="H185" t="str">
        <f>IF(ISBLANK(Table2[[#This Row],[Loyalty_Level]]),"Unknown",I185)</f>
        <v>Platinum</v>
      </c>
      <c r="I185" t="s">
        <v>17</v>
      </c>
    </row>
    <row r="186" spans="1:9">
      <c r="A186" t="s">
        <v>430</v>
      </c>
      <c r="B186" t="s">
        <v>431</v>
      </c>
      <c r="C186" t="str">
        <f t="shared" si="2"/>
        <v>Leonard Cochran</v>
      </c>
      <c r="D186">
        <v>46</v>
      </c>
      <c r="E186" t="s">
        <v>15</v>
      </c>
      <c r="F186" t="s">
        <v>16</v>
      </c>
      <c r="G186" t="s">
        <v>11</v>
      </c>
      <c r="H186" t="str">
        <f>IF(ISBLANK(Table2[[#This Row],[Loyalty_Level]]),"Unknown",I186)</f>
        <v>Silver</v>
      </c>
      <c r="I186" t="s">
        <v>26</v>
      </c>
    </row>
    <row r="187" spans="1:9">
      <c r="A187" t="s">
        <v>432</v>
      </c>
      <c r="B187" t="s">
        <v>433</v>
      </c>
      <c r="C187" t="str">
        <f t="shared" si="2"/>
        <v>Brent Rivas</v>
      </c>
      <c r="D187">
        <v>54</v>
      </c>
      <c r="E187" t="s">
        <v>15</v>
      </c>
      <c r="F187" t="s">
        <v>68</v>
      </c>
      <c r="G187" t="s">
        <v>11</v>
      </c>
      <c r="H187" t="str">
        <f>IF(ISBLANK(Table2[[#This Row],[Loyalty_Level]]),"Unknown",I187)</f>
        <v>Platinum</v>
      </c>
      <c r="I187" t="s">
        <v>17</v>
      </c>
    </row>
    <row r="188" spans="1:9">
      <c r="A188" t="s">
        <v>434</v>
      </c>
      <c r="B188" t="s">
        <v>435</v>
      </c>
      <c r="C188" t="str">
        <f t="shared" si="2"/>
        <v>Jennifer Pruitt</v>
      </c>
      <c r="D188">
        <v>53</v>
      </c>
      <c r="E188" t="s">
        <v>9</v>
      </c>
      <c r="F188" t="s">
        <v>86</v>
      </c>
      <c r="G188" t="s">
        <v>11</v>
      </c>
      <c r="H188" t="str">
        <f>IF(ISBLANK(Table2[[#This Row],[Loyalty_Level]]),"Unknown",I188)</f>
        <v>Silver</v>
      </c>
      <c r="I188" t="s">
        <v>26</v>
      </c>
    </row>
    <row r="189" spans="1:9">
      <c r="A189" t="s">
        <v>436</v>
      </c>
      <c r="B189" t="s">
        <v>437</v>
      </c>
      <c r="C189" t="str">
        <f t="shared" si="2"/>
        <v>Dr. Suzanne Bullock</v>
      </c>
      <c r="D189">
        <v>60</v>
      </c>
      <c r="E189" t="s">
        <v>15</v>
      </c>
      <c r="F189" t="s">
        <v>19</v>
      </c>
      <c r="G189" t="s">
        <v>11</v>
      </c>
      <c r="H189" t="str">
        <f>IF(ISBLANK(Table2[[#This Row],[Loyalty_Level]]),"Unknown",I189)</f>
        <v>Platinum</v>
      </c>
      <c r="I189" t="s">
        <v>17</v>
      </c>
    </row>
    <row r="190" spans="1:9">
      <c r="A190" t="s">
        <v>438</v>
      </c>
      <c r="B190" t="s">
        <v>439</v>
      </c>
      <c r="C190" t="str">
        <f t="shared" si="2"/>
        <v>Kimberly Brooks</v>
      </c>
      <c r="D190">
        <v>42</v>
      </c>
      <c r="E190" t="s">
        <v>9</v>
      </c>
      <c r="F190" t="s">
        <v>172</v>
      </c>
      <c r="G190" t="s">
        <v>11</v>
      </c>
      <c r="H190" t="str">
        <f>IF(ISBLANK(Table2[[#This Row],[Loyalty_Level]]),"Unknown",I190)</f>
        <v>Silver</v>
      </c>
      <c r="I190" t="s">
        <v>26</v>
      </c>
    </row>
    <row r="191" spans="1:9">
      <c r="A191" t="s">
        <v>440</v>
      </c>
      <c r="B191" t="s">
        <v>441</v>
      </c>
      <c r="C191" t="str">
        <f t="shared" si="2"/>
        <v>Daniel Austin</v>
      </c>
      <c r="D191">
        <v>29</v>
      </c>
      <c r="E191" t="s">
        <v>9</v>
      </c>
      <c r="F191" t="s">
        <v>417</v>
      </c>
      <c r="G191" t="s">
        <v>11</v>
      </c>
      <c r="H191" t="str">
        <f>IF(ISBLANK(Table2[[#This Row],[Loyalty_Level]]),"Unknown",I191)</f>
        <v>Gold</v>
      </c>
      <c r="I191" t="s">
        <v>12</v>
      </c>
    </row>
    <row r="192" spans="1:9">
      <c r="A192" t="s">
        <v>442</v>
      </c>
      <c r="B192" t="s">
        <v>443</v>
      </c>
      <c r="C192" t="str">
        <f t="shared" si="2"/>
        <v>Christopher Stewart</v>
      </c>
      <c r="D192">
        <v>21</v>
      </c>
      <c r="E192" t="s">
        <v>9</v>
      </c>
      <c r="F192" t="s">
        <v>46</v>
      </c>
      <c r="G192" t="s">
        <v>11</v>
      </c>
      <c r="H192" t="str">
        <f>IF(ISBLANK(Table2[[#This Row],[Loyalty_Level]]),"Unknown",I192)</f>
        <v>Bronze</v>
      </c>
      <c r="I192" t="s">
        <v>22</v>
      </c>
    </row>
    <row r="193" spans="1:9">
      <c r="A193" t="s">
        <v>444</v>
      </c>
      <c r="B193" t="s">
        <v>445</v>
      </c>
      <c r="C193" t="str">
        <f t="shared" si="2"/>
        <v>Todd Poole</v>
      </c>
      <c r="D193">
        <v>29</v>
      </c>
      <c r="E193" t="s">
        <v>15</v>
      </c>
      <c r="F193" t="s">
        <v>21</v>
      </c>
      <c r="G193" t="s">
        <v>11</v>
      </c>
      <c r="H193" t="str">
        <f>IF(ISBLANK(Table2[[#This Row],[Loyalty_Level]]),"Unknown",I193)</f>
        <v>Bronze</v>
      </c>
      <c r="I193" t="s">
        <v>22</v>
      </c>
    </row>
    <row r="194" spans="1:9">
      <c r="A194" t="s">
        <v>446</v>
      </c>
      <c r="B194" t="s">
        <v>447</v>
      </c>
      <c r="C194" t="str">
        <f t="shared" ref="C194:C257" si="3">PROPER(TRIM(B194))</f>
        <v>Jacob Wood</v>
      </c>
      <c r="D194">
        <v>26</v>
      </c>
      <c r="E194" t="s">
        <v>9</v>
      </c>
      <c r="F194" t="s">
        <v>81</v>
      </c>
      <c r="G194" t="s">
        <v>11</v>
      </c>
      <c r="H194" t="str">
        <f>IF(ISBLANK(Table2[[#This Row],[Loyalty_Level]]),"Unknown",I194)</f>
        <v>Gold</v>
      </c>
      <c r="I194" t="s">
        <v>12</v>
      </c>
    </row>
    <row r="195" spans="1:9">
      <c r="A195" t="s">
        <v>448</v>
      </c>
      <c r="B195" t="s">
        <v>449</v>
      </c>
      <c r="C195" t="str">
        <f t="shared" si="3"/>
        <v>David Roberts</v>
      </c>
      <c r="D195">
        <v>38</v>
      </c>
      <c r="E195" t="s">
        <v>9</v>
      </c>
      <c r="F195" t="s">
        <v>63</v>
      </c>
      <c r="G195" t="s">
        <v>11</v>
      </c>
      <c r="H195" t="str">
        <f>IF(ISBLANK(Table2[[#This Row],[Loyalty_Level]]),"Unknown",I195)</f>
        <v>Gold</v>
      </c>
      <c r="I195" t="s">
        <v>12</v>
      </c>
    </row>
    <row r="196" spans="1:9">
      <c r="A196" t="s">
        <v>450</v>
      </c>
      <c r="B196" t="s">
        <v>451</v>
      </c>
      <c r="C196" t="str">
        <f t="shared" si="3"/>
        <v>Ashley Ferguson</v>
      </c>
      <c r="D196">
        <v>46</v>
      </c>
      <c r="E196" t="s">
        <v>9</v>
      </c>
      <c r="F196" t="s">
        <v>41</v>
      </c>
      <c r="G196" t="s">
        <v>11</v>
      </c>
      <c r="H196" t="str">
        <f>IF(ISBLANK(Table2[[#This Row],[Loyalty_Level]]),"Unknown",I196)</f>
        <v>Gold</v>
      </c>
      <c r="I196" t="s">
        <v>12</v>
      </c>
    </row>
    <row r="197" spans="1:9">
      <c r="A197" t="s">
        <v>452</v>
      </c>
      <c r="B197" t="s">
        <v>453</v>
      </c>
      <c r="C197" t="str">
        <f t="shared" si="3"/>
        <v>Anthony Garcia</v>
      </c>
      <c r="D197">
        <v>60</v>
      </c>
      <c r="E197" t="s">
        <v>9</v>
      </c>
      <c r="F197" t="s">
        <v>101</v>
      </c>
      <c r="G197" t="s">
        <v>11</v>
      </c>
      <c r="H197" t="str">
        <f>IF(ISBLANK(Table2[[#This Row],[Loyalty_Level]]),"Unknown",I197)</f>
        <v>Silver</v>
      </c>
      <c r="I197" t="s">
        <v>26</v>
      </c>
    </row>
    <row r="198" spans="1:9">
      <c r="A198" t="s">
        <v>454</v>
      </c>
      <c r="B198" t="s">
        <v>455</v>
      </c>
      <c r="C198" t="str">
        <f t="shared" si="3"/>
        <v>Megan Greer</v>
      </c>
      <c r="D198">
        <v>18</v>
      </c>
      <c r="E198" t="s">
        <v>15</v>
      </c>
      <c r="F198" t="s">
        <v>122</v>
      </c>
      <c r="G198" t="s">
        <v>11</v>
      </c>
      <c r="H198" t="str">
        <f>IF(ISBLANK(Table2[[#This Row],[Loyalty_Level]]),"Unknown",I198)</f>
        <v>Platinum</v>
      </c>
      <c r="I198" t="s">
        <v>17</v>
      </c>
    </row>
    <row r="199" spans="1:9">
      <c r="A199" t="s">
        <v>456</v>
      </c>
      <c r="B199" t="s">
        <v>457</v>
      </c>
      <c r="C199" t="str">
        <f t="shared" si="3"/>
        <v>Andrea Jacobs</v>
      </c>
      <c r="D199">
        <v>45</v>
      </c>
      <c r="E199" t="s">
        <v>15</v>
      </c>
      <c r="F199" t="s">
        <v>149</v>
      </c>
      <c r="G199" t="s">
        <v>11</v>
      </c>
      <c r="H199" t="str">
        <f>IF(ISBLANK(Table2[[#This Row],[Loyalty_Level]]),"Unknown",I199)</f>
        <v>Platinum</v>
      </c>
      <c r="I199" t="s">
        <v>17</v>
      </c>
    </row>
    <row r="200" spans="1:9">
      <c r="A200" t="s">
        <v>458</v>
      </c>
      <c r="B200" t="s">
        <v>459</v>
      </c>
      <c r="C200" t="str">
        <f t="shared" si="3"/>
        <v>Wanda Snyder</v>
      </c>
      <c r="D200">
        <v>54</v>
      </c>
      <c r="E200" t="s">
        <v>9</v>
      </c>
      <c r="F200" t="s">
        <v>128</v>
      </c>
      <c r="G200" t="s">
        <v>11</v>
      </c>
      <c r="H200" t="str">
        <f>IF(ISBLANK(Table2[[#This Row],[Loyalty_Level]]),"Unknown",I200)</f>
        <v>Bronze</v>
      </c>
      <c r="I200" t="s">
        <v>22</v>
      </c>
    </row>
    <row r="201" spans="1:9">
      <c r="A201" t="s">
        <v>460</v>
      </c>
      <c r="B201" t="s">
        <v>461</v>
      </c>
      <c r="C201" t="str">
        <f t="shared" si="3"/>
        <v>Carmen Price</v>
      </c>
      <c r="D201">
        <v>46</v>
      </c>
      <c r="E201" t="s">
        <v>9</v>
      </c>
      <c r="F201" t="s">
        <v>175</v>
      </c>
      <c r="G201" t="s">
        <v>11</v>
      </c>
      <c r="H201" t="str">
        <f>IF(ISBLANK(Table2[[#This Row],[Loyalty_Level]]),"Unknown",I201)</f>
        <v>Bronze</v>
      </c>
      <c r="I201" t="s">
        <v>22</v>
      </c>
    </row>
    <row r="202" spans="1:9">
      <c r="A202" t="s">
        <v>462</v>
      </c>
      <c r="B202" t="s">
        <v>463</v>
      </c>
      <c r="C202" t="str">
        <f t="shared" si="3"/>
        <v>Anna Perez</v>
      </c>
      <c r="D202">
        <v>30</v>
      </c>
      <c r="E202" t="s">
        <v>9</v>
      </c>
      <c r="F202" t="s">
        <v>312</v>
      </c>
      <c r="G202" t="s">
        <v>11</v>
      </c>
      <c r="H202" t="str">
        <f>IF(ISBLANK(Table2[[#This Row],[Loyalty_Level]]),"Unknown",I202)</f>
        <v>Platinum</v>
      </c>
      <c r="I202" t="s">
        <v>17</v>
      </c>
    </row>
    <row r="203" spans="1:9">
      <c r="A203" t="s">
        <v>464</v>
      </c>
      <c r="B203" t="s">
        <v>465</v>
      </c>
      <c r="C203" t="str">
        <f t="shared" si="3"/>
        <v>Mary Boyd</v>
      </c>
      <c r="D203">
        <v>25</v>
      </c>
      <c r="E203" t="s">
        <v>15</v>
      </c>
      <c r="F203" t="s">
        <v>117</v>
      </c>
      <c r="G203" t="s">
        <v>11</v>
      </c>
      <c r="H203" t="str">
        <f>IF(ISBLANK(Table2[[#This Row],[Loyalty_Level]]),"Unknown",I203)</f>
        <v>Bronze</v>
      </c>
      <c r="I203" t="s">
        <v>22</v>
      </c>
    </row>
    <row r="204" spans="1:9">
      <c r="A204" t="s">
        <v>466</v>
      </c>
      <c r="B204" t="s">
        <v>467</v>
      </c>
      <c r="C204" t="str">
        <f t="shared" si="3"/>
        <v>Christina Garcia</v>
      </c>
      <c r="D204">
        <v>37</v>
      </c>
      <c r="E204" t="s">
        <v>15</v>
      </c>
      <c r="F204" t="s">
        <v>49</v>
      </c>
      <c r="G204" t="s">
        <v>11</v>
      </c>
      <c r="H204" t="str">
        <f>IF(ISBLANK(Table2[[#This Row],[Loyalty_Level]]),"Unknown",I204)</f>
        <v>Platinum</v>
      </c>
      <c r="I204" t="s">
        <v>17</v>
      </c>
    </row>
    <row r="205" spans="1:9">
      <c r="A205" t="s">
        <v>468</v>
      </c>
      <c r="B205" t="s">
        <v>469</v>
      </c>
      <c r="C205" t="str">
        <f t="shared" si="3"/>
        <v>Sarah Brady</v>
      </c>
      <c r="D205">
        <v>47</v>
      </c>
      <c r="E205" t="s">
        <v>9</v>
      </c>
      <c r="F205" t="s">
        <v>196</v>
      </c>
      <c r="G205" t="s">
        <v>11</v>
      </c>
      <c r="H205" t="str">
        <f>IF(ISBLANK(Table2[[#This Row],[Loyalty_Level]]),"Unknown",I205)</f>
        <v>Platinum</v>
      </c>
      <c r="I205" t="s">
        <v>17</v>
      </c>
    </row>
    <row r="206" spans="1:9">
      <c r="A206" t="s">
        <v>470</v>
      </c>
      <c r="B206" t="s">
        <v>471</v>
      </c>
      <c r="C206" t="str">
        <f t="shared" si="3"/>
        <v>Tiffany Herrera</v>
      </c>
      <c r="D206">
        <v>52</v>
      </c>
      <c r="E206" t="s">
        <v>9</v>
      </c>
      <c r="F206" t="s">
        <v>210</v>
      </c>
      <c r="G206" t="s">
        <v>11</v>
      </c>
      <c r="H206" t="str">
        <f>IF(ISBLANK(Table2[[#This Row],[Loyalty_Level]]),"Unknown",I206)</f>
        <v>Platinum</v>
      </c>
      <c r="I206" t="s">
        <v>17</v>
      </c>
    </row>
    <row r="207" spans="1:9">
      <c r="A207" t="s">
        <v>472</v>
      </c>
      <c r="B207" t="s">
        <v>473</v>
      </c>
      <c r="C207" t="str">
        <f t="shared" si="3"/>
        <v>Michelle Carpenter</v>
      </c>
      <c r="D207">
        <v>44</v>
      </c>
      <c r="E207" t="s">
        <v>15</v>
      </c>
      <c r="F207" t="s">
        <v>68</v>
      </c>
      <c r="G207" t="s">
        <v>11</v>
      </c>
      <c r="H207" t="str">
        <f>IF(ISBLANK(Table2[[#This Row],[Loyalty_Level]]),"Unknown",I207)</f>
        <v>Gold</v>
      </c>
      <c r="I207" t="s">
        <v>12</v>
      </c>
    </row>
    <row r="208" spans="1:9">
      <c r="A208" t="s">
        <v>474</v>
      </c>
      <c r="B208" t="s">
        <v>475</v>
      </c>
      <c r="C208" t="str">
        <f t="shared" si="3"/>
        <v>Ronald Jones</v>
      </c>
      <c r="D208">
        <v>26</v>
      </c>
      <c r="E208" t="s">
        <v>15</v>
      </c>
      <c r="F208" t="s">
        <v>175</v>
      </c>
      <c r="G208" t="s">
        <v>11</v>
      </c>
      <c r="H208" t="str">
        <f>IF(ISBLANK(Table2[[#This Row],[Loyalty_Level]]),"Unknown",I208)</f>
        <v>Silver</v>
      </c>
      <c r="I208" t="s">
        <v>26</v>
      </c>
    </row>
    <row r="209" spans="1:9">
      <c r="A209" t="s">
        <v>476</v>
      </c>
      <c r="B209" t="s">
        <v>477</v>
      </c>
      <c r="C209" t="str">
        <f t="shared" si="3"/>
        <v>Jacqueline Pacheco</v>
      </c>
      <c r="D209">
        <v>28</v>
      </c>
      <c r="E209" t="s">
        <v>15</v>
      </c>
      <c r="F209" t="s">
        <v>68</v>
      </c>
      <c r="G209" t="s">
        <v>11</v>
      </c>
      <c r="H209" t="str">
        <f>IF(ISBLANK(Table2[[#This Row],[Loyalty_Level]]),"Unknown",I209)</f>
        <v>Bronze</v>
      </c>
      <c r="I209" t="s">
        <v>22</v>
      </c>
    </row>
    <row r="210" spans="1:9">
      <c r="A210" t="s">
        <v>478</v>
      </c>
      <c r="B210" t="s">
        <v>479</v>
      </c>
      <c r="C210" t="str">
        <f t="shared" si="3"/>
        <v>John Perez</v>
      </c>
      <c r="D210">
        <v>54</v>
      </c>
      <c r="E210" t="s">
        <v>9</v>
      </c>
      <c r="F210" t="s">
        <v>239</v>
      </c>
      <c r="G210" t="s">
        <v>11</v>
      </c>
      <c r="H210" t="str">
        <f>IF(ISBLANK(Table2[[#This Row],[Loyalty_Level]]),"Unknown",I210)</f>
        <v>Platinum</v>
      </c>
      <c r="I210" t="s">
        <v>17</v>
      </c>
    </row>
    <row r="211" spans="1:9">
      <c r="A211" t="s">
        <v>480</v>
      </c>
      <c r="B211" t="s">
        <v>481</v>
      </c>
      <c r="C211" t="str">
        <f t="shared" si="3"/>
        <v>Joan Johnson</v>
      </c>
      <c r="D211">
        <v>50</v>
      </c>
      <c r="E211" t="s">
        <v>15</v>
      </c>
      <c r="F211" t="s">
        <v>312</v>
      </c>
      <c r="G211" t="s">
        <v>11</v>
      </c>
      <c r="H211" t="str">
        <f>IF(ISBLANK(Table2[[#This Row],[Loyalty_Level]]),"Unknown",I211)</f>
        <v>Platinum</v>
      </c>
      <c r="I211" t="s">
        <v>17</v>
      </c>
    </row>
    <row r="212" spans="1:9">
      <c r="A212" t="s">
        <v>482</v>
      </c>
      <c r="B212" t="s">
        <v>483</v>
      </c>
      <c r="C212" t="str">
        <f t="shared" si="3"/>
        <v>Antonio Jones</v>
      </c>
      <c r="D212">
        <v>48</v>
      </c>
      <c r="E212" t="s">
        <v>9</v>
      </c>
      <c r="F212" t="s">
        <v>63</v>
      </c>
      <c r="G212" t="s">
        <v>11</v>
      </c>
      <c r="H212" t="str">
        <f>IF(ISBLANK(Table2[[#This Row],[Loyalty_Level]]),"Unknown",I212)</f>
        <v>Silver</v>
      </c>
      <c r="I212" t="s">
        <v>26</v>
      </c>
    </row>
    <row r="213" spans="1:9">
      <c r="A213" t="s">
        <v>484</v>
      </c>
      <c r="B213" t="s">
        <v>485</v>
      </c>
      <c r="C213" t="str">
        <f t="shared" si="3"/>
        <v>Rodney Huffman</v>
      </c>
      <c r="D213">
        <v>20</v>
      </c>
      <c r="E213" t="s">
        <v>15</v>
      </c>
      <c r="F213" t="s">
        <v>71</v>
      </c>
      <c r="G213" t="s">
        <v>11</v>
      </c>
      <c r="H213" t="str">
        <f>IF(ISBLANK(Table2[[#This Row],[Loyalty_Level]]),"Unknown",I213)</f>
        <v>Silver</v>
      </c>
      <c r="I213" t="s">
        <v>26</v>
      </c>
    </row>
    <row r="214" spans="1:9">
      <c r="A214" t="s">
        <v>486</v>
      </c>
      <c r="B214" t="s">
        <v>487</v>
      </c>
      <c r="C214" t="str">
        <f t="shared" si="3"/>
        <v>Blake Harrison</v>
      </c>
      <c r="D214">
        <v>63</v>
      </c>
      <c r="E214" t="s">
        <v>15</v>
      </c>
      <c r="F214" t="s">
        <v>58</v>
      </c>
      <c r="G214" t="s">
        <v>11</v>
      </c>
      <c r="H214" t="str">
        <f>IF(ISBLANK(Table2[[#This Row],[Loyalty_Level]]),"Unknown",I214)</f>
        <v>Platinum</v>
      </c>
      <c r="I214" t="s">
        <v>17</v>
      </c>
    </row>
    <row r="215" spans="1:9">
      <c r="A215" t="s">
        <v>488</v>
      </c>
      <c r="B215" t="s">
        <v>489</v>
      </c>
      <c r="C215" t="str">
        <f t="shared" si="3"/>
        <v>Stuart Johnson</v>
      </c>
      <c r="D215">
        <v>42</v>
      </c>
      <c r="E215" t="s">
        <v>15</v>
      </c>
      <c r="F215" t="s">
        <v>16</v>
      </c>
      <c r="G215" t="s">
        <v>11</v>
      </c>
      <c r="H215" t="str">
        <f>IF(ISBLANK(Table2[[#This Row],[Loyalty_Level]]),"Unknown",I215)</f>
        <v>Platinum</v>
      </c>
      <c r="I215" t="s">
        <v>17</v>
      </c>
    </row>
    <row r="216" spans="1:9">
      <c r="A216" t="s">
        <v>490</v>
      </c>
      <c r="B216" t="s">
        <v>491</v>
      </c>
      <c r="C216" t="str">
        <f t="shared" si="3"/>
        <v>Eric Todd</v>
      </c>
      <c r="D216">
        <v>61</v>
      </c>
      <c r="E216" t="s">
        <v>9</v>
      </c>
      <c r="F216" t="s">
        <v>52</v>
      </c>
      <c r="G216" t="s">
        <v>11</v>
      </c>
      <c r="H216" t="str">
        <f>IF(ISBLANK(Table2[[#This Row],[Loyalty_Level]]),"Unknown",I216)</f>
        <v>Gold</v>
      </c>
      <c r="I216" t="s">
        <v>12</v>
      </c>
    </row>
    <row r="217" spans="1:9">
      <c r="A217" t="s">
        <v>492</v>
      </c>
      <c r="B217" t="s">
        <v>493</v>
      </c>
      <c r="C217" t="str">
        <f t="shared" si="3"/>
        <v>Steve Medina</v>
      </c>
      <c r="D217">
        <v>50</v>
      </c>
      <c r="E217" t="s">
        <v>15</v>
      </c>
      <c r="F217" t="s">
        <v>29</v>
      </c>
      <c r="G217" t="s">
        <v>11</v>
      </c>
      <c r="H217" t="str">
        <f>IF(ISBLANK(Table2[[#This Row],[Loyalty_Level]]),"Unknown",I217)</f>
        <v>Gold</v>
      </c>
      <c r="I217" t="s">
        <v>12</v>
      </c>
    </row>
    <row r="218" spans="1:9">
      <c r="A218" t="s">
        <v>494</v>
      </c>
      <c r="B218" t="s">
        <v>495</v>
      </c>
      <c r="C218" t="str">
        <f t="shared" si="3"/>
        <v>Kathryn Garcia</v>
      </c>
      <c r="D218">
        <v>44</v>
      </c>
      <c r="E218" t="s">
        <v>9</v>
      </c>
      <c r="F218" t="s">
        <v>25</v>
      </c>
      <c r="G218" t="s">
        <v>11</v>
      </c>
      <c r="H218" t="str">
        <f>IF(ISBLANK(Table2[[#This Row],[Loyalty_Level]]),"Unknown",I218)</f>
        <v>Platinum</v>
      </c>
      <c r="I218" t="s">
        <v>17</v>
      </c>
    </row>
    <row r="219" spans="1:9">
      <c r="A219" t="s">
        <v>496</v>
      </c>
      <c r="B219" t="s">
        <v>497</v>
      </c>
      <c r="C219" t="str">
        <f t="shared" si="3"/>
        <v>Kathy Copeland</v>
      </c>
      <c r="D219">
        <v>42</v>
      </c>
      <c r="E219" t="s">
        <v>9</v>
      </c>
      <c r="F219" t="s">
        <v>86</v>
      </c>
      <c r="G219" t="s">
        <v>11</v>
      </c>
      <c r="H219" t="str">
        <f>IF(ISBLANK(Table2[[#This Row],[Loyalty_Level]]),"Unknown",I219)</f>
        <v>Silver</v>
      </c>
      <c r="I219" t="s">
        <v>26</v>
      </c>
    </row>
    <row r="220" spans="1:9">
      <c r="A220" t="s">
        <v>498</v>
      </c>
      <c r="B220" t="s">
        <v>499</v>
      </c>
      <c r="C220" t="str">
        <f t="shared" si="3"/>
        <v>Julia Jackson</v>
      </c>
      <c r="D220">
        <v>46</v>
      </c>
      <c r="E220" t="s">
        <v>9</v>
      </c>
      <c r="F220" t="s">
        <v>25</v>
      </c>
      <c r="G220" t="s">
        <v>11</v>
      </c>
      <c r="H220" t="str">
        <f>IF(ISBLANK(Table2[[#This Row],[Loyalty_Level]]),"Unknown",I220)</f>
        <v>Platinum</v>
      </c>
      <c r="I220" t="s">
        <v>17</v>
      </c>
    </row>
    <row r="221" spans="1:9">
      <c r="A221" t="s">
        <v>500</v>
      </c>
      <c r="B221" t="s">
        <v>501</v>
      </c>
      <c r="C221" t="str">
        <f t="shared" si="3"/>
        <v>Jordan Wells</v>
      </c>
      <c r="D221">
        <v>47</v>
      </c>
      <c r="E221" t="s">
        <v>15</v>
      </c>
      <c r="F221" t="s">
        <v>68</v>
      </c>
      <c r="G221" t="s">
        <v>11</v>
      </c>
      <c r="H221" t="str">
        <f>IF(ISBLANK(Table2[[#This Row],[Loyalty_Level]]),"Unknown",I221)</f>
        <v>Gold</v>
      </c>
      <c r="I221" t="s">
        <v>12</v>
      </c>
    </row>
    <row r="222" spans="1:9">
      <c r="A222" t="s">
        <v>502</v>
      </c>
      <c r="B222" t="s">
        <v>503</v>
      </c>
      <c r="C222" t="str">
        <f t="shared" si="3"/>
        <v>George Davis</v>
      </c>
      <c r="D222">
        <v>50</v>
      </c>
      <c r="E222" t="s">
        <v>15</v>
      </c>
      <c r="F222" t="s">
        <v>504</v>
      </c>
      <c r="G222" t="s">
        <v>3352</v>
      </c>
      <c r="H222" t="str">
        <f>IF(ISBLANK(Table2[[#This Row],[Loyalty_Level]]),"Unknown",I222)</f>
        <v>Bronze</v>
      </c>
      <c r="I222" t="s">
        <v>22</v>
      </c>
    </row>
    <row r="223" spans="1:9">
      <c r="A223" t="s">
        <v>505</v>
      </c>
      <c r="B223" t="s">
        <v>506</v>
      </c>
      <c r="C223" t="str">
        <f t="shared" si="3"/>
        <v>Lisa Young</v>
      </c>
      <c r="D223">
        <v>38</v>
      </c>
      <c r="E223" t="s">
        <v>9</v>
      </c>
      <c r="F223" t="s">
        <v>63</v>
      </c>
      <c r="G223" t="s">
        <v>11</v>
      </c>
      <c r="H223" t="str">
        <f>IF(ISBLANK(Table2[[#This Row],[Loyalty_Level]]),"Unknown",I223)</f>
        <v>Platinum</v>
      </c>
      <c r="I223" t="s">
        <v>17</v>
      </c>
    </row>
    <row r="224" spans="1:9">
      <c r="A224" t="s">
        <v>507</v>
      </c>
      <c r="B224" t="s">
        <v>508</v>
      </c>
      <c r="C224" t="str">
        <f t="shared" si="3"/>
        <v>Alejandro Doyle</v>
      </c>
      <c r="D224">
        <v>35</v>
      </c>
      <c r="E224" t="s">
        <v>9</v>
      </c>
      <c r="F224" t="s">
        <v>172</v>
      </c>
      <c r="G224" t="s">
        <v>11</v>
      </c>
      <c r="H224" t="str">
        <f>IF(ISBLANK(Table2[[#This Row],[Loyalty_Level]]),"Unknown",I224)</f>
        <v>Platinum</v>
      </c>
      <c r="I224" t="s">
        <v>17</v>
      </c>
    </row>
    <row r="225" spans="1:9">
      <c r="A225" t="s">
        <v>509</v>
      </c>
      <c r="B225" t="s">
        <v>510</v>
      </c>
      <c r="C225" t="str">
        <f t="shared" si="3"/>
        <v>Robert Harris</v>
      </c>
      <c r="D225">
        <v>50</v>
      </c>
      <c r="E225" t="s">
        <v>9</v>
      </c>
      <c r="F225" t="s">
        <v>196</v>
      </c>
      <c r="G225" t="s">
        <v>11</v>
      </c>
      <c r="H225" t="str">
        <f>IF(ISBLANK(Table2[[#This Row],[Loyalty_Level]]),"Unknown",I225)</f>
        <v>Platinum</v>
      </c>
      <c r="I225" t="s">
        <v>17</v>
      </c>
    </row>
    <row r="226" spans="1:9">
      <c r="A226" t="s">
        <v>511</v>
      </c>
      <c r="B226" t="s">
        <v>512</v>
      </c>
      <c r="C226" t="str">
        <f t="shared" si="3"/>
        <v>Anthony Morgan</v>
      </c>
      <c r="D226">
        <v>29</v>
      </c>
      <c r="E226" t="s">
        <v>9</v>
      </c>
      <c r="F226" t="s">
        <v>86</v>
      </c>
      <c r="G226" t="s">
        <v>11</v>
      </c>
      <c r="H226" t="str">
        <f>IF(ISBLANK(Table2[[#This Row],[Loyalty_Level]]),"Unknown",I226)</f>
        <v>Silver</v>
      </c>
      <c r="I226" t="s">
        <v>26</v>
      </c>
    </row>
    <row r="227" spans="1:9">
      <c r="A227" t="s">
        <v>513</v>
      </c>
      <c r="B227" t="s">
        <v>514</v>
      </c>
      <c r="C227" t="str">
        <f t="shared" si="3"/>
        <v>Elizabeth Stanley</v>
      </c>
      <c r="D227">
        <v>46</v>
      </c>
      <c r="E227" t="s">
        <v>15</v>
      </c>
      <c r="F227" t="s">
        <v>89</v>
      </c>
      <c r="G227" t="s">
        <v>11</v>
      </c>
      <c r="H227" t="str">
        <f>IF(ISBLANK(Table2[[#This Row],[Loyalty_Level]]),"Unknown",I227)</f>
        <v>Platinum</v>
      </c>
      <c r="I227" t="s">
        <v>17</v>
      </c>
    </row>
    <row r="228" spans="1:9">
      <c r="A228" t="s">
        <v>515</v>
      </c>
      <c r="B228" t="s">
        <v>516</v>
      </c>
      <c r="C228" t="str">
        <f t="shared" si="3"/>
        <v>Alexis Castaneda</v>
      </c>
      <c r="D228">
        <v>54</v>
      </c>
      <c r="E228" t="s">
        <v>9</v>
      </c>
      <c r="F228" t="s">
        <v>122</v>
      </c>
      <c r="G228" t="s">
        <v>11</v>
      </c>
      <c r="H228" t="str">
        <f>IF(ISBLANK(Table2[[#This Row],[Loyalty_Level]]),"Unknown",I228)</f>
        <v>Gold</v>
      </c>
      <c r="I228" t="s">
        <v>12</v>
      </c>
    </row>
    <row r="229" spans="1:9">
      <c r="A229" t="s">
        <v>517</v>
      </c>
      <c r="B229" t="s">
        <v>518</v>
      </c>
      <c r="C229" t="str">
        <f t="shared" si="3"/>
        <v>Gregory Pham</v>
      </c>
      <c r="D229">
        <v>63</v>
      </c>
      <c r="E229" t="s">
        <v>15</v>
      </c>
      <c r="F229" t="s">
        <v>49</v>
      </c>
      <c r="G229" t="s">
        <v>11</v>
      </c>
      <c r="H229" t="str">
        <f>IF(ISBLANK(Table2[[#This Row],[Loyalty_Level]]),"Unknown",I229)</f>
        <v>Gold</v>
      </c>
      <c r="I229" t="s">
        <v>12</v>
      </c>
    </row>
    <row r="230" spans="1:9">
      <c r="A230" t="s">
        <v>519</v>
      </c>
      <c r="B230" t="s">
        <v>520</v>
      </c>
      <c r="C230" t="str">
        <f t="shared" si="3"/>
        <v>Casey Flores</v>
      </c>
      <c r="D230">
        <v>52</v>
      </c>
      <c r="E230" t="s">
        <v>15</v>
      </c>
      <c r="F230" t="s">
        <v>89</v>
      </c>
      <c r="G230" t="s">
        <v>11</v>
      </c>
      <c r="H230" t="str">
        <f>IF(ISBLANK(Table2[[#This Row],[Loyalty_Level]]),"Unknown",I230)</f>
        <v>Gold</v>
      </c>
      <c r="I230" t="s">
        <v>12</v>
      </c>
    </row>
    <row r="231" spans="1:9">
      <c r="A231" t="s">
        <v>521</v>
      </c>
      <c r="B231" t="s">
        <v>522</v>
      </c>
      <c r="C231" t="str">
        <f t="shared" si="3"/>
        <v>Tanner Thompson</v>
      </c>
      <c r="D231">
        <v>32</v>
      </c>
      <c r="E231" t="s">
        <v>15</v>
      </c>
      <c r="F231" t="s">
        <v>106</v>
      </c>
      <c r="G231" t="s">
        <v>11</v>
      </c>
      <c r="H231" t="str">
        <f>IF(ISBLANK(Table2[[#This Row],[Loyalty_Level]]),"Unknown",I231)</f>
        <v>Bronze</v>
      </c>
      <c r="I231" t="s">
        <v>22</v>
      </c>
    </row>
    <row r="232" spans="1:9">
      <c r="A232" t="s">
        <v>523</v>
      </c>
      <c r="B232" t="s">
        <v>524</v>
      </c>
      <c r="C232" t="str">
        <f t="shared" si="3"/>
        <v>Timothy Sanders</v>
      </c>
      <c r="D232">
        <v>29</v>
      </c>
      <c r="E232" t="s">
        <v>9</v>
      </c>
      <c r="F232" t="s">
        <v>184</v>
      </c>
      <c r="G232" t="s">
        <v>11</v>
      </c>
      <c r="H232" t="str">
        <f>IF(ISBLANK(Table2[[#This Row],[Loyalty_Level]]),"Unknown",I232)</f>
        <v>Bronze</v>
      </c>
      <c r="I232" t="s">
        <v>22</v>
      </c>
    </row>
    <row r="233" spans="1:9">
      <c r="A233" t="s">
        <v>525</v>
      </c>
      <c r="B233" t="s">
        <v>526</v>
      </c>
      <c r="C233" t="str">
        <f t="shared" si="3"/>
        <v>Timothy Juarez</v>
      </c>
      <c r="D233">
        <v>22</v>
      </c>
      <c r="E233" t="s">
        <v>15</v>
      </c>
      <c r="F233" t="s">
        <v>231</v>
      </c>
      <c r="G233" t="s">
        <v>11</v>
      </c>
      <c r="H233" t="str">
        <f>IF(ISBLANK(Table2[[#This Row],[Loyalty_Level]]),"Unknown",I233)</f>
        <v>Bronze</v>
      </c>
      <c r="I233" t="s">
        <v>22</v>
      </c>
    </row>
    <row r="234" spans="1:9">
      <c r="A234" t="s">
        <v>527</v>
      </c>
      <c r="B234" t="s">
        <v>528</v>
      </c>
      <c r="C234" t="str">
        <f t="shared" si="3"/>
        <v>Christy Hill</v>
      </c>
      <c r="D234">
        <v>27</v>
      </c>
      <c r="E234" t="s">
        <v>15</v>
      </c>
      <c r="F234" t="s">
        <v>68</v>
      </c>
      <c r="G234" t="s">
        <v>11</v>
      </c>
      <c r="H234" t="str">
        <f>IF(ISBLANK(Table2[[#This Row],[Loyalty_Level]]),"Unknown",I234)</f>
        <v>Platinum</v>
      </c>
      <c r="I234" t="s">
        <v>17</v>
      </c>
    </row>
    <row r="235" spans="1:9">
      <c r="A235" t="s">
        <v>529</v>
      </c>
      <c r="B235" t="s">
        <v>530</v>
      </c>
      <c r="C235" t="str">
        <f t="shared" si="3"/>
        <v>Michelle Gonzalez</v>
      </c>
      <c r="D235">
        <v>59</v>
      </c>
      <c r="E235" t="s">
        <v>9</v>
      </c>
      <c r="F235" t="s">
        <v>35</v>
      </c>
      <c r="G235" t="s">
        <v>11</v>
      </c>
      <c r="H235" t="str">
        <f>IF(ISBLANK(Table2[[#This Row],[Loyalty_Level]]),"Unknown",I235)</f>
        <v>Silver</v>
      </c>
      <c r="I235" t="s">
        <v>26</v>
      </c>
    </row>
    <row r="236" spans="1:9">
      <c r="A236" t="s">
        <v>531</v>
      </c>
      <c r="B236" t="s">
        <v>532</v>
      </c>
      <c r="C236" t="str">
        <f t="shared" si="3"/>
        <v>Nathaniel Hill</v>
      </c>
      <c r="D236">
        <v>43</v>
      </c>
      <c r="E236" t="s">
        <v>15</v>
      </c>
      <c r="F236" t="s">
        <v>49</v>
      </c>
      <c r="G236" t="s">
        <v>11</v>
      </c>
      <c r="H236" t="str">
        <f>IF(ISBLANK(Table2[[#This Row],[Loyalty_Level]]),"Unknown",I236)</f>
        <v>Gold</v>
      </c>
      <c r="I236" t="s">
        <v>12</v>
      </c>
    </row>
    <row r="237" spans="1:9">
      <c r="A237" t="s">
        <v>533</v>
      </c>
      <c r="B237" t="s">
        <v>534</v>
      </c>
      <c r="C237" t="str">
        <f t="shared" si="3"/>
        <v>Jon Ortiz</v>
      </c>
      <c r="D237">
        <v>28</v>
      </c>
      <c r="E237" t="s">
        <v>15</v>
      </c>
      <c r="F237" t="s">
        <v>71</v>
      </c>
      <c r="G237" t="s">
        <v>11</v>
      </c>
      <c r="H237" t="str">
        <f>IF(ISBLANK(Table2[[#This Row],[Loyalty_Level]]),"Unknown",I237)</f>
        <v>Bronze</v>
      </c>
      <c r="I237" t="s">
        <v>22</v>
      </c>
    </row>
    <row r="238" spans="1:9">
      <c r="A238" t="s">
        <v>535</v>
      </c>
      <c r="B238" t="s">
        <v>536</v>
      </c>
      <c r="C238" t="str">
        <f t="shared" si="3"/>
        <v>Joshua Wilson</v>
      </c>
      <c r="D238">
        <v>42</v>
      </c>
      <c r="E238" t="s">
        <v>15</v>
      </c>
      <c r="F238" t="s">
        <v>210</v>
      </c>
      <c r="G238" t="s">
        <v>11</v>
      </c>
      <c r="H238" t="str">
        <f>IF(ISBLANK(Table2[[#This Row],[Loyalty_Level]]),"Unknown",I238)</f>
        <v>Bronze</v>
      </c>
      <c r="I238" t="s">
        <v>22</v>
      </c>
    </row>
    <row r="239" spans="1:9">
      <c r="A239" t="s">
        <v>537</v>
      </c>
      <c r="B239" t="s">
        <v>538</v>
      </c>
      <c r="C239" t="str">
        <f t="shared" si="3"/>
        <v>Wesley Short</v>
      </c>
      <c r="D239">
        <v>41</v>
      </c>
      <c r="E239" t="s">
        <v>15</v>
      </c>
      <c r="F239" t="s">
        <v>52</v>
      </c>
      <c r="G239" t="s">
        <v>11</v>
      </c>
      <c r="H239" t="str">
        <f>IF(ISBLANK(Table2[[#This Row],[Loyalty_Level]]),"Unknown",I239)</f>
        <v>Gold</v>
      </c>
      <c r="I239" t="s">
        <v>12</v>
      </c>
    </row>
    <row r="240" spans="1:9">
      <c r="A240" t="s">
        <v>539</v>
      </c>
      <c r="B240" t="s">
        <v>540</v>
      </c>
      <c r="C240" t="str">
        <f t="shared" si="3"/>
        <v>Steven Smith</v>
      </c>
      <c r="D240">
        <v>40</v>
      </c>
      <c r="E240" t="s">
        <v>9</v>
      </c>
      <c r="F240" t="s">
        <v>35</v>
      </c>
      <c r="G240" t="s">
        <v>11</v>
      </c>
      <c r="H240" t="str">
        <f>IF(ISBLANK(Table2[[#This Row],[Loyalty_Level]]),"Unknown",I240)</f>
        <v>Platinum</v>
      </c>
      <c r="I240" t="s">
        <v>17</v>
      </c>
    </row>
    <row r="241" spans="1:9">
      <c r="A241" t="s">
        <v>541</v>
      </c>
      <c r="B241" t="s">
        <v>542</v>
      </c>
      <c r="C241" t="str">
        <f t="shared" si="3"/>
        <v>Maria Hill</v>
      </c>
      <c r="D241">
        <v>58</v>
      </c>
      <c r="E241" t="s">
        <v>15</v>
      </c>
      <c r="F241" t="s">
        <v>137</v>
      </c>
      <c r="G241" t="s">
        <v>11</v>
      </c>
      <c r="H241" t="str">
        <f>IF(ISBLANK(Table2[[#This Row],[Loyalty_Level]]),"Unknown",I241)</f>
        <v>Platinum</v>
      </c>
      <c r="I241" t="s">
        <v>17</v>
      </c>
    </row>
    <row r="242" spans="1:9">
      <c r="A242" t="s">
        <v>543</v>
      </c>
      <c r="B242" t="s">
        <v>544</v>
      </c>
      <c r="C242" t="str">
        <f t="shared" si="3"/>
        <v>William Hull</v>
      </c>
      <c r="D242">
        <v>59</v>
      </c>
      <c r="E242" t="s">
        <v>15</v>
      </c>
      <c r="F242" t="s">
        <v>117</v>
      </c>
      <c r="G242" t="s">
        <v>11</v>
      </c>
      <c r="H242" t="str">
        <f>IF(ISBLANK(Table2[[#This Row],[Loyalty_Level]]),"Unknown",I242)</f>
        <v>Platinum</v>
      </c>
      <c r="I242" t="s">
        <v>17</v>
      </c>
    </row>
    <row r="243" spans="1:9">
      <c r="A243" t="s">
        <v>545</v>
      </c>
      <c r="B243" t="s">
        <v>546</v>
      </c>
      <c r="C243" t="str">
        <f t="shared" si="3"/>
        <v>Mr. William Horton</v>
      </c>
      <c r="D243">
        <v>31</v>
      </c>
      <c r="E243" t="s">
        <v>9</v>
      </c>
      <c r="F243" t="s">
        <v>210</v>
      </c>
      <c r="G243" t="s">
        <v>11</v>
      </c>
      <c r="H243" t="str">
        <f>IF(ISBLANK(Table2[[#This Row],[Loyalty_Level]]),"Unknown",I243)</f>
        <v>Platinum</v>
      </c>
      <c r="I243" t="s">
        <v>17</v>
      </c>
    </row>
    <row r="244" spans="1:9">
      <c r="A244" t="s">
        <v>547</v>
      </c>
      <c r="B244" t="s">
        <v>548</v>
      </c>
      <c r="C244" t="str">
        <f t="shared" si="3"/>
        <v>William Jackson</v>
      </c>
      <c r="D244">
        <v>58</v>
      </c>
      <c r="E244" t="s">
        <v>15</v>
      </c>
      <c r="F244" t="s">
        <v>125</v>
      </c>
      <c r="G244" t="s">
        <v>11</v>
      </c>
      <c r="H244" t="str">
        <f>IF(ISBLANK(Table2[[#This Row],[Loyalty_Level]]),"Unknown",I244)</f>
        <v>Silver</v>
      </c>
      <c r="I244" t="s">
        <v>26</v>
      </c>
    </row>
    <row r="245" spans="1:9">
      <c r="A245" t="s">
        <v>549</v>
      </c>
      <c r="B245" t="s">
        <v>550</v>
      </c>
      <c r="C245" t="str">
        <f t="shared" si="3"/>
        <v>Brian Hammond</v>
      </c>
      <c r="D245">
        <v>56</v>
      </c>
      <c r="E245" t="s">
        <v>15</v>
      </c>
      <c r="F245" t="s">
        <v>260</v>
      </c>
      <c r="G245" t="s">
        <v>11</v>
      </c>
      <c r="H245" t="str">
        <f>IF(ISBLANK(Table2[[#This Row],[Loyalty_Level]]),"Unknown",I245)</f>
        <v>Gold</v>
      </c>
      <c r="I245" t="s">
        <v>12</v>
      </c>
    </row>
    <row r="246" spans="1:9">
      <c r="A246" t="s">
        <v>551</v>
      </c>
      <c r="B246" t="s">
        <v>552</v>
      </c>
      <c r="C246" t="str">
        <f t="shared" si="3"/>
        <v>Nancy Page</v>
      </c>
      <c r="D246">
        <v>19</v>
      </c>
      <c r="E246" t="s">
        <v>9</v>
      </c>
      <c r="F246" t="s">
        <v>89</v>
      </c>
      <c r="G246" t="s">
        <v>11</v>
      </c>
      <c r="H246" t="str">
        <f>IF(ISBLANK(Table2[[#This Row],[Loyalty_Level]]),"Unknown",I246)</f>
        <v>Bronze</v>
      </c>
      <c r="I246" t="s">
        <v>22</v>
      </c>
    </row>
    <row r="247" spans="1:9">
      <c r="A247" t="s">
        <v>553</v>
      </c>
      <c r="B247" t="s">
        <v>554</v>
      </c>
      <c r="C247" t="str">
        <f t="shared" si="3"/>
        <v>Laura Soto</v>
      </c>
      <c r="D247">
        <v>57</v>
      </c>
      <c r="E247" t="s">
        <v>15</v>
      </c>
      <c r="F247" t="s">
        <v>117</v>
      </c>
      <c r="G247" t="s">
        <v>11</v>
      </c>
      <c r="H247" t="str">
        <f>IF(ISBLANK(Table2[[#This Row],[Loyalty_Level]]),"Unknown",I247)</f>
        <v>Platinum</v>
      </c>
      <c r="I247" t="s">
        <v>17</v>
      </c>
    </row>
    <row r="248" spans="1:9">
      <c r="A248" t="s">
        <v>555</v>
      </c>
      <c r="B248" t="s">
        <v>556</v>
      </c>
      <c r="C248" t="str">
        <f t="shared" si="3"/>
        <v>Mary Russell</v>
      </c>
      <c r="D248">
        <v>58</v>
      </c>
      <c r="E248" t="s">
        <v>9</v>
      </c>
      <c r="F248" t="s">
        <v>213</v>
      </c>
      <c r="G248" t="s">
        <v>11</v>
      </c>
      <c r="H248" t="str">
        <f>IF(ISBLANK(Table2[[#This Row],[Loyalty_Level]]),"Unknown",I248)</f>
        <v>Bronze</v>
      </c>
      <c r="I248" t="s">
        <v>22</v>
      </c>
    </row>
    <row r="249" spans="1:9">
      <c r="A249" t="s">
        <v>557</v>
      </c>
      <c r="B249" t="s">
        <v>558</v>
      </c>
      <c r="C249" t="str">
        <f t="shared" si="3"/>
        <v>Douglas Rhodes</v>
      </c>
      <c r="D249">
        <v>32</v>
      </c>
      <c r="E249" t="s">
        <v>9</v>
      </c>
      <c r="F249" t="s">
        <v>38</v>
      </c>
      <c r="G249" t="s">
        <v>11</v>
      </c>
      <c r="H249" t="str">
        <f>IF(ISBLANK(Table2[[#This Row],[Loyalty_Level]]),"Unknown",I249)</f>
        <v>Platinum</v>
      </c>
      <c r="I249" t="s">
        <v>17</v>
      </c>
    </row>
    <row r="250" spans="1:9">
      <c r="A250" t="s">
        <v>559</v>
      </c>
      <c r="B250" t="s">
        <v>560</v>
      </c>
      <c r="C250" t="str">
        <f t="shared" si="3"/>
        <v>Nicholas Webb</v>
      </c>
      <c r="D250">
        <v>19</v>
      </c>
      <c r="E250" t="s">
        <v>9</v>
      </c>
      <c r="F250" t="s">
        <v>137</v>
      </c>
      <c r="G250" t="s">
        <v>11</v>
      </c>
      <c r="H250" t="str">
        <f>IF(ISBLANK(Table2[[#This Row],[Loyalty_Level]]),"Unknown",I250)</f>
        <v>Gold</v>
      </c>
      <c r="I250" t="s">
        <v>12</v>
      </c>
    </row>
    <row r="251" spans="1:9">
      <c r="A251" t="s">
        <v>561</v>
      </c>
      <c r="B251" t="s">
        <v>562</v>
      </c>
      <c r="C251" t="str">
        <f t="shared" si="3"/>
        <v>Lauren George</v>
      </c>
      <c r="D251">
        <v>41</v>
      </c>
      <c r="E251" t="s">
        <v>15</v>
      </c>
      <c r="F251" t="s">
        <v>46</v>
      </c>
      <c r="G251" t="s">
        <v>11</v>
      </c>
      <c r="H251" t="str">
        <f>IF(ISBLANK(Table2[[#This Row],[Loyalty_Level]]),"Unknown",I251)</f>
        <v>Gold</v>
      </c>
      <c r="I251" t="s">
        <v>12</v>
      </c>
    </row>
    <row r="252" spans="1:9">
      <c r="A252" t="s">
        <v>563</v>
      </c>
      <c r="B252" t="s">
        <v>564</v>
      </c>
      <c r="C252" t="str">
        <f t="shared" si="3"/>
        <v>Veronica Newman</v>
      </c>
      <c r="D252">
        <v>48</v>
      </c>
      <c r="E252" t="s">
        <v>9</v>
      </c>
      <c r="F252" t="s">
        <v>71</v>
      </c>
      <c r="G252" t="s">
        <v>11</v>
      </c>
      <c r="H252" t="str">
        <f>IF(ISBLANK(Table2[[#This Row],[Loyalty_Level]]),"Unknown",I252)</f>
        <v>Platinum</v>
      </c>
      <c r="I252" t="s">
        <v>17</v>
      </c>
    </row>
    <row r="253" spans="1:9">
      <c r="A253" t="s">
        <v>565</v>
      </c>
      <c r="B253" t="s">
        <v>566</v>
      </c>
      <c r="C253" t="str">
        <f t="shared" si="3"/>
        <v>Tyler Garner</v>
      </c>
      <c r="D253">
        <v>64</v>
      </c>
      <c r="E253" t="s">
        <v>9</v>
      </c>
      <c r="F253" t="s">
        <v>19</v>
      </c>
      <c r="G253" t="s">
        <v>11</v>
      </c>
      <c r="H253" t="str">
        <f>IF(ISBLANK(Table2[[#This Row],[Loyalty_Level]]),"Unknown",I253)</f>
        <v>Silver</v>
      </c>
      <c r="I253" t="s">
        <v>26</v>
      </c>
    </row>
    <row r="254" spans="1:9">
      <c r="A254" t="s">
        <v>567</v>
      </c>
      <c r="B254" t="s">
        <v>568</v>
      </c>
      <c r="C254" t="str">
        <f t="shared" si="3"/>
        <v>John Mccoy</v>
      </c>
      <c r="D254">
        <v>26</v>
      </c>
      <c r="E254" t="s">
        <v>9</v>
      </c>
      <c r="F254" t="s">
        <v>32</v>
      </c>
      <c r="G254" t="s">
        <v>11</v>
      </c>
      <c r="H254" t="str">
        <f>IF(ISBLANK(Table2[[#This Row],[Loyalty_Level]]),"Unknown",I254)</f>
        <v>Silver</v>
      </c>
      <c r="I254" t="s">
        <v>26</v>
      </c>
    </row>
    <row r="255" spans="1:9">
      <c r="A255" t="s">
        <v>569</v>
      </c>
      <c r="B255" t="s">
        <v>570</v>
      </c>
      <c r="C255" t="str">
        <f t="shared" si="3"/>
        <v>Dr. Ashley Yates Md</v>
      </c>
      <c r="D255">
        <v>32</v>
      </c>
      <c r="E255" t="s">
        <v>9</v>
      </c>
      <c r="F255" t="s">
        <v>236</v>
      </c>
      <c r="G255" t="s">
        <v>11</v>
      </c>
      <c r="H255" t="str">
        <f>IF(ISBLANK(Table2[[#This Row],[Loyalty_Level]]),"Unknown",I255)</f>
        <v>Bronze</v>
      </c>
      <c r="I255" t="s">
        <v>22</v>
      </c>
    </row>
    <row r="256" spans="1:9">
      <c r="A256" t="s">
        <v>571</v>
      </c>
      <c r="B256" t="s">
        <v>572</v>
      </c>
      <c r="C256" t="str">
        <f t="shared" si="3"/>
        <v>Linda Kline</v>
      </c>
      <c r="D256">
        <v>34</v>
      </c>
      <c r="E256" t="s">
        <v>9</v>
      </c>
      <c r="F256" t="s">
        <v>122</v>
      </c>
      <c r="G256" t="s">
        <v>11</v>
      </c>
      <c r="H256" t="str">
        <f>IF(ISBLANK(Table2[[#This Row],[Loyalty_Level]]),"Unknown",I256)</f>
        <v>Silver</v>
      </c>
      <c r="I256" t="s">
        <v>26</v>
      </c>
    </row>
    <row r="257" spans="1:9">
      <c r="A257" t="s">
        <v>573</v>
      </c>
      <c r="B257" t="s">
        <v>574</v>
      </c>
      <c r="C257" t="str">
        <f t="shared" si="3"/>
        <v>Damon Perez</v>
      </c>
      <c r="D257">
        <v>21</v>
      </c>
      <c r="E257" t="s">
        <v>9</v>
      </c>
      <c r="F257" t="s">
        <v>21</v>
      </c>
      <c r="G257" t="s">
        <v>11</v>
      </c>
      <c r="H257" t="str">
        <f>IF(ISBLANK(Table2[[#This Row],[Loyalty_Level]]),"Unknown",I257)</f>
        <v>Gold</v>
      </c>
      <c r="I257" t="s">
        <v>12</v>
      </c>
    </row>
    <row r="258" spans="1:9">
      <c r="A258" t="s">
        <v>575</v>
      </c>
      <c r="B258" t="s">
        <v>576</v>
      </c>
      <c r="C258" t="str">
        <f t="shared" ref="C258:C321" si="4">PROPER(TRIM(B258))</f>
        <v>Kristen Fischer</v>
      </c>
      <c r="D258">
        <v>57</v>
      </c>
      <c r="E258" t="s">
        <v>9</v>
      </c>
      <c r="F258" t="s">
        <v>213</v>
      </c>
      <c r="G258" t="s">
        <v>11</v>
      </c>
      <c r="H258" t="str">
        <f>IF(ISBLANK(Table2[[#This Row],[Loyalty_Level]]),"Unknown",I258)</f>
        <v>Platinum</v>
      </c>
      <c r="I258" t="s">
        <v>17</v>
      </c>
    </row>
    <row r="259" spans="1:9">
      <c r="A259" t="s">
        <v>577</v>
      </c>
      <c r="B259" t="s">
        <v>578</v>
      </c>
      <c r="C259" t="str">
        <f t="shared" si="4"/>
        <v>Christopher David</v>
      </c>
      <c r="D259">
        <v>42</v>
      </c>
      <c r="E259" t="s">
        <v>9</v>
      </c>
      <c r="F259" t="s">
        <v>504</v>
      </c>
      <c r="G259" t="s">
        <v>11</v>
      </c>
      <c r="H259" t="str">
        <f>IF(ISBLANK(Table2[[#This Row],[Loyalty_Level]]),"Unknown",I259)</f>
        <v>Silver</v>
      </c>
      <c r="I259" t="s">
        <v>26</v>
      </c>
    </row>
    <row r="260" spans="1:9">
      <c r="A260" t="s">
        <v>579</v>
      </c>
      <c r="B260" t="s">
        <v>580</v>
      </c>
      <c r="C260" t="str">
        <f t="shared" si="4"/>
        <v>Sarah Stewart</v>
      </c>
      <c r="D260">
        <v>24</v>
      </c>
      <c r="E260" t="s">
        <v>15</v>
      </c>
      <c r="F260" t="s">
        <v>260</v>
      </c>
      <c r="G260" t="s">
        <v>11</v>
      </c>
      <c r="H260" t="str">
        <f>IF(ISBLANK(Table2[[#This Row],[Loyalty_Level]]),"Unknown",I260)</f>
        <v>Platinum</v>
      </c>
      <c r="I260" t="s">
        <v>17</v>
      </c>
    </row>
    <row r="261" spans="1:9">
      <c r="A261" t="s">
        <v>581</v>
      </c>
      <c r="B261" t="s">
        <v>582</v>
      </c>
      <c r="C261" t="str">
        <f t="shared" si="4"/>
        <v>Beth Allen</v>
      </c>
      <c r="D261">
        <v>32</v>
      </c>
      <c r="E261" t="s">
        <v>15</v>
      </c>
      <c r="F261" t="s">
        <v>74</v>
      </c>
      <c r="G261" t="s">
        <v>11</v>
      </c>
      <c r="H261" t="str">
        <f>IF(ISBLANK(Table2[[#This Row],[Loyalty_Level]]),"Unknown",I261)</f>
        <v>Silver</v>
      </c>
      <c r="I261" t="s">
        <v>26</v>
      </c>
    </row>
    <row r="262" spans="1:9">
      <c r="A262" t="s">
        <v>583</v>
      </c>
      <c r="B262" t="s">
        <v>584</v>
      </c>
      <c r="C262" t="str">
        <f t="shared" si="4"/>
        <v>Russell Lamb</v>
      </c>
      <c r="D262">
        <v>63</v>
      </c>
      <c r="E262" t="s">
        <v>15</v>
      </c>
      <c r="F262" t="s">
        <v>101</v>
      </c>
      <c r="G262" t="s">
        <v>11</v>
      </c>
      <c r="H262" t="str">
        <f>IF(ISBLANK(Table2[[#This Row],[Loyalty_Level]]),"Unknown",I262)</f>
        <v>Platinum</v>
      </c>
      <c r="I262" t="s">
        <v>17</v>
      </c>
    </row>
    <row r="263" spans="1:9">
      <c r="A263" t="s">
        <v>585</v>
      </c>
      <c r="B263" t="s">
        <v>586</v>
      </c>
      <c r="C263" t="str">
        <f t="shared" si="4"/>
        <v>Carol Bishop</v>
      </c>
      <c r="D263">
        <v>27</v>
      </c>
      <c r="E263" t="s">
        <v>15</v>
      </c>
      <c r="F263" t="s">
        <v>29</v>
      </c>
      <c r="G263" t="s">
        <v>11</v>
      </c>
      <c r="H263" t="str">
        <f>IF(ISBLANK(Table2[[#This Row],[Loyalty_Level]]),"Unknown",I263)</f>
        <v>Silver</v>
      </c>
      <c r="I263" t="s">
        <v>26</v>
      </c>
    </row>
    <row r="264" spans="1:9">
      <c r="A264" t="s">
        <v>587</v>
      </c>
      <c r="B264" t="s">
        <v>588</v>
      </c>
      <c r="C264" t="str">
        <f t="shared" si="4"/>
        <v>Katherine Cowan</v>
      </c>
      <c r="D264">
        <v>60</v>
      </c>
      <c r="E264" t="s">
        <v>15</v>
      </c>
      <c r="F264" t="s">
        <v>52</v>
      </c>
      <c r="G264" t="s">
        <v>11</v>
      </c>
      <c r="H264" t="str">
        <f>IF(ISBLANK(Table2[[#This Row],[Loyalty_Level]]),"Unknown",I264)</f>
        <v>Silver</v>
      </c>
      <c r="I264" t="s">
        <v>26</v>
      </c>
    </row>
    <row r="265" spans="1:9">
      <c r="A265" t="s">
        <v>589</v>
      </c>
      <c r="B265" t="s">
        <v>590</v>
      </c>
      <c r="C265" t="str">
        <f t="shared" si="4"/>
        <v>Crystal Davis</v>
      </c>
      <c r="D265">
        <v>50</v>
      </c>
      <c r="E265" t="s">
        <v>9</v>
      </c>
      <c r="F265" t="s">
        <v>239</v>
      </c>
      <c r="G265" t="s">
        <v>11</v>
      </c>
      <c r="H265" t="str">
        <f>IF(ISBLANK(Table2[[#This Row],[Loyalty_Level]]),"Unknown",I265)</f>
        <v>Bronze</v>
      </c>
      <c r="I265" t="s">
        <v>22</v>
      </c>
    </row>
    <row r="266" spans="1:9">
      <c r="A266" t="s">
        <v>591</v>
      </c>
      <c r="B266" t="s">
        <v>592</v>
      </c>
      <c r="C266" t="str">
        <f t="shared" si="4"/>
        <v>Matthew Payne</v>
      </c>
      <c r="D266">
        <v>25</v>
      </c>
      <c r="E266" t="s">
        <v>9</v>
      </c>
      <c r="F266" t="s">
        <v>593</v>
      </c>
      <c r="G266" t="s">
        <v>11</v>
      </c>
      <c r="H266" t="str">
        <f>IF(ISBLANK(Table2[[#This Row],[Loyalty_Level]]),"Unknown",I266)</f>
        <v>Gold</v>
      </c>
      <c r="I266" t="s">
        <v>12</v>
      </c>
    </row>
    <row r="267" spans="1:9">
      <c r="A267" t="s">
        <v>594</v>
      </c>
      <c r="B267" t="s">
        <v>595</v>
      </c>
      <c r="C267" t="str">
        <f t="shared" si="4"/>
        <v>Tracy Kelly</v>
      </c>
      <c r="D267">
        <v>38</v>
      </c>
      <c r="E267" t="s">
        <v>9</v>
      </c>
      <c r="F267" t="s">
        <v>175</v>
      </c>
      <c r="G267" t="s">
        <v>11</v>
      </c>
      <c r="H267" t="str">
        <f>IF(ISBLANK(Table2[[#This Row],[Loyalty_Level]]),"Unknown",I267)</f>
        <v>Silver</v>
      </c>
      <c r="I267" t="s">
        <v>26</v>
      </c>
    </row>
    <row r="268" spans="1:9">
      <c r="A268" t="s">
        <v>596</v>
      </c>
      <c r="B268" t="s">
        <v>597</v>
      </c>
      <c r="C268" t="str">
        <f t="shared" si="4"/>
        <v>Cynthia Payne</v>
      </c>
      <c r="D268">
        <v>32</v>
      </c>
      <c r="E268" t="s">
        <v>15</v>
      </c>
      <c r="F268" t="s">
        <v>417</v>
      </c>
      <c r="G268" t="s">
        <v>11</v>
      </c>
      <c r="H268" t="str">
        <f>IF(ISBLANK(Table2[[#This Row],[Loyalty_Level]]),"Unknown",I268)</f>
        <v>Bronze</v>
      </c>
      <c r="I268" t="s">
        <v>22</v>
      </c>
    </row>
    <row r="269" spans="1:9">
      <c r="A269" t="s">
        <v>598</v>
      </c>
      <c r="B269" t="s">
        <v>599</v>
      </c>
      <c r="C269" t="str">
        <f t="shared" si="4"/>
        <v>Zachary Shelton</v>
      </c>
      <c r="D269">
        <v>18</v>
      </c>
      <c r="E269" t="s">
        <v>9</v>
      </c>
      <c r="F269" t="s">
        <v>52</v>
      </c>
      <c r="G269" t="s">
        <v>11</v>
      </c>
      <c r="H269" t="str">
        <f>IF(ISBLANK(Table2[[#This Row],[Loyalty_Level]]),"Unknown",I269)</f>
        <v>Bronze</v>
      </c>
      <c r="I269" t="s">
        <v>22</v>
      </c>
    </row>
    <row r="270" spans="1:9">
      <c r="A270" t="s">
        <v>600</v>
      </c>
      <c r="B270" t="s">
        <v>601</v>
      </c>
      <c r="C270" t="str">
        <f t="shared" si="4"/>
        <v>Kevin Orr</v>
      </c>
      <c r="D270">
        <v>53</v>
      </c>
      <c r="E270" t="s">
        <v>15</v>
      </c>
      <c r="F270" t="s">
        <v>149</v>
      </c>
      <c r="G270" t="s">
        <v>11</v>
      </c>
      <c r="H270" t="str">
        <f>IF(ISBLANK(Table2[[#This Row],[Loyalty_Level]]),"Unknown",I270)</f>
        <v>Bronze</v>
      </c>
      <c r="I270" t="s">
        <v>22</v>
      </c>
    </row>
    <row r="271" spans="1:9">
      <c r="A271" t="s">
        <v>602</v>
      </c>
      <c r="B271" t="s">
        <v>603</v>
      </c>
      <c r="C271" t="str">
        <f t="shared" si="4"/>
        <v>Tyrone Olson</v>
      </c>
      <c r="D271">
        <v>45</v>
      </c>
      <c r="E271" t="s">
        <v>15</v>
      </c>
      <c r="F271" t="s">
        <v>25</v>
      </c>
      <c r="G271" t="s">
        <v>11</v>
      </c>
      <c r="H271" t="str">
        <f>IF(ISBLANK(Table2[[#This Row],[Loyalty_Level]]),"Unknown",I271)</f>
        <v>Silver</v>
      </c>
      <c r="I271" t="s">
        <v>26</v>
      </c>
    </row>
    <row r="272" spans="1:9">
      <c r="A272" t="s">
        <v>604</v>
      </c>
      <c r="B272" t="s">
        <v>605</v>
      </c>
      <c r="C272" t="str">
        <f t="shared" si="4"/>
        <v>Brian Garcia</v>
      </c>
      <c r="D272">
        <v>31</v>
      </c>
      <c r="E272" t="s">
        <v>15</v>
      </c>
      <c r="F272" t="s">
        <v>239</v>
      </c>
      <c r="G272" t="s">
        <v>11</v>
      </c>
      <c r="H272" t="str">
        <f>IF(ISBLANK(Table2[[#This Row],[Loyalty_Level]]),"Unknown",I272)</f>
        <v>Gold</v>
      </c>
      <c r="I272" t="s">
        <v>12</v>
      </c>
    </row>
    <row r="273" spans="1:9">
      <c r="A273" t="s">
        <v>606</v>
      </c>
      <c r="B273" t="s">
        <v>607</v>
      </c>
      <c r="C273" t="str">
        <f t="shared" si="4"/>
        <v>Daisy Johnson Dds</v>
      </c>
      <c r="D273">
        <v>64</v>
      </c>
      <c r="E273" t="s">
        <v>9</v>
      </c>
      <c r="F273" t="s">
        <v>55</v>
      </c>
      <c r="G273" t="s">
        <v>11</v>
      </c>
      <c r="H273" t="str">
        <f>IF(ISBLANK(Table2[[#This Row],[Loyalty_Level]]),"Unknown",I273)</f>
        <v>Platinum</v>
      </c>
      <c r="I273" t="s">
        <v>17</v>
      </c>
    </row>
    <row r="274" spans="1:9">
      <c r="A274" t="s">
        <v>608</v>
      </c>
      <c r="B274" t="s">
        <v>609</v>
      </c>
      <c r="C274" t="str">
        <f t="shared" si="4"/>
        <v>Adam Rowland</v>
      </c>
      <c r="D274">
        <v>48</v>
      </c>
      <c r="E274" t="s">
        <v>15</v>
      </c>
      <c r="F274" t="s">
        <v>25</v>
      </c>
      <c r="G274" t="s">
        <v>11</v>
      </c>
      <c r="H274" t="str">
        <f>IF(ISBLANK(Table2[[#This Row],[Loyalty_Level]]),"Unknown",I274)</f>
        <v>Gold</v>
      </c>
      <c r="I274" t="s">
        <v>12</v>
      </c>
    </row>
    <row r="275" spans="1:9">
      <c r="A275" t="s">
        <v>610</v>
      </c>
      <c r="B275" t="s">
        <v>611</v>
      </c>
      <c r="C275" t="str">
        <f t="shared" si="4"/>
        <v>Samantha Robinson</v>
      </c>
      <c r="D275">
        <v>23</v>
      </c>
      <c r="E275" t="s">
        <v>9</v>
      </c>
      <c r="F275" t="s">
        <v>228</v>
      </c>
      <c r="G275" t="s">
        <v>11</v>
      </c>
      <c r="H275" t="str">
        <f>IF(ISBLANK(Table2[[#This Row],[Loyalty_Level]]),"Unknown",I275)</f>
        <v>Bronze</v>
      </c>
      <c r="I275" t="s">
        <v>22</v>
      </c>
    </row>
    <row r="276" spans="1:9">
      <c r="A276" t="s">
        <v>612</v>
      </c>
      <c r="B276" t="s">
        <v>613</v>
      </c>
      <c r="C276" t="str">
        <f t="shared" si="4"/>
        <v>Sarah Lane</v>
      </c>
      <c r="D276">
        <v>38</v>
      </c>
      <c r="E276" t="s">
        <v>9</v>
      </c>
      <c r="F276" t="s">
        <v>128</v>
      </c>
      <c r="G276" t="s">
        <v>11</v>
      </c>
      <c r="H276" t="str">
        <f>IF(ISBLANK(Table2[[#This Row],[Loyalty_Level]]),"Unknown",I276)</f>
        <v>Silver</v>
      </c>
      <c r="I276" t="s">
        <v>26</v>
      </c>
    </row>
    <row r="277" spans="1:9">
      <c r="A277" t="s">
        <v>614</v>
      </c>
      <c r="B277" t="s">
        <v>615</v>
      </c>
      <c r="C277" t="str">
        <f t="shared" si="4"/>
        <v>Shannon Miller</v>
      </c>
      <c r="D277">
        <v>22</v>
      </c>
      <c r="E277" t="s">
        <v>9</v>
      </c>
      <c r="F277" t="s">
        <v>417</v>
      </c>
      <c r="G277" t="s">
        <v>11</v>
      </c>
      <c r="H277" t="str">
        <f>IF(ISBLANK(Table2[[#This Row],[Loyalty_Level]]),"Unknown",I277)</f>
        <v>Gold</v>
      </c>
      <c r="I277" t="s">
        <v>12</v>
      </c>
    </row>
    <row r="278" spans="1:9">
      <c r="A278" t="s">
        <v>616</v>
      </c>
      <c r="B278" t="s">
        <v>617</v>
      </c>
      <c r="C278" t="str">
        <f t="shared" si="4"/>
        <v>Arthur Warren</v>
      </c>
      <c r="D278">
        <v>38</v>
      </c>
      <c r="E278" t="s">
        <v>9</v>
      </c>
      <c r="F278" t="s">
        <v>137</v>
      </c>
      <c r="G278" t="s">
        <v>11</v>
      </c>
      <c r="H278" t="str">
        <f>IF(ISBLANK(Table2[[#This Row],[Loyalty_Level]]),"Unknown",I278)</f>
        <v>Gold</v>
      </c>
      <c r="I278" t="s">
        <v>12</v>
      </c>
    </row>
    <row r="279" spans="1:9">
      <c r="A279" t="s">
        <v>618</v>
      </c>
      <c r="B279" t="s">
        <v>619</v>
      </c>
      <c r="C279" t="str">
        <f t="shared" si="4"/>
        <v>Jeffrey Gomez</v>
      </c>
      <c r="D279">
        <v>22</v>
      </c>
      <c r="E279" t="s">
        <v>15</v>
      </c>
      <c r="F279" t="s">
        <v>201</v>
      </c>
      <c r="G279" t="s">
        <v>11</v>
      </c>
      <c r="H279" t="str">
        <f>IF(ISBLANK(Table2[[#This Row],[Loyalty_Level]]),"Unknown",I279)</f>
        <v>Platinum</v>
      </c>
      <c r="I279" t="s">
        <v>17</v>
      </c>
    </row>
    <row r="280" spans="1:9">
      <c r="A280" t="s">
        <v>620</v>
      </c>
      <c r="B280" t="s">
        <v>621</v>
      </c>
      <c r="C280" t="str">
        <f t="shared" si="4"/>
        <v>Stephen Fowler</v>
      </c>
      <c r="D280">
        <v>42</v>
      </c>
      <c r="E280" t="s">
        <v>15</v>
      </c>
      <c r="F280" t="s">
        <v>161</v>
      </c>
      <c r="G280" t="s">
        <v>11</v>
      </c>
      <c r="H280" t="str">
        <f>IF(ISBLANK(Table2[[#This Row],[Loyalty_Level]]),"Unknown",I280)</f>
        <v>Platinum</v>
      </c>
      <c r="I280" t="s">
        <v>17</v>
      </c>
    </row>
    <row r="281" spans="1:9">
      <c r="A281" t="s">
        <v>622</v>
      </c>
      <c r="B281" t="s">
        <v>623</v>
      </c>
      <c r="C281" t="str">
        <f t="shared" si="4"/>
        <v>Aaron Luna</v>
      </c>
      <c r="D281">
        <v>21</v>
      </c>
      <c r="E281" t="s">
        <v>15</v>
      </c>
      <c r="F281" t="s">
        <v>21</v>
      </c>
      <c r="G281" t="s">
        <v>11</v>
      </c>
      <c r="H281" t="str">
        <f>IF(ISBLANK(Table2[[#This Row],[Loyalty_Level]]),"Unknown",I281)</f>
        <v>Bronze</v>
      </c>
      <c r="I281" t="s">
        <v>22</v>
      </c>
    </row>
    <row r="282" spans="1:9">
      <c r="A282" t="s">
        <v>624</v>
      </c>
      <c r="B282" t="s">
        <v>625</v>
      </c>
      <c r="C282" t="str">
        <f t="shared" si="4"/>
        <v>Antonio Leon</v>
      </c>
      <c r="D282">
        <v>48</v>
      </c>
      <c r="E282" t="s">
        <v>9</v>
      </c>
      <c r="F282" t="s">
        <v>76</v>
      </c>
      <c r="G282" t="s">
        <v>11</v>
      </c>
      <c r="H282" t="str">
        <f>IF(ISBLANK(Table2[[#This Row],[Loyalty_Level]]),"Unknown",I282)</f>
        <v>Bronze</v>
      </c>
      <c r="I282" t="s">
        <v>22</v>
      </c>
    </row>
    <row r="283" spans="1:9">
      <c r="A283" t="s">
        <v>626</v>
      </c>
      <c r="B283" t="s">
        <v>627</v>
      </c>
      <c r="C283" t="str">
        <f t="shared" si="4"/>
        <v>Brittany Watson</v>
      </c>
      <c r="D283">
        <v>59</v>
      </c>
      <c r="E283" t="s">
        <v>9</v>
      </c>
      <c r="F283" t="s">
        <v>125</v>
      </c>
      <c r="G283" t="s">
        <v>11</v>
      </c>
      <c r="H283" t="str">
        <f>IF(ISBLANK(Table2[[#This Row],[Loyalty_Level]]),"Unknown",I283)</f>
        <v>Platinum</v>
      </c>
      <c r="I283" t="s">
        <v>17</v>
      </c>
    </row>
    <row r="284" spans="1:9">
      <c r="A284" t="s">
        <v>628</v>
      </c>
      <c r="B284" t="s">
        <v>629</v>
      </c>
      <c r="C284" t="str">
        <f t="shared" si="4"/>
        <v>Kristi Lopez</v>
      </c>
      <c r="D284">
        <v>46</v>
      </c>
      <c r="E284" t="s">
        <v>15</v>
      </c>
      <c r="F284" t="s">
        <v>68</v>
      </c>
      <c r="G284" t="s">
        <v>11</v>
      </c>
      <c r="H284" t="str">
        <f>IF(ISBLANK(Table2[[#This Row],[Loyalty_Level]]),"Unknown",I284)</f>
        <v>Gold</v>
      </c>
      <c r="I284" t="s">
        <v>12</v>
      </c>
    </row>
    <row r="285" spans="1:9">
      <c r="A285" t="s">
        <v>630</v>
      </c>
      <c r="B285" t="s">
        <v>631</v>
      </c>
      <c r="C285" t="str">
        <f t="shared" si="4"/>
        <v>Bryan Garcia</v>
      </c>
      <c r="D285">
        <v>54</v>
      </c>
      <c r="E285" t="s">
        <v>15</v>
      </c>
      <c r="F285" t="s">
        <v>593</v>
      </c>
      <c r="G285" t="s">
        <v>11</v>
      </c>
      <c r="H285" t="str">
        <f>IF(ISBLANK(Table2[[#This Row],[Loyalty_Level]]),"Unknown",I285)</f>
        <v>Silver</v>
      </c>
      <c r="I285" t="s">
        <v>26</v>
      </c>
    </row>
    <row r="286" spans="1:9">
      <c r="A286" t="s">
        <v>632</v>
      </c>
      <c r="B286" t="s">
        <v>633</v>
      </c>
      <c r="C286" t="str">
        <f t="shared" si="4"/>
        <v>Hunter Sutton</v>
      </c>
      <c r="D286">
        <v>54</v>
      </c>
      <c r="E286" t="s">
        <v>9</v>
      </c>
      <c r="F286" t="s">
        <v>125</v>
      </c>
      <c r="G286" t="s">
        <v>11</v>
      </c>
      <c r="H286" t="str">
        <f>IF(ISBLANK(Table2[[#This Row],[Loyalty_Level]]),"Unknown",I286)</f>
        <v>Gold</v>
      </c>
      <c r="I286" t="s">
        <v>12</v>
      </c>
    </row>
    <row r="287" spans="1:9">
      <c r="A287" t="s">
        <v>634</v>
      </c>
      <c r="B287" t="s">
        <v>635</v>
      </c>
      <c r="C287" t="str">
        <f t="shared" si="4"/>
        <v>Donna Guerra</v>
      </c>
      <c r="D287">
        <v>46</v>
      </c>
      <c r="E287" t="s">
        <v>15</v>
      </c>
      <c r="F287" t="s">
        <v>504</v>
      </c>
      <c r="G287" t="s">
        <v>11</v>
      </c>
      <c r="H287" t="str">
        <f>IF(ISBLANK(Table2[[#This Row],[Loyalty_Level]]),"Unknown",I287)</f>
        <v>Silver</v>
      </c>
      <c r="I287" t="s">
        <v>26</v>
      </c>
    </row>
    <row r="288" spans="1:9">
      <c r="A288" t="s">
        <v>636</v>
      </c>
      <c r="B288" t="s">
        <v>637</v>
      </c>
      <c r="C288" t="str">
        <f t="shared" si="4"/>
        <v>Tommy Roberts</v>
      </c>
      <c r="D288">
        <v>22</v>
      </c>
      <c r="E288" t="s">
        <v>9</v>
      </c>
      <c r="F288" t="s">
        <v>32</v>
      </c>
      <c r="G288" t="s">
        <v>11</v>
      </c>
      <c r="H288" t="str">
        <f>IF(ISBLANK(Table2[[#This Row],[Loyalty_Level]]),"Unknown",I288)</f>
        <v>Silver</v>
      </c>
      <c r="I288" t="s">
        <v>26</v>
      </c>
    </row>
    <row r="289" spans="1:9">
      <c r="A289" t="s">
        <v>638</v>
      </c>
      <c r="B289" t="s">
        <v>639</v>
      </c>
      <c r="C289" t="str">
        <f t="shared" si="4"/>
        <v>Cynthia Roberts</v>
      </c>
      <c r="D289">
        <v>22</v>
      </c>
      <c r="E289" t="s">
        <v>15</v>
      </c>
      <c r="F289" t="s">
        <v>128</v>
      </c>
      <c r="G289" t="s">
        <v>11</v>
      </c>
      <c r="H289" t="str">
        <f>IF(ISBLANK(Table2[[#This Row],[Loyalty_Level]]),"Unknown",I289)</f>
        <v>Gold</v>
      </c>
      <c r="I289" t="s">
        <v>12</v>
      </c>
    </row>
    <row r="290" spans="1:9">
      <c r="A290" t="s">
        <v>640</v>
      </c>
      <c r="B290" t="s">
        <v>641</v>
      </c>
      <c r="C290" t="str">
        <f t="shared" si="4"/>
        <v>Misty Ferguson</v>
      </c>
      <c r="D290">
        <v>58</v>
      </c>
      <c r="E290" t="s">
        <v>9</v>
      </c>
      <c r="F290" t="s">
        <v>125</v>
      </c>
      <c r="G290" t="s">
        <v>11</v>
      </c>
      <c r="H290" t="str">
        <f>IF(ISBLANK(Table2[[#This Row],[Loyalty_Level]]),"Unknown",I290)</f>
        <v>Gold</v>
      </c>
      <c r="I290" t="s">
        <v>12</v>
      </c>
    </row>
    <row r="291" spans="1:9">
      <c r="A291" t="s">
        <v>642</v>
      </c>
      <c r="B291" t="s">
        <v>643</v>
      </c>
      <c r="C291" t="str">
        <f t="shared" si="4"/>
        <v>Jennifer Figueroa</v>
      </c>
      <c r="D291">
        <v>45</v>
      </c>
      <c r="E291" t="s">
        <v>9</v>
      </c>
      <c r="F291" t="s">
        <v>21</v>
      </c>
      <c r="G291" t="s">
        <v>11</v>
      </c>
      <c r="H291" t="str">
        <f>IF(ISBLANK(Table2[[#This Row],[Loyalty_Level]]),"Unknown",I291)</f>
        <v>Bronze</v>
      </c>
      <c r="I291" t="s">
        <v>22</v>
      </c>
    </row>
    <row r="292" spans="1:9">
      <c r="A292" t="s">
        <v>644</v>
      </c>
      <c r="B292" t="s">
        <v>645</v>
      </c>
      <c r="C292" t="str">
        <f t="shared" si="4"/>
        <v>Chase Williams Md</v>
      </c>
      <c r="D292">
        <v>52</v>
      </c>
      <c r="E292" t="s">
        <v>15</v>
      </c>
      <c r="F292" t="s">
        <v>210</v>
      </c>
      <c r="G292" t="s">
        <v>11</v>
      </c>
      <c r="H292" t="str">
        <f>IF(ISBLANK(Table2[[#This Row],[Loyalty_Level]]),"Unknown",I292)</f>
        <v>Silver</v>
      </c>
      <c r="I292" t="s">
        <v>26</v>
      </c>
    </row>
    <row r="293" spans="1:9">
      <c r="A293" t="s">
        <v>646</v>
      </c>
      <c r="B293" t="s">
        <v>647</v>
      </c>
      <c r="C293" t="str">
        <f t="shared" si="4"/>
        <v>James Powell</v>
      </c>
      <c r="D293">
        <v>40</v>
      </c>
      <c r="E293" t="s">
        <v>15</v>
      </c>
      <c r="F293" t="s">
        <v>86</v>
      </c>
      <c r="G293" t="s">
        <v>11</v>
      </c>
      <c r="H293" t="str">
        <f>IF(ISBLANK(Table2[[#This Row],[Loyalty_Level]]),"Unknown",I293)</f>
        <v>Bronze</v>
      </c>
      <c r="I293" t="s">
        <v>22</v>
      </c>
    </row>
    <row r="294" spans="1:9">
      <c r="A294" t="s">
        <v>648</v>
      </c>
      <c r="B294" t="s">
        <v>649</v>
      </c>
      <c r="C294" t="str">
        <f t="shared" si="4"/>
        <v>Ricardo Jones</v>
      </c>
      <c r="D294">
        <v>30</v>
      </c>
      <c r="E294" t="s">
        <v>9</v>
      </c>
      <c r="F294" t="s">
        <v>149</v>
      </c>
      <c r="G294" t="s">
        <v>11</v>
      </c>
      <c r="H294" t="str">
        <f>IF(ISBLANK(Table2[[#This Row],[Loyalty_Level]]),"Unknown",I294)</f>
        <v>Silver</v>
      </c>
      <c r="I294" t="s">
        <v>26</v>
      </c>
    </row>
    <row r="295" spans="1:9">
      <c r="A295" t="s">
        <v>650</v>
      </c>
      <c r="B295" t="s">
        <v>651</v>
      </c>
      <c r="C295" t="str">
        <f t="shared" si="4"/>
        <v>Gloria Taylor</v>
      </c>
      <c r="D295">
        <v>56</v>
      </c>
      <c r="E295" t="s">
        <v>15</v>
      </c>
      <c r="F295" t="s">
        <v>239</v>
      </c>
      <c r="G295" t="s">
        <v>11</v>
      </c>
      <c r="H295" t="str">
        <f>IF(ISBLANK(Table2[[#This Row],[Loyalty_Level]]),"Unknown",I295)</f>
        <v>Platinum</v>
      </c>
      <c r="I295" t="s">
        <v>17</v>
      </c>
    </row>
    <row r="296" spans="1:9">
      <c r="A296" t="s">
        <v>652</v>
      </c>
      <c r="B296" t="s">
        <v>653</v>
      </c>
      <c r="C296" t="str">
        <f t="shared" si="4"/>
        <v>Lisa Chandler</v>
      </c>
      <c r="D296">
        <v>29</v>
      </c>
      <c r="E296" t="s">
        <v>9</v>
      </c>
      <c r="F296" t="s">
        <v>52</v>
      </c>
      <c r="G296" t="s">
        <v>11</v>
      </c>
      <c r="H296" t="str">
        <f>IF(ISBLANK(Table2[[#This Row],[Loyalty_Level]]),"Unknown",I296)</f>
        <v>Platinum</v>
      </c>
      <c r="I296" t="s">
        <v>17</v>
      </c>
    </row>
    <row r="297" spans="1:9">
      <c r="A297" t="s">
        <v>654</v>
      </c>
      <c r="B297" t="s">
        <v>655</v>
      </c>
      <c r="C297" t="str">
        <f t="shared" si="4"/>
        <v>Crystal Waters</v>
      </c>
      <c r="D297">
        <v>19</v>
      </c>
      <c r="E297" t="s">
        <v>15</v>
      </c>
      <c r="F297" t="s">
        <v>49</v>
      </c>
      <c r="G297" t="s">
        <v>11</v>
      </c>
      <c r="H297" t="str">
        <f>IF(ISBLANK(Table2[[#This Row],[Loyalty_Level]]),"Unknown",I297)</f>
        <v>Bronze</v>
      </c>
      <c r="I297" t="s">
        <v>22</v>
      </c>
    </row>
    <row r="298" spans="1:9">
      <c r="A298" t="s">
        <v>656</v>
      </c>
      <c r="B298" t="s">
        <v>657</v>
      </c>
      <c r="C298" t="str">
        <f t="shared" si="4"/>
        <v>Jared Moran</v>
      </c>
      <c r="D298">
        <v>28</v>
      </c>
      <c r="E298" t="s">
        <v>15</v>
      </c>
      <c r="F298" t="s">
        <v>35</v>
      </c>
      <c r="G298" t="s">
        <v>11</v>
      </c>
      <c r="H298" t="str">
        <f>IF(ISBLANK(Table2[[#This Row],[Loyalty_Level]]),"Unknown",I298)</f>
        <v>Bronze</v>
      </c>
      <c r="I298" t="s">
        <v>22</v>
      </c>
    </row>
    <row r="299" spans="1:9">
      <c r="A299" t="s">
        <v>658</v>
      </c>
      <c r="B299" t="s">
        <v>659</v>
      </c>
      <c r="C299" t="str">
        <f t="shared" si="4"/>
        <v>Jennifer Carr</v>
      </c>
      <c r="D299">
        <v>47</v>
      </c>
      <c r="E299" t="s">
        <v>15</v>
      </c>
      <c r="F299" t="s">
        <v>86</v>
      </c>
      <c r="G299" t="s">
        <v>11</v>
      </c>
      <c r="H299" t="str">
        <f>IF(ISBLANK(Table2[[#This Row],[Loyalty_Level]]),"Unknown",I299)</f>
        <v>Silver</v>
      </c>
      <c r="I299" t="s">
        <v>26</v>
      </c>
    </row>
    <row r="300" spans="1:9">
      <c r="A300" t="s">
        <v>660</v>
      </c>
      <c r="B300" t="s">
        <v>661</v>
      </c>
      <c r="C300" t="str">
        <f t="shared" si="4"/>
        <v>Tracy Stephens</v>
      </c>
      <c r="D300">
        <v>64</v>
      </c>
      <c r="E300" t="s">
        <v>9</v>
      </c>
      <c r="F300" t="s">
        <v>312</v>
      </c>
      <c r="G300" t="s">
        <v>11</v>
      </c>
      <c r="H300" t="str">
        <f>IF(ISBLANK(Table2[[#This Row],[Loyalty_Level]]),"Unknown",I300)</f>
        <v>Platinum</v>
      </c>
      <c r="I300" t="s">
        <v>17</v>
      </c>
    </row>
    <row r="301" spans="1:9">
      <c r="A301" t="s">
        <v>662</v>
      </c>
      <c r="B301" t="s">
        <v>663</v>
      </c>
      <c r="C301" t="str">
        <f t="shared" si="4"/>
        <v>Stephanie Jacobs</v>
      </c>
      <c r="D301">
        <v>48</v>
      </c>
      <c r="E301" t="s">
        <v>15</v>
      </c>
      <c r="F301" t="s">
        <v>239</v>
      </c>
      <c r="G301" t="s">
        <v>11</v>
      </c>
      <c r="H301" t="str">
        <f>IF(ISBLANK(Table2[[#This Row],[Loyalty_Level]]),"Unknown",I301)</f>
        <v>Platinum</v>
      </c>
      <c r="I301" t="s">
        <v>17</v>
      </c>
    </row>
    <row r="302" spans="1:9">
      <c r="A302" t="s">
        <v>664</v>
      </c>
      <c r="B302" t="s">
        <v>665</v>
      </c>
      <c r="C302" t="str">
        <f t="shared" si="4"/>
        <v>Matthew Avery</v>
      </c>
      <c r="D302">
        <v>29</v>
      </c>
      <c r="E302" t="s">
        <v>9</v>
      </c>
      <c r="F302" t="s">
        <v>29</v>
      </c>
      <c r="G302" t="s">
        <v>11</v>
      </c>
      <c r="H302" t="str">
        <f>IF(ISBLANK(Table2[[#This Row],[Loyalty_Level]]),"Unknown",I302)</f>
        <v>Silver</v>
      </c>
      <c r="I302" t="s">
        <v>26</v>
      </c>
    </row>
    <row r="303" spans="1:9">
      <c r="A303" t="s">
        <v>666</v>
      </c>
      <c r="B303" t="s">
        <v>667</v>
      </c>
      <c r="C303" t="str">
        <f t="shared" si="4"/>
        <v>Ryan Kane</v>
      </c>
      <c r="D303">
        <v>50</v>
      </c>
      <c r="E303" t="s">
        <v>9</v>
      </c>
      <c r="F303" t="s">
        <v>210</v>
      </c>
      <c r="G303" t="s">
        <v>11</v>
      </c>
      <c r="H303" t="str">
        <f>IF(ISBLANK(Table2[[#This Row],[Loyalty_Level]]),"Unknown",I303)</f>
        <v>Gold</v>
      </c>
      <c r="I303" t="s">
        <v>12</v>
      </c>
    </row>
    <row r="304" spans="1:9">
      <c r="A304" t="s">
        <v>668</v>
      </c>
      <c r="B304" t="s">
        <v>669</v>
      </c>
      <c r="C304" t="str">
        <f t="shared" si="4"/>
        <v>Edward Cole</v>
      </c>
      <c r="D304">
        <v>36</v>
      </c>
      <c r="E304" t="s">
        <v>9</v>
      </c>
      <c r="F304" t="s">
        <v>101</v>
      </c>
      <c r="G304" t="s">
        <v>11</v>
      </c>
      <c r="H304" t="str">
        <f>IF(ISBLANK(Table2[[#This Row],[Loyalty_Level]]),"Unknown",I304)</f>
        <v>Gold</v>
      </c>
      <c r="I304" t="s">
        <v>12</v>
      </c>
    </row>
    <row r="305" spans="1:9">
      <c r="A305" t="s">
        <v>670</v>
      </c>
      <c r="B305" t="s">
        <v>671</v>
      </c>
      <c r="C305" t="str">
        <f t="shared" si="4"/>
        <v>John Sloan</v>
      </c>
      <c r="D305">
        <v>23</v>
      </c>
      <c r="E305" t="s">
        <v>15</v>
      </c>
      <c r="F305" t="s">
        <v>71</v>
      </c>
      <c r="G305" t="s">
        <v>11</v>
      </c>
      <c r="H305" t="str">
        <f>IF(ISBLANK(Table2[[#This Row],[Loyalty_Level]]),"Unknown",I305)</f>
        <v>Platinum</v>
      </c>
      <c r="I305" t="s">
        <v>17</v>
      </c>
    </row>
    <row r="306" spans="1:9">
      <c r="A306" t="s">
        <v>672</v>
      </c>
      <c r="B306" t="s">
        <v>673</v>
      </c>
      <c r="C306" t="str">
        <f t="shared" si="4"/>
        <v>Miss Alexandria Li Dvm</v>
      </c>
      <c r="D306">
        <v>41</v>
      </c>
      <c r="E306" t="s">
        <v>9</v>
      </c>
      <c r="F306" t="s">
        <v>49</v>
      </c>
      <c r="G306" t="s">
        <v>11</v>
      </c>
      <c r="H306" t="str">
        <f>IF(ISBLANK(Table2[[#This Row],[Loyalty_Level]]),"Unknown",I306)</f>
        <v>Silver</v>
      </c>
      <c r="I306" t="s">
        <v>26</v>
      </c>
    </row>
    <row r="307" spans="1:9">
      <c r="A307" t="s">
        <v>674</v>
      </c>
      <c r="B307" t="s">
        <v>675</v>
      </c>
      <c r="C307" t="str">
        <f t="shared" si="4"/>
        <v>Roberta Green</v>
      </c>
      <c r="D307">
        <v>64</v>
      </c>
      <c r="E307" t="s">
        <v>9</v>
      </c>
      <c r="F307" t="s">
        <v>58</v>
      </c>
      <c r="G307" t="s">
        <v>11</v>
      </c>
      <c r="H307" t="str">
        <f>IF(ISBLANK(Table2[[#This Row],[Loyalty_Level]]),"Unknown",I307)</f>
        <v>Platinum</v>
      </c>
      <c r="I307" t="s">
        <v>17</v>
      </c>
    </row>
    <row r="308" spans="1:9">
      <c r="A308" t="s">
        <v>676</v>
      </c>
      <c r="B308" t="s">
        <v>677</v>
      </c>
      <c r="C308" t="str">
        <f t="shared" si="4"/>
        <v>Angela Robinson</v>
      </c>
      <c r="D308">
        <v>44</v>
      </c>
      <c r="E308" t="s">
        <v>9</v>
      </c>
      <c r="F308" t="s">
        <v>175</v>
      </c>
      <c r="G308" t="s">
        <v>11</v>
      </c>
      <c r="H308" t="str">
        <f>IF(ISBLANK(Table2[[#This Row],[Loyalty_Level]]),"Unknown",I308)</f>
        <v>Platinum</v>
      </c>
      <c r="I308" t="s">
        <v>17</v>
      </c>
    </row>
    <row r="309" spans="1:9">
      <c r="A309" t="s">
        <v>678</v>
      </c>
      <c r="B309" t="s">
        <v>679</v>
      </c>
      <c r="C309" t="str">
        <f t="shared" si="4"/>
        <v>Brandy Thompson</v>
      </c>
      <c r="D309">
        <v>56</v>
      </c>
      <c r="E309" t="s">
        <v>15</v>
      </c>
      <c r="F309" t="s">
        <v>19</v>
      </c>
      <c r="G309" t="s">
        <v>11</v>
      </c>
      <c r="H309" t="str">
        <f>IF(ISBLANK(Table2[[#This Row],[Loyalty_Level]]),"Unknown",I309)</f>
        <v>Bronze</v>
      </c>
      <c r="I309" t="s">
        <v>22</v>
      </c>
    </row>
    <row r="310" spans="1:9">
      <c r="A310" t="s">
        <v>680</v>
      </c>
      <c r="B310" t="s">
        <v>681</v>
      </c>
      <c r="C310" t="str">
        <f t="shared" si="4"/>
        <v>Jennifer Zamora</v>
      </c>
      <c r="D310">
        <v>60</v>
      </c>
      <c r="E310" t="s">
        <v>15</v>
      </c>
      <c r="F310" t="s">
        <v>196</v>
      </c>
      <c r="G310" t="s">
        <v>11</v>
      </c>
      <c r="H310" t="str">
        <f>IF(ISBLANK(Table2[[#This Row],[Loyalty_Level]]),"Unknown",I310)</f>
        <v>Gold</v>
      </c>
      <c r="I310" t="s">
        <v>12</v>
      </c>
    </row>
    <row r="311" spans="1:9">
      <c r="A311" t="s">
        <v>682</v>
      </c>
      <c r="B311" t="s">
        <v>683</v>
      </c>
      <c r="C311" t="str">
        <f t="shared" si="4"/>
        <v>Stacy Collins</v>
      </c>
      <c r="D311">
        <v>41</v>
      </c>
      <c r="E311" t="s">
        <v>15</v>
      </c>
      <c r="F311" t="s">
        <v>25</v>
      </c>
      <c r="G311" t="s">
        <v>11</v>
      </c>
      <c r="H311" t="str">
        <f>IF(ISBLANK(Table2[[#This Row],[Loyalty_Level]]),"Unknown",I311)</f>
        <v>Bronze</v>
      </c>
      <c r="I311" t="s">
        <v>22</v>
      </c>
    </row>
    <row r="312" spans="1:9">
      <c r="A312" t="s">
        <v>684</v>
      </c>
      <c r="B312" t="s">
        <v>685</v>
      </c>
      <c r="C312" t="str">
        <f t="shared" si="4"/>
        <v>Kara Dodson</v>
      </c>
      <c r="D312">
        <v>20</v>
      </c>
      <c r="E312" t="s">
        <v>9</v>
      </c>
      <c r="F312" t="s">
        <v>128</v>
      </c>
      <c r="G312" t="s">
        <v>11</v>
      </c>
      <c r="H312" t="str">
        <f>IF(ISBLANK(Table2[[#This Row],[Loyalty_Level]]),"Unknown",I312)</f>
        <v>Silver</v>
      </c>
      <c r="I312" t="s">
        <v>26</v>
      </c>
    </row>
    <row r="313" spans="1:9">
      <c r="A313" t="s">
        <v>686</v>
      </c>
      <c r="B313" t="s">
        <v>687</v>
      </c>
      <c r="C313" t="str">
        <f t="shared" si="4"/>
        <v>Kevin Larson</v>
      </c>
      <c r="D313">
        <v>35</v>
      </c>
      <c r="E313" t="s">
        <v>9</v>
      </c>
      <c r="F313" t="s">
        <v>29</v>
      </c>
      <c r="G313" t="s">
        <v>11</v>
      </c>
      <c r="H313" t="str">
        <f>IF(ISBLANK(Table2[[#This Row],[Loyalty_Level]]),"Unknown",I313)</f>
        <v>Platinum</v>
      </c>
      <c r="I313" t="s">
        <v>17</v>
      </c>
    </row>
    <row r="314" spans="1:9">
      <c r="A314" t="s">
        <v>688</v>
      </c>
      <c r="B314" t="s">
        <v>689</v>
      </c>
      <c r="C314" t="str">
        <f t="shared" si="4"/>
        <v>Jason Mullins</v>
      </c>
      <c r="D314">
        <v>47</v>
      </c>
      <c r="E314" t="s">
        <v>15</v>
      </c>
      <c r="F314" t="s">
        <v>71</v>
      </c>
      <c r="G314" t="s">
        <v>11</v>
      </c>
      <c r="H314" t="str">
        <f>IF(ISBLANK(Table2[[#This Row],[Loyalty_Level]]),"Unknown",I314)</f>
        <v>Silver</v>
      </c>
      <c r="I314" t="s">
        <v>26</v>
      </c>
    </row>
    <row r="315" spans="1:9">
      <c r="A315" t="s">
        <v>690</v>
      </c>
      <c r="B315" t="s">
        <v>691</v>
      </c>
      <c r="C315" t="str">
        <f t="shared" si="4"/>
        <v>Elizabeth Jones</v>
      </c>
      <c r="D315">
        <v>62</v>
      </c>
      <c r="E315" t="s">
        <v>9</v>
      </c>
      <c r="F315" t="s">
        <v>106</v>
      </c>
      <c r="G315" t="s">
        <v>11</v>
      </c>
      <c r="H315" t="str">
        <f>IF(ISBLANK(Table2[[#This Row],[Loyalty_Level]]),"Unknown",I315)</f>
        <v>Platinum</v>
      </c>
      <c r="I315" t="s">
        <v>17</v>
      </c>
    </row>
    <row r="316" spans="1:9">
      <c r="A316" t="s">
        <v>692</v>
      </c>
      <c r="B316" t="s">
        <v>693</v>
      </c>
      <c r="C316" t="str">
        <f t="shared" si="4"/>
        <v>Elizabeth Johnson</v>
      </c>
      <c r="D316">
        <v>53</v>
      </c>
      <c r="E316" t="s">
        <v>15</v>
      </c>
      <c r="F316" t="s">
        <v>58</v>
      </c>
      <c r="G316" t="s">
        <v>11</v>
      </c>
      <c r="H316" t="str">
        <f>IF(ISBLANK(Table2[[#This Row],[Loyalty_Level]]),"Unknown",I316)</f>
        <v>Silver</v>
      </c>
      <c r="I316" t="s">
        <v>26</v>
      </c>
    </row>
    <row r="317" spans="1:9">
      <c r="A317" t="s">
        <v>694</v>
      </c>
      <c r="B317" t="s">
        <v>695</v>
      </c>
      <c r="C317" t="str">
        <f t="shared" si="4"/>
        <v>William Rodriguez</v>
      </c>
      <c r="D317">
        <v>49</v>
      </c>
      <c r="E317" t="s">
        <v>9</v>
      </c>
      <c r="F317" t="s">
        <v>504</v>
      </c>
      <c r="G317" t="s">
        <v>11</v>
      </c>
      <c r="H317" t="str">
        <f>IF(ISBLANK(Table2[[#This Row],[Loyalty_Level]]),"Unknown",I317)</f>
        <v>Silver</v>
      </c>
      <c r="I317" t="s">
        <v>26</v>
      </c>
    </row>
    <row r="318" spans="1:9">
      <c r="A318" t="s">
        <v>696</v>
      </c>
      <c r="B318" t="s">
        <v>697</v>
      </c>
      <c r="C318" t="str">
        <f t="shared" si="4"/>
        <v>Robert House</v>
      </c>
      <c r="D318">
        <v>34</v>
      </c>
      <c r="E318" t="s">
        <v>9</v>
      </c>
      <c r="F318" t="s">
        <v>106</v>
      </c>
      <c r="G318" t="s">
        <v>11</v>
      </c>
      <c r="H318" t="str">
        <f>IF(ISBLANK(Table2[[#This Row],[Loyalty_Level]]),"Unknown",I318)</f>
        <v>Gold</v>
      </c>
      <c r="I318" t="s">
        <v>12</v>
      </c>
    </row>
    <row r="319" spans="1:9">
      <c r="A319" t="s">
        <v>698</v>
      </c>
      <c r="B319" t="s">
        <v>699</v>
      </c>
      <c r="C319" t="str">
        <f t="shared" si="4"/>
        <v>Tiffany Williams</v>
      </c>
      <c r="D319">
        <v>64</v>
      </c>
      <c r="E319" t="s">
        <v>15</v>
      </c>
      <c r="F319" t="s">
        <v>38</v>
      </c>
      <c r="G319" t="s">
        <v>11</v>
      </c>
      <c r="H319" t="str">
        <f>IF(ISBLANK(Table2[[#This Row],[Loyalty_Level]]),"Unknown",I319)</f>
        <v>Gold</v>
      </c>
      <c r="I319" t="s">
        <v>12</v>
      </c>
    </row>
    <row r="320" spans="1:9">
      <c r="A320" t="s">
        <v>700</v>
      </c>
      <c r="B320" t="s">
        <v>701</v>
      </c>
      <c r="C320" t="str">
        <f t="shared" si="4"/>
        <v>Madison Wright</v>
      </c>
      <c r="D320">
        <v>25</v>
      </c>
      <c r="E320" t="s">
        <v>9</v>
      </c>
      <c r="F320" t="s">
        <v>49</v>
      </c>
      <c r="G320" t="s">
        <v>11</v>
      </c>
      <c r="H320" t="str">
        <f>IF(ISBLANK(Table2[[#This Row],[Loyalty_Level]]),"Unknown",I320)</f>
        <v>Platinum</v>
      </c>
      <c r="I320" t="s">
        <v>17</v>
      </c>
    </row>
    <row r="321" spans="1:9">
      <c r="A321" t="s">
        <v>702</v>
      </c>
      <c r="B321" t="s">
        <v>703</v>
      </c>
      <c r="C321" t="str">
        <f t="shared" si="4"/>
        <v>Casey Simpson</v>
      </c>
      <c r="D321">
        <v>54</v>
      </c>
      <c r="E321" t="s">
        <v>9</v>
      </c>
      <c r="F321" t="s">
        <v>228</v>
      </c>
      <c r="G321" t="s">
        <v>11</v>
      </c>
      <c r="H321" t="str">
        <f>IF(ISBLANK(Table2[[#This Row],[Loyalty_Level]]),"Unknown",I321)</f>
        <v>Platinum</v>
      </c>
      <c r="I321" t="s">
        <v>17</v>
      </c>
    </row>
    <row r="322" spans="1:9">
      <c r="A322" t="s">
        <v>704</v>
      </c>
      <c r="B322" t="s">
        <v>705</v>
      </c>
      <c r="C322" t="str">
        <f t="shared" ref="C322:C385" si="5">PROPER(TRIM(B322))</f>
        <v>Jessica Gonzalez</v>
      </c>
      <c r="D322">
        <v>34</v>
      </c>
      <c r="E322" t="s">
        <v>15</v>
      </c>
      <c r="F322" t="s">
        <v>196</v>
      </c>
      <c r="G322" t="s">
        <v>11</v>
      </c>
      <c r="H322" t="str">
        <f>IF(ISBLANK(Table2[[#This Row],[Loyalty_Level]]),"Unknown",I322)</f>
        <v>Bronze</v>
      </c>
      <c r="I322" t="s">
        <v>22</v>
      </c>
    </row>
    <row r="323" spans="1:9">
      <c r="A323" t="s">
        <v>706</v>
      </c>
      <c r="B323" t="s">
        <v>707</v>
      </c>
      <c r="C323" t="str">
        <f t="shared" si="5"/>
        <v>Darren Burton</v>
      </c>
      <c r="D323">
        <v>21</v>
      </c>
      <c r="E323" t="s">
        <v>15</v>
      </c>
      <c r="F323" t="s">
        <v>175</v>
      </c>
      <c r="G323" t="s">
        <v>11</v>
      </c>
      <c r="H323" t="str">
        <f>IF(ISBLANK(Table2[[#This Row],[Loyalty_Level]]),"Unknown",I323)</f>
        <v>Bronze</v>
      </c>
      <c r="I323" t="s">
        <v>22</v>
      </c>
    </row>
    <row r="324" spans="1:9">
      <c r="A324" t="s">
        <v>708</v>
      </c>
      <c r="B324" t="s">
        <v>709</v>
      </c>
      <c r="C324" t="str">
        <f t="shared" si="5"/>
        <v>Samuel Arias</v>
      </c>
      <c r="D324">
        <v>54</v>
      </c>
      <c r="E324" t="s">
        <v>9</v>
      </c>
      <c r="F324" t="s">
        <v>593</v>
      </c>
      <c r="G324" t="s">
        <v>11</v>
      </c>
      <c r="H324" t="str">
        <f>IF(ISBLANK(Table2[[#This Row],[Loyalty_Level]]),"Unknown",I324)</f>
        <v>Bronze</v>
      </c>
      <c r="I324" t="s">
        <v>22</v>
      </c>
    </row>
    <row r="325" spans="1:9">
      <c r="A325" t="s">
        <v>710</v>
      </c>
      <c r="B325" t="s">
        <v>711</v>
      </c>
      <c r="C325" t="str">
        <f t="shared" si="5"/>
        <v>Kristy Dunlap</v>
      </c>
      <c r="D325">
        <v>64</v>
      </c>
      <c r="E325" t="s">
        <v>15</v>
      </c>
      <c r="F325" t="s">
        <v>10</v>
      </c>
      <c r="G325" t="s">
        <v>11</v>
      </c>
      <c r="H325" t="str">
        <f>IF(ISBLANK(Table2[[#This Row],[Loyalty_Level]]),"Unknown",I325)</f>
        <v>Platinum</v>
      </c>
      <c r="I325" t="s">
        <v>17</v>
      </c>
    </row>
    <row r="326" spans="1:9">
      <c r="A326" t="s">
        <v>712</v>
      </c>
      <c r="B326" t="s">
        <v>713</v>
      </c>
      <c r="C326" t="str">
        <f t="shared" si="5"/>
        <v>Alex Mann Ii</v>
      </c>
      <c r="D326">
        <v>58</v>
      </c>
      <c r="E326" t="s">
        <v>9</v>
      </c>
      <c r="F326" t="s">
        <v>74</v>
      </c>
      <c r="G326" t="s">
        <v>11</v>
      </c>
      <c r="H326" t="str">
        <f>IF(ISBLANK(Table2[[#This Row],[Loyalty_Level]]),"Unknown",I326)</f>
        <v>Bronze</v>
      </c>
      <c r="I326" t="s">
        <v>22</v>
      </c>
    </row>
    <row r="327" spans="1:9">
      <c r="A327" t="s">
        <v>714</v>
      </c>
      <c r="B327" t="s">
        <v>715</v>
      </c>
      <c r="C327" t="str">
        <f t="shared" si="5"/>
        <v>Andrew Smith</v>
      </c>
      <c r="D327">
        <v>60</v>
      </c>
      <c r="E327" t="s">
        <v>9</v>
      </c>
      <c r="F327" t="s">
        <v>236</v>
      </c>
      <c r="G327" t="s">
        <v>11</v>
      </c>
      <c r="H327" t="str">
        <f>IF(ISBLANK(Table2[[#This Row],[Loyalty_Level]]),"Unknown",I327)</f>
        <v>Bronze</v>
      </c>
      <c r="I327" t="s">
        <v>22</v>
      </c>
    </row>
    <row r="328" spans="1:9">
      <c r="A328" t="s">
        <v>716</v>
      </c>
      <c r="B328" t="s">
        <v>717</v>
      </c>
      <c r="C328" t="str">
        <f t="shared" si="5"/>
        <v>Robert King</v>
      </c>
      <c r="D328">
        <v>58</v>
      </c>
      <c r="E328" t="s">
        <v>15</v>
      </c>
      <c r="F328" t="s">
        <v>161</v>
      </c>
      <c r="G328" t="s">
        <v>11</v>
      </c>
      <c r="H328" t="str">
        <f>IF(ISBLANK(Table2[[#This Row],[Loyalty_Level]]),"Unknown",I328)</f>
        <v>Gold</v>
      </c>
      <c r="I328" t="s">
        <v>12</v>
      </c>
    </row>
    <row r="329" spans="1:9">
      <c r="A329" t="s">
        <v>718</v>
      </c>
      <c r="B329" t="s">
        <v>719</v>
      </c>
      <c r="C329" t="str">
        <f t="shared" si="5"/>
        <v>Reginald Willis</v>
      </c>
      <c r="D329">
        <v>62</v>
      </c>
      <c r="E329" t="s">
        <v>15</v>
      </c>
      <c r="F329" t="s">
        <v>46</v>
      </c>
      <c r="G329" t="s">
        <v>11</v>
      </c>
      <c r="H329" t="str">
        <f>IF(ISBLANK(Table2[[#This Row],[Loyalty_Level]]),"Unknown",I329)</f>
        <v>Bronze</v>
      </c>
      <c r="I329" t="s">
        <v>22</v>
      </c>
    </row>
    <row r="330" spans="1:9">
      <c r="A330" t="s">
        <v>720</v>
      </c>
      <c r="B330" t="s">
        <v>721</v>
      </c>
      <c r="C330" t="str">
        <f t="shared" si="5"/>
        <v>Mario Harvey Jr.</v>
      </c>
      <c r="D330">
        <v>46</v>
      </c>
      <c r="E330" t="s">
        <v>9</v>
      </c>
      <c r="F330" t="s">
        <v>149</v>
      </c>
      <c r="G330" t="s">
        <v>11</v>
      </c>
      <c r="H330" t="str">
        <f>IF(ISBLANK(Table2[[#This Row],[Loyalty_Level]]),"Unknown",I330)</f>
        <v>Platinum</v>
      </c>
      <c r="I330" t="s">
        <v>17</v>
      </c>
    </row>
    <row r="331" spans="1:9">
      <c r="A331" t="s">
        <v>722</v>
      </c>
      <c r="B331" t="s">
        <v>723</v>
      </c>
      <c r="C331" t="str">
        <f t="shared" si="5"/>
        <v>Victor Mcintosh</v>
      </c>
      <c r="D331">
        <v>62</v>
      </c>
      <c r="E331" t="s">
        <v>15</v>
      </c>
      <c r="F331" t="s">
        <v>149</v>
      </c>
      <c r="G331" t="s">
        <v>11</v>
      </c>
      <c r="H331" t="str">
        <f>IF(ISBLANK(Table2[[#This Row],[Loyalty_Level]]),"Unknown",I331)</f>
        <v>Bronze</v>
      </c>
      <c r="I331" t="s">
        <v>22</v>
      </c>
    </row>
    <row r="332" spans="1:9">
      <c r="A332" t="s">
        <v>724</v>
      </c>
      <c r="B332" t="s">
        <v>725</v>
      </c>
      <c r="C332" t="str">
        <f t="shared" si="5"/>
        <v>Pamela Mcguire</v>
      </c>
      <c r="D332">
        <v>54</v>
      </c>
      <c r="E332" t="s">
        <v>9</v>
      </c>
      <c r="F332" t="s">
        <v>144</v>
      </c>
      <c r="G332" t="s">
        <v>11</v>
      </c>
      <c r="H332" t="str">
        <f>IF(ISBLANK(Table2[[#This Row],[Loyalty_Level]]),"Unknown",I332)</f>
        <v>Platinum</v>
      </c>
      <c r="I332" t="s">
        <v>17</v>
      </c>
    </row>
    <row r="333" spans="1:9">
      <c r="A333" t="s">
        <v>726</v>
      </c>
      <c r="B333" t="s">
        <v>727</v>
      </c>
      <c r="C333" t="str">
        <f t="shared" si="5"/>
        <v>Maria Phillips</v>
      </c>
      <c r="D333">
        <v>38</v>
      </c>
      <c r="E333" t="s">
        <v>15</v>
      </c>
      <c r="F333" t="s">
        <v>52</v>
      </c>
      <c r="G333" t="s">
        <v>11</v>
      </c>
      <c r="H333" t="str">
        <f>IF(ISBLANK(Table2[[#This Row],[Loyalty_Level]]),"Unknown",I333)</f>
        <v>Bronze</v>
      </c>
      <c r="I333" t="s">
        <v>22</v>
      </c>
    </row>
    <row r="334" spans="1:9">
      <c r="A334" t="s">
        <v>728</v>
      </c>
      <c r="B334" t="s">
        <v>729</v>
      </c>
      <c r="C334" t="str">
        <f t="shared" si="5"/>
        <v>Dr. Lindsay Hanna</v>
      </c>
      <c r="D334">
        <v>34</v>
      </c>
      <c r="E334" t="s">
        <v>15</v>
      </c>
      <c r="F334" t="s">
        <v>76</v>
      </c>
      <c r="G334" t="s">
        <v>11</v>
      </c>
      <c r="H334" t="str">
        <f>IF(ISBLANK(Table2[[#This Row],[Loyalty_Level]]),"Unknown",I334)</f>
        <v>Bronze</v>
      </c>
      <c r="I334" t="s">
        <v>22</v>
      </c>
    </row>
    <row r="335" spans="1:9">
      <c r="A335" t="s">
        <v>730</v>
      </c>
      <c r="B335" t="s">
        <v>731</v>
      </c>
      <c r="C335" t="str">
        <f t="shared" si="5"/>
        <v>Teresa Johnson</v>
      </c>
      <c r="D335">
        <v>64</v>
      </c>
      <c r="E335" t="s">
        <v>15</v>
      </c>
      <c r="F335" t="s">
        <v>63</v>
      </c>
      <c r="G335" t="s">
        <v>11</v>
      </c>
      <c r="H335" t="str">
        <f>IF(ISBLANK(Table2[[#This Row],[Loyalty_Level]]),"Unknown",I335)</f>
        <v>Gold</v>
      </c>
      <c r="I335" t="s">
        <v>12</v>
      </c>
    </row>
    <row r="336" spans="1:9">
      <c r="A336" t="s">
        <v>732</v>
      </c>
      <c r="B336" t="s">
        <v>733</v>
      </c>
      <c r="C336" t="str">
        <f t="shared" si="5"/>
        <v>Mr. Christopher Sims</v>
      </c>
      <c r="D336">
        <v>50</v>
      </c>
      <c r="E336" t="s">
        <v>15</v>
      </c>
      <c r="F336" t="s">
        <v>125</v>
      </c>
      <c r="G336" t="s">
        <v>11</v>
      </c>
      <c r="H336" t="str">
        <f>IF(ISBLANK(Table2[[#This Row],[Loyalty_Level]]),"Unknown",I336)</f>
        <v>Silver</v>
      </c>
      <c r="I336" t="s">
        <v>26</v>
      </c>
    </row>
    <row r="337" spans="1:9">
      <c r="A337" t="s">
        <v>734</v>
      </c>
      <c r="B337" t="s">
        <v>735</v>
      </c>
      <c r="C337" t="str">
        <f t="shared" si="5"/>
        <v>Jennifer Woods</v>
      </c>
      <c r="D337">
        <v>37</v>
      </c>
      <c r="E337" t="s">
        <v>9</v>
      </c>
      <c r="F337" t="s">
        <v>10</v>
      </c>
      <c r="G337" t="s">
        <v>11</v>
      </c>
      <c r="H337" t="str">
        <f>IF(ISBLANK(Table2[[#This Row],[Loyalty_Level]]),"Unknown",I337)</f>
        <v>Platinum</v>
      </c>
      <c r="I337" t="s">
        <v>17</v>
      </c>
    </row>
    <row r="338" spans="1:9">
      <c r="A338" t="s">
        <v>736</v>
      </c>
      <c r="B338" t="s">
        <v>737</v>
      </c>
      <c r="C338" t="str">
        <f t="shared" si="5"/>
        <v>John Jones</v>
      </c>
      <c r="D338">
        <v>58</v>
      </c>
      <c r="E338" t="s">
        <v>15</v>
      </c>
      <c r="F338" t="s">
        <v>29</v>
      </c>
      <c r="G338" t="s">
        <v>11</v>
      </c>
      <c r="H338" t="str">
        <f>IF(ISBLANK(Table2[[#This Row],[Loyalty_Level]]),"Unknown",I338)</f>
        <v>Silver</v>
      </c>
      <c r="I338" t="s">
        <v>26</v>
      </c>
    </row>
    <row r="339" spans="1:9">
      <c r="A339" t="s">
        <v>738</v>
      </c>
      <c r="B339" t="s">
        <v>739</v>
      </c>
      <c r="C339" t="str">
        <f t="shared" si="5"/>
        <v>Carol Lewis</v>
      </c>
      <c r="D339">
        <v>40</v>
      </c>
      <c r="E339" t="s">
        <v>15</v>
      </c>
      <c r="F339" t="s">
        <v>10</v>
      </c>
      <c r="G339" t="s">
        <v>11</v>
      </c>
      <c r="H339" t="str">
        <f>IF(ISBLANK(Table2[[#This Row],[Loyalty_Level]]),"Unknown",I339)</f>
        <v>Bronze</v>
      </c>
      <c r="I339" t="s">
        <v>22</v>
      </c>
    </row>
    <row r="340" spans="1:9">
      <c r="A340" t="s">
        <v>740</v>
      </c>
      <c r="B340" t="s">
        <v>741</v>
      </c>
      <c r="C340" t="str">
        <f t="shared" si="5"/>
        <v>Jasmine Snyder</v>
      </c>
      <c r="D340">
        <v>46</v>
      </c>
      <c r="E340" t="s">
        <v>15</v>
      </c>
      <c r="F340" t="s">
        <v>125</v>
      </c>
      <c r="G340" t="s">
        <v>11</v>
      </c>
      <c r="H340" t="str">
        <f>IF(ISBLANK(Table2[[#This Row],[Loyalty_Level]]),"Unknown",I340)</f>
        <v>Silver</v>
      </c>
      <c r="I340" t="s">
        <v>26</v>
      </c>
    </row>
    <row r="341" spans="1:9">
      <c r="A341" t="s">
        <v>742</v>
      </c>
      <c r="B341" t="s">
        <v>743</v>
      </c>
      <c r="C341" t="str">
        <f t="shared" si="5"/>
        <v>Mrs. Susan Buckley</v>
      </c>
      <c r="D341">
        <v>52</v>
      </c>
      <c r="E341" t="s">
        <v>15</v>
      </c>
      <c r="F341" t="s">
        <v>101</v>
      </c>
      <c r="G341" t="s">
        <v>11</v>
      </c>
      <c r="H341" t="str">
        <f>IF(ISBLANK(Table2[[#This Row],[Loyalty_Level]]),"Unknown",I341)</f>
        <v>Platinum</v>
      </c>
      <c r="I341" t="s">
        <v>17</v>
      </c>
    </row>
    <row r="342" spans="1:9">
      <c r="A342" t="s">
        <v>744</v>
      </c>
      <c r="B342" t="s">
        <v>745</v>
      </c>
      <c r="C342" t="str">
        <f t="shared" si="5"/>
        <v>Eric Davis</v>
      </c>
      <c r="D342">
        <v>27</v>
      </c>
      <c r="E342" t="s">
        <v>9</v>
      </c>
      <c r="F342" t="s">
        <v>201</v>
      </c>
      <c r="G342" t="s">
        <v>11</v>
      </c>
      <c r="H342" t="str">
        <f>IF(ISBLANK(Table2[[#This Row],[Loyalty_Level]]),"Unknown",I342)</f>
        <v>Bronze</v>
      </c>
      <c r="I342" t="s">
        <v>22</v>
      </c>
    </row>
    <row r="343" spans="1:9">
      <c r="A343" t="s">
        <v>746</v>
      </c>
      <c r="B343" t="s">
        <v>747</v>
      </c>
      <c r="C343" t="str">
        <f t="shared" si="5"/>
        <v>Angela Williams</v>
      </c>
      <c r="D343">
        <v>56</v>
      </c>
      <c r="E343" t="s">
        <v>15</v>
      </c>
      <c r="F343" t="s">
        <v>144</v>
      </c>
      <c r="G343" t="s">
        <v>11</v>
      </c>
      <c r="H343" t="str">
        <f>IF(ISBLANK(Table2[[#This Row],[Loyalty_Level]]),"Unknown",I343)</f>
        <v>Bronze</v>
      </c>
      <c r="I343" t="s">
        <v>22</v>
      </c>
    </row>
    <row r="344" spans="1:9">
      <c r="A344" t="s">
        <v>748</v>
      </c>
      <c r="B344" t="s">
        <v>749</v>
      </c>
      <c r="C344" t="str">
        <f t="shared" si="5"/>
        <v>Michelle Cunningham</v>
      </c>
      <c r="D344">
        <v>30</v>
      </c>
      <c r="E344" t="s">
        <v>15</v>
      </c>
      <c r="F344" t="s">
        <v>125</v>
      </c>
      <c r="G344" t="s">
        <v>11</v>
      </c>
      <c r="H344" t="str">
        <f>IF(ISBLANK(Table2[[#This Row],[Loyalty_Level]]),"Unknown",I344)</f>
        <v>Bronze</v>
      </c>
      <c r="I344" t="s">
        <v>22</v>
      </c>
    </row>
    <row r="345" spans="1:9">
      <c r="A345" t="s">
        <v>750</v>
      </c>
      <c r="B345" t="s">
        <v>751</v>
      </c>
      <c r="C345" t="str">
        <f t="shared" si="5"/>
        <v>Ryan Moore</v>
      </c>
      <c r="D345">
        <v>38</v>
      </c>
      <c r="E345" t="s">
        <v>9</v>
      </c>
      <c r="F345" t="s">
        <v>210</v>
      </c>
      <c r="G345" t="s">
        <v>11</v>
      </c>
      <c r="H345" t="str">
        <f>IF(ISBLANK(Table2[[#This Row],[Loyalty_Level]]),"Unknown",I345)</f>
        <v>Bronze</v>
      </c>
      <c r="I345" t="s">
        <v>22</v>
      </c>
    </row>
    <row r="346" spans="1:9">
      <c r="A346" t="s">
        <v>752</v>
      </c>
      <c r="B346" t="s">
        <v>753</v>
      </c>
      <c r="C346" t="str">
        <f t="shared" si="5"/>
        <v>Evelyn Brown</v>
      </c>
      <c r="D346">
        <v>39</v>
      </c>
      <c r="E346" t="s">
        <v>9</v>
      </c>
      <c r="F346" t="s">
        <v>172</v>
      </c>
      <c r="G346" t="s">
        <v>11</v>
      </c>
      <c r="H346" t="str">
        <f>IF(ISBLANK(Table2[[#This Row],[Loyalty_Level]]),"Unknown",I346)</f>
        <v>Gold</v>
      </c>
      <c r="I346" t="s">
        <v>12</v>
      </c>
    </row>
    <row r="347" spans="1:9">
      <c r="A347" t="s">
        <v>754</v>
      </c>
      <c r="B347" t="s">
        <v>755</v>
      </c>
      <c r="C347" t="str">
        <f t="shared" si="5"/>
        <v>Daniel Nelson</v>
      </c>
      <c r="D347">
        <v>33</v>
      </c>
      <c r="E347" t="s">
        <v>9</v>
      </c>
      <c r="F347" t="s">
        <v>74</v>
      </c>
      <c r="G347" t="s">
        <v>11</v>
      </c>
      <c r="H347" t="str">
        <f>IF(ISBLANK(Table2[[#This Row],[Loyalty_Level]]),"Unknown",I347)</f>
        <v>Bronze</v>
      </c>
      <c r="I347" t="s">
        <v>22</v>
      </c>
    </row>
    <row r="348" spans="1:9">
      <c r="A348" t="s">
        <v>756</v>
      </c>
      <c r="B348" t="s">
        <v>757</v>
      </c>
      <c r="C348" t="str">
        <f t="shared" si="5"/>
        <v>John Jordan</v>
      </c>
      <c r="D348">
        <v>58</v>
      </c>
      <c r="E348" t="s">
        <v>15</v>
      </c>
      <c r="F348" t="s">
        <v>175</v>
      </c>
      <c r="G348" t="s">
        <v>11</v>
      </c>
      <c r="H348" t="str">
        <f>IF(ISBLANK(Table2[[#This Row],[Loyalty_Level]]),"Unknown",I348)</f>
        <v>Platinum</v>
      </c>
      <c r="I348" t="s">
        <v>17</v>
      </c>
    </row>
    <row r="349" spans="1:9">
      <c r="A349" t="s">
        <v>758</v>
      </c>
      <c r="B349" t="s">
        <v>759</v>
      </c>
      <c r="C349" t="str">
        <f t="shared" si="5"/>
        <v>Justin Mason Dds</v>
      </c>
      <c r="D349">
        <v>39</v>
      </c>
      <c r="E349" t="s">
        <v>15</v>
      </c>
      <c r="F349" t="s">
        <v>125</v>
      </c>
      <c r="G349" t="s">
        <v>11</v>
      </c>
      <c r="H349" t="str">
        <f>IF(ISBLANK(Table2[[#This Row],[Loyalty_Level]]),"Unknown",I349)</f>
        <v>Gold</v>
      </c>
      <c r="I349" t="s">
        <v>12</v>
      </c>
    </row>
    <row r="350" spans="1:9">
      <c r="A350" t="s">
        <v>760</v>
      </c>
      <c r="B350" t="s">
        <v>761</v>
      </c>
      <c r="C350" t="str">
        <f t="shared" si="5"/>
        <v>Sherry Cabrera</v>
      </c>
      <c r="D350">
        <v>55</v>
      </c>
      <c r="E350" t="s">
        <v>9</v>
      </c>
      <c r="F350" t="s">
        <v>41</v>
      </c>
      <c r="G350" t="s">
        <v>11</v>
      </c>
      <c r="H350" t="str">
        <f>IF(ISBLANK(Table2[[#This Row],[Loyalty_Level]]),"Unknown",I350)</f>
        <v>Silver</v>
      </c>
      <c r="I350" t="s">
        <v>26</v>
      </c>
    </row>
    <row r="351" spans="1:9">
      <c r="A351" t="s">
        <v>762</v>
      </c>
      <c r="B351" t="s">
        <v>763</v>
      </c>
      <c r="C351" t="str">
        <f t="shared" si="5"/>
        <v>Heather Valenzuela</v>
      </c>
      <c r="D351">
        <v>31</v>
      </c>
      <c r="E351" t="s">
        <v>9</v>
      </c>
      <c r="F351" t="s">
        <v>122</v>
      </c>
      <c r="G351" t="s">
        <v>11</v>
      </c>
      <c r="H351" t="str">
        <f>IF(ISBLANK(Table2[[#This Row],[Loyalty_Level]]),"Unknown",I351)</f>
        <v>Bronze</v>
      </c>
      <c r="I351" t="s">
        <v>22</v>
      </c>
    </row>
    <row r="352" spans="1:9">
      <c r="A352" t="s">
        <v>764</v>
      </c>
      <c r="B352" t="s">
        <v>765</v>
      </c>
      <c r="C352" t="str">
        <f t="shared" si="5"/>
        <v>Charles Miller</v>
      </c>
      <c r="D352">
        <v>26</v>
      </c>
      <c r="E352" t="s">
        <v>9</v>
      </c>
      <c r="F352" t="s">
        <v>196</v>
      </c>
      <c r="G352" t="s">
        <v>11</v>
      </c>
      <c r="H352" t="str">
        <f>IF(ISBLANK(Table2[[#This Row],[Loyalty_Level]]),"Unknown",I352)</f>
        <v>Silver</v>
      </c>
      <c r="I352" t="s">
        <v>26</v>
      </c>
    </row>
    <row r="353" spans="1:9">
      <c r="A353" t="s">
        <v>766</v>
      </c>
      <c r="B353" t="s">
        <v>767</v>
      </c>
      <c r="C353" t="str">
        <f t="shared" si="5"/>
        <v>Jeffrey Mccarthy</v>
      </c>
      <c r="D353">
        <v>25</v>
      </c>
      <c r="E353" t="s">
        <v>15</v>
      </c>
      <c r="F353" t="s">
        <v>55</v>
      </c>
      <c r="G353" t="s">
        <v>11</v>
      </c>
      <c r="H353" t="str">
        <f>IF(ISBLANK(Table2[[#This Row],[Loyalty_Level]]),"Unknown",I353)</f>
        <v>Bronze</v>
      </c>
      <c r="I353" t="s">
        <v>22</v>
      </c>
    </row>
    <row r="354" spans="1:9">
      <c r="A354" t="s">
        <v>768</v>
      </c>
      <c r="B354" t="s">
        <v>769</v>
      </c>
      <c r="C354" t="str">
        <f t="shared" si="5"/>
        <v>Michael Greene</v>
      </c>
      <c r="D354">
        <v>52</v>
      </c>
      <c r="E354" t="s">
        <v>15</v>
      </c>
      <c r="F354" t="s">
        <v>236</v>
      </c>
      <c r="G354" t="s">
        <v>11</v>
      </c>
      <c r="H354" t="str">
        <f>IF(ISBLANK(Table2[[#This Row],[Loyalty_Level]]),"Unknown",I354)</f>
        <v>Silver</v>
      </c>
      <c r="I354" t="s">
        <v>26</v>
      </c>
    </row>
    <row r="355" spans="1:9">
      <c r="A355" t="s">
        <v>770</v>
      </c>
      <c r="B355" t="s">
        <v>3357</v>
      </c>
      <c r="C355" t="str">
        <f t="shared" si="5"/>
        <v>Laura Green</v>
      </c>
      <c r="D355">
        <v>56</v>
      </c>
      <c r="E355" t="s">
        <v>15</v>
      </c>
      <c r="F355" t="s">
        <v>29</v>
      </c>
      <c r="G355" t="s">
        <v>11</v>
      </c>
      <c r="H355" t="str">
        <f>IF(ISBLANK(Table2[[#This Row],[Loyalty_Level]]),"Unknown",I355)</f>
        <v>Platinum</v>
      </c>
      <c r="I355" t="s">
        <v>17</v>
      </c>
    </row>
    <row r="356" spans="1:9">
      <c r="A356" t="s">
        <v>771</v>
      </c>
      <c r="B356" t="s">
        <v>772</v>
      </c>
      <c r="C356" t="str">
        <f t="shared" si="5"/>
        <v>Ryan Torres</v>
      </c>
      <c r="D356">
        <v>38</v>
      </c>
      <c r="E356" t="s">
        <v>9</v>
      </c>
      <c r="F356" t="s">
        <v>125</v>
      </c>
      <c r="G356" t="s">
        <v>11</v>
      </c>
      <c r="H356" t="str">
        <f>IF(ISBLANK(Table2[[#This Row],[Loyalty_Level]]),"Unknown",I356)</f>
        <v>Silver</v>
      </c>
      <c r="I356" t="s">
        <v>26</v>
      </c>
    </row>
    <row r="357" spans="1:9">
      <c r="A357" t="s">
        <v>773</v>
      </c>
      <c r="B357" t="s">
        <v>774</v>
      </c>
      <c r="C357" t="str">
        <f t="shared" si="5"/>
        <v>Carlos Flores</v>
      </c>
      <c r="D357">
        <v>20</v>
      </c>
      <c r="E357" t="s">
        <v>9</v>
      </c>
      <c r="F357" t="s">
        <v>58</v>
      </c>
      <c r="G357" t="s">
        <v>11</v>
      </c>
      <c r="H357" t="str">
        <f>IF(ISBLANK(Table2[[#This Row],[Loyalty_Level]]),"Unknown",I357)</f>
        <v>Gold</v>
      </c>
      <c r="I357" t="s">
        <v>12</v>
      </c>
    </row>
    <row r="358" spans="1:9">
      <c r="A358" t="s">
        <v>775</v>
      </c>
      <c r="B358" t="s">
        <v>776</v>
      </c>
      <c r="C358" t="str">
        <f t="shared" si="5"/>
        <v>Steve Hunt</v>
      </c>
      <c r="D358">
        <v>54</v>
      </c>
      <c r="E358" t="s">
        <v>9</v>
      </c>
      <c r="F358" t="s">
        <v>210</v>
      </c>
      <c r="G358" t="s">
        <v>11</v>
      </c>
      <c r="H358" t="str">
        <f>IF(ISBLANK(Table2[[#This Row],[Loyalty_Level]]),"Unknown",I358)</f>
        <v>Bronze</v>
      </c>
      <c r="I358" t="s">
        <v>22</v>
      </c>
    </row>
    <row r="359" spans="1:9">
      <c r="A359" t="s">
        <v>777</v>
      </c>
      <c r="B359" t="s">
        <v>778</v>
      </c>
      <c r="C359" t="str">
        <f t="shared" si="5"/>
        <v>Manuel Castillo</v>
      </c>
      <c r="D359">
        <v>41</v>
      </c>
      <c r="E359" t="s">
        <v>9</v>
      </c>
      <c r="F359" t="s">
        <v>175</v>
      </c>
      <c r="G359" t="s">
        <v>11</v>
      </c>
      <c r="H359" t="str">
        <f>IF(ISBLANK(Table2[[#This Row],[Loyalty_Level]]),"Unknown",I359)</f>
        <v>Gold</v>
      </c>
      <c r="I359" t="s">
        <v>12</v>
      </c>
    </row>
    <row r="360" spans="1:9">
      <c r="A360" t="s">
        <v>779</v>
      </c>
      <c r="B360" t="s">
        <v>780</v>
      </c>
      <c r="C360" t="str">
        <f t="shared" si="5"/>
        <v>Ashley Anderson</v>
      </c>
      <c r="D360">
        <v>60</v>
      </c>
      <c r="E360" t="s">
        <v>15</v>
      </c>
      <c r="F360" t="s">
        <v>228</v>
      </c>
      <c r="G360" t="s">
        <v>11</v>
      </c>
      <c r="H360" t="str">
        <f>IF(ISBLANK(Table2[[#This Row],[Loyalty_Level]]),"Unknown",I360)</f>
        <v>Gold</v>
      </c>
      <c r="I360" t="s">
        <v>12</v>
      </c>
    </row>
    <row r="361" spans="1:9">
      <c r="A361" t="s">
        <v>781</v>
      </c>
      <c r="B361" t="s">
        <v>782</v>
      </c>
      <c r="C361" t="str">
        <f t="shared" si="5"/>
        <v>Melanie Lam</v>
      </c>
      <c r="D361">
        <v>32</v>
      </c>
      <c r="E361" t="s">
        <v>9</v>
      </c>
      <c r="F361" t="s">
        <v>49</v>
      </c>
      <c r="G361" t="s">
        <v>11</v>
      </c>
      <c r="H361" t="str">
        <f>IF(ISBLANK(Table2[[#This Row],[Loyalty_Level]]),"Unknown",I361)</f>
        <v>Silver</v>
      </c>
      <c r="I361" t="s">
        <v>26</v>
      </c>
    </row>
    <row r="362" spans="1:9">
      <c r="A362" t="s">
        <v>783</v>
      </c>
      <c r="B362" t="s">
        <v>784</v>
      </c>
      <c r="C362" t="str">
        <f t="shared" si="5"/>
        <v>Denise Tate</v>
      </c>
      <c r="D362">
        <v>34</v>
      </c>
      <c r="E362" t="s">
        <v>9</v>
      </c>
      <c r="F362" t="s">
        <v>213</v>
      </c>
      <c r="G362" t="s">
        <v>11</v>
      </c>
      <c r="H362" t="str">
        <f>IF(ISBLANK(Table2[[#This Row],[Loyalty_Level]]),"Unknown",I362)</f>
        <v>Platinum</v>
      </c>
      <c r="I362" t="s">
        <v>17</v>
      </c>
    </row>
    <row r="363" spans="1:9">
      <c r="A363" t="s">
        <v>785</v>
      </c>
      <c r="B363" t="s">
        <v>786</v>
      </c>
      <c r="C363" t="str">
        <f t="shared" si="5"/>
        <v>Natalie Johnson</v>
      </c>
      <c r="D363">
        <v>64</v>
      </c>
      <c r="E363" t="s">
        <v>9</v>
      </c>
      <c r="F363" t="s">
        <v>187</v>
      </c>
      <c r="G363" t="s">
        <v>11</v>
      </c>
      <c r="H363" t="str">
        <f>IF(ISBLANK(Table2[[#This Row],[Loyalty_Level]]),"Unknown",I363)</f>
        <v>Platinum</v>
      </c>
      <c r="I363" t="s">
        <v>17</v>
      </c>
    </row>
    <row r="364" spans="1:9">
      <c r="A364" t="s">
        <v>787</v>
      </c>
      <c r="B364" t="s">
        <v>788</v>
      </c>
      <c r="C364" t="str">
        <f t="shared" si="5"/>
        <v>Joshua Smith Dvm</v>
      </c>
      <c r="D364">
        <v>60</v>
      </c>
      <c r="E364" t="s">
        <v>9</v>
      </c>
      <c r="F364" t="s">
        <v>122</v>
      </c>
      <c r="G364" t="s">
        <v>11</v>
      </c>
      <c r="H364" t="str">
        <f>IF(ISBLANK(Table2[[#This Row],[Loyalty_Level]]),"Unknown",I364)</f>
        <v>Gold</v>
      </c>
      <c r="I364" t="s">
        <v>12</v>
      </c>
    </row>
    <row r="365" spans="1:9">
      <c r="A365" t="s">
        <v>789</v>
      </c>
      <c r="B365" t="s">
        <v>790</v>
      </c>
      <c r="C365" t="str">
        <f t="shared" si="5"/>
        <v>Elizabeth Smith</v>
      </c>
      <c r="D365">
        <v>23</v>
      </c>
      <c r="E365" t="s">
        <v>9</v>
      </c>
      <c r="F365" t="s">
        <v>21</v>
      </c>
      <c r="G365" t="s">
        <v>11</v>
      </c>
      <c r="H365" t="str">
        <f>IF(ISBLANK(Table2[[#This Row],[Loyalty_Level]]),"Unknown",I365)</f>
        <v>Bronze</v>
      </c>
      <c r="I365" t="s">
        <v>22</v>
      </c>
    </row>
    <row r="366" spans="1:9">
      <c r="A366" t="s">
        <v>791</v>
      </c>
      <c r="B366" t="s">
        <v>792</v>
      </c>
      <c r="C366" t="str">
        <f t="shared" si="5"/>
        <v>Chloe Aguilar</v>
      </c>
      <c r="D366">
        <v>58</v>
      </c>
      <c r="E366" t="s">
        <v>9</v>
      </c>
      <c r="F366" t="s">
        <v>101</v>
      </c>
      <c r="G366" t="s">
        <v>11</v>
      </c>
      <c r="H366" t="str">
        <f>IF(ISBLANK(Table2[[#This Row],[Loyalty_Level]]),"Unknown",I366)</f>
        <v>Bronze</v>
      </c>
      <c r="I366" t="s">
        <v>22</v>
      </c>
    </row>
    <row r="367" spans="1:9">
      <c r="A367" t="s">
        <v>793</v>
      </c>
      <c r="B367" t="s">
        <v>794</v>
      </c>
      <c r="C367" t="str">
        <f t="shared" si="5"/>
        <v>Brandon Mcbride</v>
      </c>
      <c r="D367">
        <v>63</v>
      </c>
      <c r="E367" t="s">
        <v>15</v>
      </c>
      <c r="F367" t="s">
        <v>122</v>
      </c>
      <c r="G367" t="s">
        <v>11</v>
      </c>
      <c r="H367" t="str">
        <f>IF(ISBLANK(Table2[[#This Row],[Loyalty_Level]]),"Unknown",I367)</f>
        <v>Platinum</v>
      </c>
      <c r="I367" t="s">
        <v>17</v>
      </c>
    </row>
    <row r="368" spans="1:9">
      <c r="A368" t="s">
        <v>795</v>
      </c>
      <c r="B368" t="s">
        <v>796</v>
      </c>
      <c r="C368" t="str">
        <f t="shared" si="5"/>
        <v>Mallory Allen</v>
      </c>
      <c r="D368">
        <v>40</v>
      </c>
      <c r="E368" t="s">
        <v>15</v>
      </c>
      <c r="F368" t="s">
        <v>19</v>
      </c>
      <c r="G368" t="s">
        <v>11</v>
      </c>
      <c r="H368" t="str">
        <f>IF(ISBLANK(Table2[[#This Row],[Loyalty_Level]]),"Unknown",I368)</f>
        <v>Platinum</v>
      </c>
      <c r="I368" t="s">
        <v>17</v>
      </c>
    </row>
    <row r="369" spans="1:9">
      <c r="A369" t="s">
        <v>797</v>
      </c>
      <c r="B369" t="s">
        <v>798</v>
      </c>
      <c r="C369" t="str">
        <f t="shared" si="5"/>
        <v>Melinda Johnson</v>
      </c>
      <c r="D369">
        <v>51</v>
      </c>
      <c r="E369" t="s">
        <v>9</v>
      </c>
      <c r="F369" t="s">
        <v>21</v>
      </c>
      <c r="G369" t="s">
        <v>11</v>
      </c>
      <c r="H369" t="str">
        <f>IF(ISBLANK(Table2[[#This Row],[Loyalty_Level]]),"Unknown",I369)</f>
        <v>Bronze</v>
      </c>
      <c r="I369" t="s">
        <v>22</v>
      </c>
    </row>
    <row r="370" spans="1:9">
      <c r="A370" t="s">
        <v>799</v>
      </c>
      <c r="B370" t="s">
        <v>800</v>
      </c>
      <c r="C370" t="str">
        <f t="shared" si="5"/>
        <v>Miranda King</v>
      </c>
      <c r="D370">
        <v>34</v>
      </c>
      <c r="E370" t="s">
        <v>15</v>
      </c>
      <c r="F370" t="s">
        <v>46</v>
      </c>
      <c r="G370" t="s">
        <v>11</v>
      </c>
      <c r="H370" t="str">
        <f>IF(ISBLANK(Table2[[#This Row],[Loyalty_Level]]),"Unknown",I370)</f>
        <v>Platinum</v>
      </c>
      <c r="I370" t="s">
        <v>17</v>
      </c>
    </row>
    <row r="371" spans="1:9">
      <c r="A371" t="s">
        <v>801</v>
      </c>
      <c r="B371" t="s">
        <v>802</v>
      </c>
      <c r="C371" t="str">
        <f t="shared" si="5"/>
        <v>Gregory Allen</v>
      </c>
      <c r="D371">
        <v>20</v>
      </c>
      <c r="E371" t="s">
        <v>15</v>
      </c>
      <c r="F371" t="s">
        <v>128</v>
      </c>
      <c r="G371" t="s">
        <v>11</v>
      </c>
      <c r="H371" t="str">
        <f>IF(ISBLANK(Table2[[#This Row],[Loyalty_Level]]),"Unknown",I371)</f>
        <v>Platinum</v>
      </c>
      <c r="I371" t="s">
        <v>17</v>
      </c>
    </row>
    <row r="372" spans="1:9">
      <c r="A372" t="s">
        <v>803</v>
      </c>
      <c r="B372" t="s">
        <v>804</v>
      </c>
      <c r="C372" t="str">
        <f t="shared" si="5"/>
        <v>James Holloway Jr.</v>
      </c>
      <c r="D372">
        <v>45</v>
      </c>
      <c r="E372" t="s">
        <v>9</v>
      </c>
      <c r="F372" t="s">
        <v>187</v>
      </c>
      <c r="G372" t="s">
        <v>11</v>
      </c>
      <c r="H372" t="str">
        <f>IF(ISBLANK(Table2[[#This Row],[Loyalty_Level]]),"Unknown",I372)</f>
        <v>Silver</v>
      </c>
      <c r="I372" t="s">
        <v>26</v>
      </c>
    </row>
    <row r="373" spans="1:9">
      <c r="A373" t="s">
        <v>805</v>
      </c>
      <c r="B373" t="s">
        <v>806</v>
      </c>
      <c r="C373" t="str">
        <f t="shared" si="5"/>
        <v>Michael Garner</v>
      </c>
      <c r="D373">
        <v>21</v>
      </c>
      <c r="E373" t="s">
        <v>15</v>
      </c>
      <c r="F373" t="s">
        <v>38</v>
      </c>
      <c r="G373" t="s">
        <v>11</v>
      </c>
      <c r="H373" t="str">
        <f>IF(ISBLANK(Table2[[#This Row],[Loyalty_Level]]),"Unknown",I373)</f>
        <v>Platinum</v>
      </c>
      <c r="I373" t="s">
        <v>17</v>
      </c>
    </row>
    <row r="374" spans="1:9">
      <c r="A374" t="s">
        <v>807</v>
      </c>
      <c r="B374" t="s">
        <v>808</v>
      </c>
      <c r="C374" t="str">
        <f t="shared" si="5"/>
        <v>Jacqueline Anthony</v>
      </c>
      <c r="D374">
        <v>28</v>
      </c>
      <c r="E374" t="s">
        <v>9</v>
      </c>
      <c r="F374" t="s">
        <v>21</v>
      </c>
      <c r="G374" t="s">
        <v>11</v>
      </c>
      <c r="H374" t="str">
        <f>IF(ISBLANK(Table2[[#This Row],[Loyalty_Level]]),"Unknown",I374)</f>
        <v>Bronze</v>
      </c>
      <c r="I374" t="s">
        <v>22</v>
      </c>
    </row>
    <row r="375" spans="1:9">
      <c r="A375" t="s">
        <v>809</v>
      </c>
      <c r="B375" t="s">
        <v>810</v>
      </c>
      <c r="C375" t="str">
        <f t="shared" si="5"/>
        <v>James Orozco</v>
      </c>
      <c r="D375">
        <v>37</v>
      </c>
      <c r="E375" t="s">
        <v>15</v>
      </c>
      <c r="F375" t="s">
        <v>312</v>
      </c>
      <c r="G375" t="s">
        <v>11</v>
      </c>
      <c r="H375" t="str">
        <f>IF(ISBLANK(Table2[[#This Row],[Loyalty_Level]]),"Unknown",I375)</f>
        <v>Gold</v>
      </c>
      <c r="I375" t="s">
        <v>12</v>
      </c>
    </row>
    <row r="376" spans="1:9">
      <c r="A376" t="s">
        <v>811</v>
      </c>
      <c r="B376" t="s">
        <v>812</v>
      </c>
      <c r="C376" t="str">
        <f t="shared" si="5"/>
        <v>Emma Wilson</v>
      </c>
      <c r="D376">
        <v>60</v>
      </c>
      <c r="E376" t="s">
        <v>9</v>
      </c>
      <c r="F376" t="s">
        <v>76</v>
      </c>
      <c r="G376" t="s">
        <v>11</v>
      </c>
      <c r="H376" t="str">
        <f>IF(ISBLANK(Table2[[#This Row],[Loyalty_Level]]),"Unknown",I376)</f>
        <v>Platinum</v>
      </c>
      <c r="I376" t="s">
        <v>17</v>
      </c>
    </row>
    <row r="377" spans="1:9">
      <c r="A377" t="s">
        <v>813</v>
      </c>
      <c r="B377" t="s">
        <v>814</v>
      </c>
      <c r="C377" t="str">
        <f t="shared" si="5"/>
        <v>Joshua Bell</v>
      </c>
      <c r="D377">
        <v>26</v>
      </c>
      <c r="E377" t="s">
        <v>9</v>
      </c>
      <c r="F377" t="s">
        <v>149</v>
      </c>
      <c r="G377" t="s">
        <v>11</v>
      </c>
      <c r="H377" t="str">
        <f>IF(ISBLANK(Table2[[#This Row],[Loyalty_Level]]),"Unknown",I377)</f>
        <v>Platinum</v>
      </c>
      <c r="I377" t="s">
        <v>17</v>
      </c>
    </row>
    <row r="378" spans="1:9">
      <c r="A378" t="s">
        <v>815</v>
      </c>
      <c r="B378" t="s">
        <v>816</v>
      </c>
      <c r="C378" t="str">
        <f t="shared" si="5"/>
        <v>Michele Burke</v>
      </c>
      <c r="D378">
        <v>30</v>
      </c>
      <c r="E378" t="s">
        <v>9</v>
      </c>
      <c r="F378" t="s">
        <v>125</v>
      </c>
      <c r="G378" t="s">
        <v>11</v>
      </c>
      <c r="H378" t="str">
        <f>IF(ISBLANK(Table2[[#This Row],[Loyalty_Level]]),"Unknown",I378)</f>
        <v>Bronze</v>
      </c>
      <c r="I378" t="s">
        <v>22</v>
      </c>
    </row>
    <row r="379" spans="1:9">
      <c r="A379" t="s">
        <v>817</v>
      </c>
      <c r="B379" t="s">
        <v>818</v>
      </c>
      <c r="C379" t="str">
        <f t="shared" si="5"/>
        <v>Charles Conley</v>
      </c>
      <c r="D379">
        <v>39</v>
      </c>
      <c r="E379" t="s">
        <v>15</v>
      </c>
      <c r="F379" t="s">
        <v>312</v>
      </c>
      <c r="G379" t="s">
        <v>11</v>
      </c>
      <c r="H379" t="str">
        <f>IF(ISBLANK(Table2[[#This Row],[Loyalty_Level]]),"Unknown",I379)</f>
        <v>Gold</v>
      </c>
      <c r="I379" t="s">
        <v>12</v>
      </c>
    </row>
    <row r="380" spans="1:9">
      <c r="A380" t="s">
        <v>819</v>
      </c>
      <c r="B380" t="s">
        <v>820</v>
      </c>
      <c r="C380" t="str">
        <f t="shared" si="5"/>
        <v>Frank Stewart</v>
      </c>
      <c r="D380">
        <v>44</v>
      </c>
      <c r="E380" t="s">
        <v>15</v>
      </c>
      <c r="F380" t="s">
        <v>71</v>
      </c>
      <c r="G380" t="s">
        <v>11</v>
      </c>
      <c r="H380" t="str">
        <f>IF(ISBLANK(Table2[[#This Row],[Loyalty_Level]]),"Unknown",I380)</f>
        <v>Bronze</v>
      </c>
      <c r="I380" t="s">
        <v>22</v>
      </c>
    </row>
    <row r="381" spans="1:9">
      <c r="A381" t="s">
        <v>821</v>
      </c>
      <c r="B381" t="s">
        <v>822</v>
      </c>
      <c r="C381" t="str">
        <f t="shared" si="5"/>
        <v>Tanya Lopez</v>
      </c>
      <c r="D381">
        <v>34</v>
      </c>
      <c r="E381" t="s">
        <v>15</v>
      </c>
      <c r="F381" t="s">
        <v>196</v>
      </c>
      <c r="G381" t="s">
        <v>11</v>
      </c>
      <c r="H381" t="str">
        <f>IF(ISBLANK(Table2[[#This Row],[Loyalty_Level]]),"Unknown",I381)</f>
        <v>Gold</v>
      </c>
      <c r="I381" t="s">
        <v>12</v>
      </c>
    </row>
    <row r="382" spans="1:9">
      <c r="A382" t="s">
        <v>823</v>
      </c>
      <c r="B382" t="s">
        <v>824</v>
      </c>
      <c r="C382" t="str">
        <f t="shared" si="5"/>
        <v>Shelley Ponce</v>
      </c>
      <c r="D382">
        <v>23</v>
      </c>
      <c r="E382" t="s">
        <v>9</v>
      </c>
      <c r="F382" t="s">
        <v>161</v>
      </c>
      <c r="G382" t="s">
        <v>11</v>
      </c>
      <c r="H382" t="str">
        <f>IF(ISBLANK(Table2[[#This Row],[Loyalty_Level]]),"Unknown",I382)</f>
        <v>Gold</v>
      </c>
      <c r="I382" t="s">
        <v>12</v>
      </c>
    </row>
    <row r="383" spans="1:9">
      <c r="A383" t="s">
        <v>825</v>
      </c>
      <c r="B383" t="s">
        <v>826</v>
      </c>
      <c r="C383" t="str">
        <f t="shared" si="5"/>
        <v>Erika Padilla</v>
      </c>
      <c r="D383">
        <v>50</v>
      </c>
      <c r="E383" t="s">
        <v>9</v>
      </c>
      <c r="F383" t="s">
        <v>19</v>
      </c>
      <c r="G383" t="s">
        <v>11</v>
      </c>
      <c r="H383" t="str">
        <f>IF(ISBLANK(Table2[[#This Row],[Loyalty_Level]]),"Unknown",I383)</f>
        <v>Silver</v>
      </c>
      <c r="I383" t="s">
        <v>26</v>
      </c>
    </row>
    <row r="384" spans="1:9">
      <c r="A384" t="s">
        <v>827</v>
      </c>
      <c r="B384" t="s">
        <v>828</v>
      </c>
      <c r="C384" t="str">
        <f t="shared" si="5"/>
        <v>Martha Brown</v>
      </c>
      <c r="D384">
        <v>20</v>
      </c>
      <c r="E384" t="s">
        <v>15</v>
      </c>
      <c r="F384" t="s">
        <v>25</v>
      </c>
      <c r="G384" t="s">
        <v>11</v>
      </c>
      <c r="H384" t="str">
        <f>IF(ISBLANK(Table2[[#This Row],[Loyalty_Level]]),"Unknown",I384)</f>
        <v>Gold</v>
      </c>
      <c r="I384" t="s">
        <v>12</v>
      </c>
    </row>
    <row r="385" spans="1:9">
      <c r="A385" t="s">
        <v>829</v>
      </c>
      <c r="B385" t="s">
        <v>830</v>
      </c>
      <c r="C385" t="str">
        <f t="shared" si="5"/>
        <v>Kristine Higgins</v>
      </c>
      <c r="D385">
        <v>27</v>
      </c>
      <c r="E385" t="s">
        <v>15</v>
      </c>
      <c r="F385" t="s">
        <v>231</v>
      </c>
      <c r="G385" t="s">
        <v>11</v>
      </c>
      <c r="H385" t="str">
        <f>IF(ISBLANK(Table2[[#This Row],[Loyalty_Level]]),"Unknown",I385)</f>
        <v>Silver</v>
      </c>
      <c r="I385" t="s">
        <v>26</v>
      </c>
    </row>
    <row r="386" spans="1:9">
      <c r="A386" t="s">
        <v>831</v>
      </c>
      <c r="B386" t="s">
        <v>832</v>
      </c>
      <c r="C386" t="str">
        <f t="shared" ref="C386:C449" si="6">PROPER(TRIM(B386))</f>
        <v>Andrew Mason</v>
      </c>
      <c r="D386">
        <v>52</v>
      </c>
      <c r="E386" t="s">
        <v>15</v>
      </c>
      <c r="F386" t="s">
        <v>196</v>
      </c>
      <c r="G386" t="s">
        <v>11</v>
      </c>
      <c r="H386" t="str">
        <f>IF(ISBLANK(Table2[[#This Row],[Loyalty_Level]]),"Unknown",I386)</f>
        <v>Bronze</v>
      </c>
      <c r="I386" t="s">
        <v>22</v>
      </c>
    </row>
    <row r="387" spans="1:9">
      <c r="A387" t="s">
        <v>833</v>
      </c>
      <c r="B387" t="s">
        <v>834</v>
      </c>
      <c r="C387" t="str">
        <f t="shared" si="6"/>
        <v>Tammy Brennan</v>
      </c>
      <c r="D387">
        <v>60</v>
      </c>
      <c r="E387" t="s">
        <v>9</v>
      </c>
      <c r="F387" t="s">
        <v>231</v>
      </c>
      <c r="G387" t="s">
        <v>11</v>
      </c>
      <c r="H387" t="str">
        <f>IF(ISBLANK(Table2[[#This Row],[Loyalty_Level]]),"Unknown",I387)</f>
        <v>Gold</v>
      </c>
      <c r="I387" t="s">
        <v>12</v>
      </c>
    </row>
    <row r="388" spans="1:9">
      <c r="A388" t="s">
        <v>835</v>
      </c>
      <c r="B388" t="s">
        <v>836</v>
      </c>
      <c r="C388" t="str">
        <f t="shared" si="6"/>
        <v>Melanie Mitchell</v>
      </c>
      <c r="D388">
        <v>18</v>
      </c>
      <c r="E388" t="s">
        <v>15</v>
      </c>
      <c r="F388" t="s">
        <v>106</v>
      </c>
      <c r="G388" t="s">
        <v>11</v>
      </c>
      <c r="H388" t="str">
        <f>IF(ISBLANK(Table2[[#This Row],[Loyalty_Level]]),"Unknown",I388)</f>
        <v>Bronze</v>
      </c>
      <c r="I388" t="s">
        <v>22</v>
      </c>
    </row>
    <row r="389" spans="1:9">
      <c r="A389" t="s">
        <v>837</v>
      </c>
      <c r="B389" t="s">
        <v>838</v>
      </c>
      <c r="C389" t="str">
        <f t="shared" si="6"/>
        <v>Timothy Gardner</v>
      </c>
      <c r="D389">
        <v>28</v>
      </c>
      <c r="E389" t="s">
        <v>15</v>
      </c>
      <c r="F389" t="s">
        <v>68</v>
      </c>
      <c r="G389" t="s">
        <v>11</v>
      </c>
      <c r="H389" t="str">
        <f>IF(ISBLANK(Table2[[#This Row],[Loyalty_Level]]),"Unknown",I389)</f>
        <v>Silver</v>
      </c>
      <c r="I389" t="s">
        <v>26</v>
      </c>
    </row>
    <row r="390" spans="1:9">
      <c r="A390" t="s">
        <v>839</v>
      </c>
      <c r="B390" t="s">
        <v>840</v>
      </c>
      <c r="C390" t="str">
        <f t="shared" si="6"/>
        <v>Timothy Valenzuela</v>
      </c>
      <c r="D390">
        <v>53</v>
      </c>
      <c r="E390" t="s">
        <v>9</v>
      </c>
      <c r="F390" t="s">
        <v>86</v>
      </c>
      <c r="G390" t="s">
        <v>11</v>
      </c>
      <c r="H390" t="str">
        <f>IF(ISBLANK(Table2[[#This Row],[Loyalty_Level]]),"Unknown",I390)</f>
        <v>Platinum</v>
      </c>
      <c r="I390" t="s">
        <v>17</v>
      </c>
    </row>
    <row r="391" spans="1:9">
      <c r="A391" t="s">
        <v>841</v>
      </c>
      <c r="B391" t="s">
        <v>842</v>
      </c>
      <c r="C391" t="str">
        <f t="shared" si="6"/>
        <v>Cynthia Lopez</v>
      </c>
      <c r="D391">
        <v>50</v>
      </c>
      <c r="E391" t="s">
        <v>9</v>
      </c>
      <c r="F391" t="s">
        <v>55</v>
      </c>
      <c r="G391" t="s">
        <v>11</v>
      </c>
      <c r="H391" t="str">
        <f>IF(ISBLANK(Table2[[#This Row],[Loyalty_Level]]),"Unknown",I391)</f>
        <v>Platinum</v>
      </c>
      <c r="I391" t="s">
        <v>17</v>
      </c>
    </row>
    <row r="392" spans="1:9">
      <c r="A392" t="s">
        <v>843</v>
      </c>
      <c r="B392" t="s">
        <v>844</v>
      </c>
      <c r="C392" t="str">
        <f t="shared" si="6"/>
        <v>Daniel Bell</v>
      </c>
      <c r="D392">
        <v>56</v>
      </c>
      <c r="E392" t="s">
        <v>9</v>
      </c>
      <c r="F392" t="s">
        <v>213</v>
      </c>
      <c r="G392" t="s">
        <v>11</v>
      </c>
      <c r="H392" t="str">
        <f>IF(ISBLANK(Table2[[#This Row],[Loyalty_Level]]),"Unknown",I392)</f>
        <v>Silver</v>
      </c>
      <c r="I392" t="s">
        <v>26</v>
      </c>
    </row>
    <row r="393" spans="1:9">
      <c r="A393" t="s">
        <v>845</v>
      </c>
      <c r="B393" t="s">
        <v>846</v>
      </c>
      <c r="C393" t="str">
        <f t="shared" si="6"/>
        <v>Heidi Tyler</v>
      </c>
      <c r="D393">
        <v>40</v>
      </c>
      <c r="E393" t="s">
        <v>15</v>
      </c>
      <c r="F393" t="s">
        <v>29</v>
      </c>
      <c r="G393" t="s">
        <v>11</v>
      </c>
      <c r="H393" t="str">
        <f>IF(ISBLANK(Table2[[#This Row],[Loyalty_Level]]),"Unknown",I393)</f>
        <v>Bronze</v>
      </c>
      <c r="I393" t="s">
        <v>22</v>
      </c>
    </row>
    <row r="394" spans="1:9">
      <c r="A394" t="s">
        <v>847</v>
      </c>
      <c r="B394" t="s">
        <v>848</v>
      </c>
      <c r="C394" t="str">
        <f t="shared" si="6"/>
        <v>Jacqueline Payne</v>
      </c>
      <c r="D394">
        <v>46</v>
      </c>
      <c r="E394" t="s">
        <v>9</v>
      </c>
      <c r="F394" t="s">
        <v>86</v>
      </c>
      <c r="G394" t="s">
        <v>11</v>
      </c>
      <c r="H394" t="str">
        <f>IF(ISBLANK(Table2[[#This Row],[Loyalty_Level]]),"Unknown",I394)</f>
        <v>Gold</v>
      </c>
      <c r="I394" t="s">
        <v>12</v>
      </c>
    </row>
    <row r="395" spans="1:9">
      <c r="A395" t="s">
        <v>849</v>
      </c>
      <c r="B395" t="s">
        <v>850</v>
      </c>
      <c r="C395" t="str">
        <f t="shared" si="6"/>
        <v>Michael Mcneil</v>
      </c>
      <c r="D395">
        <v>46</v>
      </c>
      <c r="E395" t="s">
        <v>9</v>
      </c>
      <c r="F395" t="s">
        <v>89</v>
      </c>
      <c r="G395" t="s">
        <v>11</v>
      </c>
      <c r="H395" t="str">
        <f>IF(ISBLANK(Table2[[#This Row],[Loyalty_Level]]),"Unknown",I395)</f>
        <v>Bronze</v>
      </c>
      <c r="I395" t="s">
        <v>22</v>
      </c>
    </row>
    <row r="396" spans="1:9">
      <c r="A396" t="s">
        <v>851</v>
      </c>
      <c r="B396" t="s">
        <v>852</v>
      </c>
      <c r="C396" t="str">
        <f t="shared" si="6"/>
        <v>Alejandro Evans</v>
      </c>
      <c r="D396">
        <v>43</v>
      </c>
      <c r="E396" t="s">
        <v>15</v>
      </c>
      <c r="F396" t="s">
        <v>125</v>
      </c>
      <c r="G396" t="s">
        <v>11</v>
      </c>
      <c r="H396" t="str">
        <f>IF(ISBLANK(Table2[[#This Row],[Loyalty_Level]]),"Unknown",I396)</f>
        <v>Bronze</v>
      </c>
      <c r="I396" t="s">
        <v>22</v>
      </c>
    </row>
    <row r="397" spans="1:9">
      <c r="A397" t="s">
        <v>853</v>
      </c>
      <c r="B397" t="s">
        <v>854</v>
      </c>
      <c r="C397" t="str">
        <f t="shared" si="6"/>
        <v>Brandon Mcguire</v>
      </c>
      <c r="D397">
        <v>50</v>
      </c>
      <c r="E397" t="s">
        <v>9</v>
      </c>
      <c r="F397" t="s">
        <v>49</v>
      </c>
      <c r="G397" t="s">
        <v>11</v>
      </c>
      <c r="H397" t="str">
        <f>IF(ISBLANK(Table2[[#This Row],[Loyalty_Level]]),"Unknown",I397)</f>
        <v>Gold</v>
      </c>
      <c r="I397" t="s">
        <v>12</v>
      </c>
    </row>
    <row r="398" spans="1:9">
      <c r="A398" t="s">
        <v>855</v>
      </c>
      <c r="B398" t="s">
        <v>856</v>
      </c>
      <c r="C398" t="str">
        <f t="shared" si="6"/>
        <v>Alexander Byrd</v>
      </c>
      <c r="D398">
        <v>25</v>
      </c>
      <c r="E398" t="s">
        <v>15</v>
      </c>
      <c r="F398" t="s">
        <v>46</v>
      </c>
      <c r="G398" t="s">
        <v>11</v>
      </c>
      <c r="H398" t="str">
        <f>IF(ISBLANK(Table2[[#This Row],[Loyalty_Level]]),"Unknown",I398)</f>
        <v>Silver</v>
      </c>
      <c r="I398" t="s">
        <v>26</v>
      </c>
    </row>
    <row r="399" spans="1:9">
      <c r="A399" t="s">
        <v>857</v>
      </c>
      <c r="B399" t="s">
        <v>858</v>
      </c>
      <c r="C399" t="str">
        <f t="shared" si="6"/>
        <v>Charles Norman Phd</v>
      </c>
      <c r="D399">
        <v>62</v>
      </c>
      <c r="E399" t="s">
        <v>15</v>
      </c>
      <c r="F399" t="s">
        <v>49</v>
      </c>
      <c r="G399" t="s">
        <v>11</v>
      </c>
      <c r="H399" t="str">
        <f>IF(ISBLANK(Table2[[#This Row],[Loyalty_Level]]),"Unknown",I399)</f>
        <v>Platinum</v>
      </c>
      <c r="I399" t="s">
        <v>17</v>
      </c>
    </row>
    <row r="400" spans="1:9">
      <c r="A400" t="s">
        <v>859</v>
      </c>
      <c r="B400" t="s">
        <v>860</v>
      </c>
      <c r="C400" t="str">
        <f t="shared" si="6"/>
        <v>Jennifer Johnson</v>
      </c>
      <c r="D400">
        <v>54</v>
      </c>
      <c r="E400" t="s">
        <v>9</v>
      </c>
      <c r="F400" t="s">
        <v>38</v>
      </c>
      <c r="G400" t="s">
        <v>11</v>
      </c>
      <c r="H400" t="str">
        <f>IF(ISBLANK(Table2[[#This Row],[Loyalty_Level]]),"Unknown",I400)</f>
        <v>Bronze</v>
      </c>
      <c r="I400" t="s">
        <v>22</v>
      </c>
    </row>
    <row r="401" spans="1:9">
      <c r="A401" t="s">
        <v>861</v>
      </c>
      <c r="B401" t="s">
        <v>862</v>
      </c>
      <c r="C401" t="str">
        <f t="shared" si="6"/>
        <v>John Donaldson</v>
      </c>
      <c r="D401">
        <v>27</v>
      </c>
      <c r="E401" t="s">
        <v>9</v>
      </c>
      <c r="F401" t="s">
        <v>312</v>
      </c>
      <c r="G401" t="s">
        <v>11</v>
      </c>
      <c r="H401" t="str">
        <f>IF(ISBLANK(Table2[[#This Row],[Loyalty_Level]]),"Unknown",I401)</f>
        <v>Bronze</v>
      </c>
      <c r="I401" t="s">
        <v>22</v>
      </c>
    </row>
    <row r="402" spans="1:9">
      <c r="A402" t="s">
        <v>863</v>
      </c>
      <c r="B402" t="s">
        <v>864</v>
      </c>
      <c r="C402" t="str">
        <f t="shared" si="6"/>
        <v>Mark Rogers</v>
      </c>
      <c r="D402">
        <v>57</v>
      </c>
      <c r="E402" t="s">
        <v>15</v>
      </c>
      <c r="F402" t="s">
        <v>74</v>
      </c>
      <c r="G402" t="s">
        <v>11</v>
      </c>
      <c r="H402" t="str">
        <f>IF(ISBLANK(Table2[[#This Row],[Loyalty_Level]]),"Unknown",I402)</f>
        <v>Platinum</v>
      </c>
      <c r="I402" t="s">
        <v>17</v>
      </c>
    </row>
    <row r="403" spans="1:9">
      <c r="A403" t="s">
        <v>865</v>
      </c>
      <c r="B403" t="s">
        <v>866</v>
      </c>
      <c r="C403" t="str">
        <f t="shared" si="6"/>
        <v>Terry Moses</v>
      </c>
      <c r="D403">
        <v>51</v>
      </c>
      <c r="E403" t="s">
        <v>15</v>
      </c>
      <c r="F403" t="s">
        <v>137</v>
      </c>
      <c r="G403" t="s">
        <v>11</v>
      </c>
      <c r="H403" t="str">
        <f>IF(ISBLANK(Table2[[#This Row],[Loyalty_Level]]),"Unknown",I403)</f>
        <v>Platinum</v>
      </c>
      <c r="I403" t="s">
        <v>17</v>
      </c>
    </row>
    <row r="404" spans="1:9">
      <c r="A404" t="s">
        <v>867</v>
      </c>
      <c r="B404" t="s">
        <v>868</v>
      </c>
      <c r="C404" t="str">
        <f t="shared" si="6"/>
        <v>Cassandra Perez</v>
      </c>
      <c r="D404">
        <v>31</v>
      </c>
      <c r="E404" t="s">
        <v>9</v>
      </c>
      <c r="F404" t="s">
        <v>228</v>
      </c>
      <c r="G404" t="s">
        <v>11</v>
      </c>
      <c r="H404" t="str">
        <f>IF(ISBLANK(Table2[[#This Row],[Loyalty_Level]]),"Unknown",I404)</f>
        <v>Bronze</v>
      </c>
      <c r="I404" t="s">
        <v>22</v>
      </c>
    </row>
    <row r="405" spans="1:9">
      <c r="A405" t="s">
        <v>869</v>
      </c>
      <c r="B405" t="s">
        <v>870</v>
      </c>
      <c r="C405" t="str">
        <f t="shared" si="6"/>
        <v>Justin Ingram</v>
      </c>
      <c r="D405">
        <v>34</v>
      </c>
      <c r="E405" t="s">
        <v>9</v>
      </c>
      <c r="F405" t="s">
        <v>239</v>
      </c>
      <c r="G405" t="s">
        <v>11</v>
      </c>
      <c r="H405" t="str">
        <f>IF(ISBLANK(Table2[[#This Row],[Loyalty_Level]]),"Unknown",I405)</f>
        <v>Bronze</v>
      </c>
      <c r="I405" t="s">
        <v>22</v>
      </c>
    </row>
    <row r="406" spans="1:9">
      <c r="A406" t="s">
        <v>871</v>
      </c>
      <c r="B406" t="s">
        <v>872</v>
      </c>
      <c r="C406" t="str">
        <f t="shared" si="6"/>
        <v>David Ross</v>
      </c>
      <c r="D406">
        <v>22</v>
      </c>
      <c r="E406" t="s">
        <v>15</v>
      </c>
      <c r="F406" t="s">
        <v>213</v>
      </c>
      <c r="G406" t="s">
        <v>11</v>
      </c>
      <c r="H406" t="str">
        <f>IF(ISBLANK(Table2[[#This Row],[Loyalty_Level]]),"Unknown",I406)</f>
        <v>Silver</v>
      </c>
      <c r="I406" t="s">
        <v>26</v>
      </c>
    </row>
    <row r="407" spans="1:9">
      <c r="A407" t="s">
        <v>873</v>
      </c>
      <c r="B407" t="s">
        <v>874</v>
      </c>
      <c r="C407" t="str">
        <f t="shared" si="6"/>
        <v>Eric Wolfe</v>
      </c>
      <c r="D407">
        <v>18</v>
      </c>
      <c r="E407" t="s">
        <v>15</v>
      </c>
      <c r="F407" t="s">
        <v>239</v>
      </c>
      <c r="G407" t="s">
        <v>11</v>
      </c>
      <c r="H407" t="str">
        <f>IF(ISBLANK(Table2[[#This Row],[Loyalty_Level]]),"Unknown",I407)</f>
        <v>Gold</v>
      </c>
      <c r="I407" t="s">
        <v>12</v>
      </c>
    </row>
    <row r="408" spans="1:9">
      <c r="A408" t="s">
        <v>875</v>
      </c>
      <c r="B408" t="s">
        <v>876</v>
      </c>
      <c r="C408" t="str">
        <f t="shared" si="6"/>
        <v>David Lozano</v>
      </c>
      <c r="D408">
        <v>23</v>
      </c>
      <c r="E408" t="s">
        <v>15</v>
      </c>
      <c r="F408" t="s">
        <v>236</v>
      </c>
      <c r="G408" t="s">
        <v>11</v>
      </c>
      <c r="H408" t="str">
        <f>IF(ISBLANK(Table2[[#This Row],[Loyalty_Level]]),"Unknown",I408)</f>
        <v>Gold</v>
      </c>
      <c r="I408" t="s">
        <v>12</v>
      </c>
    </row>
    <row r="409" spans="1:9">
      <c r="A409" t="s">
        <v>877</v>
      </c>
      <c r="B409" t="s">
        <v>878</v>
      </c>
      <c r="C409" t="str">
        <f t="shared" si="6"/>
        <v>Joseph Mendoza</v>
      </c>
      <c r="D409">
        <v>33</v>
      </c>
      <c r="E409" t="s">
        <v>9</v>
      </c>
      <c r="F409" t="s">
        <v>106</v>
      </c>
      <c r="G409" t="s">
        <v>11</v>
      </c>
      <c r="H409" t="str">
        <f>IF(ISBLANK(Table2[[#This Row],[Loyalty_Level]]),"Unknown",I409)</f>
        <v>Gold</v>
      </c>
      <c r="I409" t="s">
        <v>12</v>
      </c>
    </row>
    <row r="410" spans="1:9">
      <c r="A410" t="s">
        <v>879</v>
      </c>
      <c r="B410" t="s">
        <v>880</v>
      </c>
      <c r="C410" t="str">
        <f t="shared" si="6"/>
        <v>Isabel Foster</v>
      </c>
      <c r="D410">
        <v>36</v>
      </c>
      <c r="E410" t="s">
        <v>9</v>
      </c>
      <c r="F410" t="s">
        <v>68</v>
      </c>
      <c r="G410" t="s">
        <v>11</v>
      </c>
      <c r="H410" t="str">
        <f>IF(ISBLANK(Table2[[#This Row],[Loyalty_Level]]),"Unknown",I410)</f>
        <v>Gold</v>
      </c>
      <c r="I410" t="s">
        <v>12</v>
      </c>
    </row>
    <row r="411" spans="1:9">
      <c r="A411" t="s">
        <v>881</v>
      </c>
      <c r="B411" t="s">
        <v>882</v>
      </c>
      <c r="C411" t="str">
        <f t="shared" si="6"/>
        <v>Sarah Smith</v>
      </c>
      <c r="D411">
        <v>55</v>
      </c>
      <c r="E411" t="s">
        <v>9</v>
      </c>
      <c r="F411" t="s">
        <v>593</v>
      </c>
      <c r="G411" t="s">
        <v>11</v>
      </c>
      <c r="H411" t="str">
        <f>IF(ISBLANK(Table2[[#This Row],[Loyalty_Level]]),"Unknown",I411)</f>
        <v>Gold</v>
      </c>
      <c r="I411" t="s">
        <v>12</v>
      </c>
    </row>
    <row r="412" spans="1:9">
      <c r="A412" t="s">
        <v>883</v>
      </c>
      <c r="B412" t="s">
        <v>884</v>
      </c>
      <c r="C412" t="str">
        <f t="shared" si="6"/>
        <v>Jackie Thompson</v>
      </c>
      <c r="D412">
        <v>48</v>
      </c>
      <c r="E412" t="s">
        <v>15</v>
      </c>
      <c r="F412" t="s">
        <v>68</v>
      </c>
      <c r="G412" t="s">
        <v>11</v>
      </c>
      <c r="H412" t="str">
        <f>IF(ISBLANK(Table2[[#This Row],[Loyalty_Level]]),"Unknown",I412)</f>
        <v>Bronze</v>
      </c>
      <c r="I412" t="s">
        <v>22</v>
      </c>
    </row>
    <row r="413" spans="1:9">
      <c r="A413" t="s">
        <v>885</v>
      </c>
      <c r="B413" t="s">
        <v>886</v>
      </c>
      <c r="C413" t="str">
        <f t="shared" si="6"/>
        <v>Katrina Perez</v>
      </c>
      <c r="D413">
        <v>63</v>
      </c>
      <c r="E413" t="s">
        <v>9</v>
      </c>
      <c r="F413" t="s">
        <v>21</v>
      </c>
      <c r="G413" t="s">
        <v>11</v>
      </c>
      <c r="H413" t="str">
        <f>IF(ISBLANK(Table2[[#This Row],[Loyalty_Level]]),"Unknown",I413)</f>
        <v>Silver</v>
      </c>
      <c r="I413" t="s">
        <v>26</v>
      </c>
    </row>
    <row r="414" spans="1:9">
      <c r="A414" t="s">
        <v>887</v>
      </c>
      <c r="B414" t="s">
        <v>888</v>
      </c>
      <c r="C414" t="str">
        <f t="shared" si="6"/>
        <v>Shane Brown</v>
      </c>
      <c r="D414">
        <v>23</v>
      </c>
      <c r="E414" t="s">
        <v>15</v>
      </c>
      <c r="F414" t="s">
        <v>117</v>
      </c>
      <c r="G414" t="s">
        <v>11</v>
      </c>
      <c r="H414" t="str">
        <f>IF(ISBLANK(Table2[[#This Row],[Loyalty_Level]]),"Unknown",I414)</f>
        <v>Gold</v>
      </c>
      <c r="I414" t="s">
        <v>12</v>
      </c>
    </row>
    <row r="415" spans="1:9">
      <c r="A415" t="s">
        <v>889</v>
      </c>
      <c r="B415" t="s">
        <v>890</v>
      </c>
      <c r="C415" t="str">
        <f t="shared" si="6"/>
        <v>Megan Ryan</v>
      </c>
      <c r="D415">
        <v>59</v>
      </c>
      <c r="E415" t="s">
        <v>15</v>
      </c>
      <c r="F415" t="s">
        <v>81</v>
      </c>
      <c r="G415" t="s">
        <v>11</v>
      </c>
      <c r="H415" t="str">
        <f>IF(ISBLANK(Table2[[#This Row],[Loyalty_Level]]),"Unknown",I415)</f>
        <v>Bronze</v>
      </c>
      <c r="I415" t="s">
        <v>22</v>
      </c>
    </row>
    <row r="416" spans="1:9">
      <c r="A416" t="s">
        <v>891</v>
      </c>
      <c r="B416" t="s">
        <v>892</v>
      </c>
      <c r="C416" t="str">
        <f t="shared" si="6"/>
        <v>Melissa Valentine</v>
      </c>
      <c r="D416">
        <v>35</v>
      </c>
      <c r="E416" t="s">
        <v>15</v>
      </c>
      <c r="F416" t="s">
        <v>86</v>
      </c>
      <c r="G416" t="s">
        <v>11</v>
      </c>
      <c r="H416" t="str">
        <f>IF(ISBLANK(Table2[[#This Row],[Loyalty_Level]]),"Unknown",I416)</f>
        <v>Gold</v>
      </c>
      <c r="I416" t="s">
        <v>12</v>
      </c>
    </row>
    <row r="417" spans="1:9">
      <c r="A417" t="s">
        <v>893</v>
      </c>
      <c r="B417" t="s">
        <v>894</v>
      </c>
      <c r="C417" t="str">
        <f t="shared" si="6"/>
        <v>Tyler Cook</v>
      </c>
      <c r="D417">
        <v>26</v>
      </c>
      <c r="E417" t="s">
        <v>15</v>
      </c>
      <c r="F417" t="s">
        <v>122</v>
      </c>
      <c r="G417" t="s">
        <v>11</v>
      </c>
      <c r="H417" t="str">
        <f>IF(ISBLANK(Table2[[#This Row],[Loyalty_Level]]),"Unknown",I417)</f>
        <v>Silver</v>
      </c>
      <c r="I417" t="s">
        <v>26</v>
      </c>
    </row>
    <row r="418" spans="1:9">
      <c r="A418" t="s">
        <v>895</v>
      </c>
      <c r="B418" t="s">
        <v>896</v>
      </c>
      <c r="C418" t="str">
        <f t="shared" si="6"/>
        <v>Jennifer Myers</v>
      </c>
      <c r="D418">
        <v>46</v>
      </c>
      <c r="E418" t="s">
        <v>9</v>
      </c>
      <c r="F418" t="s">
        <v>236</v>
      </c>
      <c r="G418" t="s">
        <v>11</v>
      </c>
      <c r="H418" t="str">
        <f>IF(ISBLANK(Table2[[#This Row],[Loyalty_Level]]),"Unknown",I418)</f>
        <v>Platinum</v>
      </c>
      <c r="I418" t="s">
        <v>17</v>
      </c>
    </row>
    <row r="419" spans="1:9">
      <c r="A419" t="s">
        <v>897</v>
      </c>
      <c r="B419" t="s">
        <v>898</v>
      </c>
      <c r="C419" t="str">
        <f t="shared" si="6"/>
        <v>Karen King</v>
      </c>
      <c r="D419">
        <v>64</v>
      </c>
      <c r="E419" t="s">
        <v>15</v>
      </c>
      <c r="F419" t="s">
        <v>10</v>
      </c>
      <c r="G419" t="s">
        <v>11</v>
      </c>
      <c r="H419" t="str">
        <f>IF(ISBLANK(Table2[[#This Row],[Loyalty_Level]]),"Unknown",I419)</f>
        <v>Bronze</v>
      </c>
      <c r="I419" t="s">
        <v>22</v>
      </c>
    </row>
    <row r="420" spans="1:9">
      <c r="A420" t="s">
        <v>899</v>
      </c>
      <c r="B420" t="s">
        <v>900</v>
      </c>
      <c r="C420" t="str">
        <f t="shared" si="6"/>
        <v>Luke Parks</v>
      </c>
      <c r="D420">
        <v>60</v>
      </c>
      <c r="E420" t="s">
        <v>15</v>
      </c>
      <c r="F420" t="s">
        <v>38</v>
      </c>
      <c r="G420" t="s">
        <v>11</v>
      </c>
      <c r="H420" t="str">
        <f>IF(ISBLANK(Table2[[#This Row],[Loyalty_Level]]),"Unknown",I420)</f>
        <v>Silver</v>
      </c>
      <c r="I420" t="s">
        <v>26</v>
      </c>
    </row>
    <row r="421" spans="1:9">
      <c r="A421" t="s">
        <v>901</v>
      </c>
      <c r="B421" t="s">
        <v>902</v>
      </c>
      <c r="C421" t="str">
        <f t="shared" si="6"/>
        <v>Monica Miller</v>
      </c>
      <c r="D421">
        <v>33</v>
      </c>
      <c r="E421" t="s">
        <v>9</v>
      </c>
      <c r="F421" t="s">
        <v>228</v>
      </c>
      <c r="G421" t="s">
        <v>11</v>
      </c>
      <c r="H421" t="str">
        <f>IF(ISBLANK(Table2[[#This Row],[Loyalty_Level]]),"Unknown",I421)</f>
        <v>Gold</v>
      </c>
      <c r="I421" t="s">
        <v>12</v>
      </c>
    </row>
    <row r="422" spans="1:9">
      <c r="A422" t="s">
        <v>903</v>
      </c>
      <c r="B422" t="s">
        <v>904</v>
      </c>
      <c r="C422" t="str">
        <f t="shared" si="6"/>
        <v>Dr. Tamara White Md</v>
      </c>
      <c r="D422">
        <v>60</v>
      </c>
      <c r="E422" t="s">
        <v>9</v>
      </c>
      <c r="F422" t="s">
        <v>10</v>
      </c>
      <c r="G422" t="s">
        <v>11</v>
      </c>
      <c r="H422" t="str">
        <f>IF(ISBLANK(Table2[[#This Row],[Loyalty_Level]]),"Unknown",I422)</f>
        <v>Bronze</v>
      </c>
      <c r="I422" t="s">
        <v>22</v>
      </c>
    </row>
    <row r="423" spans="1:9">
      <c r="A423" t="s">
        <v>905</v>
      </c>
      <c r="B423" t="s">
        <v>906</v>
      </c>
      <c r="C423" t="str">
        <f t="shared" si="6"/>
        <v>Holly Robinson</v>
      </c>
      <c r="D423">
        <v>45</v>
      </c>
      <c r="E423" t="s">
        <v>15</v>
      </c>
      <c r="F423" t="s">
        <v>58</v>
      </c>
      <c r="G423" t="s">
        <v>11</v>
      </c>
      <c r="H423" t="str">
        <f>IF(ISBLANK(Table2[[#This Row],[Loyalty_Level]]),"Unknown",I423)</f>
        <v>Platinum</v>
      </c>
      <c r="I423" t="s">
        <v>17</v>
      </c>
    </row>
    <row r="424" spans="1:9">
      <c r="A424" t="s">
        <v>907</v>
      </c>
      <c r="B424" t="s">
        <v>908</v>
      </c>
      <c r="C424" t="str">
        <f t="shared" si="6"/>
        <v>Brittany Edwards Dds</v>
      </c>
      <c r="D424">
        <v>42</v>
      </c>
      <c r="E424" t="s">
        <v>15</v>
      </c>
      <c r="F424" t="s">
        <v>49</v>
      </c>
      <c r="G424" t="s">
        <v>11</v>
      </c>
      <c r="H424" t="str">
        <f>IF(ISBLANK(Table2[[#This Row],[Loyalty_Level]]),"Unknown",I424)</f>
        <v>Platinum</v>
      </c>
      <c r="I424" t="s">
        <v>17</v>
      </c>
    </row>
    <row r="425" spans="1:9">
      <c r="A425" t="s">
        <v>909</v>
      </c>
      <c r="B425" t="s">
        <v>910</v>
      </c>
      <c r="C425" t="str">
        <f t="shared" si="6"/>
        <v>Rebecca Baker</v>
      </c>
      <c r="D425">
        <v>35</v>
      </c>
      <c r="E425" t="s">
        <v>9</v>
      </c>
      <c r="F425" t="s">
        <v>49</v>
      </c>
      <c r="G425" t="s">
        <v>11</v>
      </c>
      <c r="H425" t="str">
        <f>IF(ISBLANK(Table2[[#This Row],[Loyalty_Level]]),"Unknown",I425)</f>
        <v>Silver</v>
      </c>
      <c r="I425" t="s">
        <v>26</v>
      </c>
    </row>
    <row r="426" spans="1:9">
      <c r="A426" t="s">
        <v>911</v>
      </c>
      <c r="B426" t="s">
        <v>912</v>
      </c>
      <c r="C426" t="str">
        <f t="shared" si="6"/>
        <v>Edwin Barnes</v>
      </c>
      <c r="D426">
        <v>53</v>
      </c>
      <c r="E426" t="s">
        <v>9</v>
      </c>
      <c r="F426" t="s">
        <v>10</v>
      </c>
      <c r="G426" t="s">
        <v>11</v>
      </c>
      <c r="H426" t="str">
        <f>IF(ISBLANK(Table2[[#This Row],[Loyalty_Level]]),"Unknown",I426)</f>
        <v>Bronze</v>
      </c>
      <c r="I426" t="s">
        <v>22</v>
      </c>
    </row>
    <row r="427" spans="1:9">
      <c r="A427" t="s">
        <v>913</v>
      </c>
      <c r="B427" t="s">
        <v>914</v>
      </c>
      <c r="C427" t="str">
        <f t="shared" si="6"/>
        <v>Bryce Hawkins</v>
      </c>
      <c r="D427">
        <v>40</v>
      </c>
      <c r="E427" t="s">
        <v>9</v>
      </c>
      <c r="F427" t="s">
        <v>89</v>
      </c>
      <c r="G427" t="s">
        <v>11</v>
      </c>
      <c r="H427" t="str">
        <f>IF(ISBLANK(Table2[[#This Row],[Loyalty_Level]]),"Unknown",I427)</f>
        <v>Bronze</v>
      </c>
      <c r="I427" t="s">
        <v>22</v>
      </c>
    </row>
    <row r="428" spans="1:9">
      <c r="A428" t="s">
        <v>915</v>
      </c>
      <c r="B428" t="s">
        <v>916</v>
      </c>
      <c r="C428" t="str">
        <f t="shared" si="6"/>
        <v>Jeanette Nichols</v>
      </c>
      <c r="D428">
        <v>28</v>
      </c>
      <c r="E428" t="s">
        <v>9</v>
      </c>
      <c r="F428" t="s">
        <v>10</v>
      </c>
      <c r="G428" t="s">
        <v>11</v>
      </c>
      <c r="H428" t="str">
        <f>IF(ISBLANK(Table2[[#This Row],[Loyalty_Level]]),"Unknown",I428)</f>
        <v>Platinum</v>
      </c>
      <c r="I428" t="s">
        <v>17</v>
      </c>
    </row>
    <row r="429" spans="1:9">
      <c r="A429" t="s">
        <v>917</v>
      </c>
      <c r="B429" t="s">
        <v>918</v>
      </c>
      <c r="C429" t="str">
        <f t="shared" si="6"/>
        <v>Jose Stewart</v>
      </c>
      <c r="D429">
        <v>18</v>
      </c>
      <c r="E429" t="s">
        <v>15</v>
      </c>
      <c r="F429" t="s">
        <v>312</v>
      </c>
      <c r="G429" t="s">
        <v>11</v>
      </c>
      <c r="H429" t="str">
        <f>IF(ISBLANK(Table2[[#This Row],[Loyalty_Level]]),"Unknown",I429)</f>
        <v>Gold</v>
      </c>
      <c r="I429" t="s">
        <v>12</v>
      </c>
    </row>
    <row r="430" spans="1:9">
      <c r="A430" t="s">
        <v>919</v>
      </c>
      <c r="B430" t="s">
        <v>920</v>
      </c>
      <c r="C430" t="str">
        <f t="shared" si="6"/>
        <v>Samuel Mullins</v>
      </c>
      <c r="D430">
        <v>27</v>
      </c>
      <c r="E430" t="s">
        <v>15</v>
      </c>
      <c r="F430" t="s">
        <v>239</v>
      </c>
      <c r="G430" t="s">
        <v>11</v>
      </c>
      <c r="H430" t="str">
        <f>IF(ISBLANK(Table2[[#This Row],[Loyalty_Level]]),"Unknown",I430)</f>
        <v>Bronze</v>
      </c>
      <c r="I430" t="s">
        <v>22</v>
      </c>
    </row>
    <row r="431" spans="1:9">
      <c r="A431" t="s">
        <v>921</v>
      </c>
      <c r="B431" t="s">
        <v>922</v>
      </c>
      <c r="C431" t="str">
        <f t="shared" si="6"/>
        <v>Sean Vang</v>
      </c>
      <c r="D431">
        <v>43</v>
      </c>
      <c r="E431" t="s">
        <v>9</v>
      </c>
      <c r="F431" t="s">
        <v>81</v>
      </c>
      <c r="G431" t="s">
        <v>11</v>
      </c>
      <c r="H431" t="str">
        <f>IF(ISBLANK(Table2[[#This Row],[Loyalty_Level]]),"Unknown",I431)</f>
        <v>Platinum</v>
      </c>
      <c r="I431" t="s">
        <v>17</v>
      </c>
    </row>
    <row r="432" spans="1:9">
      <c r="A432" t="s">
        <v>923</v>
      </c>
      <c r="B432" t="s">
        <v>924</v>
      </c>
      <c r="C432" t="str">
        <f t="shared" si="6"/>
        <v>Kimberly Roberts</v>
      </c>
      <c r="D432">
        <v>36</v>
      </c>
      <c r="E432" t="s">
        <v>15</v>
      </c>
      <c r="F432" t="s">
        <v>68</v>
      </c>
      <c r="G432" t="s">
        <v>11</v>
      </c>
      <c r="H432" t="str">
        <f>IF(ISBLANK(Table2[[#This Row],[Loyalty_Level]]),"Unknown",I432)</f>
        <v>Gold</v>
      </c>
      <c r="I432" t="s">
        <v>12</v>
      </c>
    </row>
    <row r="433" spans="1:9">
      <c r="A433" t="s">
        <v>925</v>
      </c>
      <c r="B433" t="s">
        <v>926</v>
      </c>
      <c r="C433" t="str">
        <f t="shared" si="6"/>
        <v>John Smith</v>
      </c>
      <c r="D433">
        <v>27</v>
      </c>
      <c r="E433" t="s">
        <v>9</v>
      </c>
      <c r="F433" t="s">
        <v>25</v>
      </c>
      <c r="G433" t="s">
        <v>11</v>
      </c>
      <c r="H433" t="str">
        <f>IF(ISBLANK(Table2[[#This Row],[Loyalty_Level]]),"Unknown",I433)</f>
        <v>Platinum</v>
      </c>
      <c r="I433" t="s">
        <v>17</v>
      </c>
    </row>
    <row r="434" spans="1:9">
      <c r="A434" t="s">
        <v>927</v>
      </c>
      <c r="B434" t="s">
        <v>928</v>
      </c>
      <c r="C434" t="str">
        <f t="shared" si="6"/>
        <v>Summer Weiss</v>
      </c>
      <c r="D434">
        <v>37</v>
      </c>
      <c r="E434" t="s">
        <v>9</v>
      </c>
      <c r="F434" t="s">
        <v>68</v>
      </c>
      <c r="G434" t="s">
        <v>11</v>
      </c>
      <c r="H434" t="str">
        <f>IF(ISBLANK(Table2[[#This Row],[Loyalty_Level]]),"Unknown",I434)</f>
        <v>Bronze</v>
      </c>
      <c r="I434" t="s">
        <v>22</v>
      </c>
    </row>
    <row r="435" spans="1:9">
      <c r="A435" t="s">
        <v>929</v>
      </c>
      <c r="B435" t="s">
        <v>930</v>
      </c>
      <c r="C435" t="str">
        <f t="shared" si="6"/>
        <v>Thomas Moore</v>
      </c>
      <c r="D435">
        <v>51</v>
      </c>
      <c r="E435" t="s">
        <v>15</v>
      </c>
      <c r="F435" t="s">
        <v>46</v>
      </c>
      <c r="G435" t="s">
        <v>11</v>
      </c>
      <c r="H435" t="str">
        <f>IF(ISBLANK(Table2[[#This Row],[Loyalty_Level]]),"Unknown",I435)</f>
        <v>Silver</v>
      </c>
      <c r="I435" t="s">
        <v>26</v>
      </c>
    </row>
    <row r="436" spans="1:9">
      <c r="A436" t="s">
        <v>931</v>
      </c>
      <c r="B436" t="s">
        <v>932</v>
      </c>
      <c r="C436" t="str">
        <f t="shared" si="6"/>
        <v>Monique Castro</v>
      </c>
      <c r="D436">
        <v>48</v>
      </c>
      <c r="E436" t="s">
        <v>15</v>
      </c>
      <c r="F436" t="s">
        <v>187</v>
      </c>
      <c r="G436" t="s">
        <v>11</v>
      </c>
      <c r="H436" t="str">
        <f>IF(ISBLANK(Table2[[#This Row],[Loyalty_Level]]),"Unknown",I436)</f>
        <v>Gold</v>
      </c>
      <c r="I436" t="s">
        <v>12</v>
      </c>
    </row>
    <row r="437" spans="1:9">
      <c r="A437" t="s">
        <v>933</v>
      </c>
      <c r="B437" t="s">
        <v>934</v>
      </c>
      <c r="C437" t="str">
        <f t="shared" si="6"/>
        <v>Lindsay Beasley</v>
      </c>
      <c r="D437">
        <v>37</v>
      </c>
      <c r="E437" t="s">
        <v>15</v>
      </c>
      <c r="F437" t="s">
        <v>81</v>
      </c>
      <c r="G437" t="s">
        <v>11</v>
      </c>
      <c r="H437" t="str">
        <f>IF(ISBLANK(Table2[[#This Row],[Loyalty_Level]]),"Unknown",I437)</f>
        <v>Silver</v>
      </c>
      <c r="I437" t="s">
        <v>26</v>
      </c>
    </row>
    <row r="438" spans="1:9">
      <c r="A438" t="s">
        <v>935</v>
      </c>
      <c r="B438" t="s">
        <v>936</v>
      </c>
      <c r="C438" t="str">
        <f t="shared" si="6"/>
        <v>Sharon Simpson</v>
      </c>
      <c r="D438">
        <v>61</v>
      </c>
      <c r="E438" t="s">
        <v>9</v>
      </c>
      <c r="F438" t="s">
        <v>32</v>
      </c>
      <c r="G438" t="s">
        <v>11</v>
      </c>
      <c r="H438" t="str">
        <f>IF(ISBLANK(Table2[[#This Row],[Loyalty_Level]]),"Unknown",I438)</f>
        <v>Gold</v>
      </c>
      <c r="I438" t="s">
        <v>12</v>
      </c>
    </row>
    <row r="439" spans="1:9">
      <c r="A439" t="s">
        <v>937</v>
      </c>
      <c r="B439" t="s">
        <v>938</v>
      </c>
      <c r="C439" t="str">
        <f t="shared" si="6"/>
        <v>Melinda Rivera</v>
      </c>
      <c r="D439">
        <v>47</v>
      </c>
      <c r="E439" t="s">
        <v>15</v>
      </c>
      <c r="F439" t="s">
        <v>38</v>
      </c>
      <c r="G439" t="s">
        <v>11</v>
      </c>
      <c r="H439" t="str">
        <f>IF(ISBLANK(Table2[[#This Row],[Loyalty_Level]]),"Unknown",I439)</f>
        <v>Platinum</v>
      </c>
      <c r="I439" t="s">
        <v>17</v>
      </c>
    </row>
    <row r="440" spans="1:9">
      <c r="A440" t="s">
        <v>939</v>
      </c>
      <c r="B440" t="s">
        <v>940</v>
      </c>
      <c r="C440" t="str">
        <f t="shared" si="6"/>
        <v>Monica Flynn</v>
      </c>
      <c r="D440">
        <v>59</v>
      </c>
      <c r="E440" t="s">
        <v>15</v>
      </c>
      <c r="F440" t="s">
        <v>175</v>
      </c>
      <c r="G440" t="s">
        <v>11</v>
      </c>
      <c r="H440" t="str">
        <f>IF(ISBLANK(Table2[[#This Row],[Loyalty_Level]]),"Unknown",I440)</f>
        <v>Platinum</v>
      </c>
      <c r="I440" t="s">
        <v>17</v>
      </c>
    </row>
    <row r="441" spans="1:9">
      <c r="A441" t="s">
        <v>941</v>
      </c>
      <c r="B441" t="s">
        <v>942</v>
      </c>
      <c r="C441" t="str">
        <f t="shared" si="6"/>
        <v>John Compton</v>
      </c>
      <c r="D441">
        <v>53</v>
      </c>
      <c r="E441" t="s">
        <v>9</v>
      </c>
      <c r="F441" t="s">
        <v>117</v>
      </c>
      <c r="G441" t="s">
        <v>11</v>
      </c>
      <c r="H441" t="str">
        <f>IF(ISBLANK(Table2[[#This Row],[Loyalty_Level]]),"Unknown",I441)</f>
        <v>Silver</v>
      </c>
      <c r="I441" t="s">
        <v>26</v>
      </c>
    </row>
    <row r="442" spans="1:9">
      <c r="A442" t="s">
        <v>943</v>
      </c>
      <c r="B442" t="s">
        <v>944</v>
      </c>
      <c r="C442" t="str">
        <f t="shared" si="6"/>
        <v>Tammy Trevino</v>
      </c>
      <c r="D442">
        <v>60</v>
      </c>
      <c r="E442" t="s">
        <v>9</v>
      </c>
      <c r="F442" t="s">
        <v>16</v>
      </c>
      <c r="G442" t="s">
        <v>11</v>
      </c>
      <c r="H442" t="str">
        <f>IF(ISBLANK(Table2[[#This Row],[Loyalty_Level]]),"Unknown",I442)</f>
        <v>Silver</v>
      </c>
      <c r="I442" t="s">
        <v>26</v>
      </c>
    </row>
    <row r="443" spans="1:9">
      <c r="A443" t="s">
        <v>945</v>
      </c>
      <c r="B443" t="s">
        <v>946</v>
      </c>
      <c r="C443" t="str">
        <f t="shared" si="6"/>
        <v>Dalton Walters</v>
      </c>
      <c r="D443">
        <v>31</v>
      </c>
      <c r="E443" t="s">
        <v>9</v>
      </c>
      <c r="F443" t="s">
        <v>236</v>
      </c>
      <c r="G443" t="s">
        <v>11</v>
      </c>
      <c r="H443" t="str">
        <f>IF(ISBLANK(Table2[[#This Row],[Loyalty_Level]]),"Unknown",I443)</f>
        <v>Silver</v>
      </c>
      <c r="I443" t="s">
        <v>26</v>
      </c>
    </row>
    <row r="444" spans="1:9">
      <c r="A444" t="s">
        <v>947</v>
      </c>
      <c r="B444" t="s">
        <v>948</v>
      </c>
      <c r="C444" t="str">
        <f t="shared" si="6"/>
        <v>Kelli Smith</v>
      </c>
      <c r="D444">
        <v>42</v>
      </c>
      <c r="E444" t="s">
        <v>15</v>
      </c>
      <c r="F444" t="s">
        <v>29</v>
      </c>
      <c r="G444" t="s">
        <v>11</v>
      </c>
      <c r="H444" t="str">
        <f>IF(ISBLANK(Table2[[#This Row],[Loyalty_Level]]),"Unknown",I444)</f>
        <v>Bronze</v>
      </c>
      <c r="I444" t="s">
        <v>22</v>
      </c>
    </row>
    <row r="445" spans="1:9">
      <c r="A445" t="s">
        <v>949</v>
      </c>
      <c r="B445" t="s">
        <v>950</v>
      </c>
      <c r="C445" t="str">
        <f t="shared" si="6"/>
        <v>Adam Castro</v>
      </c>
      <c r="D445">
        <v>51</v>
      </c>
      <c r="E445" t="s">
        <v>9</v>
      </c>
      <c r="F445" t="s">
        <v>260</v>
      </c>
      <c r="G445" t="s">
        <v>11</v>
      </c>
      <c r="H445" t="str">
        <f>IF(ISBLANK(Table2[[#This Row],[Loyalty_Level]]),"Unknown",I445)</f>
        <v>Silver</v>
      </c>
      <c r="I445" t="s">
        <v>26</v>
      </c>
    </row>
    <row r="446" spans="1:9">
      <c r="A446" t="s">
        <v>951</v>
      </c>
      <c r="B446" t="s">
        <v>952</v>
      </c>
      <c r="C446" t="str">
        <f t="shared" si="6"/>
        <v>Cheryl Carr</v>
      </c>
      <c r="D446">
        <v>19</v>
      </c>
      <c r="E446" t="s">
        <v>9</v>
      </c>
      <c r="F446" t="s">
        <v>593</v>
      </c>
      <c r="G446" t="s">
        <v>11</v>
      </c>
      <c r="H446" t="str">
        <f>IF(ISBLANK(Table2[[#This Row],[Loyalty_Level]]),"Unknown",I446)</f>
        <v>Gold</v>
      </c>
      <c r="I446" t="s">
        <v>12</v>
      </c>
    </row>
    <row r="447" spans="1:9">
      <c r="A447" t="s">
        <v>953</v>
      </c>
      <c r="B447" t="s">
        <v>954</v>
      </c>
      <c r="C447" t="str">
        <f t="shared" si="6"/>
        <v>Gene Lee</v>
      </c>
      <c r="D447">
        <v>41</v>
      </c>
      <c r="E447" t="s">
        <v>15</v>
      </c>
      <c r="F447" t="s">
        <v>210</v>
      </c>
      <c r="G447" t="s">
        <v>11</v>
      </c>
      <c r="H447" t="str">
        <f>IF(ISBLANK(Table2[[#This Row],[Loyalty_Level]]),"Unknown",I447)</f>
        <v>Platinum</v>
      </c>
      <c r="I447" t="s">
        <v>17</v>
      </c>
    </row>
    <row r="448" spans="1:9">
      <c r="A448" t="s">
        <v>955</v>
      </c>
      <c r="B448" t="s">
        <v>956</v>
      </c>
      <c r="C448" t="str">
        <f t="shared" si="6"/>
        <v>Shannon Turner</v>
      </c>
      <c r="D448">
        <v>35</v>
      </c>
      <c r="E448" t="s">
        <v>9</v>
      </c>
      <c r="F448" t="s">
        <v>74</v>
      </c>
      <c r="G448" t="s">
        <v>11</v>
      </c>
      <c r="H448" t="str">
        <f>IF(ISBLANK(Table2[[#This Row],[Loyalty_Level]]),"Unknown",I448)</f>
        <v>Silver</v>
      </c>
      <c r="I448" t="s">
        <v>26</v>
      </c>
    </row>
    <row r="449" spans="1:9">
      <c r="A449" t="s">
        <v>957</v>
      </c>
      <c r="B449" t="s">
        <v>958</v>
      </c>
      <c r="C449" t="str">
        <f t="shared" si="6"/>
        <v>Monica Wright</v>
      </c>
      <c r="D449">
        <v>45</v>
      </c>
      <c r="E449" t="s">
        <v>9</v>
      </c>
      <c r="F449" t="s">
        <v>10</v>
      </c>
      <c r="G449" t="s">
        <v>11</v>
      </c>
      <c r="H449" t="str">
        <f>IF(ISBLANK(Table2[[#This Row],[Loyalty_Level]]),"Unknown",I449)</f>
        <v>Gold</v>
      </c>
      <c r="I449" t="s">
        <v>12</v>
      </c>
    </row>
    <row r="450" spans="1:9">
      <c r="A450" t="s">
        <v>959</v>
      </c>
      <c r="B450" t="s">
        <v>960</v>
      </c>
      <c r="C450" t="str">
        <f t="shared" ref="C450:C501" si="7">PROPER(TRIM(B450))</f>
        <v>Eric Holmes</v>
      </c>
      <c r="D450">
        <v>64</v>
      </c>
      <c r="E450" t="s">
        <v>15</v>
      </c>
      <c r="F450" t="s">
        <v>593</v>
      </c>
      <c r="G450" t="s">
        <v>11</v>
      </c>
      <c r="H450" t="str">
        <f>IF(ISBLANK(Table2[[#This Row],[Loyalty_Level]]),"Unknown",I450)</f>
        <v>Bronze</v>
      </c>
      <c r="I450" t="s">
        <v>22</v>
      </c>
    </row>
    <row r="451" spans="1:9">
      <c r="A451" t="s">
        <v>961</v>
      </c>
      <c r="B451" t="s">
        <v>962</v>
      </c>
      <c r="C451" t="str">
        <f t="shared" si="7"/>
        <v>William Cortez</v>
      </c>
      <c r="D451">
        <v>29</v>
      </c>
      <c r="E451" t="s">
        <v>9</v>
      </c>
      <c r="F451" t="s">
        <v>21</v>
      </c>
      <c r="G451" t="s">
        <v>11</v>
      </c>
      <c r="H451" t="str">
        <f>IF(ISBLANK(Table2[[#This Row],[Loyalty_Level]]),"Unknown",I451)</f>
        <v>Bronze</v>
      </c>
      <c r="I451" t="s">
        <v>22</v>
      </c>
    </row>
    <row r="452" spans="1:9">
      <c r="A452" t="s">
        <v>963</v>
      </c>
      <c r="B452" t="s">
        <v>964</v>
      </c>
      <c r="C452" t="str">
        <f t="shared" si="7"/>
        <v>Shane Mills</v>
      </c>
      <c r="D452">
        <v>59</v>
      </c>
      <c r="E452" t="s">
        <v>9</v>
      </c>
      <c r="F452" t="s">
        <v>55</v>
      </c>
      <c r="G452" t="s">
        <v>11</v>
      </c>
      <c r="H452" t="str">
        <f>IF(ISBLANK(Table2[[#This Row],[Loyalty_Level]]),"Unknown",I452)</f>
        <v>Bronze</v>
      </c>
      <c r="I452" t="s">
        <v>22</v>
      </c>
    </row>
    <row r="453" spans="1:9">
      <c r="A453" t="s">
        <v>965</v>
      </c>
      <c r="B453" t="s">
        <v>966</v>
      </c>
      <c r="C453" t="str">
        <f t="shared" si="7"/>
        <v>Ashley Roberts</v>
      </c>
      <c r="D453">
        <v>46</v>
      </c>
      <c r="E453" t="s">
        <v>9</v>
      </c>
      <c r="F453" t="s">
        <v>172</v>
      </c>
      <c r="G453" t="s">
        <v>11</v>
      </c>
      <c r="H453" t="str">
        <f>IF(ISBLANK(Table2[[#This Row],[Loyalty_Level]]),"Unknown",I453)</f>
        <v>Gold</v>
      </c>
      <c r="I453" t="s">
        <v>12</v>
      </c>
    </row>
    <row r="454" spans="1:9">
      <c r="A454" t="s">
        <v>967</v>
      </c>
      <c r="B454" t="s">
        <v>968</v>
      </c>
      <c r="C454" t="str">
        <f t="shared" si="7"/>
        <v>Jeffery Wolf</v>
      </c>
      <c r="D454">
        <v>60</v>
      </c>
      <c r="E454" t="s">
        <v>15</v>
      </c>
      <c r="F454" t="s">
        <v>228</v>
      </c>
      <c r="G454" t="s">
        <v>11</v>
      </c>
      <c r="H454" t="str">
        <f>IF(ISBLANK(Table2[[#This Row],[Loyalty_Level]]),"Unknown",I454)</f>
        <v>Bronze</v>
      </c>
      <c r="I454" t="s">
        <v>22</v>
      </c>
    </row>
    <row r="455" spans="1:9">
      <c r="A455" t="s">
        <v>969</v>
      </c>
      <c r="B455" t="s">
        <v>970</v>
      </c>
      <c r="C455" t="str">
        <f t="shared" si="7"/>
        <v>April Phillips</v>
      </c>
      <c r="D455">
        <v>62</v>
      </c>
      <c r="E455" t="s">
        <v>15</v>
      </c>
      <c r="F455" t="s">
        <v>76</v>
      </c>
      <c r="G455" t="s">
        <v>11</v>
      </c>
      <c r="H455" t="str">
        <f>IF(ISBLANK(Table2[[#This Row],[Loyalty_Level]]),"Unknown",I455)</f>
        <v>Platinum</v>
      </c>
      <c r="I455" t="s">
        <v>17</v>
      </c>
    </row>
    <row r="456" spans="1:9">
      <c r="A456" t="s">
        <v>971</v>
      </c>
      <c r="B456" t="s">
        <v>972</v>
      </c>
      <c r="C456" t="str">
        <f t="shared" si="7"/>
        <v>John Berg</v>
      </c>
      <c r="D456">
        <v>60</v>
      </c>
      <c r="E456" t="s">
        <v>9</v>
      </c>
      <c r="F456" t="s">
        <v>74</v>
      </c>
      <c r="G456" t="s">
        <v>11</v>
      </c>
      <c r="H456" t="str">
        <f>IF(ISBLANK(Table2[[#This Row],[Loyalty_Level]]),"Unknown",I456)</f>
        <v>Gold</v>
      </c>
      <c r="I456" t="s">
        <v>12</v>
      </c>
    </row>
    <row r="457" spans="1:9">
      <c r="A457" t="s">
        <v>973</v>
      </c>
      <c r="B457" t="s">
        <v>974</v>
      </c>
      <c r="C457" t="str">
        <f t="shared" si="7"/>
        <v>Tyler Weber</v>
      </c>
      <c r="D457">
        <v>54</v>
      </c>
      <c r="E457" t="s">
        <v>9</v>
      </c>
      <c r="F457" t="s">
        <v>144</v>
      </c>
      <c r="G457" t="s">
        <v>11</v>
      </c>
      <c r="H457" t="str">
        <f>IF(ISBLANK(Table2[[#This Row],[Loyalty_Level]]),"Unknown",I457)</f>
        <v>Gold</v>
      </c>
      <c r="I457" t="s">
        <v>12</v>
      </c>
    </row>
    <row r="458" spans="1:9">
      <c r="A458" t="s">
        <v>975</v>
      </c>
      <c r="B458" t="s">
        <v>976</v>
      </c>
      <c r="C458" t="str">
        <f t="shared" si="7"/>
        <v>Julie Powell</v>
      </c>
      <c r="D458">
        <v>59</v>
      </c>
      <c r="E458" t="s">
        <v>15</v>
      </c>
      <c r="F458" t="s">
        <v>213</v>
      </c>
      <c r="G458" t="s">
        <v>11</v>
      </c>
      <c r="H458" t="str">
        <f>IF(ISBLANK(Table2[[#This Row],[Loyalty_Level]]),"Unknown",I458)</f>
        <v>Gold</v>
      </c>
      <c r="I458" t="s">
        <v>12</v>
      </c>
    </row>
    <row r="459" spans="1:9">
      <c r="A459" t="s">
        <v>977</v>
      </c>
      <c r="B459" t="s">
        <v>978</v>
      </c>
      <c r="C459" t="str">
        <f t="shared" si="7"/>
        <v>Christina Robertson</v>
      </c>
      <c r="D459">
        <v>59</v>
      </c>
      <c r="E459" t="s">
        <v>9</v>
      </c>
      <c r="F459" t="s">
        <v>417</v>
      </c>
      <c r="G459" t="s">
        <v>11</v>
      </c>
      <c r="H459" t="str">
        <f>IF(ISBLANK(Table2[[#This Row],[Loyalty_Level]]),"Unknown",I459)</f>
        <v>Platinum</v>
      </c>
      <c r="I459" t="s">
        <v>17</v>
      </c>
    </row>
    <row r="460" spans="1:9">
      <c r="A460" t="s">
        <v>979</v>
      </c>
      <c r="B460" t="s">
        <v>980</v>
      </c>
      <c r="C460" t="str">
        <f t="shared" si="7"/>
        <v>Kelly Garrett</v>
      </c>
      <c r="D460">
        <v>62</v>
      </c>
      <c r="E460" t="s">
        <v>15</v>
      </c>
      <c r="F460" t="s">
        <v>41</v>
      </c>
      <c r="G460" t="s">
        <v>11</v>
      </c>
      <c r="H460" t="str">
        <f>IF(ISBLANK(Table2[[#This Row],[Loyalty_Level]]),"Unknown",I460)</f>
        <v>Silver</v>
      </c>
      <c r="I460" t="s">
        <v>26</v>
      </c>
    </row>
    <row r="461" spans="1:9">
      <c r="A461" t="s">
        <v>981</v>
      </c>
      <c r="B461" t="s">
        <v>479</v>
      </c>
      <c r="C461" t="str">
        <f t="shared" si="7"/>
        <v>John Perez</v>
      </c>
      <c r="D461">
        <v>29</v>
      </c>
      <c r="E461" t="s">
        <v>15</v>
      </c>
      <c r="F461" t="s">
        <v>231</v>
      </c>
      <c r="G461" t="s">
        <v>11</v>
      </c>
      <c r="H461" t="str">
        <f>IF(ISBLANK(Table2[[#This Row],[Loyalty_Level]]),"Unknown",I461)</f>
        <v>Gold</v>
      </c>
      <c r="I461" t="s">
        <v>12</v>
      </c>
    </row>
    <row r="462" spans="1:9">
      <c r="A462" t="s">
        <v>982</v>
      </c>
      <c r="B462" t="s">
        <v>983</v>
      </c>
      <c r="C462" t="str">
        <f t="shared" si="7"/>
        <v>Justin Johnson</v>
      </c>
      <c r="D462">
        <v>35</v>
      </c>
      <c r="E462" t="s">
        <v>9</v>
      </c>
      <c r="F462" t="s">
        <v>196</v>
      </c>
      <c r="G462" t="s">
        <v>11</v>
      </c>
      <c r="H462" t="str">
        <f>IF(ISBLANK(Table2[[#This Row],[Loyalty_Level]]),"Unknown",I462)</f>
        <v>Gold</v>
      </c>
      <c r="I462" t="s">
        <v>12</v>
      </c>
    </row>
    <row r="463" spans="1:9">
      <c r="A463" t="s">
        <v>984</v>
      </c>
      <c r="B463" t="s">
        <v>985</v>
      </c>
      <c r="C463" t="str">
        <f t="shared" si="7"/>
        <v>Paul Cox</v>
      </c>
      <c r="D463">
        <v>60</v>
      </c>
      <c r="E463" t="s">
        <v>15</v>
      </c>
      <c r="F463" t="s">
        <v>49</v>
      </c>
      <c r="G463" t="s">
        <v>11</v>
      </c>
      <c r="H463" t="str">
        <f>IF(ISBLANK(Table2[[#This Row],[Loyalty_Level]]),"Unknown",I463)</f>
        <v>Silver</v>
      </c>
      <c r="I463" t="s">
        <v>26</v>
      </c>
    </row>
    <row r="464" spans="1:9">
      <c r="A464" t="s">
        <v>986</v>
      </c>
      <c r="B464" t="s">
        <v>987</v>
      </c>
      <c r="C464" t="str">
        <f t="shared" si="7"/>
        <v>Beth Martin</v>
      </c>
      <c r="D464">
        <v>34</v>
      </c>
      <c r="E464" t="s">
        <v>15</v>
      </c>
      <c r="F464" t="s">
        <v>35</v>
      </c>
      <c r="G464" t="s">
        <v>11</v>
      </c>
      <c r="H464" t="str">
        <f>IF(ISBLANK(Table2[[#This Row],[Loyalty_Level]]),"Unknown",I464)</f>
        <v>Silver</v>
      </c>
      <c r="I464" t="s">
        <v>26</v>
      </c>
    </row>
    <row r="465" spans="1:9">
      <c r="A465" t="s">
        <v>988</v>
      </c>
      <c r="B465" t="s">
        <v>989</v>
      </c>
      <c r="C465" t="str">
        <f t="shared" si="7"/>
        <v>Samantha Lee</v>
      </c>
      <c r="D465">
        <v>36</v>
      </c>
      <c r="E465" t="s">
        <v>15</v>
      </c>
      <c r="F465" t="s">
        <v>125</v>
      </c>
      <c r="G465" t="s">
        <v>11</v>
      </c>
      <c r="H465" t="str">
        <f>IF(ISBLANK(Table2[[#This Row],[Loyalty_Level]]),"Unknown",I465)</f>
        <v>Bronze</v>
      </c>
      <c r="I465" t="s">
        <v>22</v>
      </c>
    </row>
    <row r="466" spans="1:9">
      <c r="A466" t="s">
        <v>3356</v>
      </c>
      <c r="B466" t="s">
        <v>991</v>
      </c>
      <c r="C466" t="str">
        <f t="shared" si="7"/>
        <v>David Pierce</v>
      </c>
      <c r="D466">
        <v>45</v>
      </c>
      <c r="E466" t="s">
        <v>15</v>
      </c>
      <c r="F466" t="s">
        <v>58</v>
      </c>
      <c r="G466" t="s">
        <v>11</v>
      </c>
      <c r="H466" t="str">
        <f>IF(ISBLANK(Table2[[#This Row],[Loyalty_Level]]),"Unknown",I466)</f>
        <v>Platinum</v>
      </c>
      <c r="I466" t="s">
        <v>17</v>
      </c>
    </row>
    <row r="467" spans="1:9">
      <c r="A467" t="s">
        <v>992</v>
      </c>
      <c r="B467" t="s">
        <v>993</v>
      </c>
      <c r="C467" t="str">
        <f t="shared" si="7"/>
        <v>Ronald Ross</v>
      </c>
      <c r="D467">
        <v>28</v>
      </c>
      <c r="E467" t="s">
        <v>15</v>
      </c>
      <c r="F467" t="s">
        <v>10</v>
      </c>
      <c r="G467" t="s">
        <v>11</v>
      </c>
      <c r="H467" t="str">
        <f>IF(ISBLANK(Table2[[#This Row],[Loyalty_Level]]),"Unknown",I467)</f>
        <v>Silver</v>
      </c>
      <c r="I467" t="s">
        <v>26</v>
      </c>
    </row>
    <row r="468" spans="1:9">
      <c r="A468" t="s">
        <v>994</v>
      </c>
      <c r="B468" t="s">
        <v>995</v>
      </c>
      <c r="C468" t="str">
        <f t="shared" si="7"/>
        <v>Cynthia Parrish</v>
      </c>
      <c r="D468">
        <v>18</v>
      </c>
      <c r="E468" t="s">
        <v>9</v>
      </c>
      <c r="F468" t="s">
        <v>149</v>
      </c>
      <c r="G468" t="s">
        <v>11</v>
      </c>
      <c r="H468" t="str">
        <f>IF(ISBLANK(Table2[[#This Row],[Loyalty_Level]]),"Unknown",I468)</f>
        <v>Silver</v>
      </c>
      <c r="I468" t="s">
        <v>26</v>
      </c>
    </row>
    <row r="469" spans="1:9">
      <c r="A469" t="s">
        <v>996</v>
      </c>
      <c r="B469" t="s">
        <v>997</v>
      </c>
      <c r="C469" t="str">
        <f t="shared" si="7"/>
        <v>Michael Foley</v>
      </c>
      <c r="D469">
        <v>63</v>
      </c>
      <c r="E469" t="s">
        <v>15</v>
      </c>
      <c r="F469" t="s">
        <v>128</v>
      </c>
      <c r="G469" t="s">
        <v>11</v>
      </c>
      <c r="H469" t="str">
        <f>IF(ISBLANK(Table2[[#This Row],[Loyalty_Level]]),"Unknown",I469)</f>
        <v>Gold</v>
      </c>
      <c r="I469" t="s">
        <v>12</v>
      </c>
    </row>
    <row r="470" spans="1:9">
      <c r="A470" t="s">
        <v>998</v>
      </c>
      <c r="B470" t="s">
        <v>999</v>
      </c>
      <c r="C470" t="str">
        <f t="shared" si="7"/>
        <v>Gregory Curtis</v>
      </c>
      <c r="D470">
        <v>45</v>
      </c>
      <c r="E470" t="s">
        <v>9</v>
      </c>
      <c r="F470" t="s">
        <v>128</v>
      </c>
      <c r="G470" t="s">
        <v>11</v>
      </c>
      <c r="H470" t="str">
        <f>IF(ISBLANK(Table2[[#This Row],[Loyalty_Level]]),"Unknown",I470)</f>
        <v>Bronze</v>
      </c>
      <c r="I470" t="s">
        <v>22</v>
      </c>
    </row>
    <row r="471" spans="1:9">
      <c r="A471" t="s">
        <v>1000</v>
      </c>
      <c r="B471" t="s">
        <v>1001</v>
      </c>
      <c r="C471" t="str">
        <f t="shared" si="7"/>
        <v>James Foster</v>
      </c>
      <c r="D471">
        <v>19</v>
      </c>
      <c r="E471" t="s">
        <v>9</v>
      </c>
      <c r="F471" t="s">
        <v>89</v>
      </c>
      <c r="G471" t="s">
        <v>11</v>
      </c>
      <c r="H471" t="str">
        <f>IF(ISBLANK(Table2[[#This Row],[Loyalty_Level]]),"Unknown",I471)</f>
        <v>Gold</v>
      </c>
      <c r="I471" t="s">
        <v>12</v>
      </c>
    </row>
    <row r="472" spans="1:9">
      <c r="A472" t="s">
        <v>1002</v>
      </c>
      <c r="B472" t="s">
        <v>1003</v>
      </c>
      <c r="C472" t="str">
        <f t="shared" si="7"/>
        <v>Manuel Fisher</v>
      </c>
      <c r="D472">
        <v>21</v>
      </c>
      <c r="E472" t="s">
        <v>15</v>
      </c>
      <c r="F472" t="s">
        <v>38</v>
      </c>
      <c r="G472" t="s">
        <v>11</v>
      </c>
      <c r="H472" t="str">
        <f>IF(ISBLANK(Table2[[#This Row],[Loyalty_Level]]),"Unknown",I472)</f>
        <v>Gold</v>
      </c>
      <c r="I472" t="s">
        <v>12</v>
      </c>
    </row>
    <row r="473" spans="1:9">
      <c r="A473" t="s">
        <v>1004</v>
      </c>
      <c r="B473" t="s">
        <v>1005</v>
      </c>
      <c r="C473" t="str">
        <f t="shared" si="7"/>
        <v>Debra Mccullough</v>
      </c>
      <c r="D473">
        <v>42</v>
      </c>
      <c r="E473" t="s">
        <v>9</v>
      </c>
      <c r="F473" t="s">
        <v>52</v>
      </c>
      <c r="G473" t="s">
        <v>11</v>
      </c>
      <c r="H473" t="str">
        <f>IF(ISBLANK(Table2[[#This Row],[Loyalty_Level]]),"Unknown",I473)</f>
        <v>Platinum</v>
      </c>
      <c r="I473" t="s">
        <v>17</v>
      </c>
    </row>
    <row r="474" spans="1:9">
      <c r="A474" t="s">
        <v>1006</v>
      </c>
      <c r="B474" t="s">
        <v>1007</v>
      </c>
      <c r="C474" t="str">
        <f t="shared" si="7"/>
        <v>Philip Mendoza</v>
      </c>
      <c r="D474">
        <v>42</v>
      </c>
      <c r="E474" t="s">
        <v>9</v>
      </c>
      <c r="F474" t="s">
        <v>504</v>
      </c>
      <c r="G474" t="s">
        <v>11</v>
      </c>
      <c r="H474" t="str">
        <f>IF(ISBLANK(Table2[[#This Row],[Loyalty_Level]]),"Unknown",I474)</f>
        <v>Silver</v>
      </c>
      <c r="I474" t="s">
        <v>26</v>
      </c>
    </row>
    <row r="475" spans="1:9">
      <c r="A475" t="s">
        <v>1008</v>
      </c>
      <c r="B475" t="s">
        <v>1009</v>
      </c>
      <c r="C475" t="str">
        <f t="shared" si="7"/>
        <v>Laura Mathews</v>
      </c>
      <c r="D475">
        <v>53</v>
      </c>
      <c r="E475" t="s">
        <v>9</v>
      </c>
      <c r="F475" t="s">
        <v>236</v>
      </c>
      <c r="G475" t="s">
        <v>11</v>
      </c>
      <c r="H475" t="str">
        <f>IF(ISBLANK(Table2[[#This Row],[Loyalty_Level]]),"Unknown",I475)</f>
        <v>Bronze</v>
      </c>
      <c r="I475" t="s">
        <v>22</v>
      </c>
    </row>
    <row r="476" spans="1:9">
      <c r="A476" t="s">
        <v>1010</v>
      </c>
      <c r="B476" t="s">
        <v>1011</v>
      </c>
      <c r="C476" t="str">
        <f t="shared" si="7"/>
        <v>Joshua Howard</v>
      </c>
      <c r="D476">
        <v>32</v>
      </c>
      <c r="E476" t="s">
        <v>15</v>
      </c>
      <c r="F476" t="s">
        <v>32</v>
      </c>
      <c r="G476" t="s">
        <v>11</v>
      </c>
      <c r="H476" t="str">
        <f>IF(ISBLANK(Table2[[#This Row],[Loyalty_Level]]),"Unknown",I476)</f>
        <v>Platinum</v>
      </c>
      <c r="I476" t="s">
        <v>17</v>
      </c>
    </row>
    <row r="477" spans="1:9">
      <c r="A477" t="s">
        <v>1012</v>
      </c>
      <c r="B477" t="s">
        <v>1013</v>
      </c>
      <c r="C477" t="str">
        <f t="shared" si="7"/>
        <v>Barbara Berry</v>
      </c>
      <c r="D477">
        <v>18</v>
      </c>
      <c r="E477" t="s">
        <v>15</v>
      </c>
      <c r="F477" t="s">
        <v>128</v>
      </c>
      <c r="G477" t="s">
        <v>11</v>
      </c>
      <c r="H477" t="str">
        <f>IF(ISBLANK(Table2[[#This Row],[Loyalty_Level]]),"Unknown",I477)</f>
        <v>Platinum</v>
      </c>
      <c r="I477" t="s">
        <v>17</v>
      </c>
    </row>
    <row r="478" spans="1:9">
      <c r="A478" t="s">
        <v>1014</v>
      </c>
      <c r="B478" t="s">
        <v>1015</v>
      </c>
      <c r="C478" t="str">
        <f t="shared" si="7"/>
        <v>Elizabeth Foster</v>
      </c>
      <c r="D478">
        <v>33</v>
      </c>
      <c r="E478" t="s">
        <v>15</v>
      </c>
      <c r="F478" t="s">
        <v>74</v>
      </c>
      <c r="G478" t="s">
        <v>11</v>
      </c>
      <c r="H478" t="str">
        <f>IF(ISBLANK(Table2[[#This Row],[Loyalty_Level]]),"Unknown",I478)</f>
        <v>Gold</v>
      </c>
      <c r="I478" t="s">
        <v>12</v>
      </c>
    </row>
    <row r="479" spans="1:9">
      <c r="A479" t="s">
        <v>1016</v>
      </c>
      <c r="B479" t="s">
        <v>1017</v>
      </c>
      <c r="C479" t="str">
        <f t="shared" si="7"/>
        <v>Andrea Harris</v>
      </c>
      <c r="D479">
        <v>41</v>
      </c>
      <c r="E479" t="s">
        <v>15</v>
      </c>
      <c r="F479" t="s">
        <v>49</v>
      </c>
      <c r="G479" t="s">
        <v>11</v>
      </c>
      <c r="H479" t="str">
        <f>IF(ISBLANK(Table2[[#This Row],[Loyalty_Level]]),"Unknown",I479)</f>
        <v>Platinum</v>
      </c>
      <c r="I479" t="s">
        <v>17</v>
      </c>
    </row>
    <row r="480" spans="1:9">
      <c r="A480" t="s">
        <v>1018</v>
      </c>
      <c r="B480" t="s">
        <v>1019</v>
      </c>
      <c r="C480" t="str">
        <f t="shared" si="7"/>
        <v>Earl Smith Dds</v>
      </c>
      <c r="D480">
        <v>59</v>
      </c>
      <c r="E480" t="s">
        <v>9</v>
      </c>
      <c r="F480" t="s">
        <v>32</v>
      </c>
      <c r="G480" t="s">
        <v>11</v>
      </c>
      <c r="H480" t="str">
        <f>IF(ISBLANK(Table2[[#This Row],[Loyalty_Level]]),"Unknown",I480)</f>
        <v>Gold</v>
      </c>
      <c r="I480" t="s">
        <v>12</v>
      </c>
    </row>
    <row r="481" spans="1:9">
      <c r="A481" t="s">
        <v>1020</v>
      </c>
      <c r="B481" t="s">
        <v>1021</v>
      </c>
      <c r="C481" t="str">
        <f t="shared" si="7"/>
        <v>Dylan Gutierrez</v>
      </c>
      <c r="D481">
        <v>40</v>
      </c>
      <c r="E481" t="s">
        <v>9</v>
      </c>
      <c r="F481" t="s">
        <v>35</v>
      </c>
      <c r="G481" t="s">
        <v>11</v>
      </c>
      <c r="H481" t="str">
        <f>IF(ISBLANK(Table2[[#This Row],[Loyalty_Level]]),"Unknown",I481)</f>
        <v>Bronze</v>
      </c>
      <c r="I481" t="s">
        <v>22</v>
      </c>
    </row>
    <row r="482" spans="1:9">
      <c r="A482" t="s">
        <v>1022</v>
      </c>
      <c r="B482" t="s">
        <v>1023</v>
      </c>
      <c r="C482" t="str">
        <f t="shared" si="7"/>
        <v>Jordan Medina</v>
      </c>
      <c r="D482">
        <v>33</v>
      </c>
      <c r="E482" t="s">
        <v>9</v>
      </c>
      <c r="F482" t="s">
        <v>184</v>
      </c>
      <c r="G482" t="s">
        <v>11</v>
      </c>
      <c r="H482" t="str">
        <f>IF(ISBLANK(Table2[[#This Row],[Loyalty_Level]]),"Unknown",I482)</f>
        <v>Bronze</v>
      </c>
      <c r="I482" t="s">
        <v>22</v>
      </c>
    </row>
    <row r="483" spans="1:9">
      <c r="A483" t="s">
        <v>1024</v>
      </c>
      <c r="B483" t="s">
        <v>1025</v>
      </c>
      <c r="C483" t="str">
        <f t="shared" si="7"/>
        <v>Bryan Tran</v>
      </c>
      <c r="D483">
        <v>21</v>
      </c>
      <c r="E483" t="s">
        <v>9</v>
      </c>
      <c r="F483" t="s">
        <v>63</v>
      </c>
      <c r="G483" t="s">
        <v>11</v>
      </c>
      <c r="H483" t="str">
        <f>IF(ISBLANK(Table2[[#This Row],[Loyalty_Level]]),"Unknown",I483)</f>
        <v>Gold</v>
      </c>
      <c r="I483" t="s">
        <v>12</v>
      </c>
    </row>
    <row r="484" spans="1:9">
      <c r="A484" t="s">
        <v>1026</v>
      </c>
      <c r="B484" t="s">
        <v>1027</v>
      </c>
      <c r="C484" t="str">
        <f t="shared" si="7"/>
        <v>Sheri Joyce</v>
      </c>
      <c r="D484">
        <v>26</v>
      </c>
      <c r="E484" t="s">
        <v>9</v>
      </c>
      <c r="F484" t="s">
        <v>417</v>
      </c>
      <c r="G484" t="s">
        <v>11</v>
      </c>
      <c r="H484" t="str">
        <f>IF(ISBLANK(Table2[[#This Row],[Loyalty_Level]]),"Unknown",I484)</f>
        <v>Platinum</v>
      </c>
      <c r="I484" t="s">
        <v>17</v>
      </c>
    </row>
    <row r="485" spans="1:9">
      <c r="A485" t="s">
        <v>1028</v>
      </c>
      <c r="B485" t="s">
        <v>882</v>
      </c>
      <c r="C485" t="str">
        <f t="shared" si="7"/>
        <v>Sarah Smith</v>
      </c>
      <c r="D485">
        <v>48</v>
      </c>
      <c r="E485" t="s">
        <v>9</v>
      </c>
      <c r="F485" t="s">
        <v>137</v>
      </c>
      <c r="G485" t="s">
        <v>11</v>
      </c>
      <c r="H485" t="str">
        <f>IF(ISBLANK(Table2[[#This Row],[Loyalty_Level]]),"Unknown",I485)</f>
        <v>Gold</v>
      </c>
      <c r="I485" t="s">
        <v>12</v>
      </c>
    </row>
    <row r="486" spans="1:9">
      <c r="A486" t="s">
        <v>1029</v>
      </c>
      <c r="B486" t="s">
        <v>1030</v>
      </c>
      <c r="C486" t="str">
        <f t="shared" si="7"/>
        <v>Jessica Castro</v>
      </c>
      <c r="D486">
        <v>32</v>
      </c>
      <c r="E486" t="s">
        <v>9</v>
      </c>
      <c r="F486" t="s">
        <v>504</v>
      </c>
      <c r="G486" t="s">
        <v>11</v>
      </c>
      <c r="H486" t="str">
        <f>IF(ISBLANK(Table2[[#This Row],[Loyalty_Level]]),"Unknown",I486)</f>
        <v>Bronze</v>
      </c>
      <c r="I486" t="s">
        <v>22</v>
      </c>
    </row>
    <row r="487" spans="1:9">
      <c r="A487" t="s">
        <v>1031</v>
      </c>
      <c r="B487" t="s">
        <v>1032</v>
      </c>
      <c r="C487" t="str">
        <f t="shared" si="7"/>
        <v>Sara Ingram</v>
      </c>
      <c r="D487">
        <v>46</v>
      </c>
      <c r="E487" t="s">
        <v>15</v>
      </c>
      <c r="F487" t="s">
        <v>210</v>
      </c>
      <c r="G487" t="s">
        <v>11</v>
      </c>
      <c r="H487" t="str">
        <f>IF(ISBLANK(Table2[[#This Row],[Loyalty_Level]]),"Unknown",I487)</f>
        <v>Bronze</v>
      </c>
      <c r="I487" t="s">
        <v>22</v>
      </c>
    </row>
    <row r="488" spans="1:9">
      <c r="A488" t="s">
        <v>3355</v>
      </c>
      <c r="B488" t="s">
        <v>1034</v>
      </c>
      <c r="C488" t="str">
        <f t="shared" si="7"/>
        <v>Eric Lee</v>
      </c>
      <c r="D488">
        <v>22</v>
      </c>
      <c r="E488" t="s">
        <v>15</v>
      </c>
      <c r="F488" t="s">
        <v>128</v>
      </c>
      <c r="G488" t="s">
        <v>11</v>
      </c>
      <c r="H488" t="str">
        <f>IF(ISBLANK(Table2[[#This Row],[Loyalty_Level]]),"Unknown",I488)</f>
        <v>Bronze</v>
      </c>
      <c r="I488" t="s">
        <v>22</v>
      </c>
    </row>
    <row r="489" spans="1:9">
      <c r="A489" t="s">
        <v>1035</v>
      </c>
      <c r="B489" t="s">
        <v>1036</v>
      </c>
      <c r="C489" t="str">
        <f t="shared" si="7"/>
        <v>Amanda Medina</v>
      </c>
      <c r="D489">
        <v>36</v>
      </c>
      <c r="E489" t="s">
        <v>15</v>
      </c>
      <c r="F489" t="s">
        <v>89</v>
      </c>
      <c r="G489" t="s">
        <v>11</v>
      </c>
      <c r="H489" t="str">
        <f>IF(ISBLANK(Table2[[#This Row],[Loyalty_Level]]),"Unknown",I489)</f>
        <v>Platinum</v>
      </c>
      <c r="I489" t="s">
        <v>17</v>
      </c>
    </row>
    <row r="490" spans="1:9">
      <c r="A490" t="s">
        <v>1037</v>
      </c>
      <c r="B490" t="s">
        <v>1038</v>
      </c>
      <c r="C490" t="str">
        <f t="shared" si="7"/>
        <v>Zachary Andrade</v>
      </c>
      <c r="D490">
        <v>23</v>
      </c>
      <c r="E490" t="s">
        <v>15</v>
      </c>
      <c r="F490" t="s">
        <v>25</v>
      </c>
      <c r="G490" t="s">
        <v>11</v>
      </c>
      <c r="H490" t="str">
        <f>IF(ISBLANK(Table2[[#This Row],[Loyalty_Level]]),"Unknown",I490)</f>
        <v>Platinum</v>
      </c>
      <c r="I490" t="s">
        <v>17</v>
      </c>
    </row>
    <row r="491" spans="1:9">
      <c r="A491" t="s">
        <v>1039</v>
      </c>
      <c r="B491" t="s">
        <v>1040</v>
      </c>
      <c r="C491" t="str">
        <f t="shared" si="7"/>
        <v>Melinda Thomas</v>
      </c>
      <c r="D491">
        <v>42</v>
      </c>
      <c r="E491" t="s">
        <v>15</v>
      </c>
      <c r="F491" t="s">
        <v>187</v>
      </c>
      <c r="G491" t="s">
        <v>11</v>
      </c>
      <c r="H491" t="str">
        <f>IF(ISBLANK(Table2[[#This Row],[Loyalty_Level]]),"Unknown",I491)</f>
        <v>Silver</v>
      </c>
      <c r="I491" t="s">
        <v>26</v>
      </c>
    </row>
    <row r="492" spans="1:9">
      <c r="A492" t="s">
        <v>1041</v>
      </c>
      <c r="B492" t="s">
        <v>1042</v>
      </c>
      <c r="C492" t="str">
        <f t="shared" si="7"/>
        <v>Scott Harris</v>
      </c>
      <c r="D492">
        <v>23</v>
      </c>
      <c r="E492" t="s">
        <v>9</v>
      </c>
      <c r="F492" t="s">
        <v>106</v>
      </c>
      <c r="G492" t="s">
        <v>11</v>
      </c>
      <c r="H492" t="str">
        <f>IF(ISBLANK(Table2[[#This Row],[Loyalty_Level]]),"Unknown",I492)</f>
        <v>Platinum</v>
      </c>
      <c r="I492" t="s">
        <v>17</v>
      </c>
    </row>
    <row r="493" spans="1:9">
      <c r="A493" t="s">
        <v>3354</v>
      </c>
      <c r="B493" t="s">
        <v>1044</v>
      </c>
      <c r="C493" t="str">
        <f t="shared" si="7"/>
        <v>Kaitlin Brown</v>
      </c>
      <c r="D493">
        <v>52</v>
      </c>
      <c r="E493" t="s">
        <v>15</v>
      </c>
      <c r="F493" t="s">
        <v>32</v>
      </c>
      <c r="G493" t="s">
        <v>11</v>
      </c>
      <c r="H493" t="str">
        <f>IF(ISBLANK(Table2[[#This Row],[Loyalty_Level]]),"Unknown",I493)</f>
        <v>Gold</v>
      </c>
      <c r="I493" t="s">
        <v>12</v>
      </c>
    </row>
    <row r="494" spans="1:9">
      <c r="A494" t="s">
        <v>1045</v>
      </c>
      <c r="B494" t="s">
        <v>1046</v>
      </c>
      <c r="C494" t="str">
        <f t="shared" si="7"/>
        <v>Darrell Miller</v>
      </c>
      <c r="D494">
        <v>59</v>
      </c>
      <c r="E494" t="s">
        <v>15</v>
      </c>
      <c r="F494" t="s">
        <v>184</v>
      </c>
      <c r="G494" t="s">
        <v>11</v>
      </c>
      <c r="H494" t="str">
        <f>IF(ISBLANK(Table2[[#This Row],[Loyalty_Level]]),"Unknown",I494)</f>
        <v>Platinum</v>
      </c>
      <c r="I494" t="s">
        <v>17</v>
      </c>
    </row>
    <row r="495" spans="1:9">
      <c r="A495" t="s">
        <v>1047</v>
      </c>
      <c r="B495" t="s">
        <v>1048</v>
      </c>
      <c r="C495" t="str">
        <f t="shared" si="7"/>
        <v>Amanda Powell</v>
      </c>
      <c r="D495">
        <v>28</v>
      </c>
      <c r="E495" t="s">
        <v>9</v>
      </c>
      <c r="F495" t="s">
        <v>19</v>
      </c>
      <c r="G495" t="s">
        <v>11</v>
      </c>
      <c r="H495" t="str">
        <f>IF(ISBLANK(Table2[[#This Row],[Loyalty_Level]]),"Unknown",I495)</f>
        <v>Silver</v>
      </c>
      <c r="I495" t="s">
        <v>26</v>
      </c>
    </row>
    <row r="496" spans="1:9">
      <c r="A496" t="s">
        <v>1049</v>
      </c>
      <c r="B496" t="s">
        <v>1050</v>
      </c>
      <c r="C496" t="str">
        <f t="shared" si="7"/>
        <v>Justin Lopez</v>
      </c>
      <c r="D496">
        <v>21</v>
      </c>
      <c r="E496" t="s">
        <v>9</v>
      </c>
      <c r="F496" t="s">
        <v>260</v>
      </c>
      <c r="G496" t="s">
        <v>11</v>
      </c>
      <c r="H496" t="str">
        <f>IF(ISBLANK(Table2[[#This Row],[Loyalty_Level]]),"Unknown",I496)</f>
        <v>Gold</v>
      </c>
      <c r="I496" t="s">
        <v>12</v>
      </c>
    </row>
    <row r="497" spans="1:9">
      <c r="A497" t="s">
        <v>1051</v>
      </c>
      <c r="B497" t="s">
        <v>1052</v>
      </c>
      <c r="C497" t="str">
        <f t="shared" si="7"/>
        <v>James Berger</v>
      </c>
      <c r="D497">
        <v>23</v>
      </c>
      <c r="E497" t="s">
        <v>15</v>
      </c>
      <c r="F497" t="s">
        <v>71</v>
      </c>
      <c r="G497" t="s">
        <v>11</v>
      </c>
      <c r="H497" t="str">
        <f>IF(ISBLANK(Table2[[#This Row],[Loyalty_Level]]),"Unknown",I497)</f>
        <v>Bronze</v>
      </c>
      <c r="I497" t="s">
        <v>22</v>
      </c>
    </row>
    <row r="498" spans="1:9">
      <c r="A498" t="s">
        <v>1053</v>
      </c>
      <c r="B498" t="s">
        <v>1054</v>
      </c>
      <c r="C498" t="str">
        <f t="shared" si="7"/>
        <v>Christopher Ford</v>
      </c>
      <c r="D498">
        <v>56</v>
      </c>
      <c r="E498" t="s">
        <v>9</v>
      </c>
      <c r="F498" t="s">
        <v>21</v>
      </c>
      <c r="G498" t="s">
        <v>11</v>
      </c>
      <c r="H498" t="str">
        <f>IF(ISBLANK(Table2[[#This Row],[Loyalty_Level]]),"Unknown",I498)</f>
        <v>Bronze</v>
      </c>
      <c r="I498" t="s">
        <v>22</v>
      </c>
    </row>
    <row r="499" spans="1:9">
      <c r="A499" t="s">
        <v>1055</v>
      </c>
      <c r="B499" t="s">
        <v>1056</v>
      </c>
      <c r="C499" t="str">
        <f t="shared" si="7"/>
        <v>Sarah Marsh</v>
      </c>
      <c r="D499">
        <v>47</v>
      </c>
      <c r="E499" t="s">
        <v>15</v>
      </c>
      <c r="F499" t="s">
        <v>46</v>
      </c>
      <c r="G499" t="s">
        <v>11</v>
      </c>
      <c r="H499" t="str">
        <f>IF(ISBLANK(Table2[[#This Row],[Loyalty_Level]]),"Unknown",I499)</f>
        <v>Gold</v>
      </c>
      <c r="I499" t="s">
        <v>12</v>
      </c>
    </row>
    <row r="500" spans="1:9">
      <c r="A500" t="s">
        <v>1057</v>
      </c>
      <c r="B500" t="s">
        <v>1058</v>
      </c>
      <c r="C500" t="str">
        <f t="shared" si="7"/>
        <v>Traci Gonzalez</v>
      </c>
      <c r="D500">
        <v>35</v>
      </c>
      <c r="E500" t="s">
        <v>9</v>
      </c>
      <c r="F500" t="s">
        <v>172</v>
      </c>
      <c r="G500" t="s">
        <v>11</v>
      </c>
      <c r="H500" t="str">
        <f>IF(ISBLANK(Table2[[#This Row],[Loyalty_Level]]),"Unknown",I500)</f>
        <v>Silver</v>
      </c>
      <c r="I500" t="s">
        <v>26</v>
      </c>
    </row>
    <row r="501" spans="1:9">
      <c r="A501" t="s">
        <v>3353</v>
      </c>
      <c r="B501" t="s">
        <v>1060</v>
      </c>
      <c r="C501" t="str">
        <f t="shared" si="7"/>
        <v>Philip Pennington</v>
      </c>
      <c r="D501">
        <v>27</v>
      </c>
      <c r="E501" t="s">
        <v>15</v>
      </c>
      <c r="F501" t="s">
        <v>29</v>
      </c>
      <c r="G501" t="s">
        <v>11</v>
      </c>
      <c r="H501" t="str">
        <f>IF(ISBLANK(Table2[[#This Row],[Loyalty_Level]]),"Unknown",I501)</f>
        <v>Platinum</v>
      </c>
      <c r="I501" t="s">
        <v>17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8B20-5074-4B43-AA4B-8C00DC9E048F}">
  <dimension ref="A1:G501"/>
  <sheetViews>
    <sheetView workbookViewId="0">
      <selection activeCell="M16" sqref="M16"/>
    </sheetView>
  </sheetViews>
  <sheetFormatPr defaultRowHeight="14.5"/>
  <cols>
    <col min="1" max="1" width="10" customWidth="1"/>
    <col min="2" max="2" width="17.6328125" customWidth="1"/>
    <col min="3" max="3" width="6" customWidth="1"/>
    <col min="5" max="5" width="8.7265625" customWidth="1"/>
    <col min="7" max="7" width="13" customWidth="1"/>
  </cols>
  <sheetData>
    <row r="1" spans="1:7">
      <c r="A1" t="s">
        <v>0</v>
      </c>
      <c r="B1" t="s">
        <v>1</v>
      </c>
      <c r="C1" t="s">
        <v>2</v>
      </c>
      <c r="D1" t="s">
        <v>3</v>
      </c>
      <c r="E1" t="s">
        <v>5</v>
      </c>
      <c r="F1" t="s">
        <v>6</v>
      </c>
      <c r="G1" t="s">
        <v>7</v>
      </c>
    </row>
    <row r="2" spans="1:7">
      <c r="A2" t="s">
        <v>8</v>
      </c>
      <c r="B2" t="s">
        <v>3493</v>
      </c>
      <c r="C2">
        <v>55</v>
      </c>
      <c r="D2" t="s">
        <v>9</v>
      </c>
      <c r="E2" t="s">
        <v>10</v>
      </c>
      <c r="F2" t="s">
        <v>11</v>
      </c>
      <c r="G2" t="s">
        <v>3491</v>
      </c>
    </row>
    <row r="3" spans="1:7">
      <c r="A3" t="s">
        <v>13</v>
      </c>
      <c r="B3" t="s">
        <v>14</v>
      </c>
      <c r="C3">
        <v>26</v>
      </c>
      <c r="D3" t="s">
        <v>15</v>
      </c>
      <c r="E3" t="s">
        <v>16</v>
      </c>
      <c r="F3" t="s">
        <v>11</v>
      </c>
      <c r="G3" t="s">
        <v>17</v>
      </c>
    </row>
    <row r="4" spans="1:7">
      <c r="A4" t="s">
        <v>18</v>
      </c>
      <c r="B4" t="s">
        <v>3494</v>
      </c>
      <c r="C4">
        <v>29</v>
      </c>
      <c r="D4" t="s">
        <v>15</v>
      </c>
      <c r="E4" t="s">
        <v>19</v>
      </c>
      <c r="F4" t="s">
        <v>11</v>
      </c>
      <c r="G4" t="s">
        <v>17</v>
      </c>
    </row>
    <row r="5" spans="1:7">
      <c r="A5" t="s">
        <v>20</v>
      </c>
      <c r="B5" t="s">
        <v>3495</v>
      </c>
      <c r="C5">
        <v>59</v>
      </c>
      <c r="D5" t="s">
        <v>15</v>
      </c>
      <c r="E5" t="s">
        <v>21</v>
      </c>
      <c r="F5" t="s">
        <v>11</v>
      </c>
      <c r="G5" t="s">
        <v>22</v>
      </c>
    </row>
    <row r="6" spans="1:7">
      <c r="A6" t="s">
        <v>23</v>
      </c>
      <c r="B6" t="s">
        <v>24</v>
      </c>
      <c r="C6">
        <v>64</v>
      </c>
      <c r="D6" t="s">
        <v>15</v>
      </c>
      <c r="E6" t="s">
        <v>25</v>
      </c>
      <c r="F6" t="s">
        <v>11</v>
      </c>
      <c r="G6" t="s">
        <v>26</v>
      </c>
    </row>
    <row r="7" spans="1:7">
      <c r="A7" t="s">
        <v>27</v>
      </c>
      <c r="B7" t="s">
        <v>28</v>
      </c>
      <c r="C7">
        <v>24</v>
      </c>
      <c r="D7" t="s">
        <v>9</v>
      </c>
      <c r="E7" t="s">
        <v>29</v>
      </c>
      <c r="F7" t="s">
        <v>11</v>
      </c>
      <c r="G7" t="s">
        <v>22</v>
      </c>
    </row>
    <row r="8" spans="1:7">
      <c r="A8" t="s">
        <v>30</v>
      </c>
      <c r="B8" t="s">
        <v>31</v>
      </c>
      <c r="C8">
        <v>29</v>
      </c>
      <c r="D8" t="s">
        <v>15</v>
      </c>
      <c r="E8" t="s">
        <v>32</v>
      </c>
      <c r="F8" t="s">
        <v>11</v>
      </c>
      <c r="G8" t="s">
        <v>17</v>
      </c>
    </row>
    <row r="9" spans="1:7">
      <c r="A9" t="s">
        <v>33</v>
      </c>
      <c r="B9" t="s">
        <v>34</v>
      </c>
      <c r="C9">
        <v>29</v>
      </c>
      <c r="D9" t="s">
        <v>15</v>
      </c>
      <c r="E9" t="s">
        <v>35</v>
      </c>
      <c r="F9" t="s">
        <v>11</v>
      </c>
      <c r="G9" t="s">
        <v>22</v>
      </c>
    </row>
    <row r="10" spans="1:7">
      <c r="A10" t="s">
        <v>36</v>
      </c>
      <c r="B10" t="s">
        <v>37</v>
      </c>
      <c r="C10">
        <v>53</v>
      </c>
      <c r="D10" t="s">
        <v>15</v>
      </c>
      <c r="E10" t="s">
        <v>38</v>
      </c>
      <c r="F10" t="s">
        <v>11</v>
      </c>
      <c r="G10" t="s">
        <v>12</v>
      </c>
    </row>
    <row r="11" spans="1:7">
      <c r="A11" t="s">
        <v>39</v>
      </c>
      <c r="B11" t="s">
        <v>40</v>
      </c>
      <c r="C11">
        <v>64</v>
      </c>
      <c r="D11" t="s">
        <v>9</v>
      </c>
      <c r="E11" t="s">
        <v>41</v>
      </c>
      <c r="F11" t="s">
        <v>11</v>
      </c>
      <c r="G11" t="s">
        <v>17</v>
      </c>
    </row>
    <row r="12" spans="1:7">
      <c r="A12" t="s">
        <v>42</v>
      </c>
      <c r="B12" t="s">
        <v>43</v>
      </c>
      <c r="C12">
        <v>53</v>
      </c>
      <c r="D12" t="s">
        <v>9</v>
      </c>
      <c r="E12" t="s">
        <v>41</v>
      </c>
      <c r="F12" t="s">
        <v>11</v>
      </c>
      <c r="G12" t="s">
        <v>22</v>
      </c>
    </row>
    <row r="13" spans="1:7">
      <c r="A13" t="s">
        <v>44</v>
      </c>
      <c r="B13" t="s">
        <v>45</v>
      </c>
      <c r="C13">
        <v>28</v>
      </c>
      <c r="D13" t="s">
        <v>15</v>
      </c>
      <c r="E13" t="s">
        <v>46</v>
      </c>
      <c r="F13" t="s">
        <v>11</v>
      </c>
      <c r="G13" t="s">
        <v>12</v>
      </c>
    </row>
    <row r="14" spans="1:7">
      <c r="A14" t="s">
        <v>47</v>
      </c>
      <c r="B14" t="s">
        <v>48</v>
      </c>
      <c r="C14">
        <v>55</v>
      </c>
      <c r="D14" t="s">
        <v>15</v>
      </c>
      <c r="E14" t="s">
        <v>49</v>
      </c>
      <c r="F14" t="s">
        <v>11</v>
      </c>
      <c r="G14" t="s">
        <v>17</v>
      </c>
    </row>
    <row r="15" spans="1:7">
      <c r="A15" t="s">
        <v>50</v>
      </c>
      <c r="B15" t="s">
        <v>51</v>
      </c>
      <c r="C15">
        <v>32</v>
      </c>
      <c r="D15" t="s">
        <v>15</v>
      </c>
      <c r="E15" t="s">
        <v>52</v>
      </c>
      <c r="F15" t="s">
        <v>11</v>
      </c>
      <c r="G15" t="s">
        <v>26</v>
      </c>
    </row>
    <row r="16" spans="1:7">
      <c r="A16" t="s">
        <v>53</v>
      </c>
      <c r="B16" t="s">
        <v>54</v>
      </c>
      <c r="C16">
        <v>53</v>
      </c>
      <c r="D16" t="s">
        <v>15</v>
      </c>
      <c r="E16" t="s">
        <v>55</v>
      </c>
      <c r="F16" t="s">
        <v>11</v>
      </c>
      <c r="G16" t="s">
        <v>26</v>
      </c>
    </row>
    <row r="17" spans="1:7">
      <c r="A17" t="s">
        <v>56</v>
      </c>
      <c r="B17" t="s">
        <v>57</v>
      </c>
      <c r="C17">
        <v>49</v>
      </c>
      <c r="D17" t="s">
        <v>15</v>
      </c>
      <c r="E17" t="s">
        <v>58</v>
      </c>
      <c r="F17" t="s">
        <v>11</v>
      </c>
      <c r="G17" t="s">
        <v>17</v>
      </c>
    </row>
    <row r="18" spans="1:7">
      <c r="A18" t="s">
        <v>59</v>
      </c>
      <c r="B18" t="s">
        <v>60</v>
      </c>
      <c r="C18">
        <v>24</v>
      </c>
      <c r="D18" t="s">
        <v>15</v>
      </c>
      <c r="E18" t="s">
        <v>41</v>
      </c>
      <c r="F18" t="s">
        <v>11</v>
      </c>
      <c r="G18" t="s">
        <v>22</v>
      </c>
    </row>
    <row r="19" spans="1:7">
      <c r="A19" t="s">
        <v>61</v>
      </c>
      <c r="B19" t="s">
        <v>62</v>
      </c>
      <c r="C19">
        <v>60</v>
      </c>
      <c r="D19" t="s">
        <v>15</v>
      </c>
      <c r="E19" t="s">
        <v>63</v>
      </c>
      <c r="F19" t="s">
        <v>11</v>
      </c>
      <c r="G19" t="s">
        <v>17</v>
      </c>
    </row>
    <row r="20" spans="1:7">
      <c r="A20" t="s">
        <v>64</v>
      </c>
      <c r="B20" t="s">
        <v>65</v>
      </c>
      <c r="C20">
        <v>43</v>
      </c>
      <c r="D20" t="s">
        <v>9</v>
      </c>
      <c r="E20" t="s">
        <v>49</v>
      </c>
      <c r="F20" t="s">
        <v>11</v>
      </c>
      <c r="G20" t="s">
        <v>3491</v>
      </c>
    </row>
    <row r="21" spans="1:7">
      <c r="A21" t="s">
        <v>66</v>
      </c>
      <c r="B21" t="s">
        <v>67</v>
      </c>
      <c r="C21">
        <v>46</v>
      </c>
      <c r="D21" t="s">
        <v>15</v>
      </c>
      <c r="E21" t="s">
        <v>68</v>
      </c>
      <c r="F21" t="s">
        <v>11</v>
      </c>
      <c r="G21" t="s">
        <v>17</v>
      </c>
    </row>
    <row r="22" spans="1:7">
      <c r="A22" t="s">
        <v>69</v>
      </c>
      <c r="B22" t="s">
        <v>70</v>
      </c>
      <c r="C22">
        <v>59</v>
      </c>
      <c r="D22" t="s">
        <v>9</v>
      </c>
      <c r="E22" t="s">
        <v>71</v>
      </c>
      <c r="F22" t="s">
        <v>11</v>
      </c>
      <c r="G22" t="s">
        <v>26</v>
      </c>
    </row>
    <row r="23" spans="1:7">
      <c r="A23" t="s">
        <v>72</v>
      </c>
      <c r="B23" t="s">
        <v>73</v>
      </c>
      <c r="C23">
        <v>36</v>
      </c>
      <c r="D23" t="s">
        <v>15</v>
      </c>
      <c r="E23" t="s">
        <v>74</v>
      </c>
      <c r="F23" t="s">
        <v>11</v>
      </c>
      <c r="G23" t="s">
        <v>12</v>
      </c>
    </row>
    <row r="24" spans="1:7">
      <c r="A24" t="s">
        <v>75</v>
      </c>
      <c r="B24" t="s">
        <v>3496</v>
      </c>
      <c r="C24">
        <v>33</v>
      </c>
      <c r="D24" t="s">
        <v>15</v>
      </c>
      <c r="E24" t="s">
        <v>76</v>
      </c>
      <c r="F24" t="s">
        <v>11</v>
      </c>
      <c r="G24" t="s">
        <v>26</v>
      </c>
    </row>
    <row r="25" spans="1:7">
      <c r="A25" t="s">
        <v>77</v>
      </c>
      <c r="B25" t="s">
        <v>78</v>
      </c>
      <c r="C25">
        <v>52</v>
      </c>
      <c r="D25" t="s">
        <v>15</v>
      </c>
      <c r="E25" t="s">
        <v>29</v>
      </c>
      <c r="F25" t="s">
        <v>11</v>
      </c>
      <c r="G25" t="s">
        <v>26</v>
      </c>
    </row>
    <row r="26" spans="1:7">
      <c r="A26" t="s">
        <v>79</v>
      </c>
      <c r="B26" t="s">
        <v>80</v>
      </c>
      <c r="C26">
        <v>40</v>
      </c>
      <c r="D26" t="s">
        <v>9</v>
      </c>
      <c r="E26" t="s">
        <v>81</v>
      </c>
      <c r="F26" t="s">
        <v>11</v>
      </c>
      <c r="G26" t="s">
        <v>17</v>
      </c>
    </row>
    <row r="27" spans="1:7">
      <c r="A27" t="s">
        <v>82</v>
      </c>
      <c r="B27" t="s">
        <v>83</v>
      </c>
      <c r="C27">
        <v>59</v>
      </c>
      <c r="D27" t="s">
        <v>15</v>
      </c>
      <c r="E27" t="s">
        <v>25</v>
      </c>
      <c r="F27" t="s">
        <v>11</v>
      </c>
      <c r="G27" t="s">
        <v>22</v>
      </c>
    </row>
    <row r="28" spans="1:7">
      <c r="A28" t="s">
        <v>84</v>
      </c>
      <c r="B28" t="s">
        <v>85</v>
      </c>
      <c r="C28">
        <v>18</v>
      </c>
      <c r="D28" t="s">
        <v>15</v>
      </c>
      <c r="E28" t="s">
        <v>86</v>
      </c>
      <c r="F28" t="s">
        <v>11</v>
      </c>
      <c r="G28" t="s">
        <v>12</v>
      </c>
    </row>
    <row r="29" spans="1:7">
      <c r="A29" t="s">
        <v>87</v>
      </c>
      <c r="B29" t="s">
        <v>88</v>
      </c>
      <c r="C29">
        <v>31</v>
      </c>
      <c r="D29" t="s">
        <v>9</v>
      </c>
      <c r="E29" t="s">
        <v>89</v>
      </c>
      <c r="F29" t="s">
        <v>11</v>
      </c>
      <c r="G29" t="s">
        <v>3491</v>
      </c>
    </row>
    <row r="30" spans="1:7">
      <c r="A30" t="s">
        <v>90</v>
      </c>
      <c r="B30" t="s">
        <v>91</v>
      </c>
      <c r="C30">
        <v>27</v>
      </c>
      <c r="D30" t="s">
        <v>15</v>
      </c>
      <c r="E30" t="s">
        <v>68</v>
      </c>
      <c r="F30" t="s">
        <v>11</v>
      </c>
      <c r="G30" t="s">
        <v>17</v>
      </c>
    </row>
    <row r="31" spans="1:7">
      <c r="A31" t="s">
        <v>92</v>
      </c>
      <c r="B31" t="s">
        <v>93</v>
      </c>
      <c r="C31">
        <v>54</v>
      </c>
      <c r="D31" t="s">
        <v>15</v>
      </c>
      <c r="E31" t="s">
        <v>25</v>
      </c>
      <c r="F31" t="s">
        <v>11</v>
      </c>
      <c r="G31" t="s">
        <v>26</v>
      </c>
    </row>
    <row r="32" spans="1:7">
      <c r="A32" t="s">
        <v>94</v>
      </c>
      <c r="B32" t="s">
        <v>95</v>
      </c>
      <c r="C32">
        <v>64</v>
      </c>
      <c r="D32" t="s">
        <v>15</v>
      </c>
      <c r="E32" t="s">
        <v>41</v>
      </c>
      <c r="F32" t="s">
        <v>11</v>
      </c>
      <c r="G32" t="s">
        <v>22</v>
      </c>
    </row>
    <row r="33" spans="1:7">
      <c r="A33" t="s">
        <v>96</v>
      </c>
      <c r="B33" t="s">
        <v>97</v>
      </c>
      <c r="C33">
        <v>41</v>
      </c>
      <c r="D33" t="s">
        <v>9</v>
      </c>
      <c r="E33" t="s">
        <v>29</v>
      </c>
      <c r="F33" t="s">
        <v>11</v>
      </c>
      <c r="G33" t="s">
        <v>26</v>
      </c>
    </row>
    <row r="34" spans="1:7">
      <c r="A34" t="s">
        <v>99</v>
      </c>
      <c r="B34" t="s">
        <v>100</v>
      </c>
      <c r="C34">
        <v>48</v>
      </c>
      <c r="D34" t="s">
        <v>15</v>
      </c>
      <c r="E34" t="s">
        <v>101</v>
      </c>
      <c r="F34" t="s">
        <v>11</v>
      </c>
      <c r="G34" t="s">
        <v>12</v>
      </c>
    </row>
    <row r="35" spans="1:7">
      <c r="A35" t="s">
        <v>102</v>
      </c>
      <c r="B35" t="s">
        <v>3497</v>
      </c>
      <c r="C35">
        <v>25</v>
      </c>
      <c r="D35" t="s">
        <v>9</v>
      </c>
      <c r="E35" t="s">
        <v>74</v>
      </c>
      <c r="F35" t="s">
        <v>11</v>
      </c>
      <c r="G35" t="s">
        <v>17</v>
      </c>
    </row>
    <row r="36" spans="1:7">
      <c r="A36" t="s">
        <v>104</v>
      </c>
      <c r="B36" t="s">
        <v>105</v>
      </c>
      <c r="C36">
        <v>27</v>
      </c>
      <c r="D36" t="s">
        <v>15</v>
      </c>
      <c r="E36" t="s">
        <v>106</v>
      </c>
      <c r="F36" t="s">
        <v>11</v>
      </c>
      <c r="G36" t="s">
        <v>17</v>
      </c>
    </row>
    <row r="37" spans="1:7">
      <c r="A37" t="s">
        <v>107</v>
      </c>
      <c r="B37" t="s">
        <v>108</v>
      </c>
      <c r="C37">
        <v>52</v>
      </c>
      <c r="D37" t="s">
        <v>9</v>
      </c>
      <c r="E37" t="s">
        <v>16</v>
      </c>
      <c r="F37" t="s">
        <v>11</v>
      </c>
      <c r="G37" t="s">
        <v>26</v>
      </c>
    </row>
    <row r="38" spans="1:7">
      <c r="A38" t="s">
        <v>109</v>
      </c>
      <c r="B38" t="s">
        <v>110</v>
      </c>
      <c r="C38">
        <v>20</v>
      </c>
      <c r="D38" t="s">
        <v>15</v>
      </c>
      <c r="E38" t="s">
        <v>63</v>
      </c>
      <c r="F38" t="s">
        <v>11</v>
      </c>
      <c r="G38" t="s">
        <v>12</v>
      </c>
    </row>
    <row r="39" spans="1:7">
      <c r="A39" t="s">
        <v>111</v>
      </c>
      <c r="B39" t="s">
        <v>112</v>
      </c>
      <c r="C39">
        <v>27</v>
      </c>
      <c r="D39" t="s">
        <v>15</v>
      </c>
      <c r="E39" t="s">
        <v>32</v>
      </c>
      <c r="F39" t="s">
        <v>11</v>
      </c>
      <c r="G39" t="s">
        <v>3491</v>
      </c>
    </row>
    <row r="40" spans="1:7">
      <c r="A40" t="s">
        <v>113</v>
      </c>
      <c r="B40" t="s">
        <v>114</v>
      </c>
      <c r="C40">
        <v>35</v>
      </c>
      <c r="D40" t="s">
        <v>15</v>
      </c>
      <c r="E40" t="s">
        <v>16</v>
      </c>
      <c r="F40" t="s">
        <v>11</v>
      </c>
      <c r="G40" t="s">
        <v>22</v>
      </c>
    </row>
    <row r="41" spans="1:7">
      <c r="A41" t="s">
        <v>115</v>
      </c>
      <c r="B41" t="s">
        <v>116</v>
      </c>
      <c r="C41">
        <v>55</v>
      </c>
      <c r="D41" t="s">
        <v>15</v>
      </c>
      <c r="E41" t="s">
        <v>117</v>
      </c>
      <c r="F41" t="s">
        <v>11</v>
      </c>
      <c r="G41" t="s">
        <v>12</v>
      </c>
    </row>
    <row r="42" spans="1:7">
      <c r="A42" t="s">
        <v>118</v>
      </c>
      <c r="B42" t="s">
        <v>119</v>
      </c>
      <c r="C42">
        <v>50</v>
      </c>
      <c r="D42" t="s">
        <v>9</v>
      </c>
      <c r="E42" t="s">
        <v>49</v>
      </c>
      <c r="F42" t="s">
        <v>11</v>
      </c>
      <c r="G42" t="s">
        <v>12</v>
      </c>
    </row>
    <row r="43" spans="1:7">
      <c r="A43" t="s">
        <v>120</v>
      </c>
      <c r="B43" t="s">
        <v>121</v>
      </c>
      <c r="C43">
        <v>21</v>
      </c>
      <c r="D43" t="s">
        <v>9</v>
      </c>
      <c r="E43" t="s">
        <v>122</v>
      </c>
      <c r="F43" t="s">
        <v>11</v>
      </c>
      <c r="G43" t="s">
        <v>17</v>
      </c>
    </row>
    <row r="44" spans="1:7">
      <c r="A44" t="s">
        <v>123</v>
      </c>
      <c r="B44" t="s">
        <v>124</v>
      </c>
      <c r="C44">
        <v>19</v>
      </c>
      <c r="D44" t="s">
        <v>9</v>
      </c>
      <c r="E44" t="s">
        <v>125</v>
      </c>
      <c r="F44" t="s">
        <v>11</v>
      </c>
      <c r="G44" t="s">
        <v>17</v>
      </c>
    </row>
    <row r="45" spans="1:7">
      <c r="A45" t="s">
        <v>126</v>
      </c>
      <c r="B45" t="s">
        <v>127</v>
      </c>
      <c r="C45">
        <v>45</v>
      </c>
      <c r="D45" t="s">
        <v>9</v>
      </c>
      <c r="E45" t="s">
        <v>128</v>
      </c>
      <c r="F45" t="s">
        <v>11</v>
      </c>
      <c r="G45" t="s">
        <v>12</v>
      </c>
    </row>
    <row r="46" spans="1:7">
      <c r="A46" t="s">
        <v>129</v>
      </c>
      <c r="B46" t="s">
        <v>130</v>
      </c>
      <c r="C46">
        <v>34</v>
      </c>
      <c r="D46" t="s">
        <v>9</v>
      </c>
      <c r="E46" t="s">
        <v>76</v>
      </c>
      <c r="F46" t="s">
        <v>11</v>
      </c>
      <c r="G46" t="s">
        <v>22</v>
      </c>
    </row>
    <row r="47" spans="1:7">
      <c r="A47" t="s">
        <v>131</v>
      </c>
      <c r="B47" t="s">
        <v>3498</v>
      </c>
      <c r="C47">
        <v>54</v>
      </c>
      <c r="D47" t="s">
        <v>9</v>
      </c>
      <c r="E47" t="s">
        <v>101</v>
      </c>
      <c r="F47" t="s">
        <v>11</v>
      </c>
      <c r="G47" t="s">
        <v>12</v>
      </c>
    </row>
    <row r="48" spans="1:7">
      <c r="A48" t="s">
        <v>133</v>
      </c>
      <c r="B48" t="s">
        <v>3499</v>
      </c>
      <c r="C48">
        <v>55</v>
      </c>
      <c r="D48" t="s">
        <v>15</v>
      </c>
      <c r="E48" t="s">
        <v>21</v>
      </c>
      <c r="F48" t="s">
        <v>11</v>
      </c>
      <c r="G48" t="s">
        <v>17</v>
      </c>
    </row>
    <row r="49" spans="1:7">
      <c r="A49" t="s">
        <v>135</v>
      </c>
      <c r="B49" t="s">
        <v>136</v>
      </c>
      <c r="C49">
        <v>54</v>
      </c>
      <c r="D49" t="s">
        <v>15</v>
      </c>
      <c r="E49" t="s">
        <v>137</v>
      </c>
      <c r="F49" t="s">
        <v>11</v>
      </c>
      <c r="G49" t="s">
        <v>26</v>
      </c>
    </row>
    <row r="50" spans="1:7">
      <c r="A50" t="s">
        <v>138</v>
      </c>
      <c r="B50" t="s">
        <v>139</v>
      </c>
      <c r="C50">
        <v>54</v>
      </c>
      <c r="D50" t="s">
        <v>9</v>
      </c>
      <c r="E50" t="s">
        <v>10</v>
      </c>
      <c r="F50" t="s">
        <v>11</v>
      </c>
      <c r="G50" t="s">
        <v>17</v>
      </c>
    </row>
    <row r="51" spans="1:7">
      <c r="A51" t="s">
        <v>140</v>
      </c>
      <c r="B51" t="s">
        <v>141</v>
      </c>
      <c r="C51">
        <v>45</v>
      </c>
      <c r="D51" t="s">
        <v>15</v>
      </c>
      <c r="E51" t="s">
        <v>21</v>
      </c>
      <c r="F51" t="s">
        <v>11</v>
      </c>
      <c r="G51" t="s">
        <v>12</v>
      </c>
    </row>
    <row r="52" spans="1:7">
      <c r="A52" t="s">
        <v>142</v>
      </c>
      <c r="B52" t="s">
        <v>143</v>
      </c>
      <c r="C52">
        <v>61</v>
      </c>
      <c r="D52" t="s">
        <v>15</v>
      </c>
      <c r="E52" t="s">
        <v>144</v>
      </c>
      <c r="F52" t="s">
        <v>11</v>
      </c>
      <c r="G52" t="s">
        <v>12</v>
      </c>
    </row>
    <row r="53" spans="1:7">
      <c r="A53" t="s">
        <v>145</v>
      </c>
      <c r="B53" t="s">
        <v>146</v>
      </c>
      <c r="C53">
        <v>23</v>
      </c>
      <c r="D53" t="s">
        <v>15</v>
      </c>
      <c r="E53" t="s">
        <v>35</v>
      </c>
      <c r="F53" t="s">
        <v>11</v>
      </c>
      <c r="G53" t="s">
        <v>12</v>
      </c>
    </row>
    <row r="54" spans="1:7">
      <c r="A54" t="s">
        <v>147</v>
      </c>
      <c r="B54" t="s">
        <v>148</v>
      </c>
      <c r="C54">
        <v>55</v>
      </c>
      <c r="D54" t="s">
        <v>9</v>
      </c>
      <c r="E54" t="s">
        <v>149</v>
      </c>
      <c r="F54" t="s">
        <v>11</v>
      </c>
      <c r="G54" t="s">
        <v>22</v>
      </c>
    </row>
    <row r="55" spans="1:7">
      <c r="A55" t="s">
        <v>150</v>
      </c>
      <c r="B55" t="s">
        <v>151</v>
      </c>
      <c r="C55">
        <v>37</v>
      </c>
      <c r="D55" t="s">
        <v>15</v>
      </c>
      <c r="E55" t="s">
        <v>117</v>
      </c>
      <c r="F55" t="s">
        <v>11</v>
      </c>
      <c r="G55" t="s">
        <v>12</v>
      </c>
    </row>
    <row r="56" spans="1:7">
      <c r="A56" t="s">
        <v>152</v>
      </c>
      <c r="B56" t="s">
        <v>153</v>
      </c>
      <c r="C56">
        <v>24</v>
      </c>
      <c r="D56" t="s">
        <v>9</v>
      </c>
      <c r="E56" t="s">
        <v>74</v>
      </c>
      <c r="F56" t="s">
        <v>11</v>
      </c>
      <c r="G56" t="s">
        <v>17</v>
      </c>
    </row>
    <row r="57" spans="1:7">
      <c r="A57" t="s">
        <v>155</v>
      </c>
      <c r="B57" t="s">
        <v>156</v>
      </c>
      <c r="C57">
        <v>56</v>
      </c>
      <c r="D57" t="s">
        <v>15</v>
      </c>
      <c r="E57" t="s">
        <v>149</v>
      </c>
      <c r="F57" t="s">
        <v>11</v>
      </c>
      <c r="G57" t="s">
        <v>22</v>
      </c>
    </row>
    <row r="58" spans="1:7">
      <c r="A58" t="s">
        <v>157</v>
      </c>
      <c r="B58" t="s">
        <v>158</v>
      </c>
      <c r="C58">
        <v>49</v>
      </c>
      <c r="D58" t="s">
        <v>15</v>
      </c>
      <c r="E58" t="s">
        <v>41</v>
      </c>
      <c r="F58" t="s">
        <v>11</v>
      </c>
      <c r="G58" t="s">
        <v>12</v>
      </c>
    </row>
    <row r="59" spans="1:7">
      <c r="A59" t="s">
        <v>159</v>
      </c>
      <c r="B59" t="s">
        <v>160</v>
      </c>
      <c r="C59">
        <v>43</v>
      </c>
      <c r="D59" t="s">
        <v>15</v>
      </c>
      <c r="E59" t="s">
        <v>161</v>
      </c>
      <c r="F59" t="s">
        <v>11</v>
      </c>
      <c r="G59" t="s">
        <v>17</v>
      </c>
    </row>
    <row r="60" spans="1:7">
      <c r="A60" t="s">
        <v>162</v>
      </c>
      <c r="B60" t="s">
        <v>163</v>
      </c>
      <c r="C60">
        <v>51</v>
      </c>
      <c r="D60" t="s">
        <v>9</v>
      </c>
      <c r="E60" t="s">
        <v>106</v>
      </c>
      <c r="F60" t="s">
        <v>11</v>
      </c>
      <c r="G60" t="s">
        <v>17</v>
      </c>
    </row>
    <row r="61" spans="1:7">
      <c r="A61" t="s">
        <v>164</v>
      </c>
      <c r="B61" t="s">
        <v>165</v>
      </c>
      <c r="C61">
        <v>53</v>
      </c>
      <c r="D61" t="s">
        <v>9</v>
      </c>
      <c r="E61" t="s">
        <v>52</v>
      </c>
      <c r="F61" t="s">
        <v>11</v>
      </c>
      <c r="G61" t="s">
        <v>17</v>
      </c>
    </row>
    <row r="62" spans="1:7">
      <c r="A62" t="s">
        <v>166</v>
      </c>
      <c r="B62" t="s">
        <v>167</v>
      </c>
      <c r="C62">
        <v>22</v>
      </c>
      <c r="D62" t="s">
        <v>15</v>
      </c>
      <c r="E62" t="s">
        <v>122</v>
      </c>
      <c r="F62" t="s">
        <v>11</v>
      </c>
      <c r="G62" t="s">
        <v>26</v>
      </c>
    </row>
    <row r="63" spans="1:7">
      <c r="A63" t="s">
        <v>168</v>
      </c>
      <c r="B63" t="s">
        <v>169</v>
      </c>
      <c r="C63">
        <v>23</v>
      </c>
      <c r="D63" t="s">
        <v>9</v>
      </c>
      <c r="E63" t="s">
        <v>86</v>
      </c>
      <c r="F63" t="s">
        <v>11</v>
      </c>
      <c r="G63" t="s">
        <v>26</v>
      </c>
    </row>
    <row r="64" spans="1:7">
      <c r="A64" t="s">
        <v>170</v>
      </c>
      <c r="B64" t="s">
        <v>171</v>
      </c>
      <c r="C64">
        <v>50</v>
      </c>
      <c r="D64" t="s">
        <v>9</v>
      </c>
      <c r="E64" t="s">
        <v>172</v>
      </c>
      <c r="F64" t="s">
        <v>11</v>
      </c>
      <c r="G64" t="s">
        <v>22</v>
      </c>
    </row>
    <row r="65" spans="1:7">
      <c r="A65" t="s">
        <v>173</v>
      </c>
      <c r="B65" t="s">
        <v>174</v>
      </c>
      <c r="C65">
        <v>51</v>
      </c>
      <c r="D65" t="s">
        <v>9</v>
      </c>
      <c r="E65" t="s">
        <v>175</v>
      </c>
      <c r="F65" t="s">
        <v>11</v>
      </c>
      <c r="G65" t="s">
        <v>17</v>
      </c>
    </row>
    <row r="66" spans="1:7">
      <c r="A66" t="s">
        <v>176</v>
      </c>
      <c r="B66" t="s">
        <v>177</v>
      </c>
      <c r="C66">
        <v>33</v>
      </c>
      <c r="D66" t="s">
        <v>9</v>
      </c>
      <c r="E66" t="s">
        <v>101</v>
      </c>
      <c r="F66" t="s">
        <v>11</v>
      </c>
      <c r="G66" t="s">
        <v>12</v>
      </c>
    </row>
    <row r="67" spans="1:7">
      <c r="A67" t="s">
        <v>178</v>
      </c>
      <c r="B67" t="s">
        <v>179</v>
      </c>
      <c r="C67">
        <v>21</v>
      </c>
      <c r="D67" t="s">
        <v>15</v>
      </c>
      <c r="E67" t="s">
        <v>137</v>
      </c>
      <c r="F67" t="s">
        <v>11</v>
      </c>
      <c r="G67" t="s">
        <v>26</v>
      </c>
    </row>
    <row r="68" spans="1:7">
      <c r="A68" t="s">
        <v>180</v>
      </c>
      <c r="B68" t="s">
        <v>181</v>
      </c>
      <c r="C68">
        <v>27</v>
      </c>
      <c r="D68" t="s">
        <v>15</v>
      </c>
      <c r="E68" t="s">
        <v>38</v>
      </c>
      <c r="F68" t="s">
        <v>11</v>
      </c>
      <c r="G68" t="s">
        <v>26</v>
      </c>
    </row>
    <row r="69" spans="1:7">
      <c r="A69" t="s">
        <v>182</v>
      </c>
      <c r="B69" t="s">
        <v>183</v>
      </c>
      <c r="C69">
        <v>58</v>
      </c>
      <c r="D69" t="s">
        <v>9</v>
      </c>
      <c r="E69" t="s">
        <v>184</v>
      </c>
      <c r="F69" t="s">
        <v>11</v>
      </c>
      <c r="G69" t="s">
        <v>26</v>
      </c>
    </row>
    <row r="70" spans="1:7">
      <c r="A70" t="s">
        <v>185</v>
      </c>
      <c r="B70" t="s">
        <v>186</v>
      </c>
      <c r="C70">
        <v>24</v>
      </c>
      <c r="D70" t="s">
        <v>15</v>
      </c>
      <c r="E70" t="s">
        <v>187</v>
      </c>
      <c r="F70" t="s">
        <v>11</v>
      </c>
      <c r="G70" t="s">
        <v>26</v>
      </c>
    </row>
    <row r="71" spans="1:7">
      <c r="A71" t="s">
        <v>188</v>
      </c>
      <c r="B71" t="s">
        <v>189</v>
      </c>
      <c r="C71">
        <v>24</v>
      </c>
      <c r="D71" t="s">
        <v>15</v>
      </c>
      <c r="E71" t="s">
        <v>68</v>
      </c>
      <c r="F71" t="s">
        <v>11</v>
      </c>
      <c r="G71" t="s">
        <v>17</v>
      </c>
    </row>
    <row r="72" spans="1:7">
      <c r="A72" t="s">
        <v>190</v>
      </c>
      <c r="B72" t="s">
        <v>191</v>
      </c>
      <c r="C72">
        <v>29</v>
      </c>
      <c r="D72" t="s">
        <v>15</v>
      </c>
      <c r="E72" t="s">
        <v>172</v>
      </c>
      <c r="F72" t="s">
        <v>11</v>
      </c>
      <c r="G72" t="s">
        <v>12</v>
      </c>
    </row>
    <row r="73" spans="1:7">
      <c r="A73" t="s">
        <v>192</v>
      </c>
      <c r="B73" t="s">
        <v>193</v>
      </c>
      <c r="C73">
        <v>61</v>
      </c>
      <c r="D73" t="s">
        <v>15</v>
      </c>
      <c r="E73" t="s">
        <v>172</v>
      </c>
      <c r="F73" t="s">
        <v>11</v>
      </c>
      <c r="G73" t="s">
        <v>12</v>
      </c>
    </row>
    <row r="74" spans="1:7">
      <c r="A74" t="s">
        <v>194</v>
      </c>
      <c r="B74" t="s">
        <v>195</v>
      </c>
      <c r="C74">
        <v>39</v>
      </c>
      <c r="D74" t="s">
        <v>15</v>
      </c>
      <c r="E74" t="s">
        <v>196</v>
      </c>
      <c r="F74" t="s">
        <v>11</v>
      </c>
      <c r="G74" t="s">
        <v>12</v>
      </c>
    </row>
    <row r="75" spans="1:7">
      <c r="A75" t="s">
        <v>197</v>
      </c>
      <c r="B75" t="s">
        <v>198</v>
      </c>
      <c r="C75">
        <v>56</v>
      </c>
      <c r="D75" t="s">
        <v>15</v>
      </c>
      <c r="E75" t="s">
        <v>35</v>
      </c>
      <c r="F75" t="s">
        <v>11</v>
      </c>
      <c r="G75" t="s">
        <v>26</v>
      </c>
    </row>
    <row r="76" spans="1:7">
      <c r="A76" t="s">
        <v>199</v>
      </c>
      <c r="B76" t="s">
        <v>200</v>
      </c>
      <c r="C76">
        <v>58</v>
      </c>
      <c r="D76" t="s">
        <v>9</v>
      </c>
      <c r="E76" t="s">
        <v>201</v>
      </c>
      <c r="F76" t="s">
        <v>11</v>
      </c>
      <c r="G76" t="s">
        <v>22</v>
      </c>
    </row>
    <row r="77" spans="1:7">
      <c r="A77" t="s">
        <v>202</v>
      </c>
      <c r="B77" t="s">
        <v>203</v>
      </c>
      <c r="C77">
        <v>61</v>
      </c>
      <c r="D77" t="s">
        <v>15</v>
      </c>
      <c r="E77" t="s">
        <v>25</v>
      </c>
      <c r="F77" t="s">
        <v>11</v>
      </c>
      <c r="G77" t="s">
        <v>12</v>
      </c>
    </row>
    <row r="78" spans="1:7">
      <c r="A78" t="s">
        <v>204</v>
      </c>
      <c r="B78" t="s">
        <v>205</v>
      </c>
      <c r="C78">
        <v>37</v>
      </c>
      <c r="D78" t="s">
        <v>9</v>
      </c>
      <c r="E78" t="s">
        <v>74</v>
      </c>
      <c r="F78" t="s">
        <v>11</v>
      </c>
      <c r="G78" t="s">
        <v>12</v>
      </c>
    </row>
    <row r="79" spans="1:7">
      <c r="A79" t="s">
        <v>206</v>
      </c>
      <c r="B79" t="s">
        <v>207</v>
      </c>
      <c r="C79">
        <v>29</v>
      </c>
      <c r="D79" t="s">
        <v>9</v>
      </c>
      <c r="E79" t="s">
        <v>128</v>
      </c>
      <c r="F79" t="s">
        <v>11</v>
      </c>
      <c r="G79" t="s">
        <v>12</v>
      </c>
    </row>
    <row r="80" spans="1:7">
      <c r="A80" t="s">
        <v>208</v>
      </c>
      <c r="B80" t="s">
        <v>209</v>
      </c>
      <c r="C80">
        <v>21</v>
      </c>
      <c r="D80" t="s">
        <v>9</v>
      </c>
      <c r="E80" t="s">
        <v>210</v>
      </c>
      <c r="F80" t="s">
        <v>11</v>
      </c>
      <c r="G80" t="s">
        <v>12</v>
      </c>
    </row>
    <row r="81" spans="1:7">
      <c r="A81" t="s">
        <v>211</v>
      </c>
      <c r="B81" t="s">
        <v>212</v>
      </c>
      <c r="C81">
        <v>22</v>
      </c>
      <c r="D81" t="s">
        <v>15</v>
      </c>
      <c r="E81" t="s">
        <v>213</v>
      </c>
      <c r="F81" t="s">
        <v>11</v>
      </c>
      <c r="G81" t="s">
        <v>17</v>
      </c>
    </row>
    <row r="82" spans="1:7">
      <c r="A82" t="s">
        <v>214</v>
      </c>
      <c r="B82" t="s">
        <v>215</v>
      </c>
      <c r="C82">
        <v>61</v>
      </c>
      <c r="D82" t="s">
        <v>15</v>
      </c>
      <c r="E82" t="s">
        <v>172</v>
      </c>
      <c r="F82" t="s">
        <v>11</v>
      </c>
      <c r="G82" t="s">
        <v>22</v>
      </c>
    </row>
    <row r="83" spans="1:7">
      <c r="A83" t="s">
        <v>216</v>
      </c>
      <c r="B83" t="s">
        <v>217</v>
      </c>
      <c r="C83">
        <v>34</v>
      </c>
      <c r="D83" t="s">
        <v>15</v>
      </c>
      <c r="E83" t="s">
        <v>101</v>
      </c>
      <c r="F83" t="s">
        <v>11</v>
      </c>
      <c r="G83" t="s">
        <v>17</v>
      </c>
    </row>
    <row r="84" spans="1:7">
      <c r="A84" t="s">
        <v>218</v>
      </c>
      <c r="B84" t="s">
        <v>219</v>
      </c>
      <c r="C84">
        <v>53</v>
      </c>
      <c r="D84" t="s">
        <v>9</v>
      </c>
      <c r="E84" t="s">
        <v>184</v>
      </c>
      <c r="F84" t="s">
        <v>11</v>
      </c>
      <c r="G84" t="s">
        <v>22</v>
      </c>
    </row>
    <row r="85" spans="1:7">
      <c r="A85" t="s">
        <v>220</v>
      </c>
      <c r="B85" t="s">
        <v>221</v>
      </c>
      <c r="C85">
        <v>48</v>
      </c>
      <c r="D85" t="s">
        <v>15</v>
      </c>
      <c r="E85" t="s">
        <v>63</v>
      </c>
      <c r="F85" t="s">
        <v>11</v>
      </c>
      <c r="G85" t="s">
        <v>22</v>
      </c>
    </row>
    <row r="86" spans="1:7">
      <c r="A86" t="s">
        <v>222</v>
      </c>
      <c r="B86" t="s">
        <v>223</v>
      </c>
      <c r="C86">
        <v>26</v>
      </c>
      <c r="D86" t="s">
        <v>15</v>
      </c>
      <c r="E86" t="s">
        <v>187</v>
      </c>
      <c r="F86" t="s">
        <v>11</v>
      </c>
      <c r="G86" t="s">
        <v>17</v>
      </c>
    </row>
    <row r="87" spans="1:7">
      <c r="A87" t="s">
        <v>224</v>
      </c>
      <c r="B87" t="s">
        <v>225</v>
      </c>
      <c r="C87">
        <v>36</v>
      </c>
      <c r="D87" t="s">
        <v>9</v>
      </c>
      <c r="E87" t="s">
        <v>41</v>
      </c>
      <c r="F87" t="s">
        <v>11</v>
      </c>
      <c r="G87" t="s">
        <v>26</v>
      </c>
    </row>
    <row r="88" spans="1:7">
      <c r="A88" t="s">
        <v>226</v>
      </c>
      <c r="B88" t="s">
        <v>3500</v>
      </c>
      <c r="C88">
        <v>19</v>
      </c>
      <c r="D88" t="s">
        <v>15</v>
      </c>
      <c r="E88" t="s">
        <v>228</v>
      </c>
      <c r="F88" t="s">
        <v>11</v>
      </c>
      <c r="G88" t="s">
        <v>12</v>
      </c>
    </row>
    <row r="89" spans="1:7">
      <c r="A89" t="s">
        <v>229</v>
      </c>
      <c r="B89" t="s">
        <v>3501</v>
      </c>
      <c r="C89">
        <v>58</v>
      </c>
      <c r="D89" t="s">
        <v>15</v>
      </c>
      <c r="E89" t="s">
        <v>231</v>
      </c>
      <c r="F89" t="s">
        <v>11</v>
      </c>
      <c r="G89" t="s">
        <v>22</v>
      </c>
    </row>
    <row r="90" spans="1:7">
      <c r="A90" t="s">
        <v>232</v>
      </c>
      <c r="B90" t="s">
        <v>233</v>
      </c>
      <c r="C90">
        <v>58</v>
      </c>
      <c r="D90" t="s">
        <v>9</v>
      </c>
      <c r="E90" t="s">
        <v>213</v>
      </c>
      <c r="F90" t="s">
        <v>11</v>
      </c>
      <c r="G90" t="s">
        <v>26</v>
      </c>
    </row>
    <row r="91" spans="1:7">
      <c r="A91" t="s">
        <v>234</v>
      </c>
      <c r="B91" t="s">
        <v>235</v>
      </c>
      <c r="C91">
        <v>43</v>
      </c>
      <c r="D91" t="s">
        <v>9</v>
      </c>
      <c r="E91" t="s">
        <v>236</v>
      </c>
      <c r="F91" t="s">
        <v>11</v>
      </c>
      <c r="G91" t="s">
        <v>17</v>
      </c>
    </row>
    <row r="92" spans="1:7">
      <c r="A92" t="s">
        <v>237</v>
      </c>
      <c r="B92" t="s">
        <v>238</v>
      </c>
      <c r="C92">
        <v>58</v>
      </c>
      <c r="D92" t="s">
        <v>15</v>
      </c>
      <c r="E92" t="s">
        <v>239</v>
      </c>
      <c r="F92" t="s">
        <v>11</v>
      </c>
      <c r="G92" t="s">
        <v>17</v>
      </c>
    </row>
    <row r="93" spans="1:7">
      <c r="A93" t="s">
        <v>240</v>
      </c>
      <c r="B93" t="s">
        <v>241</v>
      </c>
      <c r="C93">
        <v>29</v>
      </c>
      <c r="D93" t="s">
        <v>15</v>
      </c>
      <c r="E93" t="s">
        <v>101</v>
      </c>
      <c r="F93" t="s">
        <v>11</v>
      </c>
      <c r="G93" t="s">
        <v>26</v>
      </c>
    </row>
    <row r="94" spans="1:7">
      <c r="A94" t="s">
        <v>242</v>
      </c>
      <c r="B94" t="s">
        <v>243</v>
      </c>
      <c r="C94">
        <v>44</v>
      </c>
      <c r="D94" t="s">
        <v>15</v>
      </c>
      <c r="E94" t="s">
        <v>175</v>
      </c>
      <c r="F94" t="s">
        <v>11</v>
      </c>
      <c r="G94" t="s">
        <v>17</v>
      </c>
    </row>
    <row r="95" spans="1:7">
      <c r="A95" t="s">
        <v>244</v>
      </c>
      <c r="B95" t="s">
        <v>245</v>
      </c>
      <c r="C95">
        <v>28</v>
      </c>
      <c r="D95" t="s">
        <v>15</v>
      </c>
      <c r="E95" t="s">
        <v>231</v>
      </c>
      <c r="F95" t="s">
        <v>11</v>
      </c>
      <c r="G95" t="s">
        <v>12</v>
      </c>
    </row>
    <row r="96" spans="1:7">
      <c r="A96" t="s">
        <v>246</v>
      </c>
      <c r="B96" t="s">
        <v>247</v>
      </c>
      <c r="C96">
        <v>43</v>
      </c>
      <c r="D96" t="s">
        <v>15</v>
      </c>
      <c r="E96" t="s">
        <v>137</v>
      </c>
      <c r="F96" t="s">
        <v>11</v>
      </c>
      <c r="G96" t="s">
        <v>12</v>
      </c>
    </row>
    <row r="97" spans="1:7">
      <c r="A97" t="s">
        <v>248</v>
      </c>
      <c r="B97" t="s">
        <v>249</v>
      </c>
      <c r="C97">
        <v>62</v>
      </c>
      <c r="D97" t="s">
        <v>15</v>
      </c>
      <c r="E97" t="s">
        <v>46</v>
      </c>
      <c r="F97" t="s">
        <v>11</v>
      </c>
      <c r="G97" t="s">
        <v>17</v>
      </c>
    </row>
    <row r="98" spans="1:7">
      <c r="A98" t="s">
        <v>250</v>
      </c>
      <c r="B98" t="s">
        <v>251</v>
      </c>
      <c r="C98">
        <v>30</v>
      </c>
      <c r="D98" t="s">
        <v>15</v>
      </c>
      <c r="E98" t="s">
        <v>239</v>
      </c>
      <c r="F98" t="s">
        <v>11</v>
      </c>
      <c r="G98" t="s">
        <v>17</v>
      </c>
    </row>
    <row r="99" spans="1:7">
      <c r="A99" t="s">
        <v>252</v>
      </c>
      <c r="B99" t="s">
        <v>253</v>
      </c>
      <c r="C99">
        <v>36</v>
      </c>
      <c r="D99" t="s">
        <v>9</v>
      </c>
      <c r="E99" t="s">
        <v>32</v>
      </c>
      <c r="F99" t="s">
        <v>11</v>
      </c>
      <c r="G99" t="s">
        <v>26</v>
      </c>
    </row>
    <row r="100" spans="1:7">
      <c r="A100" t="s">
        <v>254</v>
      </c>
      <c r="B100" t="s">
        <v>255</v>
      </c>
      <c r="C100">
        <v>24</v>
      </c>
      <c r="D100" t="s">
        <v>9</v>
      </c>
      <c r="E100" t="s">
        <v>122</v>
      </c>
      <c r="F100" t="s">
        <v>11</v>
      </c>
      <c r="G100" t="s">
        <v>12</v>
      </c>
    </row>
    <row r="101" spans="1:7">
      <c r="A101" t="s">
        <v>256</v>
      </c>
      <c r="B101" t="s">
        <v>257</v>
      </c>
      <c r="C101">
        <v>35</v>
      </c>
      <c r="D101" t="s">
        <v>9</v>
      </c>
      <c r="E101" t="s">
        <v>175</v>
      </c>
      <c r="F101" t="s">
        <v>11</v>
      </c>
      <c r="G101" t="s">
        <v>26</v>
      </c>
    </row>
    <row r="102" spans="1:7">
      <c r="A102" t="s">
        <v>258</v>
      </c>
      <c r="B102" t="s">
        <v>259</v>
      </c>
      <c r="C102">
        <v>53</v>
      </c>
      <c r="D102" t="s">
        <v>15</v>
      </c>
      <c r="E102" t="s">
        <v>260</v>
      </c>
      <c r="F102" t="s">
        <v>11</v>
      </c>
      <c r="G102" t="s">
        <v>17</v>
      </c>
    </row>
    <row r="103" spans="1:7">
      <c r="A103" t="s">
        <v>261</v>
      </c>
      <c r="B103" t="s">
        <v>262</v>
      </c>
      <c r="C103">
        <v>29</v>
      </c>
      <c r="D103" t="s">
        <v>9</v>
      </c>
      <c r="E103" t="s">
        <v>89</v>
      </c>
      <c r="F103" t="s">
        <v>11</v>
      </c>
      <c r="G103" t="s">
        <v>12</v>
      </c>
    </row>
    <row r="104" spans="1:7">
      <c r="A104" t="s">
        <v>263</v>
      </c>
      <c r="B104" t="s">
        <v>264</v>
      </c>
      <c r="C104">
        <v>34</v>
      </c>
      <c r="D104" t="s">
        <v>15</v>
      </c>
      <c r="E104" t="s">
        <v>41</v>
      </c>
      <c r="F104" t="s">
        <v>11</v>
      </c>
      <c r="G104" t="s">
        <v>22</v>
      </c>
    </row>
    <row r="105" spans="1:7">
      <c r="A105" t="s">
        <v>265</v>
      </c>
      <c r="B105" t="s">
        <v>266</v>
      </c>
      <c r="C105">
        <v>21</v>
      </c>
      <c r="D105" t="s">
        <v>9</v>
      </c>
      <c r="E105" t="s">
        <v>125</v>
      </c>
      <c r="F105" t="s">
        <v>11</v>
      </c>
      <c r="G105" t="s">
        <v>22</v>
      </c>
    </row>
    <row r="106" spans="1:7">
      <c r="A106" t="s">
        <v>267</v>
      </c>
      <c r="B106" t="s">
        <v>268</v>
      </c>
      <c r="C106">
        <v>64</v>
      </c>
      <c r="D106" t="s">
        <v>9</v>
      </c>
      <c r="E106" t="s">
        <v>63</v>
      </c>
      <c r="F106" t="s">
        <v>11</v>
      </c>
      <c r="G106" t="s">
        <v>26</v>
      </c>
    </row>
    <row r="107" spans="1:7">
      <c r="A107" t="s">
        <v>269</v>
      </c>
      <c r="B107" t="s">
        <v>270</v>
      </c>
      <c r="C107">
        <v>50</v>
      </c>
      <c r="D107" t="s">
        <v>15</v>
      </c>
      <c r="E107" t="s">
        <v>184</v>
      </c>
      <c r="F107" t="s">
        <v>11</v>
      </c>
      <c r="G107" t="s">
        <v>12</v>
      </c>
    </row>
    <row r="108" spans="1:7">
      <c r="A108" t="s">
        <v>271</v>
      </c>
      <c r="B108" t="s">
        <v>272</v>
      </c>
      <c r="C108">
        <v>53</v>
      </c>
      <c r="D108" t="s">
        <v>15</v>
      </c>
      <c r="E108" t="s">
        <v>161</v>
      </c>
      <c r="F108" t="s">
        <v>11</v>
      </c>
      <c r="G108" t="s">
        <v>22</v>
      </c>
    </row>
    <row r="109" spans="1:7">
      <c r="A109" t="s">
        <v>273</v>
      </c>
      <c r="B109" t="s">
        <v>274</v>
      </c>
      <c r="C109">
        <v>62</v>
      </c>
      <c r="D109" t="s">
        <v>15</v>
      </c>
      <c r="E109" t="s">
        <v>16</v>
      </c>
      <c r="F109" t="s">
        <v>11</v>
      </c>
      <c r="G109" t="s">
        <v>17</v>
      </c>
    </row>
    <row r="110" spans="1:7">
      <c r="A110" t="s">
        <v>275</v>
      </c>
      <c r="B110" t="s">
        <v>276</v>
      </c>
      <c r="C110">
        <v>38</v>
      </c>
      <c r="D110" t="s">
        <v>9</v>
      </c>
      <c r="E110" t="s">
        <v>38</v>
      </c>
      <c r="F110" t="s">
        <v>11</v>
      </c>
      <c r="G110" t="s">
        <v>22</v>
      </c>
    </row>
    <row r="111" spans="1:7">
      <c r="A111" t="s">
        <v>277</v>
      </c>
      <c r="B111" t="s">
        <v>278</v>
      </c>
      <c r="C111">
        <v>27</v>
      </c>
      <c r="D111" t="s">
        <v>9</v>
      </c>
      <c r="E111" t="s">
        <v>35</v>
      </c>
      <c r="F111" t="s">
        <v>11</v>
      </c>
      <c r="G111" t="s">
        <v>26</v>
      </c>
    </row>
    <row r="112" spans="1:7">
      <c r="A112" t="s">
        <v>279</v>
      </c>
      <c r="B112" t="s">
        <v>280</v>
      </c>
      <c r="C112">
        <v>40</v>
      </c>
      <c r="D112" t="s">
        <v>15</v>
      </c>
      <c r="E112" t="s">
        <v>106</v>
      </c>
      <c r="F112" t="s">
        <v>11</v>
      </c>
      <c r="G112" t="s">
        <v>12</v>
      </c>
    </row>
    <row r="113" spans="1:7">
      <c r="A113" t="s">
        <v>281</v>
      </c>
      <c r="B113" t="s">
        <v>282</v>
      </c>
      <c r="C113">
        <v>18</v>
      </c>
      <c r="D113" t="s">
        <v>15</v>
      </c>
      <c r="E113" t="s">
        <v>101</v>
      </c>
      <c r="F113" t="s">
        <v>11</v>
      </c>
      <c r="G113" t="s">
        <v>17</v>
      </c>
    </row>
    <row r="114" spans="1:7">
      <c r="A114" t="s">
        <v>283</v>
      </c>
      <c r="B114" t="s">
        <v>284</v>
      </c>
      <c r="C114">
        <v>27</v>
      </c>
      <c r="D114" t="s">
        <v>15</v>
      </c>
      <c r="E114" t="s">
        <v>117</v>
      </c>
      <c r="F114" t="s">
        <v>11</v>
      </c>
      <c r="G114" t="s">
        <v>26</v>
      </c>
    </row>
    <row r="115" spans="1:7">
      <c r="A115" t="s">
        <v>286</v>
      </c>
      <c r="B115" t="s">
        <v>287</v>
      </c>
      <c r="C115">
        <v>51</v>
      </c>
      <c r="D115" t="s">
        <v>9</v>
      </c>
      <c r="E115" t="s">
        <v>172</v>
      </c>
      <c r="F115" t="s">
        <v>11</v>
      </c>
      <c r="G115" t="s">
        <v>12</v>
      </c>
    </row>
    <row r="116" spans="1:7">
      <c r="A116" t="s">
        <v>288</v>
      </c>
      <c r="B116" t="s">
        <v>289</v>
      </c>
      <c r="C116">
        <v>30</v>
      </c>
      <c r="D116" t="s">
        <v>9</v>
      </c>
      <c r="E116" t="s">
        <v>137</v>
      </c>
      <c r="F116" t="s">
        <v>11</v>
      </c>
      <c r="G116" t="s">
        <v>22</v>
      </c>
    </row>
    <row r="117" spans="1:7">
      <c r="A117" t="s">
        <v>290</v>
      </c>
      <c r="B117" t="s">
        <v>291</v>
      </c>
      <c r="C117">
        <v>53</v>
      </c>
      <c r="D117" t="s">
        <v>15</v>
      </c>
      <c r="E117" t="s">
        <v>16</v>
      </c>
      <c r="F117" t="s">
        <v>11</v>
      </c>
      <c r="G117" t="s">
        <v>17</v>
      </c>
    </row>
    <row r="118" spans="1:7">
      <c r="A118" t="s">
        <v>292</v>
      </c>
      <c r="B118" t="s">
        <v>293</v>
      </c>
      <c r="C118">
        <v>18</v>
      </c>
      <c r="D118" t="s">
        <v>15</v>
      </c>
      <c r="E118" t="s">
        <v>161</v>
      </c>
      <c r="F118" t="s">
        <v>11</v>
      </c>
      <c r="G118" t="s">
        <v>17</v>
      </c>
    </row>
    <row r="119" spans="1:7">
      <c r="A119" t="s">
        <v>294</v>
      </c>
      <c r="B119" t="s">
        <v>295</v>
      </c>
      <c r="C119">
        <v>21</v>
      </c>
      <c r="D119" t="s">
        <v>15</v>
      </c>
      <c r="E119" t="s">
        <v>58</v>
      </c>
      <c r="F119" t="s">
        <v>11</v>
      </c>
      <c r="G119" t="s">
        <v>17</v>
      </c>
    </row>
    <row r="120" spans="1:7">
      <c r="A120" t="s">
        <v>296</v>
      </c>
      <c r="B120" t="s">
        <v>297</v>
      </c>
      <c r="C120">
        <v>36</v>
      </c>
      <c r="D120" t="s">
        <v>9</v>
      </c>
      <c r="E120" t="s">
        <v>55</v>
      </c>
      <c r="F120" t="s">
        <v>11</v>
      </c>
      <c r="G120" t="s">
        <v>17</v>
      </c>
    </row>
    <row r="121" spans="1:7">
      <c r="A121" t="s">
        <v>298</v>
      </c>
      <c r="B121" t="s">
        <v>299</v>
      </c>
      <c r="C121">
        <v>40</v>
      </c>
      <c r="D121" t="s">
        <v>9</v>
      </c>
      <c r="E121" t="s">
        <v>175</v>
      </c>
      <c r="F121" t="s">
        <v>11</v>
      </c>
      <c r="G121" t="s">
        <v>22</v>
      </c>
    </row>
    <row r="122" spans="1:7">
      <c r="A122" t="s">
        <v>300</v>
      </c>
      <c r="B122" t="s">
        <v>301</v>
      </c>
      <c r="C122">
        <v>44</v>
      </c>
      <c r="D122" t="s">
        <v>15</v>
      </c>
      <c r="E122" t="s">
        <v>41</v>
      </c>
      <c r="F122" t="s">
        <v>11</v>
      </c>
      <c r="G122" t="s">
        <v>17</v>
      </c>
    </row>
    <row r="123" spans="1:7">
      <c r="A123" t="s">
        <v>302</v>
      </c>
      <c r="B123" t="s">
        <v>303</v>
      </c>
      <c r="C123">
        <v>62</v>
      </c>
      <c r="D123" t="s">
        <v>9</v>
      </c>
      <c r="E123" t="s">
        <v>76</v>
      </c>
      <c r="F123" t="s">
        <v>11</v>
      </c>
      <c r="G123" t="s">
        <v>17</v>
      </c>
    </row>
    <row r="124" spans="1:7">
      <c r="A124" t="s">
        <v>304</v>
      </c>
      <c r="B124" t="s">
        <v>305</v>
      </c>
      <c r="C124">
        <v>50</v>
      </c>
      <c r="D124" t="s">
        <v>9</v>
      </c>
      <c r="E124" t="s">
        <v>10</v>
      </c>
      <c r="F124" t="s">
        <v>11</v>
      </c>
      <c r="G124" t="s">
        <v>17</v>
      </c>
    </row>
    <row r="125" spans="1:7">
      <c r="A125" t="s">
        <v>306</v>
      </c>
      <c r="B125" t="s">
        <v>307</v>
      </c>
      <c r="C125">
        <v>40</v>
      </c>
      <c r="D125" t="s">
        <v>9</v>
      </c>
      <c r="E125" t="s">
        <v>196</v>
      </c>
      <c r="F125" t="s">
        <v>11</v>
      </c>
      <c r="G125" t="s">
        <v>26</v>
      </c>
    </row>
    <row r="126" spans="1:7">
      <c r="A126" t="s">
        <v>308</v>
      </c>
      <c r="B126" t="s">
        <v>309</v>
      </c>
      <c r="C126">
        <v>26</v>
      </c>
      <c r="D126" t="s">
        <v>9</v>
      </c>
      <c r="E126" t="s">
        <v>144</v>
      </c>
      <c r="F126" t="s">
        <v>11</v>
      </c>
      <c r="G126" t="s">
        <v>22</v>
      </c>
    </row>
    <row r="127" spans="1:7">
      <c r="A127" t="s">
        <v>310</v>
      </c>
      <c r="B127" t="s">
        <v>311</v>
      </c>
      <c r="C127">
        <v>64</v>
      </c>
      <c r="D127" t="s">
        <v>15</v>
      </c>
      <c r="E127" t="s">
        <v>312</v>
      </c>
      <c r="F127" t="s">
        <v>11</v>
      </c>
      <c r="G127" t="s">
        <v>17</v>
      </c>
    </row>
    <row r="128" spans="1:7">
      <c r="A128" t="s">
        <v>313</v>
      </c>
      <c r="B128" t="s">
        <v>314</v>
      </c>
      <c r="C128">
        <v>62</v>
      </c>
      <c r="D128" t="s">
        <v>15</v>
      </c>
      <c r="E128" t="s">
        <v>101</v>
      </c>
      <c r="F128" t="s">
        <v>11</v>
      </c>
      <c r="G128" t="s">
        <v>12</v>
      </c>
    </row>
    <row r="129" spans="1:7">
      <c r="A129" t="s">
        <v>315</v>
      </c>
      <c r="B129" t="s">
        <v>316</v>
      </c>
      <c r="C129">
        <v>39</v>
      </c>
      <c r="D129" t="s">
        <v>9</v>
      </c>
      <c r="E129" t="s">
        <v>128</v>
      </c>
      <c r="F129" t="s">
        <v>11</v>
      </c>
      <c r="G129" t="s">
        <v>17</v>
      </c>
    </row>
    <row r="130" spans="1:7">
      <c r="A130" t="s">
        <v>317</v>
      </c>
      <c r="B130" t="s">
        <v>318</v>
      </c>
      <c r="C130">
        <v>45</v>
      </c>
      <c r="D130" t="s">
        <v>9</v>
      </c>
      <c r="E130" t="s">
        <v>213</v>
      </c>
      <c r="F130" t="s">
        <v>11</v>
      </c>
      <c r="G130" t="s">
        <v>26</v>
      </c>
    </row>
    <row r="131" spans="1:7">
      <c r="A131" t="s">
        <v>319</v>
      </c>
      <c r="B131" t="s">
        <v>320</v>
      </c>
      <c r="C131">
        <v>43</v>
      </c>
      <c r="D131" t="s">
        <v>15</v>
      </c>
      <c r="E131" t="s">
        <v>32</v>
      </c>
      <c r="F131" t="s">
        <v>11</v>
      </c>
      <c r="G131" t="s">
        <v>26</v>
      </c>
    </row>
    <row r="132" spans="1:7">
      <c r="A132" t="s">
        <v>321</v>
      </c>
      <c r="B132" t="s">
        <v>322</v>
      </c>
      <c r="C132">
        <v>29</v>
      </c>
      <c r="D132" t="s">
        <v>9</v>
      </c>
      <c r="E132" t="s">
        <v>125</v>
      </c>
      <c r="F132" t="s">
        <v>11</v>
      </c>
      <c r="G132" t="s">
        <v>17</v>
      </c>
    </row>
    <row r="133" spans="1:7">
      <c r="A133" t="s">
        <v>323</v>
      </c>
      <c r="B133" t="s">
        <v>324</v>
      </c>
      <c r="C133">
        <v>34</v>
      </c>
      <c r="D133" t="s">
        <v>15</v>
      </c>
      <c r="E133" t="s">
        <v>19</v>
      </c>
      <c r="F133" t="s">
        <v>11</v>
      </c>
      <c r="G133" t="s">
        <v>22</v>
      </c>
    </row>
    <row r="134" spans="1:7">
      <c r="A134" t="s">
        <v>325</v>
      </c>
      <c r="B134" t="s">
        <v>326</v>
      </c>
      <c r="C134">
        <v>57</v>
      </c>
      <c r="D134" t="s">
        <v>15</v>
      </c>
      <c r="E134" t="s">
        <v>21</v>
      </c>
      <c r="F134" t="s">
        <v>11</v>
      </c>
      <c r="G134" t="s">
        <v>12</v>
      </c>
    </row>
    <row r="135" spans="1:7">
      <c r="A135" t="s">
        <v>327</v>
      </c>
      <c r="B135" t="s">
        <v>328</v>
      </c>
      <c r="C135">
        <v>62</v>
      </c>
      <c r="D135" t="s">
        <v>15</v>
      </c>
      <c r="E135" t="s">
        <v>184</v>
      </c>
      <c r="F135" t="s">
        <v>11</v>
      </c>
      <c r="G135" t="s">
        <v>22</v>
      </c>
    </row>
    <row r="136" spans="1:7">
      <c r="A136" t="s">
        <v>329</v>
      </c>
      <c r="B136" t="s">
        <v>330</v>
      </c>
      <c r="C136">
        <v>54</v>
      </c>
      <c r="D136" t="s">
        <v>9</v>
      </c>
      <c r="E136" t="s">
        <v>58</v>
      </c>
      <c r="F136" t="s">
        <v>11</v>
      </c>
      <c r="G136" t="s">
        <v>12</v>
      </c>
    </row>
    <row r="137" spans="1:7">
      <c r="A137" t="s">
        <v>331</v>
      </c>
      <c r="B137" t="s">
        <v>332</v>
      </c>
      <c r="C137">
        <v>33</v>
      </c>
      <c r="D137" t="s">
        <v>15</v>
      </c>
      <c r="E137" t="s">
        <v>117</v>
      </c>
      <c r="F137" t="s">
        <v>11</v>
      </c>
      <c r="G137" t="s">
        <v>17</v>
      </c>
    </row>
    <row r="138" spans="1:7">
      <c r="A138" t="s">
        <v>333</v>
      </c>
      <c r="B138" t="s">
        <v>334</v>
      </c>
      <c r="C138">
        <v>29</v>
      </c>
      <c r="D138" t="s">
        <v>9</v>
      </c>
      <c r="E138" t="s">
        <v>55</v>
      </c>
      <c r="F138" t="s">
        <v>11</v>
      </c>
      <c r="G138" t="s">
        <v>26</v>
      </c>
    </row>
    <row r="139" spans="1:7">
      <c r="A139" t="s">
        <v>335</v>
      </c>
      <c r="B139" t="s">
        <v>336</v>
      </c>
      <c r="C139">
        <v>55</v>
      </c>
      <c r="D139" t="s">
        <v>15</v>
      </c>
      <c r="E139" t="s">
        <v>21</v>
      </c>
      <c r="F139" t="s">
        <v>11</v>
      </c>
      <c r="G139" t="s">
        <v>17</v>
      </c>
    </row>
    <row r="140" spans="1:7">
      <c r="A140" t="s">
        <v>337</v>
      </c>
      <c r="B140" t="s">
        <v>338</v>
      </c>
      <c r="C140">
        <v>43</v>
      </c>
      <c r="D140" t="s">
        <v>9</v>
      </c>
      <c r="E140" t="s">
        <v>210</v>
      </c>
      <c r="F140" t="s">
        <v>11</v>
      </c>
      <c r="G140" t="s">
        <v>12</v>
      </c>
    </row>
    <row r="141" spans="1:7">
      <c r="A141" t="s">
        <v>339</v>
      </c>
      <c r="B141" t="s">
        <v>340</v>
      </c>
      <c r="C141">
        <v>32</v>
      </c>
      <c r="D141" t="s">
        <v>9</v>
      </c>
      <c r="E141" t="s">
        <v>89</v>
      </c>
      <c r="F141" t="s">
        <v>11</v>
      </c>
      <c r="G141" t="s">
        <v>22</v>
      </c>
    </row>
    <row r="142" spans="1:7">
      <c r="A142" t="s">
        <v>341</v>
      </c>
      <c r="B142" t="s">
        <v>342</v>
      </c>
      <c r="C142">
        <v>63</v>
      </c>
      <c r="D142" t="s">
        <v>15</v>
      </c>
      <c r="E142" t="s">
        <v>41</v>
      </c>
      <c r="F142" t="s">
        <v>11</v>
      </c>
      <c r="G142" t="s">
        <v>12</v>
      </c>
    </row>
    <row r="143" spans="1:7">
      <c r="A143" t="s">
        <v>343</v>
      </c>
      <c r="B143" t="s">
        <v>344</v>
      </c>
      <c r="C143">
        <v>30</v>
      </c>
      <c r="D143" t="s">
        <v>9</v>
      </c>
      <c r="E143" t="s">
        <v>25</v>
      </c>
      <c r="F143" t="s">
        <v>11</v>
      </c>
      <c r="G143" t="s">
        <v>22</v>
      </c>
    </row>
    <row r="144" spans="1:7">
      <c r="A144" t="s">
        <v>345</v>
      </c>
      <c r="B144" t="s">
        <v>346</v>
      </c>
      <c r="C144">
        <v>37</v>
      </c>
      <c r="D144" t="s">
        <v>9</v>
      </c>
      <c r="E144" t="s">
        <v>52</v>
      </c>
      <c r="F144" t="s">
        <v>11</v>
      </c>
      <c r="G144" t="s">
        <v>22</v>
      </c>
    </row>
    <row r="145" spans="1:7">
      <c r="A145" t="s">
        <v>347</v>
      </c>
      <c r="B145" t="s">
        <v>348</v>
      </c>
      <c r="C145">
        <v>46</v>
      </c>
      <c r="D145" t="s">
        <v>9</v>
      </c>
      <c r="E145" t="s">
        <v>19</v>
      </c>
      <c r="F145" t="s">
        <v>11</v>
      </c>
      <c r="G145" t="s">
        <v>22</v>
      </c>
    </row>
    <row r="146" spans="1:7">
      <c r="A146" t="s">
        <v>349</v>
      </c>
      <c r="B146" t="s">
        <v>350</v>
      </c>
      <c r="C146">
        <v>62</v>
      </c>
      <c r="D146" t="s">
        <v>15</v>
      </c>
      <c r="E146" t="s">
        <v>137</v>
      </c>
      <c r="F146" t="s">
        <v>11</v>
      </c>
      <c r="G146" t="s">
        <v>22</v>
      </c>
    </row>
    <row r="147" spans="1:7">
      <c r="A147" t="s">
        <v>351</v>
      </c>
      <c r="B147" t="s">
        <v>352</v>
      </c>
      <c r="C147">
        <v>46</v>
      </c>
      <c r="D147" t="s">
        <v>9</v>
      </c>
      <c r="E147" t="s">
        <v>187</v>
      </c>
      <c r="F147" t="s">
        <v>11</v>
      </c>
      <c r="G147" t="s">
        <v>17</v>
      </c>
    </row>
    <row r="148" spans="1:7">
      <c r="A148" t="s">
        <v>353</v>
      </c>
      <c r="B148" t="s">
        <v>354</v>
      </c>
      <c r="C148">
        <v>32</v>
      </c>
      <c r="D148" t="s">
        <v>15</v>
      </c>
      <c r="E148" t="s">
        <v>231</v>
      </c>
      <c r="F148" t="s">
        <v>11</v>
      </c>
      <c r="G148" t="s">
        <v>12</v>
      </c>
    </row>
    <row r="149" spans="1:7">
      <c r="A149" t="s">
        <v>355</v>
      </c>
      <c r="B149" t="s">
        <v>356</v>
      </c>
      <c r="C149">
        <v>49</v>
      </c>
      <c r="D149" t="s">
        <v>15</v>
      </c>
      <c r="E149" t="s">
        <v>122</v>
      </c>
      <c r="F149" t="s">
        <v>11</v>
      </c>
      <c r="G149" t="s">
        <v>17</v>
      </c>
    </row>
    <row r="150" spans="1:7">
      <c r="A150" t="s">
        <v>357</v>
      </c>
      <c r="B150" t="s">
        <v>358</v>
      </c>
      <c r="C150">
        <v>42</v>
      </c>
      <c r="D150" t="s">
        <v>15</v>
      </c>
      <c r="E150" t="s">
        <v>236</v>
      </c>
      <c r="F150" t="s">
        <v>11</v>
      </c>
      <c r="G150" t="s">
        <v>22</v>
      </c>
    </row>
    <row r="151" spans="1:7">
      <c r="A151" t="s">
        <v>359</v>
      </c>
      <c r="B151" t="s">
        <v>360</v>
      </c>
      <c r="C151">
        <v>33</v>
      </c>
      <c r="D151" t="s">
        <v>9</v>
      </c>
      <c r="E151" t="s">
        <v>184</v>
      </c>
      <c r="F151" t="s">
        <v>11</v>
      </c>
      <c r="G151" t="s">
        <v>17</v>
      </c>
    </row>
    <row r="152" spans="1:7">
      <c r="A152" t="s">
        <v>361</v>
      </c>
      <c r="B152" t="s">
        <v>362</v>
      </c>
      <c r="C152">
        <v>24</v>
      </c>
      <c r="D152" t="s">
        <v>9</v>
      </c>
      <c r="E152" t="s">
        <v>228</v>
      </c>
      <c r="F152" t="s">
        <v>11</v>
      </c>
      <c r="G152" t="s">
        <v>12</v>
      </c>
    </row>
    <row r="153" spans="1:7">
      <c r="A153" t="s">
        <v>363</v>
      </c>
      <c r="B153" t="s">
        <v>364</v>
      </c>
      <c r="C153">
        <v>25</v>
      </c>
      <c r="D153" t="s">
        <v>15</v>
      </c>
      <c r="E153" t="s">
        <v>29</v>
      </c>
      <c r="F153" t="s">
        <v>11</v>
      </c>
      <c r="G153" t="s">
        <v>12</v>
      </c>
    </row>
    <row r="154" spans="1:7">
      <c r="A154" t="s">
        <v>365</v>
      </c>
      <c r="B154" t="s">
        <v>366</v>
      </c>
      <c r="C154">
        <v>41</v>
      </c>
      <c r="D154" t="s">
        <v>15</v>
      </c>
      <c r="E154" t="s">
        <v>86</v>
      </c>
      <c r="F154" t="s">
        <v>11</v>
      </c>
      <c r="G154" t="s">
        <v>17</v>
      </c>
    </row>
    <row r="155" spans="1:7">
      <c r="A155" t="s">
        <v>367</v>
      </c>
      <c r="B155" t="s">
        <v>368</v>
      </c>
      <c r="C155">
        <v>31</v>
      </c>
      <c r="D155" t="s">
        <v>9</v>
      </c>
      <c r="E155" t="s">
        <v>16</v>
      </c>
      <c r="F155" t="s">
        <v>11</v>
      </c>
      <c r="G155" t="s">
        <v>22</v>
      </c>
    </row>
    <row r="156" spans="1:7">
      <c r="A156" t="s">
        <v>369</v>
      </c>
      <c r="B156" t="s">
        <v>370</v>
      </c>
      <c r="C156">
        <v>35</v>
      </c>
      <c r="D156" t="s">
        <v>15</v>
      </c>
      <c r="E156" t="s">
        <v>128</v>
      </c>
      <c r="F156" t="s">
        <v>11</v>
      </c>
      <c r="G156" t="s">
        <v>12</v>
      </c>
    </row>
    <row r="157" spans="1:7">
      <c r="A157" t="s">
        <v>371</v>
      </c>
      <c r="B157" t="s">
        <v>372</v>
      </c>
      <c r="C157">
        <v>60</v>
      </c>
      <c r="D157" t="s">
        <v>15</v>
      </c>
      <c r="E157" t="s">
        <v>196</v>
      </c>
      <c r="F157" t="s">
        <v>11</v>
      </c>
      <c r="G157" t="s">
        <v>12</v>
      </c>
    </row>
    <row r="158" spans="1:7">
      <c r="A158" t="s">
        <v>373</v>
      </c>
      <c r="B158" t="s">
        <v>374</v>
      </c>
      <c r="C158">
        <v>46</v>
      </c>
      <c r="D158" t="s">
        <v>9</v>
      </c>
      <c r="E158" t="s">
        <v>16</v>
      </c>
      <c r="F158" t="s">
        <v>11</v>
      </c>
      <c r="G158" t="s">
        <v>22</v>
      </c>
    </row>
    <row r="159" spans="1:7">
      <c r="A159" t="s">
        <v>375</v>
      </c>
      <c r="B159" t="s">
        <v>376</v>
      </c>
      <c r="C159">
        <v>59</v>
      </c>
      <c r="D159" t="s">
        <v>9</v>
      </c>
      <c r="E159" t="s">
        <v>16</v>
      </c>
      <c r="F159" t="s">
        <v>11</v>
      </c>
      <c r="G159" t="s">
        <v>17</v>
      </c>
    </row>
    <row r="160" spans="1:7">
      <c r="A160" t="s">
        <v>377</v>
      </c>
      <c r="B160" t="s">
        <v>378</v>
      </c>
      <c r="C160">
        <v>43</v>
      </c>
      <c r="D160" t="s">
        <v>9</v>
      </c>
      <c r="E160" t="s">
        <v>128</v>
      </c>
      <c r="F160" t="s">
        <v>11</v>
      </c>
      <c r="G160" t="s">
        <v>22</v>
      </c>
    </row>
    <row r="161" spans="1:7">
      <c r="A161" t="s">
        <v>379</v>
      </c>
      <c r="B161" t="s">
        <v>380</v>
      </c>
      <c r="C161">
        <v>46</v>
      </c>
      <c r="D161" t="s">
        <v>15</v>
      </c>
      <c r="E161" t="s">
        <v>68</v>
      </c>
      <c r="F161" t="s">
        <v>11</v>
      </c>
      <c r="G161" t="s">
        <v>12</v>
      </c>
    </row>
    <row r="162" spans="1:7">
      <c r="A162" t="s">
        <v>381</v>
      </c>
      <c r="B162" t="s">
        <v>382</v>
      </c>
      <c r="C162">
        <v>41</v>
      </c>
      <c r="D162" t="s">
        <v>15</v>
      </c>
      <c r="E162" t="s">
        <v>10</v>
      </c>
      <c r="F162" t="s">
        <v>11</v>
      </c>
      <c r="G162" t="s">
        <v>17</v>
      </c>
    </row>
    <row r="163" spans="1:7">
      <c r="A163" t="s">
        <v>383</v>
      </c>
      <c r="B163" t="s">
        <v>384</v>
      </c>
      <c r="C163">
        <v>18</v>
      </c>
      <c r="D163" t="s">
        <v>15</v>
      </c>
      <c r="E163" t="s">
        <v>101</v>
      </c>
      <c r="F163" t="s">
        <v>11</v>
      </c>
      <c r="G163" t="s">
        <v>26</v>
      </c>
    </row>
    <row r="164" spans="1:7">
      <c r="A164" t="s">
        <v>385</v>
      </c>
      <c r="B164" t="s">
        <v>386</v>
      </c>
      <c r="C164">
        <v>37</v>
      </c>
      <c r="D164" t="s">
        <v>9</v>
      </c>
      <c r="E164" t="s">
        <v>175</v>
      </c>
      <c r="F164" t="s">
        <v>11</v>
      </c>
      <c r="G164" t="s">
        <v>26</v>
      </c>
    </row>
    <row r="165" spans="1:7">
      <c r="A165" t="s">
        <v>387</v>
      </c>
      <c r="B165" t="s">
        <v>388</v>
      </c>
      <c r="C165">
        <v>21</v>
      </c>
      <c r="D165" t="s">
        <v>9</v>
      </c>
      <c r="E165" t="s">
        <v>144</v>
      </c>
      <c r="F165" t="s">
        <v>11</v>
      </c>
      <c r="G165" t="s">
        <v>22</v>
      </c>
    </row>
    <row r="166" spans="1:7">
      <c r="A166" t="s">
        <v>389</v>
      </c>
      <c r="B166" t="s">
        <v>390</v>
      </c>
      <c r="C166">
        <v>39</v>
      </c>
      <c r="D166" t="s">
        <v>15</v>
      </c>
      <c r="E166" t="s">
        <v>63</v>
      </c>
      <c r="F166" t="s">
        <v>11</v>
      </c>
      <c r="G166" t="s">
        <v>26</v>
      </c>
    </row>
    <row r="167" spans="1:7">
      <c r="A167" t="s">
        <v>391</v>
      </c>
      <c r="B167" t="s">
        <v>392</v>
      </c>
      <c r="C167">
        <v>47</v>
      </c>
      <c r="D167" t="s">
        <v>15</v>
      </c>
      <c r="E167" t="s">
        <v>144</v>
      </c>
      <c r="F167" t="s">
        <v>11</v>
      </c>
      <c r="G167" t="s">
        <v>17</v>
      </c>
    </row>
    <row r="168" spans="1:7">
      <c r="A168" t="s">
        <v>393</v>
      </c>
      <c r="B168" t="s">
        <v>394</v>
      </c>
      <c r="C168">
        <v>25</v>
      </c>
      <c r="D168" t="s">
        <v>15</v>
      </c>
      <c r="E168" t="s">
        <v>117</v>
      </c>
      <c r="F168" t="s">
        <v>11</v>
      </c>
      <c r="G168" t="s">
        <v>26</v>
      </c>
    </row>
    <row r="169" spans="1:7">
      <c r="A169" t="s">
        <v>395</v>
      </c>
      <c r="B169" t="s">
        <v>396</v>
      </c>
      <c r="C169">
        <v>36</v>
      </c>
      <c r="D169" t="s">
        <v>15</v>
      </c>
      <c r="E169" t="s">
        <v>175</v>
      </c>
      <c r="F169" t="s">
        <v>11</v>
      </c>
      <c r="G169" t="s">
        <v>12</v>
      </c>
    </row>
    <row r="170" spans="1:7">
      <c r="A170" t="s">
        <v>397</v>
      </c>
      <c r="B170" t="s">
        <v>398</v>
      </c>
      <c r="C170">
        <v>36</v>
      </c>
      <c r="D170" t="s">
        <v>15</v>
      </c>
      <c r="E170" t="s">
        <v>184</v>
      </c>
      <c r="F170" t="s">
        <v>11</v>
      </c>
      <c r="G170" t="s">
        <v>17</v>
      </c>
    </row>
    <row r="171" spans="1:7">
      <c r="A171" t="s">
        <v>399</v>
      </c>
      <c r="B171" t="s">
        <v>400</v>
      </c>
      <c r="C171">
        <v>64</v>
      </c>
      <c r="D171" t="s">
        <v>9</v>
      </c>
      <c r="E171" t="s">
        <v>38</v>
      </c>
      <c r="F171" t="s">
        <v>11</v>
      </c>
      <c r="G171" t="s">
        <v>22</v>
      </c>
    </row>
    <row r="172" spans="1:7">
      <c r="A172" t="s">
        <v>401</v>
      </c>
      <c r="B172" t="s">
        <v>3502</v>
      </c>
      <c r="C172">
        <v>18</v>
      </c>
      <c r="D172" t="s">
        <v>9</v>
      </c>
      <c r="E172" t="s">
        <v>86</v>
      </c>
      <c r="F172" t="s">
        <v>11</v>
      </c>
      <c r="G172" t="s">
        <v>12</v>
      </c>
    </row>
    <row r="173" spans="1:7">
      <c r="A173" t="s">
        <v>403</v>
      </c>
      <c r="B173" t="s">
        <v>404</v>
      </c>
      <c r="C173">
        <v>44</v>
      </c>
      <c r="D173" t="s">
        <v>15</v>
      </c>
      <c r="E173" t="s">
        <v>187</v>
      </c>
      <c r="F173" t="s">
        <v>11</v>
      </c>
      <c r="G173" t="s">
        <v>17</v>
      </c>
    </row>
    <row r="174" spans="1:7">
      <c r="A174" t="s">
        <v>405</v>
      </c>
      <c r="B174" t="s">
        <v>406</v>
      </c>
      <c r="C174">
        <v>41</v>
      </c>
      <c r="D174" t="s">
        <v>15</v>
      </c>
      <c r="E174" t="s">
        <v>35</v>
      </c>
      <c r="F174" t="s">
        <v>11</v>
      </c>
      <c r="G174" t="s">
        <v>22</v>
      </c>
    </row>
    <row r="175" spans="1:7">
      <c r="A175" t="s">
        <v>407</v>
      </c>
      <c r="B175" t="s">
        <v>408</v>
      </c>
      <c r="C175">
        <v>41</v>
      </c>
      <c r="D175" t="s">
        <v>15</v>
      </c>
      <c r="E175" t="s">
        <v>196</v>
      </c>
      <c r="F175" t="s">
        <v>11</v>
      </c>
      <c r="G175" t="s">
        <v>17</v>
      </c>
    </row>
    <row r="176" spans="1:7">
      <c r="A176" t="s">
        <v>409</v>
      </c>
      <c r="B176" t="s">
        <v>410</v>
      </c>
      <c r="C176">
        <v>26</v>
      </c>
      <c r="D176" t="s">
        <v>15</v>
      </c>
      <c r="E176" t="s">
        <v>128</v>
      </c>
      <c r="F176" t="s">
        <v>11</v>
      </c>
      <c r="G176" t="s">
        <v>12</v>
      </c>
    </row>
    <row r="177" spans="1:7">
      <c r="A177" t="s">
        <v>411</v>
      </c>
      <c r="B177" t="s">
        <v>412</v>
      </c>
      <c r="C177">
        <v>56</v>
      </c>
      <c r="D177" t="s">
        <v>9</v>
      </c>
      <c r="E177" t="s">
        <v>76</v>
      </c>
      <c r="F177" t="s">
        <v>11</v>
      </c>
      <c r="G177" t="s">
        <v>17</v>
      </c>
    </row>
    <row r="178" spans="1:7">
      <c r="A178" t="s">
        <v>413</v>
      </c>
      <c r="B178" t="s">
        <v>414</v>
      </c>
      <c r="C178">
        <v>48</v>
      </c>
      <c r="D178" t="s">
        <v>9</v>
      </c>
      <c r="E178" t="s">
        <v>128</v>
      </c>
      <c r="F178" t="s">
        <v>11</v>
      </c>
      <c r="G178" t="s">
        <v>26</v>
      </c>
    </row>
    <row r="179" spans="1:7">
      <c r="A179" t="s">
        <v>415</v>
      </c>
      <c r="B179" t="s">
        <v>416</v>
      </c>
      <c r="C179">
        <v>55</v>
      </c>
      <c r="D179" t="s">
        <v>9</v>
      </c>
      <c r="E179" t="s">
        <v>417</v>
      </c>
      <c r="F179" t="s">
        <v>11</v>
      </c>
      <c r="G179" t="s">
        <v>17</v>
      </c>
    </row>
    <row r="180" spans="1:7">
      <c r="A180" t="s">
        <v>418</v>
      </c>
      <c r="B180" t="s">
        <v>419</v>
      </c>
      <c r="C180">
        <v>33</v>
      </c>
      <c r="D180" t="s">
        <v>15</v>
      </c>
      <c r="E180" t="s">
        <v>231</v>
      </c>
      <c r="F180" t="s">
        <v>11</v>
      </c>
      <c r="G180" t="s">
        <v>22</v>
      </c>
    </row>
    <row r="181" spans="1:7">
      <c r="A181" t="s">
        <v>420</v>
      </c>
      <c r="B181" t="s">
        <v>421</v>
      </c>
      <c r="C181">
        <v>43</v>
      </c>
      <c r="D181" t="s">
        <v>15</v>
      </c>
      <c r="E181" t="s">
        <v>89</v>
      </c>
      <c r="F181" t="s">
        <v>11</v>
      </c>
      <c r="G181" t="s">
        <v>26</v>
      </c>
    </row>
    <row r="182" spans="1:7">
      <c r="A182" t="s">
        <v>422</v>
      </c>
      <c r="B182" t="s">
        <v>423</v>
      </c>
      <c r="C182">
        <v>38</v>
      </c>
      <c r="D182" t="s">
        <v>9</v>
      </c>
      <c r="E182" t="s">
        <v>312</v>
      </c>
      <c r="F182" t="s">
        <v>11</v>
      </c>
      <c r="G182" t="s">
        <v>22</v>
      </c>
    </row>
    <row r="183" spans="1:7">
      <c r="A183" t="s">
        <v>424</v>
      </c>
      <c r="B183" t="s">
        <v>425</v>
      </c>
      <c r="C183">
        <v>60</v>
      </c>
      <c r="D183" t="s">
        <v>9</v>
      </c>
      <c r="E183" t="s">
        <v>46</v>
      </c>
      <c r="F183" t="s">
        <v>11</v>
      </c>
      <c r="G183" t="s">
        <v>22</v>
      </c>
    </row>
    <row r="184" spans="1:7">
      <c r="A184" t="s">
        <v>426</v>
      </c>
      <c r="B184" t="s">
        <v>427</v>
      </c>
      <c r="C184">
        <v>23</v>
      </c>
      <c r="D184" t="s">
        <v>15</v>
      </c>
      <c r="E184" t="s">
        <v>74</v>
      </c>
      <c r="F184" t="s">
        <v>11</v>
      </c>
      <c r="G184" t="s">
        <v>26</v>
      </c>
    </row>
    <row r="185" spans="1:7">
      <c r="A185" t="s">
        <v>428</v>
      </c>
      <c r="B185" t="s">
        <v>429</v>
      </c>
      <c r="C185">
        <v>18</v>
      </c>
      <c r="D185" t="s">
        <v>9</v>
      </c>
      <c r="E185" t="s">
        <v>46</v>
      </c>
      <c r="F185" t="s">
        <v>11</v>
      </c>
      <c r="G185" t="s">
        <v>17</v>
      </c>
    </row>
    <row r="186" spans="1:7">
      <c r="A186" t="s">
        <v>430</v>
      </c>
      <c r="B186" t="s">
        <v>431</v>
      </c>
      <c r="C186">
        <v>46</v>
      </c>
      <c r="D186" t="s">
        <v>15</v>
      </c>
      <c r="E186" t="s">
        <v>16</v>
      </c>
      <c r="F186" t="s">
        <v>11</v>
      </c>
      <c r="G186" t="s">
        <v>26</v>
      </c>
    </row>
    <row r="187" spans="1:7">
      <c r="A187" t="s">
        <v>432</v>
      </c>
      <c r="B187" t="s">
        <v>433</v>
      </c>
      <c r="C187">
        <v>54</v>
      </c>
      <c r="D187" t="s">
        <v>15</v>
      </c>
      <c r="E187" t="s">
        <v>68</v>
      </c>
      <c r="F187" t="s">
        <v>11</v>
      </c>
      <c r="G187" t="s">
        <v>17</v>
      </c>
    </row>
    <row r="188" spans="1:7">
      <c r="A188" t="s">
        <v>434</v>
      </c>
      <c r="B188" t="s">
        <v>435</v>
      </c>
      <c r="C188">
        <v>53</v>
      </c>
      <c r="D188" t="s">
        <v>9</v>
      </c>
      <c r="E188" t="s">
        <v>86</v>
      </c>
      <c r="F188" t="s">
        <v>11</v>
      </c>
      <c r="G188" t="s">
        <v>26</v>
      </c>
    </row>
    <row r="189" spans="1:7">
      <c r="A189" t="s">
        <v>436</v>
      </c>
      <c r="B189" t="s">
        <v>437</v>
      </c>
      <c r="C189">
        <v>60</v>
      </c>
      <c r="D189" t="s">
        <v>15</v>
      </c>
      <c r="E189" t="s">
        <v>19</v>
      </c>
      <c r="F189" t="s">
        <v>11</v>
      </c>
      <c r="G189" t="s">
        <v>17</v>
      </c>
    </row>
    <row r="190" spans="1:7">
      <c r="A190" t="s">
        <v>438</v>
      </c>
      <c r="B190" t="s">
        <v>439</v>
      </c>
      <c r="C190">
        <v>42</v>
      </c>
      <c r="D190" t="s">
        <v>9</v>
      </c>
      <c r="E190" t="s">
        <v>172</v>
      </c>
      <c r="F190" t="s">
        <v>11</v>
      </c>
      <c r="G190" t="s">
        <v>26</v>
      </c>
    </row>
    <row r="191" spans="1:7">
      <c r="A191" t="s">
        <v>440</v>
      </c>
      <c r="B191" t="s">
        <v>441</v>
      </c>
      <c r="C191">
        <v>29</v>
      </c>
      <c r="D191" t="s">
        <v>9</v>
      </c>
      <c r="E191" t="s">
        <v>417</v>
      </c>
      <c r="F191" t="s">
        <v>11</v>
      </c>
      <c r="G191" t="s">
        <v>12</v>
      </c>
    </row>
    <row r="192" spans="1:7">
      <c r="A192" t="s">
        <v>442</v>
      </c>
      <c r="B192" t="s">
        <v>443</v>
      </c>
      <c r="C192">
        <v>21</v>
      </c>
      <c r="D192" t="s">
        <v>9</v>
      </c>
      <c r="E192" t="s">
        <v>46</v>
      </c>
      <c r="F192" t="s">
        <v>11</v>
      </c>
      <c r="G192" t="s">
        <v>22</v>
      </c>
    </row>
    <row r="193" spans="1:7">
      <c r="A193" t="s">
        <v>444</v>
      </c>
      <c r="B193" t="s">
        <v>445</v>
      </c>
      <c r="C193">
        <v>29</v>
      </c>
      <c r="D193" t="s">
        <v>15</v>
      </c>
      <c r="E193" t="s">
        <v>21</v>
      </c>
      <c r="F193" t="s">
        <v>11</v>
      </c>
      <c r="G193" t="s">
        <v>22</v>
      </c>
    </row>
    <row r="194" spans="1:7">
      <c r="A194" t="s">
        <v>446</v>
      </c>
      <c r="B194" t="s">
        <v>447</v>
      </c>
      <c r="C194">
        <v>26</v>
      </c>
      <c r="D194" t="s">
        <v>9</v>
      </c>
      <c r="E194" t="s">
        <v>81</v>
      </c>
      <c r="F194" t="s">
        <v>11</v>
      </c>
      <c r="G194" t="s">
        <v>12</v>
      </c>
    </row>
    <row r="195" spans="1:7">
      <c r="A195" t="s">
        <v>448</v>
      </c>
      <c r="B195" t="s">
        <v>449</v>
      </c>
      <c r="C195">
        <v>38</v>
      </c>
      <c r="D195" t="s">
        <v>9</v>
      </c>
      <c r="E195" t="s">
        <v>63</v>
      </c>
      <c r="F195" t="s">
        <v>11</v>
      </c>
      <c r="G195" t="s">
        <v>12</v>
      </c>
    </row>
    <row r="196" spans="1:7">
      <c r="A196" t="s">
        <v>450</v>
      </c>
      <c r="B196" t="s">
        <v>451</v>
      </c>
      <c r="C196">
        <v>46</v>
      </c>
      <c r="D196" t="s">
        <v>9</v>
      </c>
      <c r="E196" t="s">
        <v>41</v>
      </c>
      <c r="F196" t="s">
        <v>11</v>
      </c>
      <c r="G196" t="s">
        <v>12</v>
      </c>
    </row>
    <row r="197" spans="1:7">
      <c r="A197" t="s">
        <v>452</v>
      </c>
      <c r="B197" t="s">
        <v>453</v>
      </c>
      <c r="C197">
        <v>60</v>
      </c>
      <c r="D197" t="s">
        <v>9</v>
      </c>
      <c r="E197" t="s">
        <v>101</v>
      </c>
      <c r="F197" t="s">
        <v>11</v>
      </c>
      <c r="G197" t="s">
        <v>26</v>
      </c>
    </row>
    <row r="198" spans="1:7">
      <c r="A198" t="s">
        <v>454</v>
      </c>
      <c r="B198" t="s">
        <v>455</v>
      </c>
      <c r="C198">
        <v>18</v>
      </c>
      <c r="D198" t="s">
        <v>15</v>
      </c>
      <c r="E198" t="s">
        <v>122</v>
      </c>
      <c r="F198" t="s">
        <v>11</v>
      </c>
      <c r="G198" t="s">
        <v>17</v>
      </c>
    </row>
    <row r="199" spans="1:7">
      <c r="A199" t="s">
        <v>456</v>
      </c>
      <c r="B199" t="s">
        <v>457</v>
      </c>
      <c r="C199">
        <v>45</v>
      </c>
      <c r="D199" t="s">
        <v>15</v>
      </c>
      <c r="E199" t="s">
        <v>149</v>
      </c>
      <c r="F199" t="s">
        <v>11</v>
      </c>
      <c r="G199" t="s">
        <v>17</v>
      </c>
    </row>
    <row r="200" spans="1:7">
      <c r="A200" t="s">
        <v>458</v>
      </c>
      <c r="B200" t="s">
        <v>459</v>
      </c>
      <c r="C200">
        <v>54</v>
      </c>
      <c r="D200" t="s">
        <v>9</v>
      </c>
      <c r="E200" t="s">
        <v>128</v>
      </c>
      <c r="F200" t="s">
        <v>11</v>
      </c>
      <c r="G200" t="s">
        <v>22</v>
      </c>
    </row>
    <row r="201" spans="1:7">
      <c r="A201" t="s">
        <v>460</v>
      </c>
      <c r="B201" t="s">
        <v>461</v>
      </c>
      <c r="C201">
        <v>46</v>
      </c>
      <c r="D201" t="s">
        <v>9</v>
      </c>
      <c r="E201" t="s">
        <v>175</v>
      </c>
      <c r="F201" t="s">
        <v>11</v>
      </c>
      <c r="G201" t="s">
        <v>22</v>
      </c>
    </row>
    <row r="202" spans="1:7">
      <c r="A202" t="s">
        <v>462</v>
      </c>
      <c r="B202" t="s">
        <v>463</v>
      </c>
      <c r="C202">
        <v>30</v>
      </c>
      <c r="D202" t="s">
        <v>9</v>
      </c>
      <c r="E202" t="s">
        <v>312</v>
      </c>
      <c r="F202" t="s">
        <v>11</v>
      </c>
      <c r="G202" t="s">
        <v>17</v>
      </c>
    </row>
    <row r="203" spans="1:7">
      <c r="A203" t="s">
        <v>464</v>
      </c>
      <c r="B203" t="s">
        <v>465</v>
      </c>
      <c r="C203">
        <v>25</v>
      </c>
      <c r="D203" t="s">
        <v>15</v>
      </c>
      <c r="E203" t="s">
        <v>117</v>
      </c>
      <c r="F203" t="s">
        <v>11</v>
      </c>
      <c r="G203" t="s">
        <v>22</v>
      </c>
    </row>
    <row r="204" spans="1:7">
      <c r="A204" t="s">
        <v>466</v>
      </c>
      <c r="B204" t="s">
        <v>467</v>
      </c>
      <c r="C204">
        <v>37</v>
      </c>
      <c r="D204" t="s">
        <v>15</v>
      </c>
      <c r="E204" t="s">
        <v>49</v>
      </c>
      <c r="F204" t="s">
        <v>11</v>
      </c>
      <c r="G204" t="s">
        <v>17</v>
      </c>
    </row>
    <row r="205" spans="1:7">
      <c r="A205" t="s">
        <v>468</v>
      </c>
      <c r="B205" t="s">
        <v>469</v>
      </c>
      <c r="C205">
        <v>47</v>
      </c>
      <c r="D205" t="s">
        <v>9</v>
      </c>
      <c r="E205" t="s">
        <v>196</v>
      </c>
      <c r="F205" t="s">
        <v>11</v>
      </c>
      <c r="G205" t="s">
        <v>17</v>
      </c>
    </row>
    <row r="206" spans="1:7">
      <c r="A206" t="s">
        <v>470</v>
      </c>
      <c r="B206" t="s">
        <v>471</v>
      </c>
      <c r="C206">
        <v>52</v>
      </c>
      <c r="D206" t="s">
        <v>9</v>
      </c>
      <c r="E206" t="s">
        <v>210</v>
      </c>
      <c r="F206" t="s">
        <v>11</v>
      </c>
      <c r="G206" t="s">
        <v>17</v>
      </c>
    </row>
    <row r="207" spans="1:7">
      <c r="A207" t="s">
        <v>472</v>
      </c>
      <c r="B207" t="s">
        <v>473</v>
      </c>
      <c r="C207">
        <v>44</v>
      </c>
      <c r="D207" t="s">
        <v>15</v>
      </c>
      <c r="E207" t="s">
        <v>68</v>
      </c>
      <c r="F207" t="s">
        <v>11</v>
      </c>
      <c r="G207" t="s">
        <v>12</v>
      </c>
    </row>
    <row r="208" spans="1:7">
      <c r="A208" t="s">
        <v>474</v>
      </c>
      <c r="B208" t="s">
        <v>475</v>
      </c>
      <c r="C208">
        <v>26</v>
      </c>
      <c r="D208" t="s">
        <v>15</v>
      </c>
      <c r="E208" t="s">
        <v>175</v>
      </c>
      <c r="F208" t="s">
        <v>11</v>
      </c>
      <c r="G208" t="s">
        <v>26</v>
      </c>
    </row>
    <row r="209" spans="1:7">
      <c r="A209" t="s">
        <v>476</v>
      </c>
      <c r="B209" t="s">
        <v>477</v>
      </c>
      <c r="C209">
        <v>28</v>
      </c>
      <c r="D209" t="s">
        <v>15</v>
      </c>
      <c r="E209" t="s">
        <v>68</v>
      </c>
      <c r="F209" t="s">
        <v>11</v>
      </c>
      <c r="G209" t="s">
        <v>22</v>
      </c>
    </row>
    <row r="210" spans="1:7">
      <c r="A210" t="s">
        <v>478</v>
      </c>
      <c r="B210" t="s">
        <v>479</v>
      </c>
      <c r="C210">
        <v>54</v>
      </c>
      <c r="D210" t="s">
        <v>9</v>
      </c>
      <c r="E210" t="s">
        <v>239</v>
      </c>
      <c r="F210" t="s">
        <v>11</v>
      </c>
      <c r="G210" t="s">
        <v>17</v>
      </c>
    </row>
    <row r="211" spans="1:7">
      <c r="A211" t="s">
        <v>480</v>
      </c>
      <c r="B211" t="s">
        <v>481</v>
      </c>
      <c r="C211">
        <v>50</v>
      </c>
      <c r="D211" t="s">
        <v>15</v>
      </c>
      <c r="E211" t="s">
        <v>312</v>
      </c>
      <c r="F211" t="s">
        <v>11</v>
      </c>
      <c r="G211" t="s">
        <v>17</v>
      </c>
    </row>
    <row r="212" spans="1:7">
      <c r="A212" t="s">
        <v>482</v>
      </c>
      <c r="B212" t="s">
        <v>483</v>
      </c>
      <c r="C212">
        <v>48</v>
      </c>
      <c r="D212" t="s">
        <v>9</v>
      </c>
      <c r="E212" t="s">
        <v>63</v>
      </c>
      <c r="F212" t="s">
        <v>11</v>
      </c>
      <c r="G212" t="s">
        <v>26</v>
      </c>
    </row>
    <row r="213" spans="1:7">
      <c r="A213" t="s">
        <v>484</v>
      </c>
      <c r="B213" t="s">
        <v>485</v>
      </c>
      <c r="C213">
        <v>20</v>
      </c>
      <c r="D213" t="s">
        <v>15</v>
      </c>
      <c r="E213" t="s">
        <v>71</v>
      </c>
      <c r="F213" t="s">
        <v>11</v>
      </c>
      <c r="G213" t="s">
        <v>26</v>
      </c>
    </row>
    <row r="214" spans="1:7">
      <c r="A214" t="s">
        <v>486</v>
      </c>
      <c r="B214" t="s">
        <v>487</v>
      </c>
      <c r="C214">
        <v>63</v>
      </c>
      <c r="D214" t="s">
        <v>15</v>
      </c>
      <c r="E214" t="s">
        <v>58</v>
      </c>
      <c r="F214" t="s">
        <v>11</v>
      </c>
      <c r="G214" t="s">
        <v>17</v>
      </c>
    </row>
    <row r="215" spans="1:7">
      <c r="A215" t="s">
        <v>488</v>
      </c>
      <c r="B215" t="s">
        <v>489</v>
      </c>
      <c r="C215">
        <v>42</v>
      </c>
      <c r="D215" t="s">
        <v>15</v>
      </c>
      <c r="E215" t="s">
        <v>16</v>
      </c>
      <c r="F215" t="s">
        <v>11</v>
      </c>
      <c r="G215" t="s">
        <v>17</v>
      </c>
    </row>
    <row r="216" spans="1:7">
      <c r="A216" t="s">
        <v>490</v>
      </c>
      <c r="B216" t="s">
        <v>491</v>
      </c>
      <c r="C216">
        <v>61</v>
      </c>
      <c r="D216" t="s">
        <v>9</v>
      </c>
      <c r="E216" t="s">
        <v>52</v>
      </c>
      <c r="F216" t="s">
        <v>11</v>
      </c>
      <c r="G216" t="s">
        <v>12</v>
      </c>
    </row>
    <row r="217" spans="1:7">
      <c r="A217" t="s">
        <v>492</v>
      </c>
      <c r="B217" t="s">
        <v>493</v>
      </c>
      <c r="C217">
        <v>50</v>
      </c>
      <c r="D217" t="s">
        <v>15</v>
      </c>
      <c r="E217" t="s">
        <v>29</v>
      </c>
      <c r="F217" t="s">
        <v>11</v>
      </c>
      <c r="G217" t="s">
        <v>12</v>
      </c>
    </row>
    <row r="218" spans="1:7">
      <c r="A218" t="s">
        <v>494</v>
      </c>
      <c r="B218" t="s">
        <v>495</v>
      </c>
      <c r="C218">
        <v>44</v>
      </c>
      <c r="D218" t="s">
        <v>9</v>
      </c>
      <c r="E218" t="s">
        <v>25</v>
      </c>
      <c r="F218" t="s">
        <v>11</v>
      </c>
      <c r="G218" t="s">
        <v>17</v>
      </c>
    </row>
    <row r="219" spans="1:7">
      <c r="A219" t="s">
        <v>496</v>
      </c>
      <c r="B219" t="s">
        <v>497</v>
      </c>
      <c r="C219">
        <v>42</v>
      </c>
      <c r="D219" t="s">
        <v>9</v>
      </c>
      <c r="E219" t="s">
        <v>86</v>
      </c>
      <c r="F219" t="s">
        <v>11</v>
      </c>
      <c r="G219" t="s">
        <v>26</v>
      </c>
    </row>
    <row r="220" spans="1:7">
      <c r="A220" t="s">
        <v>498</v>
      </c>
      <c r="B220" t="s">
        <v>499</v>
      </c>
      <c r="C220">
        <v>46</v>
      </c>
      <c r="D220" t="s">
        <v>9</v>
      </c>
      <c r="E220" t="s">
        <v>25</v>
      </c>
      <c r="F220" t="s">
        <v>11</v>
      </c>
      <c r="G220" t="s">
        <v>17</v>
      </c>
    </row>
    <row r="221" spans="1:7">
      <c r="A221" t="s">
        <v>500</v>
      </c>
      <c r="B221" t="s">
        <v>501</v>
      </c>
      <c r="C221">
        <v>47</v>
      </c>
      <c r="D221" t="s">
        <v>15</v>
      </c>
      <c r="E221" t="s">
        <v>68</v>
      </c>
      <c r="F221" t="s">
        <v>11</v>
      </c>
      <c r="G221" t="s">
        <v>12</v>
      </c>
    </row>
    <row r="222" spans="1:7">
      <c r="A222" t="s">
        <v>502</v>
      </c>
      <c r="B222" t="s">
        <v>503</v>
      </c>
      <c r="C222">
        <v>50</v>
      </c>
      <c r="D222" t="s">
        <v>15</v>
      </c>
      <c r="E222" t="s">
        <v>504</v>
      </c>
      <c r="F222" t="s">
        <v>11</v>
      </c>
      <c r="G222" t="s">
        <v>22</v>
      </c>
    </row>
    <row r="223" spans="1:7">
      <c r="A223" t="s">
        <v>505</v>
      </c>
      <c r="B223" t="s">
        <v>506</v>
      </c>
      <c r="C223">
        <v>38</v>
      </c>
      <c r="D223" t="s">
        <v>9</v>
      </c>
      <c r="E223" t="s">
        <v>63</v>
      </c>
      <c r="F223" t="s">
        <v>11</v>
      </c>
      <c r="G223" t="s">
        <v>17</v>
      </c>
    </row>
    <row r="224" spans="1:7">
      <c r="A224" t="s">
        <v>507</v>
      </c>
      <c r="B224" t="s">
        <v>508</v>
      </c>
      <c r="C224">
        <v>35</v>
      </c>
      <c r="D224" t="s">
        <v>9</v>
      </c>
      <c r="E224" t="s">
        <v>172</v>
      </c>
      <c r="F224" t="s">
        <v>11</v>
      </c>
      <c r="G224" t="s">
        <v>17</v>
      </c>
    </row>
    <row r="225" spans="1:7">
      <c r="A225" t="s">
        <v>509</v>
      </c>
      <c r="B225" t="s">
        <v>510</v>
      </c>
      <c r="C225">
        <v>50</v>
      </c>
      <c r="D225" t="s">
        <v>9</v>
      </c>
      <c r="E225" t="s">
        <v>196</v>
      </c>
      <c r="F225" t="s">
        <v>11</v>
      </c>
      <c r="G225" t="s">
        <v>17</v>
      </c>
    </row>
    <row r="226" spans="1:7">
      <c r="A226" t="s">
        <v>511</v>
      </c>
      <c r="B226" t="s">
        <v>512</v>
      </c>
      <c r="C226">
        <v>29</v>
      </c>
      <c r="D226" t="s">
        <v>9</v>
      </c>
      <c r="E226" t="s">
        <v>86</v>
      </c>
      <c r="F226" t="s">
        <v>11</v>
      </c>
      <c r="G226" t="s">
        <v>26</v>
      </c>
    </row>
    <row r="227" spans="1:7">
      <c r="A227" t="s">
        <v>513</v>
      </c>
      <c r="B227" t="s">
        <v>514</v>
      </c>
      <c r="C227">
        <v>46</v>
      </c>
      <c r="D227" t="s">
        <v>15</v>
      </c>
      <c r="E227" t="s">
        <v>89</v>
      </c>
      <c r="F227" t="s">
        <v>11</v>
      </c>
      <c r="G227" t="s">
        <v>17</v>
      </c>
    </row>
    <row r="228" spans="1:7">
      <c r="A228" t="s">
        <v>515</v>
      </c>
      <c r="B228" t="s">
        <v>516</v>
      </c>
      <c r="C228">
        <v>54</v>
      </c>
      <c r="D228" t="s">
        <v>9</v>
      </c>
      <c r="E228" t="s">
        <v>122</v>
      </c>
      <c r="F228" t="s">
        <v>11</v>
      </c>
      <c r="G228" t="s">
        <v>12</v>
      </c>
    </row>
    <row r="229" spans="1:7">
      <c r="A229" t="s">
        <v>517</v>
      </c>
      <c r="B229" t="s">
        <v>518</v>
      </c>
      <c r="C229">
        <v>63</v>
      </c>
      <c r="D229" t="s">
        <v>15</v>
      </c>
      <c r="E229" t="s">
        <v>49</v>
      </c>
      <c r="F229" t="s">
        <v>11</v>
      </c>
      <c r="G229" t="s">
        <v>12</v>
      </c>
    </row>
    <row r="230" spans="1:7">
      <c r="A230" t="s">
        <v>519</v>
      </c>
      <c r="B230" t="s">
        <v>520</v>
      </c>
      <c r="C230">
        <v>52</v>
      </c>
      <c r="D230" t="s">
        <v>15</v>
      </c>
      <c r="E230" t="s">
        <v>89</v>
      </c>
      <c r="F230" t="s">
        <v>11</v>
      </c>
      <c r="G230" t="s">
        <v>12</v>
      </c>
    </row>
    <row r="231" spans="1:7">
      <c r="A231" t="s">
        <v>521</v>
      </c>
      <c r="B231" t="s">
        <v>522</v>
      </c>
      <c r="C231">
        <v>32</v>
      </c>
      <c r="D231" t="s">
        <v>15</v>
      </c>
      <c r="E231" t="s">
        <v>106</v>
      </c>
      <c r="F231" t="s">
        <v>11</v>
      </c>
      <c r="G231" t="s">
        <v>22</v>
      </c>
    </row>
    <row r="232" spans="1:7">
      <c r="A232" t="s">
        <v>523</v>
      </c>
      <c r="B232" t="s">
        <v>524</v>
      </c>
      <c r="C232">
        <v>29</v>
      </c>
      <c r="D232" t="s">
        <v>9</v>
      </c>
      <c r="E232" t="s">
        <v>184</v>
      </c>
      <c r="F232" t="s">
        <v>11</v>
      </c>
      <c r="G232" t="s">
        <v>22</v>
      </c>
    </row>
    <row r="233" spans="1:7">
      <c r="A233" t="s">
        <v>525</v>
      </c>
      <c r="B233" t="s">
        <v>526</v>
      </c>
      <c r="C233">
        <v>22</v>
      </c>
      <c r="D233" t="s">
        <v>15</v>
      </c>
      <c r="E233" t="s">
        <v>231</v>
      </c>
      <c r="F233" t="s">
        <v>11</v>
      </c>
      <c r="G233" t="s">
        <v>22</v>
      </c>
    </row>
    <row r="234" spans="1:7">
      <c r="A234" t="s">
        <v>527</v>
      </c>
      <c r="B234" t="s">
        <v>528</v>
      </c>
      <c r="C234">
        <v>27</v>
      </c>
      <c r="D234" t="s">
        <v>15</v>
      </c>
      <c r="E234" t="s">
        <v>68</v>
      </c>
      <c r="F234" t="s">
        <v>11</v>
      </c>
      <c r="G234" t="s">
        <v>17</v>
      </c>
    </row>
    <row r="235" spans="1:7">
      <c r="A235" t="s">
        <v>529</v>
      </c>
      <c r="B235" t="s">
        <v>530</v>
      </c>
      <c r="C235">
        <v>59</v>
      </c>
      <c r="D235" t="s">
        <v>9</v>
      </c>
      <c r="E235" t="s">
        <v>35</v>
      </c>
      <c r="F235" t="s">
        <v>11</v>
      </c>
      <c r="G235" t="s">
        <v>26</v>
      </c>
    </row>
    <row r="236" spans="1:7">
      <c r="A236" t="s">
        <v>531</v>
      </c>
      <c r="B236" t="s">
        <v>532</v>
      </c>
      <c r="C236">
        <v>43</v>
      </c>
      <c r="D236" t="s">
        <v>15</v>
      </c>
      <c r="E236" t="s">
        <v>49</v>
      </c>
      <c r="F236" t="s">
        <v>11</v>
      </c>
      <c r="G236" t="s">
        <v>12</v>
      </c>
    </row>
    <row r="237" spans="1:7">
      <c r="A237" t="s">
        <v>533</v>
      </c>
      <c r="B237" t="s">
        <v>534</v>
      </c>
      <c r="C237">
        <v>28</v>
      </c>
      <c r="D237" t="s">
        <v>15</v>
      </c>
      <c r="E237" t="s">
        <v>71</v>
      </c>
      <c r="F237" t="s">
        <v>11</v>
      </c>
      <c r="G237" t="s">
        <v>22</v>
      </c>
    </row>
    <row r="238" spans="1:7">
      <c r="A238" t="s">
        <v>535</v>
      </c>
      <c r="B238" t="s">
        <v>536</v>
      </c>
      <c r="C238">
        <v>42</v>
      </c>
      <c r="D238" t="s">
        <v>15</v>
      </c>
      <c r="E238" t="s">
        <v>210</v>
      </c>
      <c r="F238" t="s">
        <v>11</v>
      </c>
      <c r="G238" t="s">
        <v>22</v>
      </c>
    </row>
    <row r="239" spans="1:7">
      <c r="A239" t="s">
        <v>537</v>
      </c>
      <c r="B239" t="s">
        <v>538</v>
      </c>
      <c r="C239">
        <v>41</v>
      </c>
      <c r="D239" t="s">
        <v>15</v>
      </c>
      <c r="E239" t="s">
        <v>52</v>
      </c>
      <c r="F239" t="s">
        <v>11</v>
      </c>
      <c r="G239" t="s">
        <v>12</v>
      </c>
    </row>
    <row r="240" spans="1:7">
      <c r="A240" t="s">
        <v>539</v>
      </c>
      <c r="B240" t="s">
        <v>540</v>
      </c>
      <c r="C240">
        <v>40</v>
      </c>
      <c r="D240" t="s">
        <v>9</v>
      </c>
      <c r="E240" t="s">
        <v>35</v>
      </c>
      <c r="F240" t="s">
        <v>11</v>
      </c>
      <c r="G240" t="s">
        <v>17</v>
      </c>
    </row>
    <row r="241" spans="1:7">
      <c r="A241" t="s">
        <v>541</v>
      </c>
      <c r="B241" t="s">
        <v>542</v>
      </c>
      <c r="C241">
        <v>58</v>
      </c>
      <c r="D241" t="s">
        <v>15</v>
      </c>
      <c r="E241" t="s">
        <v>137</v>
      </c>
      <c r="F241" t="s">
        <v>11</v>
      </c>
      <c r="G241" t="s">
        <v>17</v>
      </c>
    </row>
    <row r="242" spans="1:7">
      <c r="A242" t="s">
        <v>543</v>
      </c>
      <c r="B242" t="s">
        <v>544</v>
      </c>
      <c r="C242">
        <v>59</v>
      </c>
      <c r="D242" t="s">
        <v>15</v>
      </c>
      <c r="E242" t="s">
        <v>117</v>
      </c>
      <c r="F242" t="s">
        <v>11</v>
      </c>
      <c r="G242" t="s">
        <v>17</v>
      </c>
    </row>
    <row r="243" spans="1:7">
      <c r="A243" t="s">
        <v>545</v>
      </c>
      <c r="B243" t="s">
        <v>546</v>
      </c>
      <c r="C243">
        <v>31</v>
      </c>
      <c r="D243" t="s">
        <v>9</v>
      </c>
      <c r="E243" t="s">
        <v>210</v>
      </c>
      <c r="F243" t="s">
        <v>11</v>
      </c>
      <c r="G243" t="s">
        <v>17</v>
      </c>
    </row>
    <row r="244" spans="1:7">
      <c r="A244" t="s">
        <v>547</v>
      </c>
      <c r="B244" t="s">
        <v>548</v>
      </c>
      <c r="C244">
        <v>58</v>
      </c>
      <c r="D244" t="s">
        <v>15</v>
      </c>
      <c r="E244" t="s">
        <v>125</v>
      </c>
      <c r="F244" t="s">
        <v>11</v>
      </c>
      <c r="G244" t="s">
        <v>26</v>
      </c>
    </row>
    <row r="245" spans="1:7">
      <c r="A245" t="s">
        <v>549</v>
      </c>
      <c r="B245" t="s">
        <v>550</v>
      </c>
      <c r="C245">
        <v>56</v>
      </c>
      <c r="D245" t="s">
        <v>15</v>
      </c>
      <c r="E245" t="s">
        <v>260</v>
      </c>
      <c r="F245" t="s">
        <v>11</v>
      </c>
      <c r="G245" t="s">
        <v>12</v>
      </c>
    </row>
    <row r="246" spans="1:7">
      <c r="A246" t="s">
        <v>551</v>
      </c>
      <c r="B246" t="s">
        <v>552</v>
      </c>
      <c r="C246">
        <v>19</v>
      </c>
      <c r="D246" t="s">
        <v>9</v>
      </c>
      <c r="E246" t="s">
        <v>89</v>
      </c>
      <c r="F246" t="s">
        <v>11</v>
      </c>
      <c r="G246" t="s">
        <v>22</v>
      </c>
    </row>
    <row r="247" spans="1:7">
      <c r="A247" t="s">
        <v>553</v>
      </c>
      <c r="B247" t="s">
        <v>554</v>
      </c>
      <c r="C247">
        <v>57</v>
      </c>
      <c r="D247" t="s">
        <v>15</v>
      </c>
      <c r="E247" t="s">
        <v>117</v>
      </c>
      <c r="F247" t="s">
        <v>11</v>
      </c>
      <c r="G247" t="s">
        <v>17</v>
      </c>
    </row>
    <row r="248" spans="1:7">
      <c r="A248" t="s">
        <v>555</v>
      </c>
      <c r="B248" t="s">
        <v>556</v>
      </c>
      <c r="C248">
        <v>58</v>
      </c>
      <c r="D248" t="s">
        <v>9</v>
      </c>
      <c r="E248" t="s">
        <v>213</v>
      </c>
      <c r="F248" t="s">
        <v>11</v>
      </c>
      <c r="G248" t="s">
        <v>22</v>
      </c>
    </row>
    <row r="249" spans="1:7">
      <c r="A249" t="s">
        <v>557</v>
      </c>
      <c r="B249" t="s">
        <v>558</v>
      </c>
      <c r="C249">
        <v>32</v>
      </c>
      <c r="D249" t="s">
        <v>9</v>
      </c>
      <c r="E249" t="s">
        <v>38</v>
      </c>
      <c r="F249" t="s">
        <v>11</v>
      </c>
      <c r="G249" t="s">
        <v>17</v>
      </c>
    </row>
    <row r="250" spans="1:7">
      <c r="A250" t="s">
        <v>559</v>
      </c>
      <c r="B250" t="s">
        <v>560</v>
      </c>
      <c r="C250">
        <v>19</v>
      </c>
      <c r="D250" t="s">
        <v>9</v>
      </c>
      <c r="E250" t="s">
        <v>137</v>
      </c>
      <c r="F250" t="s">
        <v>11</v>
      </c>
      <c r="G250" t="s">
        <v>12</v>
      </c>
    </row>
    <row r="251" spans="1:7">
      <c r="A251" t="s">
        <v>561</v>
      </c>
      <c r="B251" t="s">
        <v>562</v>
      </c>
      <c r="C251">
        <v>41</v>
      </c>
      <c r="D251" t="s">
        <v>15</v>
      </c>
      <c r="E251" t="s">
        <v>46</v>
      </c>
      <c r="F251" t="s">
        <v>11</v>
      </c>
      <c r="G251" t="s">
        <v>12</v>
      </c>
    </row>
    <row r="252" spans="1:7">
      <c r="A252" t="s">
        <v>563</v>
      </c>
      <c r="B252" t="s">
        <v>564</v>
      </c>
      <c r="C252">
        <v>48</v>
      </c>
      <c r="D252" t="s">
        <v>9</v>
      </c>
      <c r="E252" t="s">
        <v>71</v>
      </c>
      <c r="F252" t="s">
        <v>11</v>
      </c>
      <c r="G252" t="s">
        <v>17</v>
      </c>
    </row>
    <row r="253" spans="1:7">
      <c r="A253" t="s">
        <v>565</v>
      </c>
      <c r="B253" t="s">
        <v>566</v>
      </c>
      <c r="C253">
        <v>64</v>
      </c>
      <c r="D253" t="s">
        <v>9</v>
      </c>
      <c r="E253" t="s">
        <v>19</v>
      </c>
      <c r="F253" t="s">
        <v>11</v>
      </c>
      <c r="G253" t="s">
        <v>26</v>
      </c>
    </row>
    <row r="254" spans="1:7">
      <c r="A254" t="s">
        <v>567</v>
      </c>
      <c r="B254" t="s">
        <v>568</v>
      </c>
      <c r="C254">
        <v>26</v>
      </c>
      <c r="D254" t="s">
        <v>9</v>
      </c>
      <c r="E254" t="s">
        <v>32</v>
      </c>
      <c r="F254" t="s">
        <v>11</v>
      </c>
      <c r="G254" t="s">
        <v>26</v>
      </c>
    </row>
    <row r="255" spans="1:7">
      <c r="A255" t="s">
        <v>569</v>
      </c>
      <c r="B255" t="s">
        <v>3503</v>
      </c>
      <c r="C255">
        <v>32</v>
      </c>
      <c r="D255" t="s">
        <v>9</v>
      </c>
      <c r="E255" t="s">
        <v>236</v>
      </c>
      <c r="F255" t="s">
        <v>11</v>
      </c>
      <c r="G255" t="s">
        <v>22</v>
      </c>
    </row>
    <row r="256" spans="1:7">
      <c r="A256" t="s">
        <v>571</v>
      </c>
      <c r="B256" t="s">
        <v>572</v>
      </c>
      <c r="C256">
        <v>34</v>
      </c>
      <c r="D256" t="s">
        <v>9</v>
      </c>
      <c r="E256" t="s">
        <v>122</v>
      </c>
      <c r="F256" t="s">
        <v>11</v>
      </c>
      <c r="G256" t="s">
        <v>26</v>
      </c>
    </row>
    <row r="257" spans="1:7">
      <c r="A257" t="s">
        <v>573</v>
      </c>
      <c r="B257" t="s">
        <v>574</v>
      </c>
      <c r="C257">
        <v>21</v>
      </c>
      <c r="D257" t="s">
        <v>9</v>
      </c>
      <c r="E257" t="s">
        <v>21</v>
      </c>
      <c r="F257" t="s">
        <v>11</v>
      </c>
      <c r="G257" t="s">
        <v>12</v>
      </c>
    </row>
    <row r="258" spans="1:7">
      <c r="A258" t="s">
        <v>575</v>
      </c>
      <c r="B258" t="s">
        <v>576</v>
      </c>
      <c r="C258">
        <v>57</v>
      </c>
      <c r="D258" t="s">
        <v>9</v>
      </c>
      <c r="E258" t="s">
        <v>213</v>
      </c>
      <c r="F258" t="s">
        <v>11</v>
      </c>
      <c r="G258" t="s">
        <v>17</v>
      </c>
    </row>
    <row r="259" spans="1:7">
      <c r="A259" t="s">
        <v>577</v>
      </c>
      <c r="B259" t="s">
        <v>578</v>
      </c>
      <c r="C259">
        <v>42</v>
      </c>
      <c r="D259" t="s">
        <v>9</v>
      </c>
      <c r="E259" t="s">
        <v>504</v>
      </c>
      <c r="F259" t="s">
        <v>11</v>
      </c>
      <c r="G259" t="s">
        <v>26</v>
      </c>
    </row>
    <row r="260" spans="1:7">
      <c r="A260" t="s">
        <v>579</v>
      </c>
      <c r="B260" t="s">
        <v>580</v>
      </c>
      <c r="C260">
        <v>24</v>
      </c>
      <c r="D260" t="s">
        <v>15</v>
      </c>
      <c r="E260" t="s">
        <v>260</v>
      </c>
      <c r="F260" t="s">
        <v>11</v>
      </c>
      <c r="G260" t="s">
        <v>17</v>
      </c>
    </row>
    <row r="261" spans="1:7">
      <c r="A261" t="s">
        <v>581</v>
      </c>
      <c r="B261" t="s">
        <v>582</v>
      </c>
      <c r="C261">
        <v>32</v>
      </c>
      <c r="D261" t="s">
        <v>15</v>
      </c>
      <c r="E261" t="s">
        <v>74</v>
      </c>
      <c r="F261" t="s">
        <v>11</v>
      </c>
      <c r="G261" t="s">
        <v>26</v>
      </c>
    </row>
    <row r="262" spans="1:7">
      <c r="A262" t="s">
        <v>583</v>
      </c>
      <c r="B262" t="s">
        <v>584</v>
      </c>
      <c r="C262">
        <v>63</v>
      </c>
      <c r="D262" t="s">
        <v>15</v>
      </c>
      <c r="E262" t="s">
        <v>101</v>
      </c>
      <c r="F262" t="s">
        <v>11</v>
      </c>
      <c r="G262" t="s">
        <v>17</v>
      </c>
    </row>
    <row r="263" spans="1:7">
      <c r="A263" t="s">
        <v>585</v>
      </c>
      <c r="B263" t="s">
        <v>586</v>
      </c>
      <c r="C263">
        <v>27</v>
      </c>
      <c r="D263" t="s">
        <v>15</v>
      </c>
      <c r="E263" t="s">
        <v>29</v>
      </c>
      <c r="F263" t="s">
        <v>11</v>
      </c>
      <c r="G263" t="s">
        <v>26</v>
      </c>
    </row>
    <row r="264" spans="1:7">
      <c r="A264" t="s">
        <v>587</v>
      </c>
      <c r="B264" t="s">
        <v>588</v>
      </c>
      <c r="C264">
        <v>60</v>
      </c>
      <c r="D264" t="s">
        <v>15</v>
      </c>
      <c r="E264" t="s">
        <v>52</v>
      </c>
      <c r="F264" t="s">
        <v>11</v>
      </c>
      <c r="G264" t="s">
        <v>26</v>
      </c>
    </row>
    <row r="265" spans="1:7">
      <c r="A265" t="s">
        <v>589</v>
      </c>
      <c r="B265" t="s">
        <v>590</v>
      </c>
      <c r="C265">
        <v>50</v>
      </c>
      <c r="D265" t="s">
        <v>9</v>
      </c>
      <c r="E265" t="s">
        <v>239</v>
      </c>
      <c r="F265" t="s">
        <v>11</v>
      </c>
      <c r="G265" t="s">
        <v>22</v>
      </c>
    </row>
    <row r="266" spans="1:7">
      <c r="A266" t="s">
        <v>591</v>
      </c>
      <c r="B266" t="s">
        <v>592</v>
      </c>
      <c r="C266">
        <v>25</v>
      </c>
      <c r="D266" t="s">
        <v>9</v>
      </c>
      <c r="E266" t="s">
        <v>593</v>
      </c>
      <c r="F266" t="s">
        <v>11</v>
      </c>
      <c r="G266" t="s">
        <v>12</v>
      </c>
    </row>
    <row r="267" spans="1:7">
      <c r="A267" t="s">
        <v>594</v>
      </c>
      <c r="B267" t="s">
        <v>595</v>
      </c>
      <c r="C267">
        <v>38</v>
      </c>
      <c r="D267" t="s">
        <v>9</v>
      </c>
      <c r="E267" t="s">
        <v>175</v>
      </c>
      <c r="F267" t="s">
        <v>11</v>
      </c>
      <c r="G267" t="s">
        <v>26</v>
      </c>
    </row>
    <row r="268" spans="1:7">
      <c r="A268" t="s">
        <v>596</v>
      </c>
      <c r="B268" t="s">
        <v>597</v>
      </c>
      <c r="C268">
        <v>32</v>
      </c>
      <c r="D268" t="s">
        <v>15</v>
      </c>
      <c r="E268" t="s">
        <v>417</v>
      </c>
      <c r="F268" t="s">
        <v>11</v>
      </c>
      <c r="G268" t="s">
        <v>22</v>
      </c>
    </row>
    <row r="269" spans="1:7">
      <c r="A269" t="s">
        <v>598</v>
      </c>
      <c r="B269" t="s">
        <v>599</v>
      </c>
      <c r="C269">
        <v>18</v>
      </c>
      <c r="D269" t="s">
        <v>9</v>
      </c>
      <c r="E269" t="s">
        <v>52</v>
      </c>
      <c r="F269" t="s">
        <v>11</v>
      </c>
      <c r="G269" t="s">
        <v>22</v>
      </c>
    </row>
    <row r="270" spans="1:7">
      <c r="A270" t="s">
        <v>600</v>
      </c>
      <c r="B270" t="s">
        <v>601</v>
      </c>
      <c r="C270">
        <v>53</v>
      </c>
      <c r="D270" t="s">
        <v>15</v>
      </c>
      <c r="E270" t="s">
        <v>149</v>
      </c>
      <c r="F270" t="s">
        <v>11</v>
      </c>
      <c r="G270" t="s">
        <v>22</v>
      </c>
    </row>
    <row r="271" spans="1:7">
      <c r="A271" t="s">
        <v>602</v>
      </c>
      <c r="B271" t="s">
        <v>603</v>
      </c>
      <c r="C271">
        <v>45</v>
      </c>
      <c r="D271" t="s">
        <v>15</v>
      </c>
      <c r="E271" t="s">
        <v>25</v>
      </c>
      <c r="F271" t="s">
        <v>11</v>
      </c>
      <c r="G271" t="s">
        <v>26</v>
      </c>
    </row>
    <row r="272" spans="1:7">
      <c r="A272" t="s">
        <v>604</v>
      </c>
      <c r="B272" t="s">
        <v>605</v>
      </c>
      <c r="C272">
        <v>31</v>
      </c>
      <c r="D272" t="s">
        <v>15</v>
      </c>
      <c r="E272" t="s">
        <v>239</v>
      </c>
      <c r="F272" t="s">
        <v>11</v>
      </c>
      <c r="G272" t="s">
        <v>12</v>
      </c>
    </row>
    <row r="273" spans="1:7">
      <c r="A273" t="s">
        <v>606</v>
      </c>
      <c r="B273" t="s">
        <v>3504</v>
      </c>
      <c r="C273">
        <v>64</v>
      </c>
      <c r="D273" t="s">
        <v>9</v>
      </c>
      <c r="E273" t="s">
        <v>55</v>
      </c>
      <c r="F273" t="s">
        <v>11</v>
      </c>
      <c r="G273" t="s">
        <v>17</v>
      </c>
    </row>
    <row r="274" spans="1:7">
      <c r="A274" t="s">
        <v>608</v>
      </c>
      <c r="B274" t="s">
        <v>609</v>
      </c>
      <c r="C274">
        <v>48</v>
      </c>
      <c r="D274" t="s">
        <v>15</v>
      </c>
      <c r="E274" t="s">
        <v>25</v>
      </c>
      <c r="F274" t="s">
        <v>11</v>
      </c>
      <c r="G274" t="s">
        <v>12</v>
      </c>
    </row>
    <row r="275" spans="1:7">
      <c r="A275" t="s">
        <v>610</v>
      </c>
      <c r="B275" t="s">
        <v>611</v>
      </c>
      <c r="C275">
        <v>23</v>
      </c>
      <c r="D275" t="s">
        <v>9</v>
      </c>
      <c r="E275" t="s">
        <v>228</v>
      </c>
      <c r="F275" t="s">
        <v>11</v>
      </c>
      <c r="G275" t="s">
        <v>22</v>
      </c>
    </row>
    <row r="276" spans="1:7">
      <c r="A276" t="s">
        <v>612</v>
      </c>
      <c r="B276" t="s">
        <v>613</v>
      </c>
      <c r="C276">
        <v>38</v>
      </c>
      <c r="D276" t="s">
        <v>9</v>
      </c>
      <c r="E276" t="s">
        <v>128</v>
      </c>
      <c r="F276" t="s">
        <v>11</v>
      </c>
      <c r="G276" t="s">
        <v>26</v>
      </c>
    </row>
    <row r="277" spans="1:7">
      <c r="A277" t="s">
        <v>614</v>
      </c>
      <c r="B277" t="s">
        <v>615</v>
      </c>
      <c r="C277">
        <v>22</v>
      </c>
      <c r="D277" t="s">
        <v>9</v>
      </c>
      <c r="E277" t="s">
        <v>417</v>
      </c>
      <c r="F277" t="s">
        <v>11</v>
      </c>
      <c r="G277" t="s">
        <v>12</v>
      </c>
    </row>
    <row r="278" spans="1:7">
      <c r="A278" t="s">
        <v>616</v>
      </c>
      <c r="B278" t="s">
        <v>617</v>
      </c>
      <c r="C278">
        <v>38</v>
      </c>
      <c r="D278" t="s">
        <v>9</v>
      </c>
      <c r="E278" t="s">
        <v>137</v>
      </c>
      <c r="F278" t="s">
        <v>11</v>
      </c>
      <c r="G278" t="s">
        <v>12</v>
      </c>
    </row>
    <row r="279" spans="1:7">
      <c r="A279" t="s">
        <v>618</v>
      </c>
      <c r="B279" t="s">
        <v>619</v>
      </c>
      <c r="C279">
        <v>22</v>
      </c>
      <c r="D279" t="s">
        <v>15</v>
      </c>
      <c r="E279" t="s">
        <v>201</v>
      </c>
      <c r="F279" t="s">
        <v>11</v>
      </c>
      <c r="G279" t="s">
        <v>17</v>
      </c>
    </row>
    <row r="280" spans="1:7">
      <c r="A280" t="s">
        <v>620</v>
      </c>
      <c r="B280" t="s">
        <v>621</v>
      </c>
      <c r="C280">
        <v>42</v>
      </c>
      <c r="D280" t="s">
        <v>15</v>
      </c>
      <c r="E280" t="s">
        <v>161</v>
      </c>
      <c r="F280" t="s">
        <v>11</v>
      </c>
      <c r="G280" t="s">
        <v>17</v>
      </c>
    </row>
    <row r="281" spans="1:7">
      <c r="A281" t="s">
        <v>622</v>
      </c>
      <c r="B281" t="s">
        <v>623</v>
      </c>
      <c r="C281">
        <v>21</v>
      </c>
      <c r="D281" t="s">
        <v>15</v>
      </c>
      <c r="E281" t="s">
        <v>21</v>
      </c>
      <c r="F281" t="s">
        <v>11</v>
      </c>
      <c r="G281" t="s">
        <v>22</v>
      </c>
    </row>
    <row r="282" spans="1:7">
      <c r="A282" t="s">
        <v>624</v>
      </c>
      <c r="B282" t="s">
        <v>625</v>
      </c>
      <c r="C282">
        <v>48</v>
      </c>
      <c r="D282" t="s">
        <v>9</v>
      </c>
      <c r="E282" t="s">
        <v>76</v>
      </c>
      <c r="F282" t="s">
        <v>11</v>
      </c>
      <c r="G282" t="s">
        <v>22</v>
      </c>
    </row>
    <row r="283" spans="1:7">
      <c r="A283" t="s">
        <v>626</v>
      </c>
      <c r="B283" t="s">
        <v>627</v>
      </c>
      <c r="C283">
        <v>59</v>
      </c>
      <c r="D283" t="s">
        <v>9</v>
      </c>
      <c r="E283" t="s">
        <v>125</v>
      </c>
      <c r="F283" t="s">
        <v>11</v>
      </c>
      <c r="G283" t="s">
        <v>17</v>
      </c>
    </row>
    <row r="284" spans="1:7">
      <c r="A284" t="s">
        <v>628</v>
      </c>
      <c r="B284" t="s">
        <v>629</v>
      </c>
      <c r="C284">
        <v>46</v>
      </c>
      <c r="D284" t="s">
        <v>15</v>
      </c>
      <c r="E284" t="s">
        <v>68</v>
      </c>
      <c r="F284" t="s">
        <v>11</v>
      </c>
      <c r="G284" t="s">
        <v>12</v>
      </c>
    </row>
    <row r="285" spans="1:7">
      <c r="A285" t="s">
        <v>630</v>
      </c>
      <c r="B285" t="s">
        <v>631</v>
      </c>
      <c r="C285">
        <v>54</v>
      </c>
      <c r="D285" t="s">
        <v>15</v>
      </c>
      <c r="E285" t="s">
        <v>593</v>
      </c>
      <c r="F285" t="s">
        <v>11</v>
      </c>
      <c r="G285" t="s">
        <v>26</v>
      </c>
    </row>
    <row r="286" spans="1:7">
      <c r="A286" t="s">
        <v>632</v>
      </c>
      <c r="B286" t="s">
        <v>633</v>
      </c>
      <c r="C286">
        <v>54</v>
      </c>
      <c r="D286" t="s">
        <v>9</v>
      </c>
      <c r="E286" t="s">
        <v>125</v>
      </c>
      <c r="F286" t="s">
        <v>11</v>
      </c>
      <c r="G286" t="s">
        <v>12</v>
      </c>
    </row>
    <row r="287" spans="1:7">
      <c r="A287" t="s">
        <v>634</v>
      </c>
      <c r="B287" t="s">
        <v>635</v>
      </c>
      <c r="C287">
        <v>46</v>
      </c>
      <c r="D287" t="s">
        <v>15</v>
      </c>
      <c r="E287" t="s">
        <v>504</v>
      </c>
      <c r="F287" t="s">
        <v>11</v>
      </c>
      <c r="G287" t="s">
        <v>26</v>
      </c>
    </row>
    <row r="288" spans="1:7">
      <c r="A288" t="s">
        <v>636</v>
      </c>
      <c r="B288" t="s">
        <v>637</v>
      </c>
      <c r="C288">
        <v>22</v>
      </c>
      <c r="D288" t="s">
        <v>9</v>
      </c>
      <c r="E288" t="s">
        <v>32</v>
      </c>
      <c r="F288" t="s">
        <v>11</v>
      </c>
      <c r="G288" t="s">
        <v>26</v>
      </c>
    </row>
    <row r="289" spans="1:7">
      <c r="A289" t="s">
        <v>638</v>
      </c>
      <c r="B289" t="s">
        <v>639</v>
      </c>
      <c r="C289">
        <v>22</v>
      </c>
      <c r="D289" t="s">
        <v>15</v>
      </c>
      <c r="E289" t="s">
        <v>128</v>
      </c>
      <c r="F289" t="s">
        <v>11</v>
      </c>
      <c r="G289" t="s">
        <v>12</v>
      </c>
    </row>
    <row r="290" spans="1:7">
      <c r="A290" t="s">
        <v>640</v>
      </c>
      <c r="B290" t="s">
        <v>641</v>
      </c>
      <c r="C290">
        <v>58</v>
      </c>
      <c r="D290" t="s">
        <v>9</v>
      </c>
      <c r="E290" t="s">
        <v>125</v>
      </c>
      <c r="F290" t="s">
        <v>11</v>
      </c>
      <c r="G290" t="s">
        <v>12</v>
      </c>
    </row>
    <row r="291" spans="1:7">
      <c r="A291" t="s">
        <v>642</v>
      </c>
      <c r="B291" t="s">
        <v>643</v>
      </c>
      <c r="C291">
        <v>45</v>
      </c>
      <c r="D291" t="s">
        <v>9</v>
      </c>
      <c r="E291" t="s">
        <v>21</v>
      </c>
      <c r="F291" t="s">
        <v>11</v>
      </c>
      <c r="G291" t="s">
        <v>22</v>
      </c>
    </row>
    <row r="292" spans="1:7">
      <c r="A292" t="s">
        <v>644</v>
      </c>
      <c r="B292" t="s">
        <v>3505</v>
      </c>
      <c r="C292">
        <v>52</v>
      </c>
      <c r="D292" t="s">
        <v>15</v>
      </c>
      <c r="E292" t="s">
        <v>210</v>
      </c>
      <c r="F292" t="s">
        <v>11</v>
      </c>
      <c r="G292" t="s">
        <v>26</v>
      </c>
    </row>
    <row r="293" spans="1:7">
      <c r="A293" t="s">
        <v>646</v>
      </c>
      <c r="B293" t="s">
        <v>647</v>
      </c>
      <c r="C293">
        <v>40</v>
      </c>
      <c r="D293" t="s">
        <v>15</v>
      </c>
      <c r="E293" t="s">
        <v>86</v>
      </c>
      <c r="F293" t="s">
        <v>11</v>
      </c>
      <c r="G293" t="s">
        <v>22</v>
      </c>
    </row>
    <row r="294" spans="1:7">
      <c r="A294" t="s">
        <v>648</v>
      </c>
      <c r="B294" t="s">
        <v>649</v>
      </c>
      <c r="C294">
        <v>30</v>
      </c>
      <c r="D294" t="s">
        <v>9</v>
      </c>
      <c r="E294" t="s">
        <v>149</v>
      </c>
      <c r="F294" t="s">
        <v>11</v>
      </c>
      <c r="G294" t="s">
        <v>26</v>
      </c>
    </row>
    <row r="295" spans="1:7">
      <c r="A295" t="s">
        <v>650</v>
      </c>
      <c r="B295" t="s">
        <v>651</v>
      </c>
      <c r="C295">
        <v>56</v>
      </c>
      <c r="D295" t="s">
        <v>15</v>
      </c>
      <c r="E295" t="s">
        <v>239</v>
      </c>
      <c r="F295" t="s">
        <v>11</v>
      </c>
      <c r="G295" t="s">
        <v>17</v>
      </c>
    </row>
    <row r="296" spans="1:7">
      <c r="A296" t="s">
        <v>652</v>
      </c>
      <c r="B296" t="s">
        <v>653</v>
      </c>
      <c r="C296">
        <v>29</v>
      </c>
      <c r="D296" t="s">
        <v>9</v>
      </c>
      <c r="E296" t="s">
        <v>52</v>
      </c>
      <c r="F296" t="s">
        <v>11</v>
      </c>
      <c r="G296" t="s">
        <v>17</v>
      </c>
    </row>
    <row r="297" spans="1:7">
      <c r="A297" t="s">
        <v>654</v>
      </c>
      <c r="B297" t="s">
        <v>655</v>
      </c>
      <c r="C297">
        <v>19</v>
      </c>
      <c r="D297" t="s">
        <v>15</v>
      </c>
      <c r="E297" t="s">
        <v>49</v>
      </c>
      <c r="F297" t="s">
        <v>11</v>
      </c>
      <c r="G297" t="s">
        <v>22</v>
      </c>
    </row>
    <row r="298" spans="1:7">
      <c r="A298" t="s">
        <v>656</v>
      </c>
      <c r="B298" t="s">
        <v>657</v>
      </c>
      <c r="C298">
        <v>28</v>
      </c>
      <c r="D298" t="s">
        <v>15</v>
      </c>
      <c r="E298" t="s">
        <v>35</v>
      </c>
      <c r="F298" t="s">
        <v>11</v>
      </c>
      <c r="G298" t="s">
        <v>22</v>
      </c>
    </row>
    <row r="299" spans="1:7">
      <c r="A299" t="s">
        <v>658</v>
      </c>
      <c r="B299" t="s">
        <v>659</v>
      </c>
      <c r="C299">
        <v>47</v>
      </c>
      <c r="D299" t="s">
        <v>15</v>
      </c>
      <c r="E299" t="s">
        <v>86</v>
      </c>
      <c r="F299" t="s">
        <v>11</v>
      </c>
      <c r="G299" t="s">
        <v>26</v>
      </c>
    </row>
    <row r="300" spans="1:7">
      <c r="A300" t="s">
        <v>660</v>
      </c>
      <c r="B300" t="s">
        <v>661</v>
      </c>
      <c r="C300">
        <v>64</v>
      </c>
      <c r="D300" t="s">
        <v>9</v>
      </c>
      <c r="E300" t="s">
        <v>312</v>
      </c>
      <c r="F300" t="s">
        <v>11</v>
      </c>
      <c r="G300" t="s">
        <v>17</v>
      </c>
    </row>
    <row r="301" spans="1:7">
      <c r="A301" t="s">
        <v>662</v>
      </c>
      <c r="B301" t="s">
        <v>663</v>
      </c>
      <c r="C301">
        <v>48</v>
      </c>
      <c r="D301" t="s">
        <v>15</v>
      </c>
      <c r="E301" t="s">
        <v>239</v>
      </c>
      <c r="F301" t="s">
        <v>11</v>
      </c>
      <c r="G301" t="s">
        <v>17</v>
      </c>
    </row>
    <row r="302" spans="1:7">
      <c r="A302" t="s">
        <v>664</v>
      </c>
      <c r="B302" t="s">
        <v>665</v>
      </c>
      <c r="C302">
        <v>29</v>
      </c>
      <c r="D302" t="s">
        <v>9</v>
      </c>
      <c r="E302" t="s">
        <v>29</v>
      </c>
      <c r="F302" t="s">
        <v>11</v>
      </c>
      <c r="G302" t="s">
        <v>26</v>
      </c>
    </row>
    <row r="303" spans="1:7">
      <c r="A303" t="s">
        <v>666</v>
      </c>
      <c r="B303" t="s">
        <v>667</v>
      </c>
      <c r="C303">
        <v>50</v>
      </c>
      <c r="D303" t="s">
        <v>9</v>
      </c>
      <c r="E303" t="s">
        <v>210</v>
      </c>
      <c r="F303" t="s">
        <v>11</v>
      </c>
      <c r="G303" t="s">
        <v>12</v>
      </c>
    </row>
    <row r="304" spans="1:7">
      <c r="A304" t="s">
        <v>668</v>
      </c>
      <c r="B304" t="s">
        <v>669</v>
      </c>
      <c r="C304">
        <v>36</v>
      </c>
      <c r="D304" t="s">
        <v>9</v>
      </c>
      <c r="E304" t="s">
        <v>101</v>
      </c>
      <c r="F304" t="s">
        <v>11</v>
      </c>
      <c r="G304" t="s">
        <v>12</v>
      </c>
    </row>
    <row r="305" spans="1:7">
      <c r="A305" t="s">
        <v>670</v>
      </c>
      <c r="B305" t="s">
        <v>671</v>
      </c>
      <c r="C305">
        <v>23</v>
      </c>
      <c r="D305" t="s">
        <v>15</v>
      </c>
      <c r="E305" t="s">
        <v>71</v>
      </c>
      <c r="F305" t="s">
        <v>11</v>
      </c>
      <c r="G305" t="s">
        <v>17</v>
      </c>
    </row>
    <row r="306" spans="1:7">
      <c r="A306" t="s">
        <v>672</v>
      </c>
      <c r="B306" t="s">
        <v>3506</v>
      </c>
      <c r="C306">
        <v>41</v>
      </c>
      <c r="D306" t="s">
        <v>9</v>
      </c>
      <c r="E306" t="s">
        <v>49</v>
      </c>
      <c r="F306" t="s">
        <v>11</v>
      </c>
      <c r="G306" t="s">
        <v>26</v>
      </c>
    </row>
    <row r="307" spans="1:7">
      <c r="A307" t="s">
        <v>674</v>
      </c>
      <c r="B307" t="s">
        <v>675</v>
      </c>
      <c r="C307">
        <v>64</v>
      </c>
      <c r="D307" t="s">
        <v>9</v>
      </c>
      <c r="E307" t="s">
        <v>58</v>
      </c>
      <c r="F307" t="s">
        <v>11</v>
      </c>
      <c r="G307" t="s">
        <v>17</v>
      </c>
    </row>
    <row r="308" spans="1:7">
      <c r="A308" t="s">
        <v>676</v>
      </c>
      <c r="B308" t="s">
        <v>677</v>
      </c>
      <c r="C308">
        <v>44</v>
      </c>
      <c r="D308" t="s">
        <v>9</v>
      </c>
      <c r="E308" t="s">
        <v>175</v>
      </c>
      <c r="F308" t="s">
        <v>11</v>
      </c>
      <c r="G308" t="s">
        <v>17</v>
      </c>
    </row>
    <row r="309" spans="1:7">
      <c r="A309" t="s">
        <v>678</v>
      </c>
      <c r="B309" t="s">
        <v>679</v>
      </c>
      <c r="C309">
        <v>56</v>
      </c>
      <c r="D309" t="s">
        <v>15</v>
      </c>
      <c r="E309" t="s">
        <v>19</v>
      </c>
      <c r="F309" t="s">
        <v>11</v>
      </c>
      <c r="G309" t="s">
        <v>22</v>
      </c>
    </row>
    <row r="310" spans="1:7">
      <c r="A310" t="s">
        <v>680</v>
      </c>
      <c r="B310" t="s">
        <v>681</v>
      </c>
      <c r="C310">
        <v>60</v>
      </c>
      <c r="D310" t="s">
        <v>15</v>
      </c>
      <c r="E310" t="s">
        <v>196</v>
      </c>
      <c r="F310" t="s">
        <v>11</v>
      </c>
      <c r="G310" t="s">
        <v>12</v>
      </c>
    </row>
    <row r="311" spans="1:7">
      <c r="A311" t="s">
        <v>682</v>
      </c>
      <c r="B311" t="s">
        <v>683</v>
      </c>
      <c r="C311">
        <v>41</v>
      </c>
      <c r="D311" t="s">
        <v>15</v>
      </c>
      <c r="E311" t="s">
        <v>25</v>
      </c>
      <c r="F311" t="s">
        <v>11</v>
      </c>
      <c r="G311" t="s">
        <v>22</v>
      </c>
    </row>
    <row r="312" spans="1:7">
      <c r="A312" t="s">
        <v>684</v>
      </c>
      <c r="B312" t="s">
        <v>685</v>
      </c>
      <c r="C312">
        <v>20</v>
      </c>
      <c r="D312" t="s">
        <v>9</v>
      </c>
      <c r="E312" t="s">
        <v>128</v>
      </c>
      <c r="F312" t="s">
        <v>11</v>
      </c>
      <c r="G312" t="s">
        <v>26</v>
      </c>
    </row>
    <row r="313" spans="1:7">
      <c r="A313" t="s">
        <v>686</v>
      </c>
      <c r="B313" t="s">
        <v>687</v>
      </c>
      <c r="C313">
        <v>35</v>
      </c>
      <c r="D313" t="s">
        <v>9</v>
      </c>
      <c r="E313" t="s">
        <v>29</v>
      </c>
      <c r="F313" t="s">
        <v>11</v>
      </c>
      <c r="G313" t="s">
        <v>17</v>
      </c>
    </row>
    <row r="314" spans="1:7">
      <c r="A314" t="s">
        <v>688</v>
      </c>
      <c r="B314" t="s">
        <v>689</v>
      </c>
      <c r="C314">
        <v>47</v>
      </c>
      <c r="D314" t="s">
        <v>15</v>
      </c>
      <c r="E314" t="s">
        <v>71</v>
      </c>
      <c r="F314" t="s">
        <v>11</v>
      </c>
      <c r="G314" t="s">
        <v>26</v>
      </c>
    </row>
    <row r="315" spans="1:7">
      <c r="A315" t="s">
        <v>690</v>
      </c>
      <c r="B315" t="s">
        <v>691</v>
      </c>
      <c r="C315">
        <v>62</v>
      </c>
      <c r="D315" t="s">
        <v>9</v>
      </c>
      <c r="E315" t="s">
        <v>106</v>
      </c>
      <c r="F315" t="s">
        <v>11</v>
      </c>
      <c r="G315" t="s">
        <v>17</v>
      </c>
    </row>
    <row r="316" spans="1:7">
      <c r="A316" t="s">
        <v>692</v>
      </c>
      <c r="B316" t="s">
        <v>693</v>
      </c>
      <c r="C316">
        <v>53</v>
      </c>
      <c r="D316" t="s">
        <v>15</v>
      </c>
      <c r="E316" t="s">
        <v>58</v>
      </c>
      <c r="F316" t="s">
        <v>11</v>
      </c>
      <c r="G316" t="s">
        <v>26</v>
      </c>
    </row>
    <row r="317" spans="1:7">
      <c r="A317" t="s">
        <v>694</v>
      </c>
      <c r="B317" t="s">
        <v>695</v>
      </c>
      <c r="C317">
        <v>49</v>
      </c>
      <c r="D317" t="s">
        <v>9</v>
      </c>
      <c r="E317" t="s">
        <v>504</v>
      </c>
      <c r="F317" t="s">
        <v>11</v>
      </c>
      <c r="G317" t="s">
        <v>26</v>
      </c>
    </row>
    <row r="318" spans="1:7">
      <c r="A318" t="s">
        <v>696</v>
      </c>
      <c r="B318" t="s">
        <v>697</v>
      </c>
      <c r="C318">
        <v>34</v>
      </c>
      <c r="D318" t="s">
        <v>9</v>
      </c>
      <c r="E318" t="s">
        <v>106</v>
      </c>
      <c r="F318" t="s">
        <v>11</v>
      </c>
      <c r="G318" t="s">
        <v>12</v>
      </c>
    </row>
    <row r="319" spans="1:7">
      <c r="A319" t="s">
        <v>698</v>
      </c>
      <c r="B319" t="s">
        <v>699</v>
      </c>
      <c r="C319">
        <v>64</v>
      </c>
      <c r="D319" t="s">
        <v>15</v>
      </c>
      <c r="E319" t="s">
        <v>38</v>
      </c>
      <c r="F319" t="s">
        <v>11</v>
      </c>
      <c r="G319" t="s">
        <v>12</v>
      </c>
    </row>
    <row r="320" spans="1:7">
      <c r="A320" t="s">
        <v>700</v>
      </c>
      <c r="B320" t="s">
        <v>701</v>
      </c>
      <c r="C320">
        <v>25</v>
      </c>
      <c r="D320" t="s">
        <v>9</v>
      </c>
      <c r="E320" t="s">
        <v>49</v>
      </c>
      <c r="F320" t="s">
        <v>11</v>
      </c>
      <c r="G320" t="s">
        <v>17</v>
      </c>
    </row>
    <row r="321" spans="1:7">
      <c r="A321" t="s">
        <v>702</v>
      </c>
      <c r="B321" t="s">
        <v>703</v>
      </c>
      <c r="C321">
        <v>54</v>
      </c>
      <c r="D321" t="s">
        <v>9</v>
      </c>
      <c r="E321" t="s">
        <v>228</v>
      </c>
      <c r="F321" t="s">
        <v>11</v>
      </c>
      <c r="G321" t="s">
        <v>17</v>
      </c>
    </row>
    <row r="322" spans="1:7">
      <c r="A322" t="s">
        <v>704</v>
      </c>
      <c r="B322" t="s">
        <v>705</v>
      </c>
      <c r="C322">
        <v>34</v>
      </c>
      <c r="D322" t="s">
        <v>15</v>
      </c>
      <c r="E322" t="s">
        <v>196</v>
      </c>
      <c r="F322" t="s">
        <v>11</v>
      </c>
      <c r="G322" t="s">
        <v>22</v>
      </c>
    </row>
    <row r="323" spans="1:7">
      <c r="A323" t="s">
        <v>706</v>
      </c>
      <c r="B323" t="s">
        <v>707</v>
      </c>
      <c r="C323">
        <v>21</v>
      </c>
      <c r="D323" t="s">
        <v>15</v>
      </c>
      <c r="E323" t="s">
        <v>175</v>
      </c>
      <c r="F323" t="s">
        <v>11</v>
      </c>
      <c r="G323" t="s">
        <v>22</v>
      </c>
    </row>
    <row r="324" spans="1:7">
      <c r="A324" t="s">
        <v>708</v>
      </c>
      <c r="B324" t="s">
        <v>709</v>
      </c>
      <c r="C324">
        <v>54</v>
      </c>
      <c r="D324" t="s">
        <v>9</v>
      </c>
      <c r="E324" t="s">
        <v>593</v>
      </c>
      <c r="F324" t="s">
        <v>11</v>
      </c>
      <c r="G324" t="s">
        <v>22</v>
      </c>
    </row>
    <row r="325" spans="1:7">
      <c r="A325" t="s">
        <v>710</v>
      </c>
      <c r="B325" t="s">
        <v>711</v>
      </c>
      <c r="C325">
        <v>64</v>
      </c>
      <c r="D325" t="s">
        <v>15</v>
      </c>
      <c r="E325" t="s">
        <v>10</v>
      </c>
      <c r="F325" t="s">
        <v>11</v>
      </c>
      <c r="G325" t="s">
        <v>17</v>
      </c>
    </row>
    <row r="326" spans="1:7">
      <c r="A326" t="s">
        <v>712</v>
      </c>
      <c r="B326" t="s">
        <v>3507</v>
      </c>
      <c r="C326">
        <v>58</v>
      </c>
      <c r="D326" t="s">
        <v>9</v>
      </c>
      <c r="E326" t="s">
        <v>74</v>
      </c>
      <c r="F326" t="s">
        <v>11</v>
      </c>
      <c r="G326" t="s">
        <v>22</v>
      </c>
    </row>
    <row r="327" spans="1:7">
      <c r="A327" t="s">
        <v>714</v>
      </c>
      <c r="B327" t="s">
        <v>715</v>
      </c>
      <c r="C327">
        <v>60</v>
      </c>
      <c r="D327" t="s">
        <v>9</v>
      </c>
      <c r="E327" t="s">
        <v>236</v>
      </c>
      <c r="F327" t="s">
        <v>11</v>
      </c>
      <c r="G327" t="s">
        <v>22</v>
      </c>
    </row>
    <row r="328" spans="1:7">
      <c r="A328" t="s">
        <v>716</v>
      </c>
      <c r="B328" t="s">
        <v>717</v>
      </c>
      <c r="C328">
        <v>58</v>
      </c>
      <c r="D328" t="s">
        <v>15</v>
      </c>
      <c r="E328" t="s">
        <v>161</v>
      </c>
      <c r="F328" t="s">
        <v>11</v>
      </c>
      <c r="G328" t="s">
        <v>12</v>
      </c>
    </row>
    <row r="329" spans="1:7">
      <c r="A329" t="s">
        <v>718</v>
      </c>
      <c r="B329" t="s">
        <v>719</v>
      </c>
      <c r="C329">
        <v>62</v>
      </c>
      <c r="D329" t="s">
        <v>15</v>
      </c>
      <c r="E329" t="s">
        <v>46</v>
      </c>
      <c r="F329" t="s">
        <v>11</v>
      </c>
      <c r="G329" t="s">
        <v>22</v>
      </c>
    </row>
    <row r="330" spans="1:7">
      <c r="A330" t="s">
        <v>720</v>
      </c>
      <c r="B330" t="s">
        <v>721</v>
      </c>
      <c r="C330">
        <v>46</v>
      </c>
      <c r="D330" t="s">
        <v>9</v>
      </c>
      <c r="E330" t="s">
        <v>149</v>
      </c>
      <c r="F330" t="s">
        <v>11</v>
      </c>
      <c r="G330" t="s">
        <v>17</v>
      </c>
    </row>
    <row r="331" spans="1:7">
      <c r="A331" t="s">
        <v>722</v>
      </c>
      <c r="B331" t="s">
        <v>723</v>
      </c>
      <c r="C331">
        <v>62</v>
      </c>
      <c r="D331" t="s">
        <v>15</v>
      </c>
      <c r="E331" t="s">
        <v>149</v>
      </c>
      <c r="F331" t="s">
        <v>11</v>
      </c>
      <c r="G331" t="s">
        <v>22</v>
      </c>
    </row>
    <row r="332" spans="1:7">
      <c r="A332" t="s">
        <v>724</v>
      </c>
      <c r="B332" t="s">
        <v>725</v>
      </c>
      <c r="C332">
        <v>54</v>
      </c>
      <c r="D332" t="s">
        <v>9</v>
      </c>
      <c r="E332" t="s">
        <v>144</v>
      </c>
      <c r="F332" t="s">
        <v>11</v>
      </c>
      <c r="G332" t="s">
        <v>17</v>
      </c>
    </row>
    <row r="333" spans="1:7">
      <c r="A333" t="s">
        <v>726</v>
      </c>
      <c r="B333" t="s">
        <v>727</v>
      </c>
      <c r="C333">
        <v>38</v>
      </c>
      <c r="D333" t="s">
        <v>15</v>
      </c>
      <c r="E333" t="s">
        <v>52</v>
      </c>
      <c r="F333" t="s">
        <v>11</v>
      </c>
      <c r="G333" t="s">
        <v>22</v>
      </c>
    </row>
    <row r="334" spans="1:7">
      <c r="A334" t="s">
        <v>728</v>
      </c>
      <c r="B334" t="s">
        <v>729</v>
      </c>
      <c r="C334">
        <v>34</v>
      </c>
      <c r="D334" t="s">
        <v>15</v>
      </c>
      <c r="E334" t="s">
        <v>76</v>
      </c>
      <c r="F334" t="s">
        <v>11</v>
      </c>
      <c r="G334" t="s">
        <v>22</v>
      </c>
    </row>
    <row r="335" spans="1:7">
      <c r="A335" t="s">
        <v>730</v>
      </c>
      <c r="B335" t="s">
        <v>731</v>
      </c>
      <c r="C335">
        <v>64</v>
      </c>
      <c r="D335" t="s">
        <v>15</v>
      </c>
      <c r="E335" t="s">
        <v>63</v>
      </c>
      <c r="F335" t="s">
        <v>11</v>
      </c>
      <c r="G335" t="s">
        <v>12</v>
      </c>
    </row>
    <row r="336" spans="1:7">
      <c r="A336" t="s">
        <v>732</v>
      </c>
      <c r="B336" t="s">
        <v>733</v>
      </c>
      <c r="C336">
        <v>50</v>
      </c>
      <c r="D336" t="s">
        <v>15</v>
      </c>
      <c r="E336" t="s">
        <v>125</v>
      </c>
      <c r="F336" t="s">
        <v>11</v>
      </c>
      <c r="G336" t="s">
        <v>26</v>
      </c>
    </row>
    <row r="337" spans="1:7">
      <c r="A337" t="s">
        <v>734</v>
      </c>
      <c r="B337" t="s">
        <v>735</v>
      </c>
      <c r="C337">
        <v>37</v>
      </c>
      <c r="D337" t="s">
        <v>9</v>
      </c>
      <c r="E337" t="s">
        <v>10</v>
      </c>
      <c r="F337" t="s">
        <v>11</v>
      </c>
      <c r="G337" t="s">
        <v>17</v>
      </c>
    </row>
    <row r="338" spans="1:7">
      <c r="A338" t="s">
        <v>736</v>
      </c>
      <c r="B338" t="s">
        <v>737</v>
      </c>
      <c r="C338">
        <v>58</v>
      </c>
      <c r="D338" t="s">
        <v>15</v>
      </c>
      <c r="E338" t="s">
        <v>29</v>
      </c>
      <c r="F338" t="s">
        <v>11</v>
      </c>
      <c r="G338" t="s">
        <v>26</v>
      </c>
    </row>
    <row r="339" spans="1:7">
      <c r="A339" t="s">
        <v>738</v>
      </c>
      <c r="B339" t="s">
        <v>739</v>
      </c>
      <c r="C339">
        <v>40</v>
      </c>
      <c r="D339" t="s">
        <v>15</v>
      </c>
      <c r="E339" t="s">
        <v>10</v>
      </c>
      <c r="F339" t="s">
        <v>11</v>
      </c>
      <c r="G339" t="s">
        <v>22</v>
      </c>
    </row>
    <row r="340" spans="1:7">
      <c r="A340" t="s">
        <v>740</v>
      </c>
      <c r="B340" t="s">
        <v>741</v>
      </c>
      <c r="C340">
        <v>46</v>
      </c>
      <c r="D340" t="s">
        <v>15</v>
      </c>
      <c r="E340" t="s">
        <v>125</v>
      </c>
      <c r="F340" t="s">
        <v>11</v>
      </c>
      <c r="G340" t="s">
        <v>26</v>
      </c>
    </row>
    <row r="341" spans="1:7">
      <c r="A341" t="s">
        <v>742</v>
      </c>
      <c r="B341" t="s">
        <v>743</v>
      </c>
      <c r="C341">
        <v>52</v>
      </c>
      <c r="D341" t="s">
        <v>15</v>
      </c>
      <c r="E341" t="s">
        <v>101</v>
      </c>
      <c r="F341" t="s">
        <v>11</v>
      </c>
      <c r="G341" t="s">
        <v>17</v>
      </c>
    </row>
    <row r="342" spans="1:7">
      <c r="A342" t="s">
        <v>744</v>
      </c>
      <c r="B342" t="s">
        <v>745</v>
      </c>
      <c r="C342">
        <v>27</v>
      </c>
      <c r="D342" t="s">
        <v>9</v>
      </c>
      <c r="E342" t="s">
        <v>201</v>
      </c>
      <c r="F342" t="s">
        <v>11</v>
      </c>
      <c r="G342" t="s">
        <v>22</v>
      </c>
    </row>
    <row r="343" spans="1:7">
      <c r="A343" t="s">
        <v>746</v>
      </c>
      <c r="B343" t="s">
        <v>747</v>
      </c>
      <c r="C343">
        <v>56</v>
      </c>
      <c r="D343" t="s">
        <v>15</v>
      </c>
      <c r="E343" t="s">
        <v>144</v>
      </c>
      <c r="F343" t="s">
        <v>11</v>
      </c>
      <c r="G343" t="s">
        <v>22</v>
      </c>
    </row>
    <row r="344" spans="1:7">
      <c r="A344" t="s">
        <v>748</v>
      </c>
      <c r="B344" t="s">
        <v>749</v>
      </c>
      <c r="C344">
        <v>30</v>
      </c>
      <c r="D344" t="s">
        <v>15</v>
      </c>
      <c r="E344" t="s">
        <v>125</v>
      </c>
      <c r="F344" t="s">
        <v>11</v>
      </c>
      <c r="G344" t="s">
        <v>22</v>
      </c>
    </row>
    <row r="345" spans="1:7">
      <c r="A345" t="s">
        <v>750</v>
      </c>
      <c r="B345" t="s">
        <v>751</v>
      </c>
      <c r="C345">
        <v>38</v>
      </c>
      <c r="D345" t="s">
        <v>9</v>
      </c>
      <c r="E345" t="s">
        <v>210</v>
      </c>
      <c r="F345" t="s">
        <v>11</v>
      </c>
      <c r="G345" t="s">
        <v>22</v>
      </c>
    </row>
    <row r="346" spans="1:7">
      <c r="A346" t="s">
        <v>752</v>
      </c>
      <c r="B346" t="s">
        <v>753</v>
      </c>
      <c r="C346">
        <v>39</v>
      </c>
      <c r="D346" t="s">
        <v>9</v>
      </c>
      <c r="E346" t="s">
        <v>172</v>
      </c>
      <c r="F346" t="s">
        <v>11</v>
      </c>
      <c r="G346" t="s">
        <v>12</v>
      </c>
    </row>
    <row r="347" spans="1:7">
      <c r="A347" t="s">
        <v>754</v>
      </c>
      <c r="B347" t="s">
        <v>755</v>
      </c>
      <c r="C347">
        <v>33</v>
      </c>
      <c r="D347" t="s">
        <v>9</v>
      </c>
      <c r="E347" t="s">
        <v>74</v>
      </c>
      <c r="F347" t="s">
        <v>11</v>
      </c>
      <c r="G347" t="s">
        <v>22</v>
      </c>
    </row>
    <row r="348" spans="1:7">
      <c r="A348" t="s">
        <v>756</v>
      </c>
      <c r="B348" t="s">
        <v>757</v>
      </c>
      <c r="C348">
        <v>58</v>
      </c>
      <c r="D348" t="s">
        <v>15</v>
      </c>
      <c r="E348" t="s">
        <v>175</v>
      </c>
      <c r="F348" t="s">
        <v>11</v>
      </c>
      <c r="G348" t="s">
        <v>17</v>
      </c>
    </row>
    <row r="349" spans="1:7">
      <c r="A349" t="s">
        <v>758</v>
      </c>
      <c r="B349" t="s">
        <v>3508</v>
      </c>
      <c r="C349">
        <v>39</v>
      </c>
      <c r="D349" t="s">
        <v>15</v>
      </c>
      <c r="E349" t="s">
        <v>125</v>
      </c>
      <c r="F349" t="s">
        <v>11</v>
      </c>
      <c r="G349" t="s">
        <v>12</v>
      </c>
    </row>
    <row r="350" spans="1:7">
      <c r="A350" t="s">
        <v>760</v>
      </c>
      <c r="B350" t="s">
        <v>761</v>
      </c>
      <c r="C350">
        <v>55</v>
      </c>
      <c r="D350" t="s">
        <v>9</v>
      </c>
      <c r="E350" t="s">
        <v>41</v>
      </c>
      <c r="F350" t="s">
        <v>11</v>
      </c>
      <c r="G350" t="s">
        <v>26</v>
      </c>
    </row>
    <row r="351" spans="1:7">
      <c r="A351" t="s">
        <v>762</v>
      </c>
      <c r="B351" t="s">
        <v>763</v>
      </c>
      <c r="C351">
        <v>31</v>
      </c>
      <c r="D351" t="s">
        <v>9</v>
      </c>
      <c r="E351" t="s">
        <v>122</v>
      </c>
      <c r="F351" t="s">
        <v>11</v>
      </c>
      <c r="G351" t="s">
        <v>22</v>
      </c>
    </row>
    <row r="352" spans="1:7">
      <c r="A352" t="s">
        <v>764</v>
      </c>
      <c r="B352" t="s">
        <v>765</v>
      </c>
      <c r="C352">
        <v>26</v>
      </c>
      <c r="D352" t="s">
        <v>9</v>
      </c>
      <c r="E352" t="s">
        <v>196</v>
      </c>
      <c r="F352" t="s">
        <v>11</v>
      </c>
      <c r="G352" t="s">
        <v>26</v>
      </c>
    </row>
    <row r="353" spans="1:7">
      <c r="A353" t="s">
        <v>766</v>
      </c>
      <c r="B353" t="s">
        <v>767</v>
      </c>
      <c r="C353">
        <v>25</v>
      </c>
      <c r="D353" t="s">
        <v>15</v>
      </c>
      <c r="E353" t="s">
        <v>55</v>
      </c>
      <c r="F353" t="s">
        <v>11</v>
      </c>
      <c r="G353" t="s">
        <v>22</v>
      </c>
    </row>
    <row r="354" spans="1:7">
      <c r="A354" t="s">
        <v>768</v>
      </c>
      <c r="B354" t="s">
        <v>769</v>
      </c>
      <c r="C354">
        <v>52</v>
      </c>
      <c r="D354" t="s">
        <v>15</v>
      </c>
      <c r="E354" t="s">
        <v>236</v>
      </c>
      <c r="F354" t="s">
        <v>11</v>
      </c>
      <c r="G354" t="s">
        <v>26</v>
      </c>
    </row>
    <row r="355" spans="1:7">
      <c r="A355" t="s">
        <v>770</v>
      </c>
      <c r="B355" t="s">
        <v>3509</v>
      </c>
      <c r="C355">
        <v>56</v>
      </c>
      <c r="D355" t="s">
        <v>15</v>
      </c>
      <c r="E355" t="s">
        <v>29</v>
      </c>
      <c r="F355" t="s">
        <v>11</v>
      </c>
      <c r="G355" t="s">
        <v>17</v>
      </c>
    </row>
    <row r="356" spans="1:7">
      <c r="A356" t="s">
        <v>771</v>
      </c>
      <c r="B356" t="s">
        <v>772</v>
      </c>
      <c r="C356">
        <v>38</v>
      </c>
      <c r="D356" t="s">
        <v>9</v>
      </c>
      <c r="E356" t="s">
        <v>125</v>
      </c>
      <c r="F356" t="s">
        <v>11</v>
      </c>
      <c r="G356" t="s">
        <v>26</v>
      </c>
    </row>
    <row r="357" spans="1:7">
      <c r="A357" t="s">
        <v>773</v>
      </c>
      <c r="B357" t="s">
        <v>774</v>
      </c>
      <c r="C357">
        <v>20</v>
      </c>
      <c r="D357" t="s">
        <v>9</v>
      </c>
      <c r="E357" t="s">
        <v>58</v>
      </c>
      <c r="F357" t="s">
        <v>11</v>
      </c>
      <c r="G357" t="s">
        <v>12</v>
      </c>
    </row>
    <row r="358" spans="1:7">
      <c r="A358" t="s">
        <v>775</v>
      </c>
      <c r="B358" t="s">
        <v>776</v>
      </c>
      <c r="C358">
        <v>54</v>
      </c>
      <c r="D358" t="s">
        <v>9</v>
      </c>
      <c r="E358" t="s">
        <v>210</v>
      </c>
      <c r="F358" t="s">
        <v>11</v>
      </c>
      <c r="G358" t="s">
        <v>22</v>
      </c>
    </row>
    <row r="359" spans="1:7">
      <c r="A359" t="s">
        <v>777</v>
      </c>
      <c r="B359" t="s">
        <v>778</v>
      </c>
      <c r="C359">
        <v>41</v>
      </c>
      <c r="D359" t="s">
        <v>9</v>
      </c>
      <c r="E359" t="s">
        <v>175</v>
      </c>
      <c r="F359" t="s">
        <v>11</v>
      </c>
      <c r="G359" t="s">
        <v>12</v>
      </c>
    </row>
    <row r="360" spans="1:7">
      <c r="A360" t="s">
        <v>779</v>
      </c>
      <c r="B360" t="s">
        <v>780</v>
      </c>
      <c r="C360">
        <v>60</v>
      </c>
      <c r="D360" t="s">
        <v>15</v>
      </c>
      <c r="E360" t="s">
        <v>228</v>
      </c>
      <c r="F360" t="s">
        <v>11</v>
      </c>
      <c r="G360" t="s">
        <v>12</v>
      </c>
    </row>
    <row r="361" spans="1:7">
      <c r="A361" t="s">
        <v>781</v>
      </c>
      <c r="B361" t="s">
        <v>782</v>
      </c>
      <c r="C361">
        <v>32</v>
      </c>
      <c r="D361" t="s">
        <v>9</v>
      </c>
      <c r="E361" t="s">
        <v>49</v>
      </c>
      <c r="F361" t="s">
        <v>11</v>
      </c>
      <c r="G361" t="s">
        <v>26</v>
      </c>
    </row>
    <row r="362" spans="1:7">
      <c r="A362" t="s">
        <v>783</v>
      </c>
      <c r="B362" t="s">
        <v>784</v>
      </c>
      <c r="C362">
        <v>34</v>
      </c>
      <c r="D362" t="s">
        <v>9</v>
      </c>
      <c r="E362" t="s">
        <v>213</v>
      </c>
      <c r="F362" t="s">
        <v>11</v>
      </c>
      <c r="G362" t="s">
        <v>17</v>
      </c>
    </row>
    <row r="363" spans="1:7">
      <c r="A363" t="s">
        <v>785</v>
      </c>
      <c r="B363" t="s">
        <v>786</v>
      </c>
      <c r="C363">
        <v>64</v>
      </c>
      <c r="D363" t="s">
        <v>9</v>
      </c>
      <c r="E363" t="s">
        <v>187</v>
      </c>
      <c r="F363" t="s">
        <v>11</v>
      </c>
      <c r="G363" t="s">
        <v>17</v>
      </c>
    </row>
    <row r="364" spans="1:7">
      <c r="A364" t="s">
        <v>787</v>
      </c>
      <c r="B364" t="s">
        <v>3510</v>
      </c>
      <c r="C364">
        <v>60</v>
      </c>
      <c r="D364" t="s">
        <v>9</v>
      </c>
      <c r="E364" t="s">
        <v>122</v>
      </c>
      <c r="F364" t="s">
        <v>11</v>
      </c>
      <c r="G364" t="s">
        <v>12</v>
      </c>
    </row>
    <row r="365" spans="1:7">
      <c r="A365" t="s">
        <v>789</v>
      </c>
      <c r="B365" t="s">
        <v>790</v>
      </c>
      <c r="C365">
        <v>23</v>
      </c>
      <c r="D365" t="s">
        <v>9</v>
      </c>
      <c r="E365" t="s">
        <v>21</v>
      </c>
      <c r="F365" t="s">
        <v>11</v>
      </c>
      <c r="G365" t="s">
        <v>22</v>
      </c>
    </row>
    <row r="366" spans="1:7">
      <c r="A366" t="s">
        <v>791</v>
      </c>
      <c r="B366" t="s">
        <v>792</v>
      </c>
      <c r="C366">
        <v>58</v>
      </c>
      <c r="D366" t="s">
        <v>9</v>
      </c>
      <c r="E366" t="s">
        <v>101</v>
      </c>
      <c r="F366" t="s">
        <v>11</v>
      </c>
      <c r="G366" t="s">
        <v>22</v>
      </c>
    </row>
    <row r="367" spans="1:7">
      <c r="A367" t="s">
        <v>793</v>
      </c>
      <c r="B367" t="s">
        <v>794</v>
      </c>
      <c r="C367">
        <v>63</v>
      </c>
      <c r="D367" t="s">
        <v>15</v>
      </c>
      <c r="E367" t="s">
        <v>122</v>
      </c>
      <c r="F367" t="s">
        <v>11</v>
      </c>
      <c r="G367" t="s">
        <v>17</v>
      </c>
    </row>
    <row r="368" spans="1:7">
      <c r="A368" t="s">
        <v>795</v>
      </c>
      <c r="B368" t="s">
        <v>796</v>
      </c>
      <c r="C368">
        <v>40</v>
      </c>
      <c r="D368" t="s">
        <v>15</v>
      </c>
      <c r="E368" t="s">
        <v>19</v>
      </c>
      <c r="F368" t="s">
        <v>11</v>
      </c>
      <c r="G368" t="s">
        <v>17</v>
      </c>
    </row>
    <row r="369" spans="1:7">
      <c r="A369" t="s">
        <v>797</v>
      </c>
      <c r="B369" t="s">
        <v>798</v>
      </c>
      <c r="C369">
        <v>51</v>
      </c>
      <c r="D369" t="s">
        <v>9</v>
      </c>
      <c r="E369" t="s">
        <v>21</v>
      </c>
      <c r="F369" t="s">
        <v>11</v>
      </c>
      <c r="G369" t="s">
        <v>22</v>
      </c>
    </row>
    <row r="370" spans="1:7">
      <c r="A370" t="s">
        <v>799</v>
      </c>
      <c r="B370" t="s">
        <v>800</v>
      </c>
      <c r="C370">
        <v>34</v>
      </c>
      <c r="D370" t="s">
        <v>15</v>
      </c>
      <c r="E370" t="s">
        <v>46</v>
      </c>
      <c r="F370" t="s">
        <v>11</v>
      </c>
      <c r="G370" t="s">
        <v>17</v>
      </c>
    </row>
    <row r="371" spans="1:7">
      <c r="A371" t="s">
        <v>801</v>
      </c>
      <c r="B371" t="s">
        <v>802</v>
      </c>
      <c r="C371">
        <v>20</v>
      </c>
      <c r="D371" t="s">
        <v>15</v>
      </c>
      <c r="E371" t="s">
        <v>128</v>
      </c>
      <c r="F371" t="s">
        <v>11</v>
      </c>
      <c r="G371" t="s">
        <v>17</v>
      </c>
    </row>
    <row r="372" spans="1:7">
      <c r="A372" t="s">
        <v>803</v>
      </c>
      <c r="B372" t="s">
        <v>804</v>
      </c>
      <c r="C372">
        <v>45</v>
      </c>
      <c r="D372" t="s">
        <v>9</v>
      </c>
      <c r="E372" t="s">
        <v>187</v>
      </c>
      <c r="F372" t="s">
        <v>11</v>
      </c>
      <c r="G372" t="s">
        <v>26</v>
      </c>
    </row>
    <row r="373" spans="1:7">
      <c r="A373" t="s">
        <v>805</v>
      </c>
      <c r="B373" t="s">
        <v>806</v>
      </c>
      <c r="C373">
        <v>21</v>
      </c>
      <c r="D373" t="s">
        <v>15</v>
      </c>
      <c r="E373" t="s">
        <v>38</v>
      </c>
      <c r="F373" t="s">
        <v>11</v>
      </c>
      <c r="G373" t="s">
        <v>17</v>
      </c>
    </row>
    <row r="374" spans="1:7">
      <c r="A374" t="s">
        <v>807</v>
      </c>
      <c r="B374" t="s">
        <v>808</v>
      </c>
      <c r="C374">
        <v>28</v>
      </c>
      <c r="D374" t="s">
        <v>9</v>
      </c>
      <c r="E374" t="s">
        <v>21</v>
      </c>
      <c r="F374" t="s">
        <v>11</v>
      </c>
      <c r="G374" t="s">
        <v>22</v>
      </c>
    </row>
    <row r="375" spans="1:7">
      <c r="A375" t="s">
        <v>809</v>
      </c>
      <c r="B375" t="s">
        <v>810</v>
      </c>
      <c r="C375">
        <v>37</v>
      </c>
      <c r="D375" t="s">
        <v>15</v>
      </c>
      <c r="E375" t="s">
        <v>312</v>
      </c>
      <c r="F375" t="s">
        <v>11</v>
      </c>
      <c r="G375" t="s">
        <v>12</v>
      </c>
    </row>
    <row r="376" spans="1:7">
      <c r="A376" t="s">
        <v>811</v>
      </c>
      <c r="B376" t="s">
        <v>812</v>
      </c>
      <c r="C376">
        <v>60</v>
      </c>
      <c r="D376" t="s">
        <v>9</v>
      </c>
      <c r="E376" t="s">
        <v>76</v>
      </c>
      <c r="F376" t="s">
        <v>11</v>
      </c>
      <c r="G376" t="s">
        <v>17</v>
      </c>
    </row>
    <row r="377" spans="1:7">
      <c r="A377" t="s">
        <v>813</v>
      </c>
      <c r="B377" t="s">
        <v>814</v>
      </c>
      <c r="C377">
        <v>26</v>
      </c>
      <c r="D377" t="s">
        <v>9</v>
      </c>
      <c r="E377" t="s">
        <v>149</v>
      </c>
      <c r="F377" t="s">
        <v>11</v>
      </c>
      <c r="G377" t="s">
        <v>17</v>
      </c>
    </row>
    <row r="378" spans="1:7">
      <c r="A378" t="s">
        <v>815</v>
      </c>
      <c r="B378" t="s">
        <v>816</v>
      </c>
      <c r="C378">
        <v>30</v>
      </c>
      <c r="D378" t="s">
        <v>9</v>
      </c>
      <c r="E378" t="s">
        <v>125</v>
      </c>
      <c r="F378" t="s">
        <v>11</v>
      </c>
      <c r="G378" t="s">
        <v>22</v>
      </c>
    </row>
    <row r="379" spans="1:7">
      <c r="A379" t="s">
        <v>817</v>
      </c>
      <c r="B379" t="s">
        <v>818</v>
      </c>
      <c r="C379">
        <v>39</v>
      </c>
      <c r="D379" t="s">
        <v>15</v>
      </c>
      <c r="E379" t="s">
        <v>312</v>
      </c>
      <c r="F379" t="s">
        <v>11</v>
      </c>
      <c r="G379" t="s">
        <v>12</v>
      </c>
    </row>
    <row r="380" spans="1:7">
      <c r="A380" t="s">
        <v>819</v>
      </c>
      <c r="B380" t="s">
        <v>820</v>
      </c>
      <c r="C380">
        <v>44</v>
      </c>
      <c r="D380" t="s">
        <v>15</v>
      </c>
      <c r="E380" t="s">
        <v>71</v>
      </c>
      <c r="F380" t="s">
        <v>11</v>
      </c>
      <c r="G380" t="s">
        <v>22</v>
      </c>
    </row>
    <row r="381" spans="1:7">
      <c r="A381" t="s">
        <v>821</v>
      </c>
      <c r="B381" t="s">
        <v>822</v>
      </c>
      <c r="C381">
        <v>34</v>
      </c>
      <c r="D381" t="s">
        <v>15</v>
      </c>
      <c r="E381" t="s">
        <v>196</v>
      </c>
      <c r="F381" t="s">
        <v>11</v>
      </c>
      <c r="G381" t="s">
        <v>12</v>
      </c>
    </row>
    <row r="382" spans="1:7">
      <c r="A382" t="s">
        <v>823</v>
      </c>
      <c r="B382" t="s">
        <v>824</v>
      </c>
      <c r="C382">
        <v>23</v>
      </c>
      <c r="D382" t="s">
        <v>9</v>
      </c>
      <c r="E382" t="s">
        <v>161</v>
      </c>
      <c r="F382" t="s">
        <v>11</v>
      </c>
      <c r="G382" t="s">
        <v>12</v>
      </c>
    </row>
    <row r="383" spans="1:7">
      <c r="A383" t="s">
        <v>825</v>
      </c>
      <c r="B383" t="s">
        <v>826</v>
      </c>
      <c r="C383">
        <v>50</v>
      </c>
      <c r="D383" t="s">
        <v>9</v>
      </c>
      <c r="E383" t="s">
        <v>19</v>
      </c>
      <c r="F383" t="s">
        <v>11</v>
      </c>
      <c r="G383" t="s">
        <v>26</v>
      </c>
    </row>
    <row r="384" spans="1:7">
      <c r="A384" t="s">
        <v>827</v>
      </c>
      <c r="B384" t="s">
        <v>828</v>
      </c>
      <c r="C384">
        <v>20</v>
      </c>
      <c r="D384" t="s">
        <v>15</v>
      </c>
      <c r="E384" t="s">
        <v>25</v>
      </c>
      <c r="F384" t="s">
        <v>11</v>
      </c>
      <c r="G384" t="s">
        <v>12</v>
      </c>
    </row>
    <row r="385" spans="1:7">
      <c r="A385" t="s">
        <v>829</v>
      </c>
      <c r="B385" t="s">
        <v>830</v>
      </c>
      <c r="C385">
        <v>27</v>
      </c>
      <c r="D385" t="s">
        <v>15</v>
      </c>
      <c r="E385" t="s">
        <v>231</v>
      </c>
      <c r="F385" t="s">
        <v>11</v>
      </c>
      <c r="G385" t="s">
        <v>26</v>
      </c>
    </row>
    <row r="386" spans="1:7">
      <c r="A386" t="s">
        <v>831</v>
      </c>
      <c r="B386" t="s">
        <v>832</v>
      </c>
      <c r="C386">
        <v>52</v>
      </c>
      <c r="D386" t="s">
        <v>15</v>
      </c>
      <c r="E386" t="s">
        <v>196</v>
      </c>
      <c r="F386" t="s">
        <v>11</v>
      </c>
      <c r="G386" t="s">
        <v>22</v>
      </c>
    </row>
    <row r="387" spans="1:7">
      <c r="A387" t="s">
        <v>833</v>
      </c>
      <c r="B387" t="s">
        <v>834</v>
      </c>
      <c r="C387">
        <v>60</v>
      </c>
      <c r="D387" t="s">
        <v>9</v>
      </c>
      <c r="E387" t="s">
        <v>231</v>
      </c>
      <c r="F387" t="s">
        <v>11</v>
      </c>
      <c r="G387" t="s">
        <v>12</v>
      </c>
    </row>
    <row r="388" spans="1:7">
      <c r="A388" t="s">
        <v>835</v>
      </c>
      <c r="B388" t="s">
        <v>836</v>
      </c>
      <c r="C388">
        <v>18</v>
      </c>
      <c r="D388" t="s">
        <v>15</v>
      </c>
      <c r="E388" t="s">
        <v>106</v>
      </c>
      <c r="F388" t="s">
        <v>11</v>
      </c>
      <c r="G388" t="s">
        <v>22</v>
      </c>
    </row>
    <row r="389" spans="1:7">
      <c r="A389" t="s">
        <v>837</v>
      </c>
      <c r="B389" t="s">
        <v>838</v>
      </c>
      <c r="C389">
        <v>28</v>
      </c>
      <c r="D389" t="s">
        <v>15</v>
      </c>
      <c r="E389" t="s">
        <v>68</v>
      </c>
      <c r="F389" t="s">
        <v>11</v>
      </c>
      <c r="G389" t="s">
        <v>26</v>
      </c>
    </row>
    <row r="390" spans="1:7">
      <c r="A390" t="s">
        <v>839</v>
      </c>
      <c r="B390" t="s">
        <v>840</v>
      </c>
      <c r="C390">
        <v>53</v>
      </c>
      <c r="D390" t="s">
        <v>9</v>
      </c>
      <c r="E390" t="s">
        <v>86</v>
      </c>
      <c r="F390" t="s">
        <v>11</v>
      </c>
      <c r="G390" t="s">
        <v>17</v>
      </c>
    </row>
    <row r="391" spans="1:7">
      <c r="A391" t="s">
        <v>841</v>
      </c>
      <c r="B391" t="s">
        <v>842</v>
      </c>
      <c r="C391">
        <v>50</v>
      </c>
      <c r="D391" t="s">
        <v>9</v>
      </c>
      <c r="E391" t="s">
        <v>55</v>
      </c>
      <c r="F391" t="s">
        <v>11</v>
      </c>
      <c r="G391" t="s">
        <v>17</v>
      </c>
    </row>
    <row r="392" spans="1:7">
      <c r="A392" t="s">
        <v>843</v>
      </c>
      <c r="B392" t="s">
        <v>844</v>
      </c>
      <c r="C392">
        <v>56</v>
      </c>
      <c r="D392" t="s">
        <v>9</v>
      </c>
      <c r="E392" t="s">
        <v>213</v>
      </c>
      <c r="F392" t="s">
        <v>11</v>
      </c>
      <c r="G392" t="s">
        <v>26</v>
      </c>
    </row>
    <row r="393" spans="1:7">
      <c r="A393" t="s">
        <v>845</v>
      </c>
      <c r="B393" t="s">
        <v>846</v>
      </c>
      <c r="C393">
        <v>40</v>
      </c>
      <c r="D393" t="s">
        <v>15</v>
      </c>
      <c r="E393" t="s">
        <v>29</v>
      </c>
      <c r="F393" t="s">
        <v>11</v>
      </c>
      <c r="G393" t="s">
        <v>22</v>
      </c>
    </row>
    <row r="394" spans="1:7">
      <c r="A394" t="s">
        <v>847</v>
      </c>
      <c r="B394" t="s">
        <v>848</v>
      </c>
      <c r="C394">
        <v>46</v>
      </c>
      <c r="D394" t="s">
        <v>9</v>
      </c>
      <c r="E394" t="s">
        <v>86</v>
      </c>
      <c r="F394" t="s">
        <v>11</v>
      </c>
      <c r="G394" t="s">
        <v>12</v>
      </c>
    </row>
    <row r="395" spans="1:7">
      <c r="A395" t="s">
        <v>849</v>
      </c>
      <c r="B395" t="s">
        <v>850</v>
      </c>
      <c r="C395">
        <v>46</v>
      </c>
      <c r="D395" t="s">
        <v>9</v>
      </c>
      <c r="E395" t="s">
        <v>89</v>
      </c>
      <c r="F395" t="s">
        <v>11</v>
      </c>
      <c r="G395" t="s">
        <v>22</v>
      </c>
    </row>
    <row r="396" spans="1:7">
      <c r="A396" t="s">
        <v>851</v>
      </c>
      <c r="B396" t="s">
        <v>852</v>
      </c>
      <c r="C396">
        <v>43</v>
      </c>
      <c r="D396" t="s">
        <v>15</v>
      </c>
      <c r="E396" t="s">
        <v>125</v>
      </c>
      <c r="F396" t="s">
        <v>11</v>
      </c>
      <c r="G396" t="s">
        <v>22</v>
      </c>
    </row>
    <row r="397" spans="1:7">
      <c r="A397" t="s">
        <v>853</v>
      </c>
      <c r="B397" t="s">
        <v>854</v>
      </c>
      <c r="C397">
        <v>50</v>
      </c>
      <c r="D397" t="s">
        <v>9</v>
      </c>
      <c r="E397" t="s">
        <v>49</v>
      </c>
      <c r="F397" t="s">
        <v>11</v>
      </c>
      <c r="G397" t="s">
        <v>12</v>
      </c>
    </row>
    <row r="398" spans="1:7">
      <c r="A398" t="s">
        <v>855</v>
      </c>
      <c r="B398" t="s">
        <v>856</v>
      </c>
      <c r="C398">
        <v>25</v>
      </c>
      <c r="D398" t="s">
        <v>15</v>
      </c>
      <c r="E398" t="s">
        <v>46</v>
      </c>
      <c r="F398" t="s">
        <v>11</v>
      </c>
      <c r="G398" t="s">
        <v>26</v>
      </c>
    </row>
    <row r="399" spans="1:7">
      <c r="A399" t="s">
        <v>857</v>
      </c>
      <c r="B399" t="s">
        <v>3511</v>
      </c>
      <c r="C399">
        <v>62</v>
      </c>
      <c r="D399" t="s">
        <v>15</v>
      </c>
      <c r="E399" t="s">
        <v>49</v>
      </c>
      <c r="F399" t="s">
        <v>11</v>
      </c>
      <c r="G399" t="s">
        <v>17</v>
      </c>
    </row>
    <row r="400" spans="1:7">
      <c r="A400" t="s">
        <v>859</v>
      </c>
      <c r="B400" t="s">
        <v>860</v>
      </c>
      <c r="C400">
        <v>54</v>
      </c>
      <c r="D400" t="s">
        <v>9</v>
      </c>
      <c r="E400" t="s">
        <v>38</v>
      </c>
      <c r="F400" t="s">
        <v>11</v>
      </c>
      <c r="G400" t="s">
        <v>22</v>
      </c>
    </row>
    <row r="401" spans="1:7">
      <c r="A401" t="s">
        <v>861</v>
      </c>
      <c r="B401" t="s">
        <v>862</v>
      </c>
      <c r="C401">
        <v>27</v>
      </c>
      <c r="D401" t="s">
        <v>9</v>
      </c>
      <c r="E401" t="s">
        <v>312</v>
      </c>
      <c r="F401" t="s">
        <v>11</v>
      </c>
      <c r="G401" t="s">
        <v>22</v>
      </c>
    </row>
    <row r="402" spans="1:7">
      <c r="A402" t="s">
        <v>863</v>
      </c>
      <c r="B402" t="s">
        <v>864</v>
      </c>
      <c r="C402">
        <v>57</v>
      </c>
      <c r="D402" t="s">
        <v>15</v>
      </c>
      <c r="E402" t="s">
        <v>74</v>
      </c>
      <c r="F402" t="s">
        <v>11</v>
      </c>
      <c r="G402" t="s">
        <v>17</v>
      </c>
    </row>
    <row r="403" spans="1:7">
      <c r="A403" t="s">
        <v>865</v>
      </c>
      <c r="B403" t="s">
        <v>866</v>
      </c>
      <c r="C403">
        <v>51</v>
      </c>
      <c r="D403" t="s">
        <v>15</v>
      </c>
      <c r="E403" t="s">
        <v>137</v>
      </c>
      <c r="F403" t="s">
        <v>11</v>
      </c>
      <c r="G403" t="s">
        <v>17</v>
      </c>
    </row>
    <row r="404" spans="1:7">
      <c r="A404" t="s">
        <v>867</v>
      </c>
      <c r="B404" t="s">
        <v>868</v>
      </c>
      <c r="C404">
        <v>31</v>
      </c>
      <c r="D404" t="s">
        <v>9</v>
      </c>
      <c r="E404" t="s">
        <v>228</v>
      </c>
      <c r="F404" t="s">
        <v>11</v>
      </c>
      <c r="G404" t="s">
        <v>22</v>
      </c>
    </row>
    <row r="405" spans="1:7">
      <c r="A405" t="s">
        <v>869</v>
      </c>
      <c r="B405" t="s">
        <v>870</v>
      </c>
      <c r="C405">
        <v>34</v>
      </c>
      <c r="D405" t="s">
        <v>9</v>
      </c>
      <c r="E405" t="s">
        <v>239</v>
      </c>
      <c r="F405" t="s">
        <v>11</v>
      </c>
      <c r="G405" t="s">
        <v>22</v>
      </c>
    </row>
    <row r="406" spans="1:7">
      <c r="A406" t="s">
        <v>871</v>
      </c>
      <c r="B406" t="s">
        <v>872</v>
      </c>
      <c r="C406">
        <v>22</v>
      </c>
      <c r="D406" t="s">
        <v>15</v>
      </c>
      <c r="E406" t="s">
        <v>213</v>
      </c>
      <c r="F406" t="s">
        <v>11</v>
      </c>
      <c r="G406" t="s">
        <v>26</v>
      </c>
    </row>
    <row r="407" spans="1:7">
      <c r="A407" t="s">
        <v>873</v>
      </c>
      <c r="B407" t="s">
        <v>874</v>
      </c>
      <c r="C407">
        <v>18</v>
      </c>
      <c r="D407" t="s">
        <v>15</v>
      </c>
      <c r="E407" t="s">
        <v>239</v>
      </c>
      <c r="F407" t="s">
        <v>11</v>
      </c>
      <c r="G407" t="s">
        <v>12</v>
      </c>
    </row>
    <row r="408" spans="1:7">
      <c r="A408" t="s">
        <v>875</v>
      </c>
      <c r="B408" t="s">
        <v>876</v>
      </c>
      <c r="C408">
        <v>23</v>
      </c>
      <c r="D408" t="s">
        <v>15</v>
      </c>
      <c r="E408" t="s">
        <v>236</v>
      </c>
      <c r="F408" t="s">
        <v>11</v>
      </c>
      <c r="G408" t="s">
        <v>12</v>
      </c>
    </row>
    <row r="409" spans="1:7">
      <c r="A409" t="s">
        <v>877</v>
      </c>
      <c r="B409" t="s">
        <v>878</v>
      </c>
      <c r="C409">
        <v>33</v>
      </c>
      <c r="D409" t="s">
        <v>9</v>
      </c>
      <c r="E409" t="s">
        <v>106</v>
      </c>
      <c r="F409" t="s">
        <v>11</v>
      </c>
      <c r="G409" t="s">
        <v>12</v>
      </c>
    </row>
    <row r="410" spans="1:7">
      <c r="A410" t="s">
        <v>879</v>
      </c>
      <c r="B410" t="s">
        <v>880</v>
      </c>
      <c r="C410">
        <v>36</v>
      </c>
      <c r="D410" t="s">
        <v>9</v>
      </c>
      <c r="E410" t="s">
        <v>68</v>
      </c>
      <c r="F410" t="s">
        <v>11</v>
      </c>
      <c r="G410" t="s">
        <v>12</v>
      </c>
    </row>
    <row r="411" spans="1:7">
      <c r="A411" t="s">
        <v>881</v>
      </c>
      <c r="B411" t="s">
        <v>882</v>
      </c>
      <c r="C411">
        <v>55</v>
      </c>
      <c r="D411" t="s">
        <v>9</v>
      </c>
      <c r="E411" t="s">
        <v>593</v>
      </c>
      <c r="F411" t="s">
        <v>11</v>
      </c>
      <c r="G411" t="s">
        <v>12</v>
      </c>
    </row>
    <row r="412" spans="1:7">
      <c r="A412" t="s">
        <v>883</v>
      </c>
      <c r="B412" t="s">
        <v>884</v>
      </c>
      <c r="C412">
        <v>48</v>
      </c>
      <c r="D412" t="s">
        <v>15</v>
      </c>
      <c r="E412" t="s">
        <v>68</v>
      </c>
      <c r="F412" t="s">
        <v>11</v>
      </c>
      <c r="G412" t="s">
        <v>22</v>
      </c>
    </row>
    <row r="413" spans="1:7">
      <c r="A413" t="s">
        <v>885</v>
      </c>
      <c r="B413" t="s">
        <v>886</v>
      </c>
      <c r="C413">
        <v>63</v>
      </c>
      <c r="D413" t="s">
        <v>9</v>
      </c>
      <c r="E413" t="s">
        <v>21</v>
      </c>
      <c r="F413" t="s">
        <v>11</v>
      </c>
      <c r="G413" t="s">
        <v>26</v>
      </c>
    </row>
    <row r="414" spans="1:7">
      <c r="A414" t="s">
        <v>887</v>
      </c>
      <c r="B414" t="s">
        <v>888</v>
      </c>
      <c r="C414">
        <v>23</v>
      </c>
      <c r="D414" t="s">
        <v>15</v>
      </c>
      <c r="E414" t="s">
        <v>117</v>
      </c>
      <c r="F414" t="s">
        <v>11</v>
      </c>
      <c r="G414" t="s">
        <v>12</v>
      </c>
    </row>
    <row r="415" spans="1:7">
      <c r="A415" t="s">
        <v>889</v>
      </c>
      <c r="B415" t="s">
        <v>890</v>
      </c>
      <c r="C415">
        <v>59</v>
      </c>
      <c r="D415" t="s">
        <v>15</v>
      </c>
      <c r="E415" t="s">
        <v>81</v>
      </c>
      <c r="F415" t="s">
        <v>11</v>
      </c>
      <c r="G415" t="s">
        <v>22</v>
      </c>
    </row>
    <row r="416" spans="1:7">
      <c r="A416" t="s">
        <v>891</v>
      </c>
      <c r="B416" t="s">
        <v>892</v>
      </c>
      <c r="C416">
        <v>35</v>
      </c>
      <c r="D416" t="s">
        <v>15</v>
      </c>
      <c r="E416" t="s">
        <v>86</v>
      </c>
      <c r="F416" t="s">
        <v>11</v>
      </c>
      <c r="G416" t="s">
        <v>12</v>
      </c>
    </row>
    <row r="417" spans="1:7">
      <c r="A417" t="s">
        <v>893</v>
      </c>
      <c r="B417" t="s">
        <v>894</v>
      </c>
      <c r="C417">
        <v>26</v>
      </c>
      <c r="D417" t="s">
        <v>15</v>
      </c>
      <c r="E417" t="s">
        <v>122</v>
      </c>
      <c r="F417" t="s">
        <v>11</v>
      </c>
      <c r="G417" t="s">
        <v>26</v>
      </c>
    </row>
    <row r="418" spans="1:7">
      <c r="A418" t="s">
        <v>895</v>
      </c>
      <c r="B418" t="s">
        <v>896</v>
      </c>
      <c r="C418">
        <v>46</v>
      </c>
      <c r="D418" t="s">
        <v>9</v>
      </c>
      <c r="E418" t="s">
        <v>236</v>
      </c>
      <c r="F418" t="s">
        <v>11</v>
      </c>
      <c r="G418" t="s">
        <v>17</v>
      </c>
    </row>
    <row r="419" spans="1:7">
      <c r="A419" t="s">
        <v>897</v>
      </c>
      <c r="B419" t="s">
        <v>898</v>
      </c>
      <c r="C419">
        <v>64</v>
      </c>
      <c r="D419" t="s">
        <v>15</v>
      </c>
      <c r="E419" t="s">
        <v>10</v>
      </c>
      <c r="F419" t="s">
        <v>11</v>
      </c>
      <c r="G419" t="s">
        <v>22</v>
      </c>
    </row>
    <row r="420" spans="1:7">
      <c r="A420" t="s">
        <v>899</v>
      </c>
      <c r="B420" t="s">
        <v>900</v>
      </c>
      <c r="C420">
        <v>60</v>
      </c>
      <c r="D420" t="s">
        <v>15</v>
      </c>
      <c r="E420" t="s">
        <v>38</v>
      </c>
      <c r="F420" t="s">
        <v>11</v>
      </c>
      <c r="G420" t="s">
        <v>26</v>
      </c>
    </row>
    <row r="421" spans="1:7">
      <c r="A421" t="s">
        <v>901</v>
      </c>
      <c r="B421" t="s">
        <v>902</v>
      </c>
      <c r="C421">
        <v>33</v>
      </c>
      <c r="D421" t="s">
        <v>9</v>
      </c>
      <c r="E421" t="s">
        <v>228</v>
      </c>
      <c r="F421" t="s">
        <v>11</v>
      </c>
      <c r="G421" t="s">
        <v>12</v>
      </c>
    </row>
    <row r="422" spans="1:7">
      <c r="A422" t="s">
        <v>903</v>
      </c>
      <c r="B422" t="s">
        <v>3512</v>
      </c>
      <c r="C422">
        <v>60</v>
      </c>
      <c r="D422" t="s">
        <v>9</v>
      </c>
      <c r="E422" t="s">
        <v>10</v>
      </c>
      <c r="F422" t="s">
        <v>11</v>
      </c>
      <c r="G422" t="s">
        <v>22</v>
      </c>
    </row>
    <row r="423" spans="1:7">
      <c r="A423" t="s">
        <v>905</v>
      </c>
      <c r="B423" t="s">
        <v>906</v>
      </c>
      <c r="C423">
        <v>45</v>
      </c>
      <c r="D423" t="s">
        <v>15</v>
      </c>
      <c r="E423" t="s">
        <v>58</v>
      </c>
      <c r="F423" t="s">
        <v>11</v>
      </c>
      <c r="G423" t="s">
        <v>17</v>
      </c>
    </row>
    <row r="424" spans="1:7">
      <c r="A424" t="s">
        <v>907</v>
      </c>
      <c r="B424" t="s">
        <v>3513</v>
      </c>
      <c r="C424">
        <v>42</v>
      </c>
      <c r="D424" t="s">
        <v>15</v>
      </c>
      <c r="E424" t="s">
        <v>49</v>
      </c>
      <c r="F424" t="s">
        <v>11</v>
      </c>
      <c r="G424" t="s">
        <v>17</v>
      </c>
    </row>
    <row r="425" spans="1:7">
      <c r="A425" t="s">
        <v>909</v>
      </c>
      <c r="B425" t="s">
        <v>910</v>
      </c>
      <c r="C425">
        <v>35</v>
      </c>
      <c r="D425" t="s">
        <v>9</v>
      </c>
      <c r="E425" t="s">
        <v>49</v>
      </c>
      <c r="F425" t="s">
        <v>11</v>
      </c>
      <c r="G425" t="s">
        <v>26</v>
      </c>
    </row>
    <row r="426" spans="1:7">
      <c r="A426" t="s">
        <v>911</v>
      </c>
      <c r="B426" t="s">
        <v>912</v>
      </c>
      <c r="C426">
        <v>53</v>
      </c>
      <c r="D426" t="s">
        <v>9</v>
      </c>
      <c r="E426" t="s">
        <v>10</v>
      </c>
      <c r="F426" t="s">
        <v>11</v>
      </c>
      <c r="G426" t="s">
        <v>22</v>
      </c>
    </row>
    <row r="427" spans="1:7">
      <c r="A427" t="s">
        <v>913</v>
      </c>
      <c r="B427" t="s">
        <v>914</v>
      </c>
      <c r="C427">
        <v>40</v>
      </c>
      <c r="D427" t="s">
        <v>9</v>
      </c>
      <c r="E427" t="s">
        <v>89</v>
      </c>
      <c r="F427" t="s">
        <v>11</v>
      </c>
      <c r="G427" t="s">
        <v>22</v>
      </c>
    </row>
    <row r="428" spans="1:7">
      <c r="A428" t="s">
        <v>915</v>
      </c>
      <c r="B428" t="s">
        <v>916</v>
      </c>
      <c r="C428">
        <v>28</v>
      </c>
      <c r="D428" t="s">
        <v>9</v>
      </c>
      <c r="E428" t="s">
        <v>10</v>
      </c>
      <c r="F428" t="s">
        <v>11</v>
      </c>
      <c r="G428" t="s">
        <v>17</v>
      </c>
    </row>
    <row r="429" spans="1:7">
      <c r="A429" t="s">
        <v>917</v>
      </c>
      <c r="B429" t="s">
        <v>918</v>
      </c>
      <c r="C429">
        <v>18</v>
      </c>
      <c r="D429" t="s">
        <v>15</v>
      </c>
      <c r="E429" t="s">
        <v>312</v>
      </c>
      <c r="F429" t="s">
        <v>11</v>
      </c>
      <c r="G429" t="s">
        <v>12</v>
      </c>
    </row>
    <row r="430" spans="1:7">
      <c r="A430" t="s">
        <v>919</v>
      </c>
      <c r="B430" t="s">
        <v>920</v>
      </c>
      <c r="C430">
        <v>27</v>
      </c>
      <c r="D430" t="s">
        <v>15</v>
      </c>
      <c r="E430" t="s">
        <v>239</v>
      </c>
      <c r="F430" t="s">
        <v>11</v>
      </c>
      <c r="G430" t="s">
        <v>22</v>
      </c>
    </row>
    <row r="431" spans="1:7">
      <c r="A431" t="s">
        <v>921</v>
      </c>
      <c r="B431" t="s">
        <v>922</v>
      </c>
      <c r="C431">
        <v>43</v>
      </c>
      <c r="D431" t="s">
        <v>9</v>
      </c>
      <c r="E431" t="s">
        <v>81</v>
      </c>
      <c r="F431" t="s">
        <v>11</v>
      </c>
      <c r="G431" t="s">
        <v>17</v>
      </c>
    </row>
    <row r="432" spans="1:7">
      <c r="A432" t="s">
        <v>923</v>
      </c>
      <c r="B432" t="s">
        <v>924</v>
      </c>
      <c r="C432">
        <v>36</v>
      </c>
      <c r="D432" t="s">
        <v>15</v>
      </c>
      <c r="E432" t="s">
        <v>68</v>
      </c>
      <c r="F432" t="s">
        <v>11</v>
      </c>
      <c r="G432" t="s">
        <v>12</v>
      </c>
    </row>
    <row r="433" spans="1:7">
      <c r="A433" t="s">
        <v>925</v>
      </c>
      <c r="B433" t="s">
        <v>926</v>
      </c>
      <c r="C433">
        <v>27</v>
      </c>
      <c r="D433" t="s">
        <v>9</v>
      </c>
      <c r="E433" t="s">
        <v>25</v>
      </c>
      <c r="F433" t="s">
        <v>11</v>
      </c>
      <c r="G433" t="s">
        <v>17</v>
      </c>
    </row>
    <row r="434" spans="1:7">
      <c r="A434" t="s">
        <v>927</v>
      </c>
      <c r="B434" t="s">
        <v>928</v>
      </c>
      <c r="C434">
        <v>37</v>
      </c>
      <c r="D434" t="s">
        <v>9</v>
      </c>
      <c r="E434" t="s">
        <v>68</v>
      </c>
      <c r="F434" t="s">
        <v>11</v>
      </c>
      <c r="G434" t="s">
        <v>22</v>
      </c>
    </row>
    <row r="435" spans="1:7">
      <c r="A435" t="s">
        <v>929</v>
      </c>
      <c r="B435" t="s">
        <v>930</v>
      </c>
      <c r="C435">
        <v>51</v>
      </c>
      <c r="D435" t="s">
        <v>15</v>
      </c>
      <c r="E435" t="s">
        <v>46</v>
      </c>
      <c r="F435" t="s">
        <v>11</v>
      </c>
      <c r="G435" t="s">
        <v>26</v>
      </c>
    </row>
    <row r="436" spans="1:7">
      <c r="A436" t="s">
        <v>931</v>
      </c>
      <c r="B436" t="s">
        <v>932</v>
      </c>
      <c r="C436">
        <v>48</v>
      </c>
      <c r="D436" t="s">
        <v>15</v>
      </c>
      <c r="E436" t="s">
        <v>187</v>
      </c>
      <c r="F436" t="s">
        <v>11</v>
      </c>
      <c r="G436" t="s">
        <v>12</v>
      </c>
    </row>
    <row r="437" spans="1:7">
      <c r="A437" t="s">
        <v>933</v>
      </c>
      <c r="B437" t="s">
        <v>934</v>
      </c>
      <c r="C437">
        <v>37</v>
      </c>
      <c r="D437" t="s">
        <v>15</v>
      </c>
      <c r="E437" t="s">
        <v>81</v>
      </c>
      <c r="F437" t="s">
        <v>11</v>
      </c>
      <c r="G437" t="s">
        <v>26</v>
      </c>
    </row>
    <row r="438" spans="1:7">
      <c r="A438" t="s">
        <v>935</v>
      </c>
      <c r="B438" t="s">
        <v>936</v>
      </c>
      <c r="C438">
        <v>61</v>
      </c>
      <c r="D438" t="s">
        <v>9</v>
      </c>
      <c r="E438" t="s">
        <v>32</v>
      </c>
      <c r="F438" t="s">
        <v>11</v>
      </c>
      <c r="G438" t="s">
        <v>12</v>
      </c>
    </row>
    <row r="439" spans="1:7">
      <c r="A439" t="s">
        <v>937</v>
      </c>
      <c r="B439" t="s">
        <v>938</v>
      </c>
      <c r="C439">
        <v>47</v>
      </c>
      <c r="D439" t="s">
        <v>15</v>
      </c>
      <c r="E439" t="s">
        <v>38</v>
      </c>
      <c r="F439" t="s">
        <v>11</v>
      </c>
      <c r="G439" t="s">
        <v>17</v>
      </c>
    </row>
    <row r="440" spans="1:7">
      <c r="A440" t="s">
        <v>939</v>
      </c>
      <c r="B440" t="s">
        <v>940</v>
      </c>
      <c r="C440">
        <v>59</v>
      </c>
      <c r="D440" t="s">
        <v>15</v>
      </c>
      <c r="E440" t="s">
        <v>175</v>
      </c>
      <c r="F440" t="s">
        <v>11</v>
      </c>
      <c r="G440" t="s">
        <v>17</v>
      </c>
    </row>
    <row r="441" spans="1:7">
      <c r="A441" t="s">
        <v>941</v>
      </c>
      <c r="B441" t="s">
        <v>942</v>
      </c>
      <c r="C441">
        <v>53</v>
      </c>
      <c r="D441" t="s">
        <v>9</v>
      </c>
      <c r="E441" t="s">
        <v>117</v>
      </c>
      <c r="F441" t="s">
        <v>11</v>
      </c>
      <c r="G441" t="s">
        <v>26</v>
      </c>
    </row>
    <row r="442" spans="1:7">
      <c r="A442" t="s">
        <v>943</v>
      </c>
      <c r="B442" t="s">
        <v>944</v>
      </c>
      <c r="C442">
        <v>60</v>
      </c>
      <c r="D442" t="s">
        <v>9</v>
      </c>
      <c r="E442" t="s">
        <v>16</v>
      </c>
      <c r="F442" t="s">
        <v>11</v>
      </c>
      <c r="G442" t="s">
        <v>26</v>
      </c>
    </row>
    <row r="443" spans="1:7">
      <c r="A443" t="s">
        <v>945</v>
      </c>
      <c r="B443" t="s">
        <v>946</v>
      </c>
      <c r="C443">
        <v>31</v>
      </c>
      <c r="D443" t="s">
        <v>9</v>
      </c>
      <c r="E443" t="s">
        <v>236</v>
      </c>
      <c r="F443" t="s">
        <v>11</v>
      </c>
      <c r="G443" t="s">
        <v>26</v>
      </c>
    </row>
    <row r="444" spans="1:7">
      <c r="A444" t="s">
        <v>947</v>
      </c>
      <c r="B444" t="s">
        <v>948</v>
      </c>
      <c r="C444">
        <v>42</v>
      </c>
      <c r="D444" t="s">
        <v>15</v>
      </c>
      <c r="E444" t="s">
        <v>29</v>
      </c>
      <c r="F444" t="s">
        <v>11</v>
      </c>
      <c r="G444" t="s">
        <v>22</v>
      </c>
    </row>
    <row r="445" spans="1:7">
      <c r="A445" t="s">
        <v>949</v>
      </c>
      <c r="B445" t="s">
        <v>950</v>
      </c>
      <c r="C445">
        <v>51</v>
      </c>
      <c r="D445" t="s">
        <v>9</v>
      </c>
      <c r="E445" t="s">
        <v>260</v>
      </c>
      <c r="F445" t="s">
        <v>11</v>
      </c>
      <c r="G445" t="s">
        <v>26</v>
      </c>
    </row>
    <row r="446" spans="1:7">
      <c r="A446" t="s">
        <v>951</v>
      </c>
      <c r="B446" t="s">
        <v>952</v>
      </c>
      <c r="C446">
        <v>19</v>
      </c>
      <c r="D446" t="s">
        <v>9</v>
      </c>
      <c r="E446" t="s">
        <v>593</v>
      </c>
      <c r="F446" t="s">
        <v>11</v>
      </c>
      <c r="G446" t="s">
        <v>12</v>
      </c>
    </row>
    <row r="447" spans="1:7">
      <c r="A447" t="s">
        <v>953</v>
      </c>
      <c r="B447" t="s">
        <v>954</v>
      </c>
      <c r="C447">
        <v>41</v>
      </c>
      <c r="D447" t="s">
        <v>15</v>
      </c>
      <c r="E447" t="s">
        <v>210</v>
      </c>
      <c r="F447" t="s">
        <v>11</v>
      </c>
      <c r="G447" t="s">
        <v>17</v>
      </c>
    </row>
    <row r="448" spans="1:7">
      <c r="A448" t="s">
        <v>955</v>
      </c>
      <c r="B448" t="s">
        <v>956</v>
      </c>
      <c r="C448">
        <v>35</v>
      </c>
      <c r="D448" t="s">
        <v>9</v>
      </c>
      <c r="E448" t="s">
        <v>74</v>
      </c>
      <c r="F448" t="s">
        <v>11</v>
      </c>
      <c r="G448" t="s">
        <v>26</v>
      </c>
    </row>
    <row r="449" spans="1:7">
      <c r="A449" t="s">
        <v>957</v>
      </c>
      <c r="B449" t="s">
        <v>958</v>
      </c>
      <c r="C449">
        <v>45</v>
      </c>
      <c r="D449" t="s">
        <v>9</v>
      </c>
      <c r="E449" t="s">
        <v>10</v>
      </c>
      <c r="F449" t="s">
        <v>11</v>
      </c>
      <c r="G449" t="s">
        <v>12</v>
      </c>
    </row>
    <row r="450" spans="1:7">
      <c r="A450" t="s">
        <v>959</v>
      </c>
      <c r="B450" t="s">
        <v>960</v>
      </c>
      <c r="C450">
        <v>64</v>
      </c>
      <c r="D450" t="s">
        <v>15</v>
      </c>
      <c r="E450" t="s">
        <v>593</v>
      </c>
      <c r="F450" t="s">
        <v>11</v>
      </c>
      <c r="G450" t="s">
        <v>22</v>
      </c>
    </row>
    <row r="451" spans="1:7">
      <c r="A451" t="s">
        <v>961</v>
      </c>
      <c r="B451" t="s">
        <v>962</v>
      </c>
      <c r="C451">
        <v>29</v>
      </c>
      <c r="D451" t="s">
        <v>9</v>
      </c>
      <c r="E451" t="s">
        <v>21</v>
      </c>
      <c r="F451" t="s">
        <v>11</v>
      </c>
      <c r="G451" t="s">
        <v>22</v>
      </c>
    </row>
    <row r="452" spans="1:7">
      <c r="A452" t="s">
        <v>963</v>
      </c>
      <c r="B452" t="s">
        <v>964</v>
      </c>
      <c r="C452">
        <v>59</v>
      </c>
      <c r="D452" t="s">
        <v>9</v>
      </c>
      <c r="E452" t="s">
        <v>55</v>
      </c>
      <c r="F452" t="s">
        <v>11</v>
      </c>
      <c r="G452" t="s">
        <v>22</v>
      </c>
    </row>
    <row r="453" spans="1:7">
      <c r="A453" t="s">
        <v>965</v>
      </c>
      <c r="B453" t="s">
        <v>966</v>
      </c>
      <c r="C453">
        <v>46</v>
      </c>
      <c r="D453" t="s">
        <v>9</v>
      </c>
      <c r="E453" t="s">
        <v>172</v>
      </c>
      <c r="F453" t="s">
        <v>11</v>
      </c>
      <c r="G453" t="s">
        <v>12</v>
      </c>
    </row>
    <row r="454" spans="1:7">
      <c r="A454" t="s">
        <v>967</v>
      </c>
      <c r="B454" t="s">
        <v>968</v>
      </c>
      <c r="C454">
        <v>60</v>
      </c>
      <c r="D454" t="s">
        <v>15</v>
      </c>
      <c r="E454" t="s">
        <v>228</v>
      </c>
      <c r="F454" t="s">
        <v>11</v>
      </c>
      <c r="G454" t="s">
        <v>22</v>
      </c>
    </row>
    <row r="455" spans="1:7">
      <c r="A455" t="s">
        <v>969</v>
      </c>
      <c r="B455" t="s">
        <v>970</v>
      </c>
      <c r="C455">
        <v>62</v>
      </c>
      <c r="D455" t="s">
        <v>15</v>
      </c>
      <c r="E455" t="s">
        <v>76</v>
      </c>
      <c r="F455" t="s">
        <v>11</v>
      </c>
      <c r="G455" t="s">
        <v>17</v>
      </c>
    </row>
    <row r="456" spans="1:7">
      <c r="A456" t="s">
        <v>971</v>
      </c>
      <c r="B456" t="s">
        <v>972</v>
      </c>
      <c r="C456">
        <v>60</v>
      </c>
      <c r="D456" t="s">
        <v>9</v>
      </c>
      <c r="E456" t="s">
        <v>74</v>
      </c>
      <c r="F456" t="s">
        <v>11</v>
      </c>
      <c r="G456" t="s">
        <v>12</v>
      </c>
    </row>
    <row r="457" spans="1:7">
      <c r="A457" t="s">
        <v>973</v>
      </c>
      <c r="B457" t="s">
        <v>974</v>
      </c>
      <c r="C457">
        <v>54</v>
      </c>
      <c r="D457" t="s">
        <v>9</v>
      </c>
      <c r="E457" t="s">
        <v>144</v>
      </c>
      <c r="F457" t="s">
        <v>11</v>
      </c>
      <c r="G457" t="s">
        <v>12</v>
      </c>
    </row>
    <row r="458" spans="1:7">
      <c r="A458" t="s">
        <v>975</v>
      </c>
      <c r="B458" t="s">
        <v>976</v>
      </c>
      <c r="C458">
        <v>59</v>
      </c>
      <c r="D458" t="s">
        <v>15</v>
      </c>
      <c r="E458" t="s">
        <v>213</v>
      </c>
      <c r="F458" t="s">
        <v>11</v>
      </c>
      <c r="G458" t="s">
        <v>12</v>
      </c>
    </row>
    <row r="459" spans="1:7">
      <c r="A459" t="s">
        <v>977</v>
      </c>
      <c r="B459" t="s">
        <v>978</v>
      </c>
      <c r="C459">
        <v>59</v>
      </c>
      <c r="D459" t="s">
        <v>9</v>
      </c>
      <c r="E459" t="s">
        <v>417</v>
      </c>
      <c r="F459" t="s">
        <v>11</v>
      </c>
      <c r="G459" t="s">
        <v>17</v>
      </c>
    </row>
    <row r="460" spans="1:7">
      <c r="A460" t="s">
        <v>979</v>
      </c>
      <c r="B460" t="s">
        <v>980</v>
      </c>
      <c r="C460">
        <v>62</v>
      </c>
      <c r="D460" t="s">
        <v>15</v>
      </c>
      <c r="E460" t="s">
        <v>41</v>
      </c>
      <c r="F460" t="s">
        <v>11</v>
      </c>
      <c r="G460" t="s">
        <v>26</v>
      </c>
    </row>
    <row r="461" spans="1:7">
      <c r="A461" t="s">
        <v>981</v>
      </c>
      <c r="B461" t="s">
        <v>479</v>
      </c>
      <c r="C461">
        <v>29</v>
      </c>
      <c r="D461" t="s">
        <v>15</v>
      </c>
      <c r="E461" t="s">
        <v>231</v>
      </c>
      <c r="F461" t="s">
        <v>11</v>
      </c>
      <c r="G461" t="s">
        <v>12</v>
      </c>
    </row>
    <row r="462" spans="1:7">
      <c r="A462" t="s">
        <v>982</v>
      </c>
      <c r="B462" t="s">
        <v>983</v>
      </c>
      <c r="C462">
        <v>35</v>
      </c>
      <c r="D462" t="s">
        <v>9</v>
      </c>
      <c r="E462" t="s">
        <v>196</v>
      </c>
      <c r="F462" t="s">
        <v>11</v>
      </c>
      <c r="G462" t="s">
        <v>12</v>
      </c>
    </row>
    <row r="463" spans="1:7">
      <c r="A463" t="s">
        <v>984</v>
      </c>
      <c r="B463" t="s">
        <v>985</v>
      </c>
      <c r="C463">
        <v>60</v>
      </c>
      <c r="D463" t="s">
        <v>15</v>
      </c>
      <c r="E463" t="s">
        <v>49</v>
      </c>
      <c r="F463" t="s">
        <v>11</v>
      </c>
      <c r="G463" t="s">
        <v>26</v>
      </c>
    </row>
    <row r="464" spans="1:7">
      <c r="A464" t="s">
        <v>986</v>
      </c>
      <c r="B464" t="s">
        <v>987</v>
      </c>
      <c r="C464">
        <v>34</v>
      </c>
      <c r="D464" t="s">
        <v>15</v>
      </c>
      <c r="E464" t="s">
        <v>35</v>
      </c>
      <c r="F464" t="s">
        <v>11</v>
      </c>
      <c r="G464" t="s">
        <v>26</v>
      </c>
    </row>
    <row r="465" spans="1:7">
      <c r="A465" t="s">
        <v>988</v>
      </c>
      <c r="B465" t="s">
        <v>989</v>
      </c>
      <c r="C465">
        <v>36</v>
      </c>
      <c r="D465" t="s">
        <v>15</v>
      </c>
      <c r="E465" t="s">
        <v>125</v>
      </c>
      <c r="F465" t="s">
        <v>11</v>
      </c>
      <c r="G465" t="s">
        <v>22</v>
      </c>
    </row>
    <row r="466" spans="1:7">
      <c r="A466" t="s">
        <v>3356</v>
      </c>
      <c r="B466" t="s">
        <v>991</v>
      </c>
      <c r="C466">
        <v>45</v>
      </c>
      <c r="D466" t="s">
        <v>15</v>
      </c>
      <c r="E466" t="s">
        <v>58</v>
      </c>
      <c r="F466" t="s">
        <v>11</v>
      </c>
      <c r="G466" t="s">
        <v>17</v>
      </c>
    </row>
    <row r="467" spans="1:7">
      <c r="A467" t="s">
        <v>992</v>
      </c>
      <c r="B467" t="s">
        <v>993</v>
      </c>
      <c r="C467">
        <v>28</v>
      </c>
      <c r="D467" t="s">
        <v>15</v>
      </c>
      <c r="E467" t="s">
        <v>10</v>
      </c>
      <c r="F467" t="s">
        <v>11</v>
      </c>
      <c r="G467" t="s">
        <v>26</v>
      </c>
    </row>
    <row r="468" spans="1:7">
      <c r="A468" t="s">
        <v>994</v>
      </c>
      <c r="B468" t="s">
        <v>995</v>
      </c>
      <c r="C468">
        <v>18</v>
      </c>
      <c r="D468" t="s">
        <v>9</v>
      </c>
      <c r="E468" t="s">
        <v>149</v>
      </c>
      <c r="F468" t="s">
        <v>11</v>
      </c>
      <c r="G468" t="s">
        <v>26</v>
      </c>
    </row>
    <row r="469" spans="1:7">
      <c r="A469" t="s">
        <v>996</v>
      </c>
      <c r="B469" t="s">
        <v>997</v>
      </c>
      <c r="C469">
        <v>63</v>
      </c>
      <c r="D469" t="s">
        <v>15</v>
      </c>
      <c r="E469" t="s">
        <v>128</v>
      </c>
      <c r="F469" t="s">
        <v>11</v>
      </c>
      <c r="G469" t="s">
        <v>12</v>
      </c>
    </row>
    <row r="470" spans="1:7">
      <c r="A470" t="s">
        <v>998</v>
      </c>
      <c r="B470" t="s">
        <v>999</v>
      </c>
      <c r="C470">
        <v>45</v>
      </c>
      <c r="D470" t="s">
        <v>9</v>
      </c>
      <c r="E470" t="s">
        <v>128</v>
      </c>
      <c r="F470" t="s">
        <v>11</v>
      </c>
      <c r="G470" t="s">
        <v>22</v>
      </c>
    </row>
    <row r="471" spans="1:7">
      <c r="A471" t="s">
        <v>1000</v>
      </c>
      <c r="B471" t="s">
        <v>1001</v>
      </c>
      <c r="C471">
        <v>19</v>
      </c>
      <c r="D471" t="s">
        <v>9</v>
      </c>
      <c r="E471" t="s">
        <v>89</v>
      </c>
      <c r="F471" t="s">
        <v>11</v>
      </c>
      <c r="G471" t="s">
        <v>12</v>
      </c>
    </row>
    <row r="472" spans="1:7">
      <c r="A472" t="s">
        <v>1002</v>
      </c>
      <c r="B472" t="s">
        <v>1003</v>
      </c>
      <c r="C472">
        <v>21</v>
      </c>
      <c r="D472" t="s">
        <v>15</v>
      </c>
      <c r="E472" t="s">
        <v>38</v>
      </c>
      <c r="F472" t="s">
        <v>11</v>
      </c>
      <c r="G472" t="s">
        <v>12</v>
      </c>
    </row>
    <row r="473" spans="1:7">
      <c r="A473" t="s">
        <v>1004</v>
      </c>
      <c r="B473" t="s">
        <v>1005</v>
      </c>
      <c r="C473">
        <v>42</v>
      </c>
      <c r="D473" t="s">
        <v>9</v>
      </c>
      <c r="E473" t="s">
        <v>52</v>
      </c>
      <c r="F473" t="s">
        <v>11</v>
      </c>
      <c r="G473" t="s">
        <v>17</v>
      </c>
    </row>
    <row r="474" spans="1:7">
      <c r="A474" t="s">
        <v>1006</v>
      </c>
      <c r="B474" t="s">
        <v>1007</v>
      </c>
      <c r="C474">
        <v>42</v>
      </c>
      <c r="D474" t="s">
        <v>9</v>
      </c>
      <c r="E474" t="s">
        <v>504</v>
      </c>
      <c r="F474" t="s">
        <v>11</v>
      </c>
      <c r="G474" t="s">
        <v>26</v>
      </c>
    </row>
    <row r="475" spans="1:7">
      <c r="A475" t="s">
        <v>1008</v>
      </c>
      <c r="B475" t="s">
        <v>1009</v>
      </c>
      <c r="C475">
        <v>53</v>
      </c>
      <c r="D475" t="s">
        <v>9</v>
      </c>
      <c r="E475" t="s">
        <v>236</v>
      </c>
      <c r="F475" t="s">
        <v>11</v>
      </c>
      <c r="G475" t="s">
        <v>22</v>
      </c>
    </row>
    <row r="476" spans="1:7">
      <c r="A476" t="s">
        <v>1010</v>
      </c>
      <c r="B476" t="s">
        <v>1011</v>
      </c>
      <c r="C476">
        <v>32</v>
      </c>
      <c r="D476" t="s">
        <v>15</v>
      </c>
      <c r="E476" t="s">
        <v>32</v>
      </c>
      <c r="F476" t="s">
        <v>11</v>
      </c>
      <c r="G476" t="s">
        <v>17</v>
      </c>
    </row>
    <row r="477" spans="1:7">
      <c r="A477" t="s">
        <v>1012</v>
      </c>
      <c r="B477" t="s">
        <v>1013</v>
      </c>
      <c r="C477">
        <v>18</v>
      </c>
      <c r="D477" t="s">
        <v>15</v>
      </c>
      <c r="E477" t="s">
        <v>128</v>
      </c>
      <c r="F477" t="s">
        <v>11</v>
      </c>
      <c r="G477" t="s">
        <v>17</v>
      </c>
    </row>
    <row r="478" spans="1:7">
      <c r="A478" t="s">
        <v>1014</v>
      </c>
      <c r="B478" t="s">
        <v>1015</v>
      </c>
      <c r="C478">
        <v>33</v>
      </c>
      <c r="D478" t="s">
        <v>15</v>
      </c>
      <c r="E478" t="s">
        <v>74</v>
      </c>
      <c r="F478" t="s">
        <v>11</v>
      </c>
      <c r="G478" t="s">
        <v>12</v>
      </c>
    </row>
    <row r="479" spans="1:7">
      <c r="A479" t="s">
        <v>1016</v>
      </c>
      <c r="B479" t="s">
        <v>1017</v>
      </c>
      <c r="C479">
        <v>41</v>
      </c>
      <c r="D479" t="s">
        <v>15</v>
      </c>
      <c r="E479" t="s">
        <v>49</v>
      </c>
      <c r="F479" t="s">
        <v>11</v>
      </c>
      <c r="G479" t="s">
        <v>17</v>
      </c>
    </row>
    <row r="480" spans="1:7">
      <c r="A480" t="s">
        <v>1018</v>
      </c>
      <c r="B480" t="s">
        <v>3514</v>
      </c>
      <c r="C480">
        <v>59</v>
      </c>
      <c r="D480" t="s">
        <v>9</v>
      </c>
      <c r="E480" t="s">
        <v>32</v>
      </c>
      <c r="F480" t="s">
        <v>11</v>
      </c>
      <c r="G480" t="s">
        <v>12</v>
      </c>
    </row>
    <row r="481" spans="1:7">
      <c r="A481" t="s">
        <v>1020</v>
      </c>
      <c r="B481" t="s">
        <v>1021</v>
      </c>
      <c r="C481">
        <v>40</v>
      </c>
      <c r="D481" t="s">
        <v>9</v>
      </c>
      <c r="E481" t="s">
        <v>35</v>
      </c>
      <c r="F481" t="s">
        <v>11</v>
      </c>
      <c r="G481" t="s">
        <v>22</v>
      </c>
    </row>
    <row r="482" spans="1:7">
      <c r="A482" t="s">
        <v>1022</v>
      </c>
      <c r="B482" t="s">
        <v>1023</v>
      </c>
      <c r="C482">
        <v>33</v>
      </c>
      <c r="D482" t="s">
        <v>9</v>
      </c>
      <c r="E482" t="s">
        <v>184</v>
      </c>
      <c r="F482" t="s">
        <v>11</v>
      </c>
      <c r="G482" t="s">
        <v>22</v>
      </c>
    </row>
    <row r="483" spans="1:7">
      <c r="A483" t="s">
        <v>1024</v>
      </c>
      <c r="B483" t="s">
        <v>1025</v>
      </c>
      <c r="C483">
        <v>21</v>
      </c>
      <c r="D483" t="s">
        <v>9</v>
      </c>
      <c r="E483" t="s">
        <v>63</v>
      </c>
      <c r="F483" t="s">
        <v>11</v>
      </c>
      <c r="G483" t="s">
        <v>12</v>
      </c>
    </row>
    <row r="484" spans="1:7">
      <c r="A484" t="s">
        <v>1026</v>
      </c>
      <c r="B484" t="s">
        <v>1027</v>
      </c>
      <c r="C484">
        <v>26</v>
      </c>
      <c r="D484" t="s">
        <v>9</v>
      </c>
      <c r="E484" t="s">
        <v>417</v>
      </c>
      <c r="F484" t="s">
        <v>11</v>
      </c>
      <c r="G484" t="s">
        <v>17</v>
      </c>
    </row>
    <row r="485" spans="1:7">
      <c r="A485" t="s">
        <v>1028</v>
      </c>
      <c r="B485" t="s">
        <v>882</v>
      </c>
      <c r="C485">
        <v>48</v>
      </c>
      <c r="D485" t="s">
        <v>9</v>
      </c>
      <c r="E485" t="s">
        <v>137</v>
      </c>
      <c r="F485" t="s">
        <v>11</v>
      </c>
      <c r="G485" t="s">
        <v>12</v>
      </c>
    </row>
    <row r="486" spans="1:7">
      <c r="A486" t="s">
        <v>1029</v>
      </c>
      <c r="B486" t="s">
        <v>1030</v>
      </c>
      <c r="C486">
        <v>32</v>
      </c>
      <c r="D486" t="s">
        <v>9</v>
      </c>
      <c r="E486" t="s">
        <v>504</v>
      </c>
      <c r="F486" t="s">
        <v>11</v>
      </c>
      <c r="G486" t="s">
        <v>22</v>
      </c>
    </row>
    <row r="487" spans="1:7">
      <c r="A487" t="s">
        <v>1031</v>
      </c>
      <c r="B487" t="s">
        <v>1032</v>
      </c>
      <c r="C487">
        <v>46</v>
      </c>
      <c r="D487" t="s">
        <v>15</v>
      </c>
      <c r="E487" t="s">
        <v>210</v>
      </c>
      <c r="F487" t="s">
        <v>11</v>
      </c>
      <c r="G487" t="s">
        <v>22</v>
      </c>
    </row>
    <row r="488" spans="1:7">
      <c r="A488" t="s">
        <v>3355</v>
      </c>
      <c r="B488" t="s">
        <v>1034</v>
      </c>
      <c r="C488">
        <v>22</v>
      </c>
      <c r="D488" t="s">
        <v>15</v>
      </c>
      <c r="E488" t="s">
        <v>128</v>
      </c>
      <c r="F488" t="s">
        <v>11</v>
      </c>
      <c r="G488" t="s">
        <v>22</v>
      </c>
    </row>
    <row r="489" spans="1:7">
      <c r="A489" t="s">
        <v>1035</v>
      </c>
      <c r="B489" t="s">
        <v>1036</v>
      </c>
      <c r="C489">
        <v>36</v>
      </c>
      <c r="D489" t="s">
        <v>15</v>
      </c>
      <c r="E489" t="s">
        <v>89</v>
      </c>
      <c r="F489" t="s">
        <v>11</v>
      </c>
      <c r="G489" t="s">
        <v>17</v>
      </c>
    </row>
    <row r="490" spans="1:7">
      <c r="A490" t="s">
        <v>1037</v>
      </c>
      <c r="B490" t="s">
        <v>1038</v>
      </c>
      <c r="C490">
        <v>23</v>
      </c>
      <c r="D490" t="s">
        <v>15</v>
      </c>
      <c r="E490" t="s">
        <v>25</v>
      </c>
      <c r="F490" t="s">
        <v>11</v>
      </c>
      <c r="G490" t="s">
        <v>17</v>
      </c>
    </row>
    <row r="491" spans="1:7">
      <c r="A491" t="s">
        <v>1039</v>
      </c>
      <c r="B491" t="s">
        <v>1040</v>
      </c>
      <c r="C491">
        <v>42</v>
      </c>
      <c r="D491" t="s">
        <v>15</v>
      </c>
      <c r="E491" t="s">
        <v>187</v>
      </c>
      <c r="F491" t="s">
        <v>11</v>
      </c>
      <c r="G491" t="s">
        <v>26</v>
      </c>
    </row>
    <row r="492" spans="1:7">
      <c r="A492" t="s">
        <v>1041</v>
      </c>
      <c r="B492" t="s">
        <v>1042</v>
      </c>
      <c r="C492">
        <v>23</v>
      </c>
      <c r="D492" t="s">
        <v>9</v>
      </c>
      <c r="E492" t="s">
        <v>106</v>
      </c>
      <c r="F492" t="s">
        <v>11</v>
      </c>
      <c r="G492" t="s">
        <v>17</v>
      </c>
    </row>
    <row r="493" spans="1:7">
      <c r="A493" t="s">
        <v>3354</v>
      </c>
      <c r="B493" t="s">
        <v>1044</v>
      </c>
      <c r="C493">
        <v>52</v>
      </c>
      <c r="D493" t="s">
        <v>15</v>
      </c>
      <c r="E493" t="s">
        <v>32</v>
      </c>
      <c r="F493" t="s">
        <v>11</v>
      </c>
      <c r="G493" t="s">
        <v>12</v>
      </c>
    </row>
    <row r="494" spans="1:7">
      <c r="A494" t="s">
        <v>1045</v>
      </c>
      <c r="B494" t="s">
        <v>1046</v>
      </c>
      <c r="C494">
        <v>59</v>
      </c>
      <c r="D494" t="s">
        <v>15</v>
      </c>
      <c r="E494" t="s">
        <v>184</v>
      </c>
      <c r="F494" t="s">
        <v>11</v>
      </c>
      <c r="G494" t="s">
        <v>17</v>
      </c>
    </row>
    <row r="495" spans="1:7">
      <c r="A495" t="s">
        <v>1047</v>
      </c>
      <c r="B495" t="s">
        <v>1048</v>
      </c>
      <c r="C495">
        <v>28</v>
      </c>
      <c r="D495" t="s">
        <v>9</v>
      </c>
      <c r="E495" t="s">
        <v>19</v>
      </c>
      <c r="F495" t="s">
        <v>11</v>
      </c>
      <c r="G495" t="s">
        <v>26</v>
      </c>
    </row>
    <row r="496" spans="1:7">
      <c r="A496" t="s">
        <v>1049</v>
      </c>
      <c r="B496" t="s">
        <v>1050</v>
      </c>
      <c r="C496">
        <v>21</v>
      </c>
      <c r="D496" t="s">
        <v>9</v>
      </c>
      <c r="E496" t="s">
        <v>260</v>
      </c>
      <c r="F496" t="s">
        <v>11</v>
      </c>
      <c r="G496" t="s">
        <v>12</v>
      </c>
    </row>
    <row r="497" spans="1:7">
      <c r="A497" t="s">
        <v>1051</v>
      </c>
      <c r="B497" t="s">
        <v>1052</v>
      </c>
      <c r="C497">
        <v>23</v>
      </c>
      <c r="D497" t="s">
        <v>15</v>
      </c>
      <c r="E497" t="s">
        <v>71</v>
      </c>
      <c r="F497" t="s">
        <v>11</v>
      </c>
      <c r="G497" t="s">
        <v>22</v>
      </c>
    </row>
    <row r="498" spans="1:7">
      <c r="A498" t="s">
        <v>1053</v>
      </c>
      <c r="B498" t="s">
        <v>1054</v>
      </c>
      <c r="C498">
        <v>56</v>
      </c>
      <c r="D498" t="s">
        <v>9</v>
      </c>
      <c r="E498" t="s">
        <v>21</v>
      </c>
      <c r="F498" t="s">
        <v>11</v>
      </c>
      <c r="G498" t="s">
        <v>22</v>
      </c>
    </row>
    <row r="499" spans="1:7">
      <c r="A499" t="s">
        <v>1055</v>
      </c>
      <c r="B499" t="s">
        <v>1056</v>
      </c>
      <c r="C499">
        <v>47</v>
      </c>
      <c r="D499" t="s">
        <v>15</v>
      </c>
      <c r="E499" t="s">
        <v>46</v>
      </c>
      <c r="F499" t="s">
        <v>11</v>
      </c>
      <c r="G499" t="s">
        <v>12</v>
      </c>
    </row>
    <row r="500" spans="1:7">
      <c r="A500" t="s">
        <v>1057</v>
      </c>
      <c r="B500" t="s">
        <v>1058</v>
      </c>
      <c r="C500">
        <v>35</v>
      </c>
      <c r="D500" t="s">
        <v>9</v>
      </c>
      <c r="E500" t="s">
        <v>172</v>
      </c>
      <c r="F500" t="s">
        <v>11</v>
      </c>
      <c r="G500" t="s">
        <v>26</v>
      </c>
    </row>
    <row r="501" spans="1:7">
      <c r="A501" t="s">
        <v>3353</v>
      </c>
      <c r="B501" t="s">
        <v>1060</v>
      </c>
      <c r="C501">
        <v>27</v>
      </c>
      <c r="D501" t="s">
        <v>15</v>
      </c>
      <c r="E501" t="s">
        <v>29</v>
      </c>
      <c r="F501" t="s">
        <v>11</v>
      </c>
      <c r="G501"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F0D79-BB17-45AF-85BF-8851C86A70C1}">
  <dimension ref="A1:H101"/>
  <sheetViews>
    <sheetView workbookViewId="0">
      <selection activeCell="E4" sqref="E4"/>
    </sheetView>
  </sheetViews>
  <sheetFormatPr defaultRowHeight="14.5"/>
  <cols>
    <col min="1" max="1" width="12.26953125" customWidth="1"/>
    <col min="2" max="2" width="27.08984375" customWidth="1"/>
    <col min="3" max="3" width="11.54296875" customWidth="1"/>
    <col min="4" max="4" width="14.36328125" customWidth="1"/>
    <col min="5" max="5" width="11.54296875" style="5" customWidth="1"/>
    <col min="6" max="6" width="10.6328125" customWidth="1"/>
  </cols>
  <sheetData>
    <row r="1" spans="1:8">
      <c r="A1" s="2" t="s">
        <v>1061</v>
      </c>
      <c r="B1" s="2" t="s">
        <v>1062</v>
      </c>
      <c r="C1" s="2" t="s">
        <v>1063</v>
      </c>
      <c r="D1" s="2" t="s">
        <v>1065</v>
      </c>
      <c r="E1" s="4" t="s">
        <v>1066</v>
      </c>
      <c r="F1" s="2" t="s">
        <v>3490</v>
      </c>
      <c r="G1" s="3" t="s">
        <v>3489</v>
      </c>
      <c r="H1" s="2" t="s">
        <v>1067</v>
      </c>
    </row>
    <row r="2" spans="1:8">
      <c r="A2" t="s">
        <v>1068</v>
      </c>
      <c r="B2" t="s">
        <v>3364</v>
      </c>
      <c r="C2" t="s">
        <v>1088</v>
      </c>
      <c r="D2" t="s">
        <v>1070</v>
      </c>
      <c r="E2" s="5">
        <f>IF(ISBLANK(Table3[[#This Row],[Cost2]]),"Not Found",F2)</f>
        <v>112.42</v>
      </c>
      <c r="F2">
        <v>112.42</v>
      </c>
      <c r="G2">
        <f>IF(ISBLANK(Table3[[#This Row],[Cost2]]),"0",F2)</f>
        <v>112.42</v>
      </c>
      <c r="H2">
        <v>416</v>
      </c>
    </row>
    <row r="3" spans="1:8">
      <c r="A3" t="s">
        <v>1071</v>
      </c>
      <c r="B3" t="s">
        <v>3366</v>
      </c>
      <c r="C3" t="s">
        <v>1072</v>
      </c>
      <c r="D3" t="s">
        <v>1073</v>
      </c>
      <c r="E3" s="5">
        <f>IF(ISBLANK(Table3[[#This Row],[Cost2]]),"Not Found",F3)</f>
        <v>342.56</v>
      </c>
      <c r="F3">
        <v>342.56</v>
      </c>
      <c r="G3">
        <f>IF(ISBLANK(Table3[[#This Row],[Stock]]),"0",H3)</f>
        <v>181</v>
      </c>
      <c r="H3">
        <v>181</v>
      </c>
    </row>
    <row r="4" spans="1:8">
      <c r="A4" t="s">
        <v>1074</v>
      </c>
      <c r="B4" t="s">
        <v>3368</v>
      </c>
      <c r="C4" t="s">
        <v>1072</v>
      </c>
      <c r="D4" t="s">
        <v>1075</v>
      </c>
      <c r="E4" s="5" t="str">
        <f>IF(ISBLANK(Table3[[#This Row],[Cost2]]),"Not Found",F4)</f>
        <v>Not Found</v>
      </c>
      <c r="G4">
        <f>IF(ISBLANK(Table3[[#This Row],[Stock]]),"0",H4)</f>
        <v>352</v>
      </c>
      <c r="H4">
        <v>352</v>
      </c>
    </row>
    <row r="5" spans="1:8">
      <c r="A5" t="s">
        <v>3362</v>
      </c>
      <c r="B5" t="s">
        <v>3370</v>
      </c>
      <c r="C5" t="s">
        <v>1072</v>
      </c>
      <c r="D5" t="s">
        <v>1077</v>
      </c>
      <c r="E5" s="5">
        <f>IF(ISBLANK(Table3[[#This Row],[Cost2]]),"Not Found",F5)</f>
        <v>364.67</v>
      </c>
      <c r="F5">
        <v>364.67</v>
      </c>
      <c r="G5">
        <f>IF(ISBLANK(Table3[[#This Row],[Stock]]),"0",H5)</f>
        <v>452</v>
      </c>
      <c r="H5">
        <v>452</v>
      </c>
    </row>
    <row r="6" spans="1:8">
      <c r="A6" t="s">
        <v>1078</v>
      </c>
      <c r="B6" t="s">
        <v>3371</v>
      </c>
      <c r="C6" t="s">
        <v>1072</v>
      </c>
      <c r="D6" t="s">
        <v>1079</v>
      </c>
      <c r="E6" s="5">
        <f>IF(ISBLANK(Table3[[#This Row],[Cost2]]),"Not Found",F6)</f>
        <v>306.45999999999998</v>
      </c>
      <c r="F6">
        <v>306.45999999999998</v>
      </c>
      <c r="G6">
        <f>IF(ISBLANK(Table3[[#This Row],[Stock]]),"0",H6)</f>
        <v>487</v>
      </c>
      <c r="H6">
        <v>487</v>
      </c>
    </row>
    <row r="7" spans="1:8">
      <c r="A7" t="s">
        <v>1080</v>
      </c>
      <c r="B7" t="s">
        <v>3373</v>
      </c>
      <c r="C7" t="s">
        <v>1072</v>
      </c>
      <c r="D7" t="s">
        <v>1081</v>
      </c>
      <c r="E7" s="5">
        <f>IF(ISBLANK(Table3[[#This Row],[Cost2]]),"Not Found",F7)</f>
        <v>261</v>
      </c>
      <c r="F7">
        <v>261</v>
      </c>
      <c r="G7">
        <f>IF(ISBLANK(Table3[[#This Row],[Stock]]),"0",H7)</f>
        <v>59</v>
      </c>
      <c r="H7">
        <v>59</v>
      </c>
    </row>
    <row r="8" spans="1:8">
      <c r="A8" t="s">
        <v>1082</v>
      </c>
      <c r="B8" t="s">
        <v>3375</v>
      </c>
      <c r="C8" t="s">
        <v>1083</v>
      </c>
      <c r="D8" t="s">
        <v>1084</v>
      </c>
      <c r="E8" s="5">
        <f>IF(ISBLANK(Table3[[#This Row],[Cost2]]),"Not Found",F8)</f>
        <v>312.8</v>
      </c>
      <c r="F8">
        <v>312.8</v>
      </c>
      <c r="G8">
        <f>IF(ISBLANK(Table3[[#This Row],[Stock]]),"0",H8)</f>
        <v>350</v>
      </c>
      <c r="H8">
        <v>350</v>
      </c>
    </row>
    <row r="9" spans="1:8">
      <c r="A9" t="s">
        <v>1085</v>
      </c>
      <c r="B9" t="s">
        <v>3377</v>
      </c>
      <c r="C9" t="s">
        <v>1069</v>
      </c>
      <c r="D9" t="s">
        <v>1086</v>
      </c>
      <c r="E9" s="5">
        <f>IF(ISBLANK(Table3[[#This Row],[Cost2]]),"Not Found",F9)</f>
        <v>218.86</v>
      </c>
      <c r="F9">
        <v>218.86</v>
      </c>
      <c r="G9">
        <f>IF(ISBLANK(Table3[[#This Row],[Stock]]),"0",H9)</f>
        <v>170</v>
      </c>
      <c r="H9">
        <v>170</v>
      </c>
    </row>
    <row r="10" spans="1:8">
      <c r="A10" t="s">
        <v>1087</v>
      </c>
      <c r="B10" t="s">
        <v>3379</v>
      </c>
      <c r="C10" t="s">
        <v>1088</v>
      </c>
      <c r="D10" t="s">
        <v>1089</v>
      </c>
      <c r="E10" s="5">
        <f>IF(ISBLANK(Table3[[#This Row],[Cost2]]),"Not Found",F10)</f>
        <v>439.07</v>
      </c>
      <c r="F10">
        <v>439.07</v>
      </c>
      <c r="G10">
        <f>IF(ISBLANK(Table3[[#This Row],[Stock]]),"0",H10)</f>
        <v>142</v>
      </c>
      <c r="H10">
        <v>142</v>
      </c>
    </row>
    <row r="11" spans="1:8">
      <c r="A11" t="s">
        <v>1090</v>
      </c>
      <c r="B11" t="s">
        <v>3381</v>
      </c>
      <c r="C11" t="s">
        <v>1091</v>
      </c>
      <c r="D11" t="s">
        <v>1092</v>
      </c>
      <c r="E11" s="5">
        <f>IF(ISBLANK(Table3[[#This Row],[Cost2]]),"Not Found",F11)</f>
        <v>495.72</v>
      </c>
      <c r="F11">
        <v>495.72</v>
      </c>
      <c r="G11">
        <f>IF(ISBLANK(Table3[[#This Row],[Stock]]),"0",H11)</f>
        <v>323</v>
      </c>
      <c r="H11">
        <v>323</v>
      </c>
    </row>
    <row r="12" spans="1:8">
      <c r="A12" t="s">
        <v>1093</v>
      </c>
      <c r="B12" t="s">
        <v>3383</v>
      </c>
      <c r="C12" t="s">
        <v>1069</v>
      </c>
      <c r="D12" t="s">
        <v>1094</v>
      </c>
      <c r="E12" s="5">
        <f>IF(ISBLANK(Table3[[#This Row],[Cost2]]),"Not Found",F12)</f>
        <v>298.86</v>
      </c>
      <c r="F12">
        <v>298.86</v>
      </c>
      <c r="G12">
        <f>IF(ISBLANK(Table3[[#This Row],[Stock]]),"0",H12)</f>
        <v>308</v>
      </c>
      <c r="H12">
        <v>308</v>
      </c>
    </row>
    <row r="13" spans="1:8">
      <c r="A13" t="s">
        <v>1095</v>
      </c>
      <c r="B13" t="s">
        <v>3385</v>
      </c>
      <c r="C13" t="s">
        <v>1088</v>
      </c>
      <c r="D13" t="s">
        <v>1096</v>
      </c>
      <c r="E13" s="5">
        <f>IF(ISBLANK(Table3[[#This Row],[Cost2]]),"Not Found",F13)</f>
        <v>449.4</v>
      </c>
      <c r="F13">
        <v>449.4</v>
      </c>
      <c r="G13" t="str">
        <f>IF(ISBLANK(Table3[[#This Row],[Stock]]),"0",H13)</f>
        <v>0</v>
      </c>
    </row>
    <row r="14" spans="1:8">
      <c r="A14" t="s">
        <v>1097</v>
      </c>
      <c r="B14" t="s">
        <v>3386</v>
      </c>
      <c r="C14" t="s">
        <v>1083</v>
      </c>
      <c r="D14" t="s">
        <v>1098</v>
      </c>
      <c r="E14" s="5">
        <f>IF(ISBLANK(Table3[[#This Row],[Cost2]]),"Not Found",F14)</f>
        <v>115.82</v>
      </c>
      <c r="F14">
        <v>115.82</v>
      </c>
      <c r="G14">
        <f>IF(ISBLANK(Table3[[#This Row],[Stock]]),"0",H14)</f>
        <v>460</v>
      </c>
      <c r="H14">
        <v>460</v>
      </c>
    </row>
    <row r="15" spans="1:8">
      <c r="A15" t="s">
        <v>1099</v>
      </c>
      <c r="B15" t="s">
        <v>3388</v>
      </c>
      <c r="C15" t="s">
        <v>1088</v>
      </c>
      <c r="D15" t="s">
        <v>1100</v>
      </c>
      <c r="E15" s="5">
        <f>IF(ISBLANK(Table3[[#This Row],[Cost2]]),"Not Found",F15)</f>
        <v>242.23</v>
      </c>
      <c r="F15">
        <v>242.23</v>
      </c>
      <c r="G15">
        <f>IF(ISBLANK(Table3[[#This Row],[Stock]]),"0",H15)</f>
        <v>453</v>
      </c>
      <c r="H15">
        <v>453</v>
      </c>
    </row>
    <row r="16" spans="1:8">
      <c r="A16" t="s">
        <v>1101</v>
      </c>
      <c r="B16" t="s">
        <v>3389</v>
      </c>
      <c r="C16" t="s">
        <v>1069</v>
      </c>
      <c r="D16" t="s">
        <v>1102</v>
      </c>
      <c r="E16" s="5">
        <f>IF(ISBLANK(Table3[[#This Row],[Cost2]]),"Not Found",F16)</f>
        <v>48.01</v>
      </c>
      <c r="F16">
        <v>48.01</v>
      </c>
      <c r="G16">
        <f>IF(ISBLANK(Table3[[#This Row],[Stock]]),"0",H16)</f>
        <v>439</v>
      </c>
      <c r="H16">
        <v>439</v>
      </c>
    </row>
    <row r="17" spans="1:8">
      <c r="A17" t="s">
        <v>1103</v>
      </c>
      <c r="B17" t="s">
        <v>3391</v>
      </c>
      <c r="C17" t="s">
        <v>1088</v>
      </c>
      <c r="D17" t="s">
        <v>1104</v>
      </c>
      <c r="E17" s="5">
        <f>IF(ISBLANK(Table3[[#This Row],[Cost2]]),"Not Found",F17)</f>
        <v>465.34</v>
      </c>
      <c r="F17">
        <v>465.34</v>
      </c>
      <c r="G17">
        <f>IF(ISBLANK(Table3[[#This Row],[Stock]]),"0",H17)</f>
        <v>301</v>
      </c>
      <c r="H17">
        <v>301</v>
      </c>
    </row>
    <row r="18" spans="1:8">
      <c r="A18" t="s">
        <v>3363</v>
      </c>
      <c r="B18" t="s">
        <v>3393</v>
      </c>
      <c r="C18" t="s">
        <v>1083</v>
      </c>
      <c r="D18" t="s">
        <v>1106</v>
      </c>
      <c r="E18" s="5">
        <f>IF(ISBLANK(Table3[[#This Row],[Cost2]]),"Not Found",F18)</f>
        <v>337.42</v>
      </c>
      <c r="F18">
        <v>337.42</v>
      </c>
      <c r="G18">
        <f>IF(ISBLANK(Table3[[#This Row],[Stock]]),"0",H18)</f>
        <v>256</v>
      </c>
      <c r="H18">
        <v>256</v>
      </c>
    </row>
    <row r="19" spans="1:8">
      <c r="A19" t="s">
        <v>1107</v>
      </c>
      <c r="B19" t="s">
        <v>3395</v>
      </c>
      <c r="C19" t="s">
        <v>1091</v>
      </c>
      <c r="D19" t="s">
        <v>1108</v>
      </c>
      <c r="E19" s="5">
        <f>IF(ISBLANK(Table3[[#This Row],[Cost2]]),"Not Found",F19)</f>
        <v>144.53</v>
      </c>
      <c r="F19">
        <v>144.53</v>
      </c>
      <c r="G19">
        <f>IF(ISBLANK(Table3[[#This Row],[Stock]]),"0",H19)</f>
        <v>367</v>
      </c>
      <c r="H19">
        <v>367</v>
      </c>
    </row>
    <row r="20" spans="1:8">
      <c r="A20" t="s">
        <v>1109</v>
      </c>
      <c r="B20" t="s">
        <v>3396</v>
      </c>
      <c r="C20" t="s">
        <v>1072</v>
      </c>
      <c r="D20" t="s">
        <v>1110</v>
      </c>
      <c r="E20" s="5" t="str">
        <f>IF(ISBLANK(Table3[[#This Row],[Cost2]]),"Not Found",F20)</f>
        <v>Not Found</v>
      </c>
      <c r="G20">
        <f>IF(ISBLANK(Table3[[#This Row],[Stock]]),"0",H20)</f>
        <v>343</v>
      </c>
      <c r="H20">
        <v>343</v>
      </c>
    </row>
    <row r="21" spans="1:8">
      <c r="A21" t="s">
        <v>1111</v>
      </c>
      <c r="B21" t="s">
        <v>3397</v>
      </c>
      <c r="C21" t="s">
        <v>1091</v>
      </c>
      <c r="D21" t="s">
        <v>1112</v>
      </c>
      <c r="E21" s="5">
        <f>IF(ISBLANK(Table3[[#This Row],[Cost2]]),"Not Found",F21)</f>
        <v>21.34</v>
      </c>
      <c r="F21">
        <v>21.34</v>
      </c>
      <c r="G21">
        <f>IF(ISBLANK(Table3[[#This Row],[Stock]]),"0",H21)</f>
        <v>65</v>
      </c>
      <c r="H21">
        <v>65</v>
      </c>
    </row>
    <row r="22" spans="1:8">
      <c r="A22" t="s">
        <v>1113</v>
      </c>
      <c r="B22" t="s">
        <v>3399</v>
      </c>
      <c r="C22" t="s">
        <v>1091</v>
      </c>
      <c r="D22" t="s">
        <v>1114</v>
      </c>
      <c r="E22" s="5">
        <f>IF(ISBLANK(Table3[[#This Row],[Cost2]]),"Not Found",F22)</f>
        <v>131.51</v>
      </c>
      <c r="F22">
        <v>131.51</v>
      </c>
      <c r="G22" t="str">
        <f>IF(ISBLANK(Table3[[#This Row],[Stock]]),"0",H22)</f>
        <v>0</v>
      </c>
    </row>
    <row r="23" spans="1:8">
      <c r="A23" t="s">
        <v>1115</v>
      </c>
      <c r="B23" t="s">
        <v>3400</v>
      </c>
      <c r="C23" t="s">
        <v>1069</v>
      </c>
      <c r="D23" t="s">
        <v>1116</v>
      </c>
      <c r="E23" s="5">
        <f>IF(ISBLANK(Table3[[#This Row],[Cost2]]),"Not Found",F23)</f>
        <v>123.46</v>
      </c>
      <c r="F23">
        <v>123.46</v>
      </c>
      <c r="G23">
        <f>IF(ISBLANK(Table3[[#This Row],[Stock]]),"0",H23)</f>
        <v>76</v>
      </c>
      <c r="H23">
        <v>76</v>
      </c>
    </row>
    <row r="24" spans="1:8">
      <c r="A24" t="s">
        <v>1117</v>
      </c>
      <c r="B24" t="s">
        <v>3402</v>
      </c>
      <c r="C24" t="s">
        <v>1091</v>
      </c>
      <c r="D24" t="s">
        <v>1118</v>
      </c>
      <c r="E24" s="5">
        <f>IF(ISBLANK(Table3[[#This Row],[Cost2]]),"Not Found",F24)</f>
        <v>484.62</v>
      </c>
      <c r="F24">
        <v>484.62</v>
      </c>
      <c r="G24">
        <f>IF(ISBLANK(Table3[[#This Row],[Stock]]),"0",H24)</f>
        <v>432</v>
      </c>
      <c r="H24">
        <v>432</v>
      </c>
    </row>
    <row r="25" spans="1:8">
      <c r="A25" t="s">
        <v>1119</v>
      </c>
      <c r="B25" t="s">
        <v>3403</v>
      </c>
      <c r="C25" t="s">
        <v>1072</v>
      </c>
      <c r="D25" t="s">
        <v>1120</v>
      </c>
      <c r="E25" s="5" t="str">
        <f>IF(ISBLANK(Table3[[#This Row],[Cost2]]),"Not Found",F25)</f>
        <v>Not Found</v>
      </c>
      <c r="G25">
        <f>IF(ISBLANK(Table3[[#This Row],[Stock]]),"0",H25)</f>
        <v>360</v>
      </c>
      <c r="H25">
        <v>360</v>
      </c>
    </row>
    <row r="26" spans="1:8">
      <c r="A26" t="s">
        <v>1121</v>
      </c>
      <c r="B26" t="s">
        <v>3404</v>
      </c>
      <c r="C26" t="s">
        <v>1091</v>
      </c>
      <c r="D26" t="s">
        <v>1122</v>
      </c>
      <c r="E26" s="5">
        <f>IF(ISBLANK(Table3[[#This Row],[Cost2]]),"Not Found",F26)</f>
        <v>166.06</v>
      </c>
      <c r="F26">
        <v>166.06</v>
      </c>
      <c r="G26">
        <f>IF(ISBLANK(Table3[[#This Row],[Stock]]),"0",H26)</f>
        <v>340</v>
      </c>
      <c r="H26">
        <v>340</v>
      </c>
    </row>
    <row r="27" spans="1:8">
      <c r="A27" t="s">
        <v>1123</v>
      </c>
      <c r="B27" t="s">
        <v>3406</v>
      </c>
      <c r="C27" t="s">
        <v>1072</v>
      </c>
      <c r="D27" t="s">
        <v>1124</v>
      </c>
      <c r="E27" s="5">
        <f>IF(ISBLANK(Table3[[#This Row],[Cost2]]),"Not Found",F27)</f>
        <v>174.02</v>
      </c>
      <c r="F27">
        <v>174.02</v>
      </c>
      <c r="G27">
        <f>IF(ISBLANK(Table3[[#This Row],[Stock]]),"0",H27)</f>
        <v>268</v>
      </c>
      <c r="H27">
        <v>268</v>
      </c>
    </row>
    <row r="28" spans="1:8">
      <c r="A28" t="s">
        <v>1125</v>
      </c>
      <c r="B28" t="s">
        <v>3407</v>
      </c>
      <c r="C28" t="s">
        <v>1088</v>
      </c>
      <c r="D28" t="s">
        <v>1126</v>
      </c>
      <c r="E28" s="5">
        <f>IF(ISBLANK(Table3[[#This Row],[Cost2]]),"Not Found",F28)</f>
        <v>322.41000000000003</v>
      </c>
      <c r="F28">
        <v>322.41000000000003</v>
      </c>
      <c r="G28">
        <f>IF(ISBLANK(Table3[[#This Row],[Stock]]),"0",H28)</f>
        <v>213</v>
      </c>
      <c r="H28">
        <v>213</v>
      </c>
    </row>
    <row r="29" spans="1:8">
      <c r="A29" t="s">
        <v>1127</v>
      </c>
      <c r="B29" t="s">
        <v>3408</v>
      </c>
      <c r="C29" t="s">
        <v>1069</v>
      </c>
      <c r="D29" t="s">
        <v>1128</v>
      </c>
      <c r="E29" s="5" t="str">
        <f>IF(ISBLANK(Table3[[#This Row],[Cost2]]),"Not Found",F29)</f>
        <v>Not Found</v>
      </c>
      <c r="G29">
        <f>IF(ISBLANK(Table3[[#This Row],[Stock]]),"0",H29)</f>
        <v>378</v>
      </c>
      <c r="H29">
        <v>378</v>
      </c>
    </row>
    <row r="30" spans="1:8">
      <c r="A30" t="s">
        <v>1129</v>
      </c>
      <c r="B30" t="s">
        <v>3409</v>
      </c>
      <c r="C30" t="s">
        <v>1091</v>
      </c>
      <c r="D30" t="s">
        <v>1130</v>
      </c>
      <c r="E30" s="5">
        <f>IF(ISBLANK(Table3[[#This Row],[Cost2]]),"Not Found",F30)</f>
        <v>38.76</v>
      </c>
      <c r="F30">
        <v>38.76</v>
      </c>
      <c r="G30">
        <f>IF(ISBLANK(Table3[[#This Row],[Stock]]),"0",H30)</f>
        <v>137</v>
      </c>
      <c r="H30">
        <v>137</v>
      </c>
    </row>
    <row r="31" spans="1:8">
      <c r="A31" t="s">
        <v>1131</v>
      </c>
      <c r="B31" t="s">
        <v>3410</v>
      </c>
      <c r="C31" t="s">
        <v>1069</v>
      </c>
      <c r="D31" t="s">
        <v>1132</v>
      </c>
      <c r="E31" s="5">
        <f>IF(ISBLANK(Table3[[#This Row],[Cost2]]),"Not Found",F31)</f>
        <v>218.48</v>
      </c>
      <c r="F31">
        <v>218.48</v>
      </c>
      <c r="G31">
        <f>IF(ISBLANK(Table3[[#This Row],[Stock]]),"0",H31)</f>
        <v>276</v>
      </c>
      <c r="H31">
        <v>276</v>
      </c>
    </row>
    <row r="32" spans="1:8">
      <c r="A32" t="s">
        <v>1133</v>
      </c>
      <c r="B32" t="s">
        <v>3411</v>
      </c>
      <c r="C32" t="s">
        <v>1069</v>
      </c>
      <c r="D32" t="s">
        <v>1134</v>
      </c>
      <c r="E32" s="5">
        <f>IF(ISBLANK(Table3[[#This Row],[Cost2]]),"Not Found",F32)</f>
        <v>19.52</v>
      </c>
      <c r="F32">
        <v>19.52</v>
      </c>
      <c r="G32">
        <f>IF(ISBLANK(Table3[[#This Row],[Stock]]),"0",H32)</f>
        <v>57</v>
      </c>
      <c r="H32">
        <v>57</v>
      </c>
    </row>
    <row r="33" spans="1:8">
      <c r="A33" t="s">
        <v>1135</v>
      </c>
      <c r="B33" t="s">
        <v>3412</v>
      </c>
      <c r="C33" t="s">
        <v>1091</v>
      </c>
      <c r="D33" t="s">
        <v>1136</v>
      </c>
      <c r="E33" s="5">
        <f>IF(ISBLANK(Table3[[#This Row],[Cost2]]),"Not Found",F33)</f>
        <v>204.39</v>
      </c>
      <c r="F33">
        <v>204.39</v>
      </c>
      <c r="G33">
        <f>IF(ISBLANK(Table3[[#This Row],[Stock]]),"0",H33)</f>
        <v>281</v>
      </c>
      <c r="H33">
        <v>281</v>
      </c>
    </row>
    <row r="34" spans="1:8">
      <c r="A34" t="s">
        <v>1137</v>
      </c>
      <c r="B34" t="s">
        <v>3414</v>
      </c>
      <c r="C34" t="s">
        <v>1083</v>
      </c>
      <c r="D34" t="s">
        <v>1138</v>
      </c>
      <c r="E34" s="5">
        <f>IF(ISBLANK(Table3[[#This Row],[Cost2]]),"Not Found",F34)</f>
        <v>283.83</v>
      </c>
      <c r="F34">
        <v>283.83</v>
      </c>
      <c r="G34">
        <f>IF(ISBLANK(Table3[[#This Row],[Stock]]),"0",H34)</f>
        <v>244</v>
      </c>
      <c r="H34">
        <v>244</v>
      </c>
    </row>
    <row r="35" spans="1:8">
      <c r="A35" t="s">
        <v>1139</v>
      </c>
      <c r="B35" t="s">
        <v>3415</v>
      </c>
      <c r="C35" t="s">
        <v>1069</v>
      </c>
      <c r="D35" t="s">
        <v>1140</v>
      </c>
      <c r="E35" s="5">
        <f>IF(ISBLANK(Table3[[#This Row],[Cost2]]),"Not Found",F35)</f>
        <v>179.77</v>
      </c>
      <c r="F35">
        <v>179.77</v>
      </c>
      <c r="G35">
        <f>IF(ISBLANK(Table3[[#This Row],[Stock]]),"0",H35)</f>
        <v>305</v>
      </c>
      <c r="H35">
        <v>305</v>
      </c>
    </row>
    <row r="36" spans="1:8">
      <c r="A36" t="s">
        <v>1141</v>
      </c>
      <c r="B36" t="s">
        <v>3416</v>
      </c>
      <c r="C36" t="s">
        <v>1088</v>
      </c>
      <c r="D36" t="s">
        <v>1142</v>
      </c>
      <c r="E36" s="5">
        <f>IF(ISBLANK(Table3[[#This Row],[Cost2]]),"Not Found",F36)</f>
        <v>419.28</v>
      </c>
      <c r="F36">
        <v>419.28</v>
      </c>
      <c r="G36">
        <f>IF(ISBLANK(Table3[[#This Row],[Stock]]),"0",H36)</f>
        <v>86</v>
      </c>
      <c r="H36">
        <v>86</v>
      </c>
    </row>
    <row r="37" spans="1:8">
      <c r="A37" t="s">
        <v>1143</v>
      </c>
      <c r="B37" t="s">
        <v>3417</v>
      </c>
      <c r="C37" t="s">
        <v>1069</v>
      </c>
      <c r="D37" t="s">
        <v>1144</v>
      </c>
      <c r="E37" s="5">
        <f>IF(ISBLANK(Table3[[#This Row],[Cost2]]),"Not Found",F37)</f>
        <v>382.22</v>
      </c>
      <c r="F37">
        <v>382.22</v>
      </c>
      <c r="G37">
        <f>IF(ISBLANK(Table3[[#This Row],[Stock]]),"0",H37)</f>
        <v>329</v>
      </c>
      <c r="H37">
        <v>329</v>
      </c>
    </row>
    <row r="38" spans="1:8">
      <c r="A38" t="s">
        <v>1145</v>
      </c>
      <c r="B38" t="s">
        <v>3418</v>
      </c>
      <c r="C38" t="s">
        <v>1072</v>
      </c>
      <c r="D38" t="s">
        <v>1146</v>
      </c>
      <c r="E38" s="5">
        <f>IF(ISBLANK(Table3[[#This Row],[Cost2]]),"Not Found",F38)</f>
        <v>223.43</v>
      </c>
      <c r="F38">
        <v>223.43</v>
      </c>
      <c r="G38">
        <f>IF(ISBLANK(Table3[[#This Row],[Stock]]),"0",H38)</f>
        <v>154</v>
      </c>
      <c r="H38">
        <v>154</v>
      </c>
    </row>
    <row r="39" spans="1:8">
      <c r="A39" t="s">
        <v>1147</v>
      </c>
      <c r="B39" t="s">
        <v>3419</v>
      </c>
      <c r="C39" t="s">
        <v>1072</v>
      </c>
      <c r="D39" t="s">
        <v>1148</v>
      </c>
      <c r="E39" s="5">
        <f>IF(ISBLANK(Table3[[#This Row],[Cost2]]),"Not Found",F39)</f>
        <v>353.47</v>
      </c>
      <c r="F39">
        <v>353.47</v>
      </c>
      <c r="G39">
        <f>IF(ISBLANK(Table3[[#This Row],[Stock]]),"0",H39)</f>
        <v>214</v>
      </c>
      <c r="H39">
        <v>214</v>
      </c>
    </row>
    <row r="40" spans="1:8">
      <c r="A40" t="s">
        <v>1149</v>
      </c>
      <c r="B40" t="s">
        <v>3421</v>
      </c>
      <c r="C40" t="s">
        <v>1091</v>
      </c>
      <c r="D40" t="s">
        <v>1150</v>
      </c>
      <c r="E40" s="5">
        <f>IF(ISBLANK(Table3[[#This Row],[Cost2]]),"Not Found",F40)</f>
        <v>135.61000000000001</v>
      </c>
      <c r="F40">
        <v>135.61000000000001</v>
      </c>
      <c r="G40">
        <f>IF(ISBLANK(Table3[[#This Row],[Stock]]),"0",H40)</f>
        <v>394</v>
      </c>
      <c r="H40">
        <v>394</v>
      </c>
    </row>
    <row r="41" spans="1:8">
      <c r="A41" t="s">
        <v>1151</v>
      </c>
      <c r="B41" t="s">
        <v>3422</v>
      </c>
      <c r="C41" t="s">
        <v>1088</v>
      </c>
      <c r="D41" t="s">
        <v>1152</v>
      </c>
      <c r="E41" s="5">
        <f>IF(ISBLANK(Table3[[#This Row],[Cost2]]),"Not Found",F41)</f>
        <v>326.06</v>
      </c>
      <c r="F41">
        <v>326.06</v>
      </c>
      <c r="G41">
        <f>IF(ISBLANK(Table3[[#This Row],[Stock]]),"0",H41)</f>
        <v>301</v>
      </c>
      <c r="H41">
        <v>301</v>
      </c>
    </row>
    <row r="42" spans="1:8">
      <c r="A42" t="s">
        <v>1153</v>
      </c>
      <c r="B42" t="s">
        <v>3424</v>
      </c>
      <c r="C42" t="s">
        <v>1088</v>
      </c>
      <c r="D42" t="s">
        <v>1154</v>
      </c>
      <c r="E42" s="5">
        <f>IF(ISBLANK(Table3[[#This Row],[Cost2]]),"Not Found",F42)</f>
        <v>38.520000000000003</v>
      </c>
      <c r="F42">
        <v>38.520000000000003</v>
      </c>
      <c r="G42">
        <f>IF(ISBLANK(Table3[[#This Row],[Stock]]),"0",H42)</f>
        <v>378</v>
      </c>
      <c r="H42">
        <v>378</v>
      </c>
    </row>
    <row r="43" spans="1:8">
      <c r="A43" t="s">
        <v>1155</v>
      </c>
      <c r="B43" t="s">
        <v>3425</v>
      </c>
      <c r="C43" t="s">
        <v>1091</v>
      </c>
      <c r="D43" t="s">
        <v>1156</v>
      </c>
      <c r="E43" s="5">
        <f>IF(ISBLANK(Table3[[#This Row],[Cost2]]),"Not Found",F43)</f>
        <v>313.26</v>
      </c>
      <c r="F43">
        <v>313.26</v>
      </c>
      <c r="G43">
        <f>IF(ISBLANK(Table3[[#This Row],[Stock]]),"0",H43)</f>
        <v>369</v>
      </c>
      <c r="H43">
        <v>369</v>
      </c>
    </row>
    <row r="44" spans="1:8">
      <c r="A44" t="s">
        <v>1157</v>
      </c>
      <c r="B44" t="s">
        <v>3426</v>
      </c>
      <c r="C44" t="s">
        <v>1088</v>
      </c>
      <c r="D44" t="s">
        <v>1158</v>
      </c>
      <c r="E44" s="5">
        <f>IF(ISBLANK(Table3[[#This Row],[Cost2]]),"Not Found",F44)</f>
        <v>450.71</v>
      </c>
      <c r="F44">
        <v>450.71</v>
      </c>
      <c r="G44">
        <f>IF(ISBLANK(Table3[[#This Row],[Stock]]),"0",H44)</f>
        <v>389</v>
      </c>
      <c r="H44">
        <v>389</v>
      </c>
    </row>
    <row r="45" spans="1:8">
      <c r="A45" t="s">
        <v>1159</v>
      </c>
      <c r="B45" t="s">
        <v>3427</v>
      </c>
      <c r="C45" t="s">
        <v>1088</v>
      </c>
      <c r="D45" t="s">
        <v>1160</v>
      </c>
      <c r="E45" s="5">
        <f>IF(ISBLANK(Table3[[#This Row],[Cost2]]),"Not Found",F45)</f>
        <v>253.33</v>
      </c>
      <c r="F45">
        <v>253.33</v>
      </c>
      <c r="G45">
        <f>IF(ISBLANK(Table3[[#This Row],[Stock]]),"0",H45)</f>
        <v>266</v>
      </c>
      <c r="H45">
        <v>266</v>
      </c>
    </row>
    <row r="46" spans="1:8">
      <c r="A46" t="s">
        <v>1161</v>
      </c>
      <c r="B46" t="s">
        <v>3428</v>
      </c>
      <c r="C46" t="s">
        <v>1091</v>
      </c>
      <c r="D46" t="s">
        <v>1162</v>
      </c>
      <c r="E46" s="5">
        <f>IF(ISBLANK(Table3[[#This Row],[Cost2]]),"Not Found",F46)</f>
        <v>167.12</v>
      </c>
      <c r="F46">
        <v>167.12</v>
      </c>
      <c r="G46">
        <f>IF(ISBLANK(Table3[[#This Row],[Stock]]),"0",H46)</f>
        <v>316</v>
      </c>
      <c r="H46">
        <v>316</v>
      </c>
    </row>
    <row r="47" spans="1:8">
      <c r="A47" t="s">
        <v>1163</v>
      </c>
      <c r="B47" t="s">
        <v>3429</v>
      </c>
      <c r="C47" t="s">
        <v>1091</v>
      </c>
      <c r="D47" t="s">
        <v>1164</v>
      </c>
      <c r="E47" s="5">
        <f>IF(ISBLANK(Table3[[#This Row],[Cost2]]),"Not Found",F47)</f>
        <v>318.91000000000003</v>
      </c>
      <c r="F47">
        <v>318.91000000000003</v>
      </c>
      <c r="G47">
        <f>IF(ISBLANK(Table3[[#This Row],[Stock]]),"0",H47)</f>
        <v>114</v>
      </c>
      <c r="H47">
        <v>114</v>
      </c>
    </row>
    <row r="48" spans="1:8">
      <c r="A48" t="s">
        <v>1165</v>
      </c>
      <c r="B48" t="s">
        <v>3430</v>
      </c>
      <c r="C48" t="s">
        <v>1072</v>
      </c>
      <c r="D48" t="s">
        <v>1166</v>
      </c>
      <c r="E48" s="5">
        <f>IF(ISBLANK(Table3[[#This Row],[Cost2]]),"Not Found",F48)</f>
        <v>167.34</v>
      </c>
      <c r="F48">
        <v>167.34</v>
      </c>
      <c r="G48">
        <f>IF(ISBLANK(Table3[[#This Row],[Stock]]),"0",H48)</f>
        <v>296</v>
      </c>
      <c r="H48">
        <v>296</v>
      </c>
    </row>
    <row r="49" spans="1:8">
      <c r="A49" t="s">
        <v>1167</v>
      </c>
      <c r="B49" t="s">
        <v>3431</v>
      </c>
      <c r="C49" t="s">
        <v>1083</v>
      </c>
      <c r="D49" t="s">
        <v>1168</v>
      </c>
      <c r="E49" s="5" t="str">
        <f>IF(ISBLANK(Table3[[#This Row],[Cost2]]),"Not Found",F49)</f>
        <v>Not Found</v>
      </c>
      <c r="G49">
        <f>IF(ISBLANK(Table3[[#This Row],[Stock]]),"0",H49)</f>
        <v>431</v>
      </c>
      <c r="H49">
        <v>431</v>
      </c>
    </row>
    <row r="50" spans="1:8">
      <c r="A50" t="s">
        <v>1169</v>
      </c>
      <c r="B50" t="s">
        <v>3433</v>
      </c>
      <c r="C50" t="s">
        <v>1088</v>
      </c>
      <c r="D50" t="s">
        <v>1170</v>
      </c>
      <c r="E50" s="5">
        <f>IF(ISBLANK(Table3[[#This Row],[Cost2]]),"Not Found",F50)</f>
        <v>177.98</v>
      </c>
      <c r="F50">
        <v>177.98</v>
      </c>
      <c r="G50">
        <f>IF(ISBLANK(Table3[[#This Row],[Stock]]),"0",H50)</f>
        <v>103</v>
      </c>
      <c r="H50">
        <v>103</v>
      </c>
    </row>
    <row r="51" spans="1:8">
      <c r="A51" t="s">
        <v>1171</v>
      </c>
      <c r="B51" t="s">
        <v>3434</v>
      </c>
      <c r="C51" t="s">
        <v>1083</v>
      </c>
      <c r="D51" t="s">
        <v>1172</v>
      </c>
      <c r="E51" s="5">
        <f>IF(ISBLANK(Table3[[#This Row],[Cost2]]),"Not Found",F51)</f>
        <v>43.29</v>
      </c>
      <c r="F51">
        <v>43.29</v>
      </c>
      <c r="G51">
        <f>IF(ISBLANK(Table3[[#This Row],[Stock]]),"0",H51)</f>
        <v>267</v>
      </c>
      <c r="H51">
        <v>267</v>
      </c>
    </row>
    <row r="52" spans="1:8">
      <c r="A52" t="s">
        <v>1173</v>
      </c>
      <c r="B52" t="s">
        <v>3436</v>
      </c>
      <c r="C52" t="s">
        <v>1091</v>
      </c>
      <c r="D52" t="s">
        <v>1174</v>
      </c>
      <c r="E52" s="5">
        <f>IF(ISBLANK(Table3[[#This Row],[Cost2]]),"Not Found",F52)</f>
        <v>190.29</v>
      </c>
      <c r="F52">
        <v>190.29</v>
      </c>
      <c r="G52">
        <f>IF(ISBLANK(Table3[[#This Row],[Stock]]),"0",H52)</f>
        <v>260</v>
      </c>
      <c r="H52">
        <v>260</v>
      </c>
    </row>
    <row r="53" spans="1:8">
      <c r="A53" t="s">
        <v>1175</v>
      </c>
      <c r="B53" t="s">
        <v>3437</v>
      </c>
      <c r="C53" t="s">
        <v>1088</v>
      </c>
      <c r="D53" t="s">
        <v>1176</v>
      </c>
      <c r="E53" s="5">
        <f>IF(ISBLANK(Table3[[#This Row],[Cost2]]),"Not Found",F53)</f>
        <v>88.49</v>
      </c>
      <c r="F53">
        <v>88.49</v>
      </c>
      <c r="G53">
        <f>IF(ISBLANK(Table3[[#This Row],[Stock]]),"0",H53)</f>
        <v>246</v>
      </c>
      <c r="H53">
        <v>246</v>
      </c>
    </row>
    <row r="54" spans="1:8">
      <c r="A54" t="s">
        <v>1177</v>
      </c>
      <c r="B54" t="s">
        <v>3438</v>
      </c>
      <c r="C54" t="s">
        <v>1091</v>
      </c>
      <c r="D54" t="s">
        <v>1178</v>
      </c>
      <c r="E54" s="5">
        <f>IF(ISBLANK(Table3[[#This Row],[Cost2]]),"Not Found",F54)</f>
        <v>212.26</v>
      </c>
      <c r="F54">
        <v>212.26</v>
      </c>
      <c r="G54">
        <f>IF(ISBLANK(Table3[[#This Row],[Stock]]),"0",H54)</f>
        <v>82</v>
      </c>
      <c r="H54">
        <v>82</v>
      </c>
    </row>
    <row r="55" spans="1:8">
      <c r="A55" t="s">
        <v>1179</v>
      </c>
      <c r="B55" t="s">
        <v>3439</v>
      </c>
      <c r="C55" t="s">
        <v>1072</v>
      </c>
      <c r="D55" t="s">
        <v>1180</v>
      </c>
      <c r="E55" s="5">
        <f>IF(ISBLANK(Table3[[#This Row],[Cost2]]),"Not Found",F55)</f>
        <v>386.56</v>
      </c>
      <c r="F55">
        <v>386.56</v>
      </c>
      <c r="G55">
        <f>IF(ISBLANK(Table3[[#This Row],[Stock]]),"0",H55)</f>
        <v>125</v>
      </c>
      <c r="H55">
        <v>125</v>
      </c>
    </row>
    <row r="56" spans="1:8">
      <c r="A56" t="s">
        <v>1181</v>
      </c>
      <c r="B56" t="s">
        <v>3440</v>
      </c>
      <c r="C56" t="s">
        <v>1091</v>
      </c>
      <c r="D56" t="s">
        <v>1182</v>
      </c>
      <c r="E56" s="5">
        <f>IF(ISBLANK(Table3[[#This Row],[Cost2]]),"Not Found",F56)</f>
        <v>434.84</v>
      </c>
      <c r="F56">
        <v>434.84</v>
      </c>
      <c r="G56">
        <f>IF(ISBLANK(Table3[[#This Row],[Stock]]),"0",H56)</f>
        <v>185</v>
      </c>
      <c r="H56">
        <v>185</v>
      </c>
    </row>
    <row r="57" spans="1:8">
      <c r="A57" t="s">
        <v>1183</v>
      </c>
      <c r="B57" t="s">
        <v>3441</v>
      </c>
      <c r="C57" t="s">
        <v>1069</v>
      </c>
      <c r="D57" t="s">
        <v>1184</v>
      </c>
      <c r="E57" s="5">
        <f>IF(ISBLANK(Table3[[#This Row],[Cost2]]),"Not Found",F57)</f>
        <v>81.75</v>
      </c>
      <c r="F57">
        <v>81.75</v>
      </c>
      <c r="G57" t="str">
        <f>IF(ISBLANK(Table3[[#This Row],[Stock]]),"0",H57)</f>
        <v>0</v>
      </c>
    </row>
    <row r="58" spans="1:8">
      <c r="A58" t="s">
        <v>1185</v>
      </c>
      <c r="B58" t="s">
        <v>3442</v>
      </c>
      <c r="C58" t="s">
        <v>1069</v>
      </c>
      <c r="D58" t="s">
        <v>1186</v>
      </c>
      <c r="E58" s="5">
        <f>IF(ISBLANK(Table3[[#This Row],[Cost2]]),"Not Found",F58)</f>
        <v>461.47</v>
      </c>
      <c r="F58">
        <v>461.47</v>
      </c>
      <c r="G58">
        <f>IF(ISBLANK(Table3[[#This Row],[Stock]]),"0",H58)</f>
        <v>190</v>
      </c>
      <c r="H58">
        <v>190</v>
      </c>
    </row>
    <row r="59" spans="1:8">
      <c r="A59" t="s">
        <v>1187</v>
      </c>
      <c r="B59" t="s">
        <v>3443</v>
      </c>
      <c r="C59" t="s">
        <v>1091</v>
      </c>
      <c r="D59" t="s">
        <v>1188</v>
      </c>
      <c r="E59" s="5">
        <f>IF(ISBLANK(Table3[[#This Row],[Cost2]]),"Not Found",F59)</f>
        <v>30.62</v>
      </c>
      <c r="F59">
        <v>30.62</v>
      </c>
      <c r="G59">
        <f>IF(ISBLANK(Table3[[#This Row],[Stock]]),"0",H59)</f>
        <v>138</v>
      </c>
      <c r="H59">
        <v>138</v>
      </c>
    </row>
    <row r="60" spans="1:8">
      <c r="A60" t="s">
        <v>1189</v>
      </c>
      <c r="B60" t="s">
        <v>3444</v>
      </c>
      <c r="C60" t="s">
        <v>1072</v>
      </c>
      <c r="D60" t="s">
        <v>1190</v>
      </c>
      <c r="E60" s="5">
        <f>IF(ISBLANK(Table3[[#This Row],[Cost2]]),"Not Found",F60)</f>
        <v>113.83</v>
      </c>
      <c r="F60">
        <v>113.83</v>
      </c>
      <c r="G60">
        <f>IF(ISBLANK(Table3[[#This Row],[Stock]]),"0",H60)</f>
        <v>485</v>
      </c>
      <c r="H60">
        <v>485</v>
      </c>
    </row>
    <row r="61" spans="1:8">
      <c r="A61" t="s">
        <v>1191</v>
      </c>
      <c r="B61" t="s">
        <v>3445</v>
      </c>
      <c r="C61" t="s">
        <v>1083</v>
      </c>
      <c r="D61" t="s">
        <v>1192</v>
      </c>
      <c r="E61" s="5">
        <f>IF(ISBLANK(Table3[[#This Row],[Cost2]]),"Not Found",F61)</f>
        <v>17.309999999999999</v>
      </c>
      <c r="F61">
        <v>17.309999999999999</v>
      </c>
      <c r="G61">
        <f>IF(ISBLANK(Table3[[#This Row],[Stock]]),"0",H61)</f>
        <v>399</v>
      </c>
      <c r="H61">
        <v>399</v>
      </c>
    </row>
    <row r="62" spans="1:8">
      <c r="A62" t="s">
        <v>1193</v>
      </c>
      <c r="B62" t="s">
        <v>3446</v>
      </c>
      <c r="C62" t="s">
        <v>1083</v>
      </c>
      <c r="D62" t="s">
        <v>1194</v>
      </c>
      <c r="E62" s="5">
        <f>IF(ISBLANK(Table3[[#This Row],[Cost2]]),"Not Found",F62)</f>
        <v>482.75</v>
      </c>
      <c r="F62">
        <v>482.75</v>
      </c>
      <c r="G62">
        <f>IF(ISBLANK(Table3[[#This Row],[Stock]]),"0",H62)</f>
        <v>444</v>
      </c>
      <c r="H62">
        <v>444</v>
      </c>
    </row>
    <row r="63" spans="1:8">
      <c r="A63" t="s">
        <v>1195</v>
      </c>
      <c r="B63" t="s">
        <v>3447</v>
      </c>
      <c r="C63" t="s">
        <v>1091</v>
      </c>
      <c r="D63" t="s">
        <v>1196</v>
      </c>
      <c r="E63" s="5">
        <f>IF(ISBLANK(Table3[[#This Row],[Cost2]]),"Not Found",F63)</f>
        <v>103.45</v>
      </c>
      <c r="F63">
        <v>103.45</v>
      </c>
      <c r="G63">
        <f>IF(ISBLANK(Table3[[#This Row],[Stock]]),"0",H63)</f>
        <v>465</v>
      </c>
      <c r="H63">
        <v>465</v>
      </c>
    </row>
    <row r="64" spans="1:8">
      <c r="A64" t="s">
        <v>1197</v>
      </c>
      <c r="B64" t="s">
        <v>3448</v>
      </c>
      <c r="C64" t="s">
        <v>1088</v>
      </c>
      <c r="D64" t="s">
        <v>1198</v>
      </c>
      <c r="E64" s="5">
        <f>IF(ISBLANK(Table3[[#This Row],[Cost2]]),"Not Found",F64)</f>
        <v>86.42</v>
      </c>
      <c r="F64">
        <v>86.42</v>
      </c>
      <c r="G64">
        <f>IF(ISBLANK(Table3[[#This Row],[Stock]]),"0",H64)</f>
        <v>222</v>
      </c>
      <c r="H64">
        <v>222</v>
      </c>
    </row>
    <row r="65" spans="1:8">
      <c r="A65" t="s">
        <v>1199</v>
      </c>
      <c r="B65" t="s">
        <v>3449</v>
      </c>
      <c r="C65" t="s">
        <v>1083</v>
      </c>
      <c r="D65" t="s">
        <v>1200</v>
      </c>
      <c r="E65" s="5">
        <f>IF(ISBLANK(Table3[[#This Row],[Cost2]]),"Not Found",F65)</f>
        <v>266.86</v>
      </c>
      <c r="F65">
        <v>266.86</v>
      </c>
      <c r="G65">
        <f>IF(ISBLANK(Table3[[#This Row],[Stock]]),"0",H65)</f>
        <v>458</v>
      </c>
      <c r="H65">
        <v>458</v>
      </c>
    </row>
    <row r="66" spans="1:8">
      <c r="A66" t="s">
        <v>1201</v>
      </c>
      <c r="B66" t="s">
        <v>3450</v>
      </c>
      <c r="C66" t="s">
        <v>1083</v>
      </c>
      <c r="D66" t="s">
        <v>1202</v>
      </c>
      <c r="E66" s="5">
        <f>IF(ISBLANK(Table3[[#This Row],[Cost2]]),"Not Found",F66)</f>
        <v>299.11</v>
      </c>
      <c r="F66">
        <v>299.11</v>
      </c>
      <c r="G66">
        <f>IF(ISBLANK(Table3[[#This Row],[Stock]]),"0",H66)</f>
        <v>118</v>
      </c>
      <c r="H66">
        <v>118</v>
      </c>
    </row>
    <row r="67" spans="1:8">
      <c r="A67" t="s">
        <v>1203</v>
      </c>
      <c r="B67" t="s">
        <v>3451</v>
      </c>
      <c r="C67" t="s">
        <v>1091</v>
      </c>
      <c r="D67" t="s">
        <v>1204</v>
      </c>
      <c r="E67" s="5">
        <f>IF(ISBLANK(Table3[[#This Row],[Cost2]]),"Not Found",F67)</f>
        <v>240.63</v>
      </c>
      <c r="F67">
        <v>240.63</v>
      </c>
      <c r="G67">
        <f>IF(ISBLANK(Table3[[#This Row],[Stock]]),"0",H67)</f>
        <v>423</v>
      </c>
      <c r="H67">
        <v>423</v>
      </c>
    </row>
    <row r="68" spans="1:8">
      <c r="A68" t="s">
        <v>1205</v>
      </c>
      <c r="B68" t="s">
        <v>3452</v>
      </c>
      <c r="C68" t="s">
        <v>1083</v>
      </c>
      <c r="D68" t="s">
        <v>1206</v>
      </c>
      <c r="E68" s="5">
        <f>IF(ISBLANK(Table3[[#This Row],[Cost2]]),"Not Found",F68)</f>
        <v>340.39</v>
      </c>
      <c r="F68">
        <v>340.39</v>
      </c>
      <c r="G68">
        <f>IF(ISBLANK(Table3[[#This Row],[Stock]]),"0",H68)</f>
        <v>177</v>
      </c>
      <c r="H68">
        <v>177</v>
      </c>
    </row>
    <row r="69" spans="1:8">
      <c r="A69" t="s">
        <v>1207</v>
      </c>
      <c r="B69" t="s">
        <v>3453</v>
      </c>
      <c r="C69" t="s">
        <v>1088</v>
      </c>
      <c r="D69" t="s">
        <v>1208</v>
      </c>
      <c r="E69" s="5">
        <f>IF(ISBLANK(Table3[[#This Row],[Cost2]]),"Not Found",F69)</f>
        <v>349.17</v>
      </c>
      <c r="F69">
        <v>349.17</v>
      </c>
      <c r="G69">
        <f>IF(ISBLANK(Table3[[#This Row],[Stock]]),"0",H69)</f>
        <v>476</v>
      </c>
      <c r="H69">
        <v>476</v>
      </c>
    </row>
    <row r="70" spans="1:8">
      <c r="A70" t="s">
        <v>1209</v>
      </c>
      <c r="B70" t="s">
        <v>3454</v>
      </c>
      <c r="C70" t="s">
        <v>1069</v>
      </c>
      <c r="D70" t="s">
        <v>1210</v>
      </c>
      <c r="E70" s="5">
        <f>IF(ISBLANK(Table3[[#This Row],[Cost2]]),"Not Found",F70)</f>
        <v>243.7</v>
      </c>
      <c r="F70">
        <v>243.7</v>
      </c>
      <c r="G70">
        <f>IF(ISBLANK(Table3[[#This Row],[Stock]]),"0",H70)</f>
        <v>130</v>
      </c>
      <c r="H70">
        <v>130</v>
      </c>
    </row>
    <row r="71" spans="1:8">
      <c r="A71" t="s">
        <v>1211</v>
      </c>
      <c r="B71" t="s">
        <v>3456</v>
      </c>
      <c r="C71" t="s">
        <v>1072</v>
      </c>
      <c r="D71" t="s">
        <v>1212</v>
      </c>
      <c r="E71" s="5">
        <f>IF(ISBLANK(Table3[[#This Row],[Cost2]]),"Not Found",F71)</f>
        <v>218.22</v>
      </c>
      <c r="F71">
        <v>218.22</v>
      </c>
      <c r="G71">
        <f>IF(ISBLANK(Table3[[#This Row],[Stock]]),"0",H71)</f>
        <v>224</v>
      </c>
      <c r="H71">
        <v>224</v>
      </c>
    </row>
    <row r="72" spans="1:8">
      <c r="A72" t="s">
        <v>1213</v>
      </c>
      <c r="B72" t="s">
        <v>3457</v>
      </c>
      <c r="C72" t="s">
        <v>1069</v>
      </c>
      <c r="D72" t="s">
        <v>1214</v>
      </c>
      <c r="E72" s="5">
        <f>IF(ISBLANK(Table3[[#This Row],[Cost2]]),"Not Found",F72)</f>
        <v>138.05000000000001</v>
      </c>
      <c r="F72">
        <v>138.05000000000001</v>
      </c>
      <c r="G72">
        <f>IF(ISBLANK(Table3[[#This Row],[Stock]]),"0",H72)</f>
        <v>89</v>
      </c>
      <c r="H72">
        <v>89</v>
      </c>
    </row>
    <row r="73" spans="1:8">
      <c r="A73" t="s">
        <v>1215</v>
      </c>
      <c r="B73" t="s">
        <v>3458</v>
      </c>
      <c r="C73" t="s">
        <v>1083</v>
      </c>
      <c r="D73" t="s">
        <v>1216</v>
      </c>
      <c r="E73" s="5">
        <f>IF(ISBLANK(Table3[[#This Row],[Cost2]]),"Not Found",F73)</f>
        <v>214.32</v>
      </c>
      <c r="F73">
        <v>214.32</v>
      </c>
      <c r="G73">
        <f>IF(ISBLANK(Table3[[#This Row],[Stock]]),"0",H73)</f>
        <v>383</v>
      </c>
      <c r="H73">
        <v>383</v>
      </c>
    </row>
    <row r="74" spans="1:8">
      <c r="A74" t="s">
        <v>1217</v>
      </c>
      <c r="B74" t="s">
        <v>3459</v>
      </c>
      <c r="C74" t="s">
        <v>1091</v>
      </c>
      <c r="D74" t="s">
        <v>1218</v>
      </c>
      <c r="E74" s="5">
        <f>IF(ISBLANK(Table3[[#This Row],[Cost2]]),"Not Found",F74)</f>
        <v>477.61</v>
      </c>
      <c r="F74">
        <v>477.61</v>
      </c>
      <c r="G74">
        <f>IF(ISBLANK(Table3[[#This Row],[Stock]]),"0",H74)</f>
        <v>300</v>
      </c>
      <c r="H74">
        <v>300</v>
      </c>
    </row>
    <row r="75" spans="1:8">
      <c r="A75" t="s">
        <v>1219</v>
      </c>
      <c r="B75" t="s">
        <v>3460</v>
      </c>
      <c r="C75" t="s">
        <v>1091</v>
      </c>
      <c r="D75" t="s">
        <v>1220</v>
      </c>
      <c r="E75" s="5">
        <f>IF(ISBLANK(Table3[[#This Row],[Cost2]]),"Not Found",F75)</f>
        <v>107.06</v>
      </c>
      <c r="F75">
        <v>107.06</v>
      </c>
      <c r="G75">
        <f>IF(ISBLANK(Table3[[#This Row],[Stock]]),"0",H75)</f>
        <v>359</v>
      </c>
      <c r="H75">
        <v>359</v>
      </c>
    </row>
    <row r="76" spans="1:8">
      <c r="A76" t="s">
        <v>1221</v>
      </c>
      <c r="B76" t="s">
        <v>3461</v>
      </c>
      <c r="C76" t="s">
        <v>1088</v>
      </c>
      <c r="D76" t="s">
        <v>1222</v>
      </c>
      <c r="E76" s="5">
        <f>IF(ISBLANK(Table3[[#This Row],[Cost2]]),"Not Found",F76)</f>
        <v>403.71</v>
      </c>
      <c r="F76">
        <v>403.71</v>
      </c>
      <c r="G76">
        <f>IF(ISBLANK(Table3[[#This Row],[Stock]]),"0",H76)</f>
        <v>159</v>
      </c>
      <c r="H76">
        <v>159</v>
      </c>
    </row>
    <row r="77" spans="1:8">
      <c r="A77" t="s">
        <v>1223</v>
      </c>
      <c r="B77" t="s">
        <v>3462</v>
      </c>
      <c r="C77" t="s">
        <v>1072</v>
      </c>
      <c r="D77" t="s">
        <v>1224</v>
      </c>
      <c r="E77" s="5">
        <f>IF(ISBLANK(Table3[[#This Row],[Cost2]]),"Not Found",F77)</f>
        <v>158.13999999999999</v>
      </c>
      <c r="F77">
        <v>158.13999999999999</v>
      </c>
      <c r="G77">
        <f>IF(ISBLANK(Table3[[#This Row],[Stock]]),"0",H77)</f>
        <v>82</v>
      </c>
      <c r="H77">
        <v>82</v>
      </c>
    </row>
    <row r="78" spans="1:8">
      <c r="A78" t="s">
        <v>1225</v>
      </c>
      <c r="B78" t="s">
        <v>3463</v>
      </c>
      <c r="C78" t="s">
        <v>1088</v>
      </c>
      <c r="D78" t="s">
        <v>1226</v>
      </c>
      <c r="E78" s="5">
        <f>IF(ISBLANK(Table3[[#This Row],[Cost2]]),"Not Found",F78)</f>
        <v>392.89</v>
      </c>
      <c r="F78">
        <v>392.89</v>
      </c>
      <c r="G78">
        <f>IF(ISBLANK(Table3[[#This Row],[Stock]]),"0",H78)</f>
        <v>320</v>
      </c>
      <c r="H78">
        <v>320</v>
      </c>
    </row>
    <row r="79" spans="1:8">
      <c r="A79" t="s">
        <v>1227</v>
      </c>
      <c r="B79" t="s">
        <v>3464</v>
      </c>
      <c r="C79" t="s">
        <v>1088</v>
      </c>
      <c r="D79" t="s">
        <v>1228</v>
      </c>
      <c r="E79" s="5">
        <f>IF(ISBLANK(Table3[[#This Row],[Cost2]]),"Not Found",F79)</f>
        <v>480.9</v>
      </c>
      <c r="F79">
        <v>480.9</v>
      </c>
      <c r="G79">
        <f>IF(ISBLANK(Table3[[#This Row],[Stock]]),"0",H79)</f>
        <v>104</v>
      </c>
      <c r="H79">
        <v>104</v>
      </c>
    </row>
    <row r="80" spans="1:8">
      <c r="A80" t="s">
        <v>1229</v>
      </c>
      <c r="B80" t="s">
        <v>3465</v>
      </c>
      <c r="C80" t="s">
        <v>1069</v>
      </c>
      <c r="D80" t="s">
        <v>1230</v>
      </c>
      <c r="E80" s="5">
        <f>IF(ISBLANK(Table3[[#This Row],[Cost2]]),"Not Found",F80)</f>
        <v>325.26</v>
      </c>
      <c r="F80">
        <v>325.26</v>
      </c>
      <c r="G80">
        <f>IF(ISBLANK(Table3[[#This Row],[Stock]]),"0",H80)</f>
        <v>400</v>
      </c>
      <c r="H80">
        <v>400</v>
      </c>
    </row>
    <row r="81" spans="1:8">
      <c r="A81" t="s">
        <v>1231</v>
      </c>
      <c r="B81" t="s">
        <v>3466</v>
      </c>
      <c r="C81" t="s">
        <v>1069</v>
      </c>
      <c r="D81" t="s">
        <v>1232</v>
      </c>
      <c r="E81" s="5">
        <f>IF(ISBLANK(Table3[[#This Row],[Cost2]]),"Not Found",F81)</f>
        <v>228.53</v>
      </c>
      <c r="F81">
        <v>228.53</v>
      </c>
      <c r="G81">
        <f>IF(ISBLANK(Table3[[#This Row],[Stock]]),"0",H81)</f>
        <v>469</v>
      </c>
      <c r="H81">
        <v>469</v>
      </c>
    </row>
    <row r="82" spans="1:8">
      <c r="A82" t="s">
        <v>1233</v>
      </c>
      <c r="B82" t="s">
        <v>3467</v>
      </c>
      <c r="C82" t="s">
        <v>1069</v>
      </c>
      <c r="D82" t="s">
        <v>1234</v>
      </c>
      <c r="E82" s="5">
        <f>IF(ISBLANK(Table3[[#This Row],[Cost2]]),"Not Found",F82)</f>
        <v>143.43</v>
      </c>
      <c r="F82">
        <v>143.43</v>
      </c>
      <c r="G82">
        <f>IF(ISBLANK(Table3[[#This Row],[Stock]]),"0",H82)</f>
        <v>58</v>
      </c>
      <c r="H82">
        <v>58</v>
      </c>
    </row>
    <row r="83" spans="1:8">
      <c r="A83" t="s">
        <v>1235</v>
      </c>
      <c r="B83" t="s">
        <v>3468</v>
      </c>
      <c r="C83" t="s">
        <v>1091</v>
      </c>
      <c r="D83" t="s">
        <v>1236</v>
      </c>
      <c r="E83" s="5">
        <f>IF(ISBLANK(Table3[[#This Row],[Cost2]]),"Not Found",F83)</f>
        <v>285.54000000000002</v>
      </c>
      <c r="F83">
        <v>285.54000000000002</v>
      </c>
      <c r="G83">
        <f>IF(ISBLANK(Table3[[#This Row],[Stock]]),"0",H83)</f>
        <v>358</v>
      </c>
      <c r="H83">
        <v>358</v>
      </c>
    </row>
    <row r="84" spans="1:8">
      <c r="A84" t="s">
        <v>1237</v>
      </c>
      <c r="B84" t="s">
        <v>3469</v>
      </c>
      <c r="C84" t="s">
        <v>1091</v>
      </c>
      <c r="D84" t="s">
        <v>1238</v>
      </c>
      <c r="E84" s="5">
        <f>IF(ISBLANK(Table3[[#This Row],[Cost2]]),"Not Found",F84)</f>
        <v>152.91999999999999</v>
      </c>
      <c r="F84">
        <v>152.91999999999999</v>
      </c>
      <c r="G84">
        <f>IF(ISBLANK(Table3[[#This Row],[Stock]]),"0",H84)</f>
        <v>281</v>
      </c>
      <c r="H84">
        <v>281</v>
      </c>
    </row>
    <row r="85" spans="1:8">
      <c r="A85" t="s">
        <v>1239</v>
      </c>
      <c r="B85" t="s">
        <v>3470</v>
      </c>
      <c r="C85" t="s">
        <v>1083</v>
      </c>
      <c r="D85" t="s">
        <v>1240</v>
      </c>
      <c r="E85" s="5" t="str">
        <f>IF(ISBLANK(Table3[[#This Row],[Cost2]]),"Not Found",F85)</f>
        <v>Not Found</v>
      </c>
      <c r="G85">
        <f>IF(ISBLANK(Table3[[#This Row],[Stock]]),"0",H85)</f>
        <v>159</v>
      </c>
      <c r="H85">
        <v>159</v>
      </c>
    </row>
    <row r="86" spans="1:8">
      <c r="A86" t="s">
        <v>1241</v>
      </c>
      <c r="B86" t="s">
        <v>3471</v>
      </c>
      <c r="C86" t="s">
        <v>1069</v>
      </c>
      <c r="D86" t="s">
        <v>1242</v>
      </c>
      <c r="E86" s="5">
        <f>IF(ISBLANK(Table3[[#This Row],[Cost2]]),"Not Found",F86)</f>
        <v>388.46</v>
      </c>
      <c r="F86">
        <v>388.46</v>
      </c>
      <c r="G86">
        <f>IF(ISBLANK(Table3[[#This Row],[Stock]]),"0",H86)</f>
        <v>208</v>
      </c>
      <c r="H86">
        <v>208</v>
      </c>
    </row>
    <row r="87" spans="1:8">
      <c r="A87" t="s">
        <v>1243</v>
      </c>
      <c r="B87" t="s">
        <v>3472</v>
      </c>
      <c r="C87" t="s">
        <v>1072</v>
      </c>
      <c r="D87" t="s">
        <v>1244</v>
      </c>
      <c r="E87" s="5">
        <f>IF(ISBLANK(Table3[[#This Row],[Cost2]]),"Not Found",F87)</f>
        <v>119.57</v>
      </c>
      <c r="F87">
        <v>119.57</v>
      </c>
      <c r="G87">
        <f>IF(ISBLANK(Table3[[#This Row],[Stock]]),"0",H87)</f>
        <v>210</v>
      </c>
      <c r="H87">
        <v>210</v>
      </c>
    </row>
    <row r="88" spans="1:8">
      <c r="A88" t="s">
        <v>1245</v>
      </c>
      <c r="B88" t="s">
        <v>3473</v>
      </c>
      <c r="C88" t="s">
        <v>1069</v>
      </c>
      <c r="D88" t="s">
        <v>1246</v>
      </c>
      <c r="E88" s="5">
        <f>IF(ISBLANK(Table3[[#This Row],[Cost2]]),"Not Found",F88)</f>
        <v>176.07</v>
      </c>
      <c r="F88">
        <v>176.07</v>
      </c>
      <c r="G88">
        <f>IF(ISBLANK(Table3[[#This Row],[Stock]]),"0",H88)</f>
        <v>82</v>
      </c>
      <c r="H88">
        <v>82</v>
      </c>
    </row>
    <row r="89" spans="1:8">
      <c r="A89" t="s">
        <v>1247</v>
      </c>
      <c r="B89" t="s">
        <v>3474</v>
      </c>
      <c r="C89" t="s">
        <v>1069</v>
      </c>
      <c r="D89" t="s">
        <v>1248</v>
      </c>
      <c r="E89" s="5">
        <f>IF(ISBLANK(Table3[[#This Row],[Cost2]]),"Not Found",F89)</f>
        <v>371.38</v>
      </c>
      <c r="F89">
        <v>371.38</v>
      </c>
      <c r="G89">
        <f>IF(ISBLANK(Table3[[#This Row],[Stock]]),"0",H89)</f>
        <v>220</v>
      </c>
      <c r="H89">
        <v>220</v>
      </c>
    </row>
    <row r="90" spans="1:8">
      <c r="A90" t="s">
        <v>1249</v>
      </c>
      <c r="B90" t="s">
        <v>3475</v>
      </c>
      <c r="C90" t="s">
        <v>1091</v>
      </c>
      <c r="D90" t="s">
        <v>1250</v>
      </c>
      <c r="E90" s="5">
        <f>IF(ISBLANK(Table3[[#This Row],[Cost2]]),"Not Found",F90)</f>
        <v>131.24</v>
      </c>
      <c r="F90">
        <v>131.24</v>
      </c>
      <c r="G90">
        <f>IF(ISBLANK(Table3[[#This Row],[Stock]]),"0",H90)</f>
        <v>232</v>
      </c>
      <c r="H90">
        <v>232</v>
      </c>
    </row>
    <row r="91" spans="1:8">
      <c r="A91" t="s">
        <v>1251</v>
      </c>
      <c r="B91" t="s">
        <v>3476</v>
      </c>
      <c r="C91" t="s">
        <v>1083</v>
      </c>
      <c r="D91" t="s">
        <v>1252</v>
      </c>
      <c r="E91" s="5">
        <f>IF(ISBLANK(Table3[[#This Row],[Cost2]]),"Not Found",F91)</f>
        <v>183.04</v>
      </c>
      <c r="F91">
        <v>183.04</v>
      </c>
      <c r="G91">
        <f>IF(ISBLANK(Table3[[#This Row],[Stock]]),"0",H91)</f>
        <v>457</v>
      </c>
      <c r="H91">
        <v>457</v>
      </c>
    </row>
    <row r="92" spans="1:8">
      <c r="A92" t="s">
        <v>1253</v>
      </c>
      <c r="B92" t="s">
        <v>3477</v>
      </c>
      <c r="C92" t="s">
        <v>1088</v>
      </c>
      <c r="D92" t="s">
        <v>1254</v>
      </c>
      <c r="E92" s="5">
        <f>IF(ISBLANK(Table3[[#This Row],[Cost2]]),"Not Found",F92)</f>
        <v>340.14</v>
      </c>
      <c r="F92">
        <v>340.14</v>
      </c>
      <c r="G92">
        <f>IF(ISBLANK(Table3[[#This Row],[Stock]]),"0",H92)</f>
        <v>361</v>
      </c>
      <c r="H92">
        <v>361</v>
      </c>
    </row>
    <row r="93" spans="1:8">
      <c r="A93" t="s">
        <v>1255</v>
      </c>
      <c r="B93" t="s">
        <v>3478</v>
      </c>
      <c r="C93" t="s">
        <v>1072</v>
      </c>
      <c r="D93" t="s">
        <v>1256</v>
      </c>
      <c r="E93" s="5">
        <f>IF(ISBLANK(Table3[[#This Row],[Cost2]]),"Not Found",F93)</f>
        <v>438.25</v>
      </c>
      <c r="F93">
        <v>438.25</v>
      </c>
      <c r="G93">
        <f>IF(ISBLANK(Table3[[#This Row],[Stock]]),"0",H93)</f>
        <v>496</v>
      </c>
      <c r="H93">
        <v>496</v>
      </c>
    </row>
    <row r="94" spans="1:8">
      <c r="A94" t="s">
        <v>1257</v>
      </c>
      <c r="B94" t="s">
        <v>3479</v>
      </c>
      <c r="C94" t="s">
        <v>1069</v>
      </c>
      <c r="D94" t="s">
        <v>1258</v>
      </c>
      <c r="E94" s="5">
        <f>IF(ISBLANK(Table3[[#This Row],[Cost2]]),"Not Found",F94)</f>
        <v>447.43</v>
      </c>
      <c r="F94">
        <v>447.43</v>
      </c>
      <c r="G94">
        <f>IF(ISBLANK(Table3[[#This Row],[Stock]]),"0",H94)</f>
        <v>191</v>
      </c>
      <c r="H94">
        <v>191</v>
      </c>
    </row>
    <row r="95" spans="1:8">
      <c r="A95" t="s">
        <v>1259</v>
      </c>
      <c r="B95" t="s">
        <v>3480</v>
      </c>
      <c r="C95" t="s">
        <v>1088</v>
      </c>
      <c r="D95" t="s">
        <v>1260</v>
      </c>
      <c r="E95" s="5">
        <f>IF(ISBLANK(Table3[[#This Row],[Cost2]]),"Not Found",F95)</f>
        <v>377.52</v>
      </c>
      <c r="F95">
        <v>377.52</v>
      </c>
      <c r="G95">
        <f>IF(ISBLANK(Table3[[#This Row],[Stock]]),"0",H95)</f>
        <v>485</v>
      </c>
      <c r="H95">
        <v>485</v>
      </c>
    </row>
    <row r="96" spans="1:8">
      <c r="A96" t="s">
        <v>1261</v>
      </c>
      <c r="B96" t="s">
        <v>3481</v>
      </c>
      <c r="C96" t="s">
        <v>1083</v>
      </c>
      <c r="D96" t="s">
        <v>1262</v>
      </c>
      <c r="E96" s="5">
        <f>IF(ISBLANK(Table3[[#This Row],[Cost2]]),"Not Found",F96)</f>
        <v>358.47</v>
      </c>
      <c r="F96">
        <v>358.47</v>
      </c>
      <c r="G96">
        <f>IF(ISBLANK(Table3[[#This Row],[Stock]]),"0",H96)</f>
        <v>213</v>
      </c>
      <c r="H96">
        <v>213</v>
      </c>
    </row>
    <row r="97" spans="1:8">
      <c r="A97" t="s">
        <v>1263</v>
      </c>
      <c r="B97" t="s">
        <v>3482</v>
      </c>
      <c r="C97" t="s">
        <v>1091</v>
      </c>
      <c r="D97" t="s">
        <v>1264</v>
      </c>
      <c r="E97" s="5">
        <f>IF(ISBLANK(Table3[[#This Row],[Cost2]]),"Not Found",F97)</f>
        <v>60.65</v>
      </c>
      <c r="F97">
        <v>60.65</v>
      </c>
      <c r="G97">
        <f>IF(ISBLANK(Table3[[#This Row],[Stock]]),"0",H97)</f>
        <v>75</v>
      </c>
      <c r="H97">
        <v>75</v>
      </c>
    </row>
    <row r="98" spans="1:8">
      <c r="A98" t="s">
        <v>1265</v>
      </c>
      <c r="B98" t="s">
        <v>3483</v>
      </c>
      <c r="C98" t="s">
        <v>1072</v>
      </c>
      <c r="D98" t="s">
        <v>1266</v>
      </c>
      <c r="E98" s="5">
        <f>IF(ISBLANK(Table3[[#This Row],[Cost2]]),"Not Found",F98)</f>
        <v>358.47</v>
      </c>
      <c r="F98">
        <v>358.47</v>
      </c>
      <c r="G98">
        <f>IF(ISBLANK(Table3[[#This Row],[Stock]]),"0",H98)</f>
        <v>143</v>
      </c>
      <c r="H98">
        <v>143</v>
      </c>
    </row>
    <row r="99" spans="1:8">
      <c r="A99" t="s">
        <v>1267</v>
      </c>
      <c r="B99" t="s">
        <v>3484</v>
      </c>
      <c r="C99" t="s">
        <v>1091</v>
      </c>
      <c r="D99" t="s">
        <v>1268</v>
      </c>
      <c r="E99" s="5">
        <f>IF(ISBLANK(Table3[[#This Row],[Cost2]]),"Not Found",F99)</f>
        <v>245.98</v>
      </c>
      <c r="F99">
        <v>245.98</v>
      </c>
      <c r="G99">
        <f>IF(ISBLANK(Table3[[#This Row],[Stock]]),"0",H99)</f>
        <v>471</v>
      </c>
      <c r="H99">
        <v>471</v>
      </c>
    </row>
    <row r="100" spans="1:8">
      <c r="A100" t="s">
        <v>1269</v>
      </c>
      <c r="B100" t="s">
        <v>3485</v>
      </c>
      <c r="C100" t="s">
        <v>1088</v>
      </c>
      <c r="D100" t="s">
        <v>1270</v>
      </c>
      <c r="E100" s="5">
        <f>IF(ISBLANK(Table3[[#This Row],[Cost2]]),"Not Found",F100)</f>
        <v>431.67</v>
      </c>
      <c r="F100">
        <v>431.67</v>
      </c>
      <c r="G100">
        <f>IF(ISBLANK(Table3[[#This Row],[Stock]]),"0",H100)</f>
        <v>73</v>
      </c>
      <c r="H100">
        <v>73</v>
      </c>
    </row>
    <row r="101" spans="1:8">
      <c r="A101" t="s">
        <v>1271</v>
      </c>
      <c r="B101" t="s">
        <v>3486</v>
      </c>
      <c r="C101" t="s">
        <v>1069</v>
      </c>
      <c r="D101" t="s">
        <v>1272</v>
      </c>
      <c r="E101" s="5">
        <f>IF(ISBLANK(Table3[[#This Row],[Cost2]]),"Not Found",F101)</f>
        <v>201.41</v>
      </c>
      <c r="F101">
        <v>201.41</v>
      </c>
      <c r="G101">
        <f>IF(ISBLANK(Table3[[#This Row],[Stock]]),"0",H101)</f>
        <v>146</v>
      </c>
      <c r="H101">
        <v>146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3415-F105-4512-B7C1-5F25F3F987F1}">
  <dimension ref="A1:F101"/>
  <sheetViews>
    <sheetView workbookViewId="0">
      <selection activeCell="H6" sqref="H6"/>
    </sheetView>
  </sheetViews>
  <sheetFormatPr defaultRowHeight="14.5"/>
  <cols>
    <col min="1" max="1" width="9.81640625" customWidth="1"/>
    <col min="2" max="2" width="24.6328125" customWidth="1"/>
    <col min="3" max="3" width="11.90625" customWidth="1"/>
    <col min="4" max="4" width="10.1796875" customWidth="1"/>
    <col min="5" max="5" width="9.90625" style="5" customWidth="1"/>
    <col min="6" max="6" width="9.7265625" customWidth="1"/>
  </cols>
  <sheetData>
    <row r="1" spans="1:6">
      <c r="A1" t="s">
        <v>1061</v>
      </c>
      <c r="B1" t="s">
        <v>1062</v>
      </c>
      <c r="C1" t="s">
        <v>1063</v>
      </c>
      <c r="D1" t="s">
        <v>1065</v>
      </c>
      <c r="E1" s="5" t="s">
        <v>1066</v>
      </c>
      <c r="F1" t="s">
        <v>1067</v>
      </c>
    </row>
    <row r="2" spans="1:6">
      <c r="A2" t="s">
        <v>1068</v>
      </c>
      <c r="B2" t="s">
        <v>3364</v>
      </c>
      <c r="C2" t="s">
        <v>1088</v>
      </c>
      <c r="D2" t="s">
        <v>1070</v>
      </c>
      <c r="E2" s="5">
        <v>112.42</v>
      </c>
      <c r="F2">
        <v>416</v>
      </c>
    </row>
    <row r="3" spans="1:6">
      <c r="A3" t="s">
        <v>1071</v>
      </c>
      <c r="B3" t="s">
        <v>3366</v>
      </c>
      <c r="C3" t="s">
        <v>1072</v>
      </c>
      <c r="D3" t="s">
        <v>1073</v>
      </c>
      <c r="E3" s="5">
        <v>342.56</v>
      </c>
      <c r="F3">
        <v>181</v>
      </c>
    </row>
    <row r="4" spans="1:6">
      <c r="A4" t="s">
        <v>1074</v>
      </c>
      <c r="B4" t="s">
        <v>3368</v>
      </c>
      <c r="C4" t="s">
        <v>1072</v>
      </c>
      <c r="D4" t="s">
        <v>1075</v>
      </c>
      <c r="E4" s="5" t="s">
        <v>3528</v>
      </c>
      <c r="F4">
        <v>352</v>
      </c>
    </row>
    <row r="5" spans="1:6">
      <c r="A5" t="s">
        <v>1076</v>
      </c>
      <c r="B5" t="s">
        <v>3370</v>
      </c>
      <c r="C5" t="s">
        <v>1072</v>
      </c>
      <c r="D5" t="s">
        <v>1077</v>
      </c>
      <c r="E5" s="5">
        <v>364.67</v>
      </c>
      <c r="F5">
        <v>452</v>
      </c>
    </row>
    <row r="6" spans="1:6">
      <c r="A6" t="s">
        <v>1078</v>
      </c>
      <c r="B6" t="s">
        <v>3371</v>
      </c>
      <c r="C6" t="s">
        <v>1072</v>
      </c>
      <c r="D6" t="s">
        <v>1079</v>
      </c>
      <c r="E6" s="5">
        <v>306.45999999999998</v>
      </c>
      <c r="F6">
        <v>487</v>
      </c>
    </row>
    <row r="7" spans="1:6">
      <c r="A7" t="s">
        <v>1080</v>
      </c>
      <c r="B7" t="s">
        <v>3373</v>
      </c>
      <c r="C7" t="s">
        <v>1072</v>
      </c>
      <c r="D7" t="s">
        <v>1081</v>
      </c>
      <c r="E7" s="5">
        <v>261</v>
      </c>
      <c r="F7">
        <v>59</v>
      </c>
    </row>
    <row r="8" spans="1:6">
      <c r="A8" t="s">
        <v>1082</v>
      </c>
      <c r="B8" t="s">
        <v>3375</v>
      </c>
      <c r="C8" t="s">
        <v>1083</v>
      </c>
      <c r="D8" t="s">
        <v>1084</v>
      </c>
      <c r="E8" s="5">
        <v>312.8</v>
      </c>
      <c r="F8">
        <v>350</v>
      </c>
    </row>
    <row r="9" spans="1:6">
      <c r="A9" t="s">
        <v>1085</v>
      </c>
      <c r="B9" t="s">
        <v>3377</v>
      </c>
      <c r="C9" t="s">
        <v>1069</v>
      </c>
      <c r="D9" t="s">
        <v>1086</v>
      </c>
      <c r="E9" s="5">
        <v>218.86</v>
      </c>
      <c r="F9">
        <v>170</v>
      </c>
    </row>
    <row r="10" spans="1:6">
      <c r="A10" t="s">
        <v>1087</v>
      </c>
      <c r="B10" t="s">
        <v>3379</v>
      </c>
      <c r="C10" t="s">
        <v>1088</v>
      </c>
      <c r="D10" t="s">
        <v>1089</v>
      </c>
      <c r="E10" s="5">
        <v>439.07</v>
      </c>
      <c r="F10">
        <v>142</v>
      </c>
    </row>
    <row r="11" spans="1:6">
      <c r="A11" t="s">
        <v>1090</v>
      </c>
      <c r="B11" t="s">
        <v>3381</v>
      </c>
      <c r="C11" t="s">
        <v>1091</v>
      </c>
      <c r="D11" t="s">
        <v>1092</v>
      </c>
      <c r="E11" s="5">
        <v>495.72</v>
      </c>
      <c r="F11">
        <v>323</v>
      </c>
    </row>
    <row r="12" spans="1:6">
      <c r="A12" t="s">
        <v>1093</v>
      </c>
      <c r="B12" t="s">
        <v>3383</v>
      </c>
      <c r="C12" t="s">
        <v>1069</v>
      </c>
      <c r="D12" t="s">
        <v>1094</v>
      </c>
      <c r="E12" s="5">
        <v>298.86</v>
      </c>
      <c r="F12">
        <v>308</v>
      </c>
    </row>
    <row r="13" spans="1:6">
      <c r="A13" t="s">
        <v>1095</v>
      </c>
      <c r="B13" t="s">
        <v>3385</v>
      </c>
      <c r="C13" t="s">
        <v>1088</v>
      </c>
      <c r="D13" t="s">
        <v>1096</v>
      </c>
      <c r="E13" s="5">
        <v>449.4</v>
      </c>
      <c r="F13">
        <v>0</v>
      </c>
    </row>
    <row r="14" spans="1:6">
      <c r="A14" t="s">
        <v>1097</v>
      </c>
      <c r="B14" t="s">
        <v>3386</v>
      </c>
      <c r="C14" t="s">
        <v>1083</v>
      </c>
      <c r="D14" t="s">
        <v>1098</v>
      </c>
      <c r="E14" s="5">
        <v>115.82</v>
      </c>
      <c r="F14">
        <v>460</v>
      </c>
    </row>
    <row r="15" spans="1:6">
      <c r="A15" t="s">
        <v>1099</v>
      </c>
      <c r="B15" t="s">
        <v>3388</v>
      </c>
      <c r="C15" t="s">
        <v>1088</v>
      </c>
      <c r="D15" t="s">
        <v>1100</v>
      </c>
      <c r="E15" s="5">
        <v>242.23</v>
      </c>
      <c r="F15">
        <v>453</v>
      </c>
    </row>
    <row r="16" spans="1:6">
      <c r="A16" t="s">
        <v>1101</v>
      </c>
      <c r="B16" t="s">
        <v>3389</v>
      </c>
      <c r="C16" t="s">
        <v>1069</v>
      </c>
      <c r="D16" t="s">
        <v>1102</v>
      </c>
      <c r="E16" s="5">
        <v>48.01</v>
      </c>
      <c r="F16">
        <v>439</v>
      </c>
    </row>
    <row r="17" spans="1:6">
      <c r="A17" t="s">
        <v>1103</v>
      </c>
      <c r="B17" t="s">
        <v>3391</v>
      </c>
      <c r="C17" t="s">
        <v>1088</v>
      </c>
      <c r="D17" t="s">
        <v>1104</v>
      </c>
      <c r="E17" s="5">
        <v>465.34</v>
      </c>
      <c r="F17">
        <v>301</v>
      </c>
    </row>
    <row r="18" spans="1:6">
      <c r="A18" t="s">
        <v>4018</v>
      </c>
      <c r="B18" t="s">
        <v>3393</v>
      </c>
      <c r="C18" t="s">
        <v>1083</v>
      </c>
      <c r="D18" t="s">
        <v>1106</v>
      </c>
      <c r="E18" s="5">
        <v>337.42</v>
      </c>
      <c r="F18">
        <v>256</v>
      </c>
    </row>
    <row r="19" spans="1:6">
      <c r="A19" t="s">
        <v>1107</v>
      </c>
      <c r="B19" t="s">
        <v>3395</v>
      </c>
      <c r="C19" t="s">
        <v>1091</v>
      </c>
      <c r="D19" t="s">
        <v>1108</v>
      </c>
      <c r="E19" s="5">
        <v>144.53</v>
      </c>
      <c r="F19">
        <v>367</v>
      </c>
    </row>
    <row r="20" spans="1:6">
      <c r="A20" t="s">
        <v>1109</v>
      </c>
      <c r="B20" t="s">
        <v>3396</v>
      </c>
      <c r="C20" t="s">
        <v>1072</v>
      </c>
      <c r="D20" t="s">
        <v>1110</v>
      </c>
      <c r="E20" s="5" t="s">
        <v>3528</v>
      </c>
      <c r="F20">
        <v>343</v>
      </c>
    </row>
    <row r="21" spans="1:6">
      <c r="A21" t="s">
        <v>1111</v>
      </c>
      <c r="B21" t="s">
        <v>3397</v>
      </c>
      <c r="C21" t="s">
        <v>1091</v>
      </c>
      <c r="D21" t="s">
        <v>1112</v>
      </c>
      <c r="E21" s="5">
        <v>21.34</v>
      </c>
      <c r="F21">
        <v>65</v>
      </c>
    </row>
    <row r="22" spans="1:6">
      <c r="A22" t="s">
        <v>1113</v>
      </c>
      <c r="B22" t="s">
        <v>3399</v>
      </c>
      <c r="C22" t="s">
        <v>1091</v>
      </c>
      <c r="D22" t="s">
        <v>1114</v>
      </c>
      <c r="E22" s="5">
        <v>131.51</v>
      </c>
      <c r="F22">
        <v>0</v>
      </c>
    </row>
    <row r="23" spans="1:6">
      <c r="A23" t="s">
        <v>1115</v>
      </c>
      <c r="B23" t="s">
        <v>3400</v>
      </c>
      <c r="C23" t="s">
        <v>1069</v>
      </c>
      <c r="D23" t="s">
        <v>1116</v>
      </c>
      <c r="E23" s="5">
        <v>123.46</v>
      </c>
      <c r="F23">
        <v>76</v>
      </c>
    </row>
    <row r="24" spans="1:6">
      <c r="A24" t="s">
        <v>1117</v>
      </c>
      <c r="B24" t="s">
        <v>3402</v>
      </c>
      <c r="C24" t="s">
        <v>1091</v>
      </c>
      <c r="D24" t="s">
        <v>1118</v>
      </c>
      <c r="E24" s="5">
        <v>484.62</v>
      </c>
      <c r="F24">
        <v>432</v>
      </c>
    </row>
    <row r="25" spans="1:6">
      <c r="A25" t="s">
        <v>1119</v>
      </c>
      <c r="B25" t="s">
        <v>3403</v>
      </c>
      <c r="C25" t="s">
        <v>1072</v>
      </c>
      <c r="D25" t="s">
        <v>1120</v>
      </c>
      <c r="E25" s="5">
        <v>242.965</v>
      </c>
      <c r="F25">
        <v>360</v>
      </c>
    </row>
    <row r="26" spans="1:6">
      <c r="A26" t="s">
        <v>1121</v>
      </c>
      <c r="B26" t="s">
        <v>3404</v>
      </c>
      <c r="C26" t="s">
        <v>1091</v>
      </c>
      <c r="D26" t="s">
        <v>1122</v>
      </c>
      <c r="E26" s="5">
        <v>166.06</v>
      </c>
      <c r="F26">
        <v>340</v>
      </c>
    </row>
    <row r="27" spans="1:6">
      <c r="A27" t="s">
        <v>1123</v>
      </c>
      <c r="B27" t="s">
        <v>3406</v>
      </c>
      <c r="C27" t="s">
        <v>1072</v>
      </c>
      <c r="D27" t="s">
        <v>1124</v>
      </c>
      <c r="E27" s="5">
        <v>174.02</v>
      </c>
      <c r="F27">
        <v>268</v>
      </c>
    </row>
    <row r="28" spans="1:6">
      <c r="A28" t="s">
        <v>1125</v>
      </c>
      <c r="B28" t="s">
        <v>3407</v>
      </c>
      <c r="C28" t="s">
        <v>1088</v>
      </c>
      <c r="D28" t="s">
        <v>1126</v>
      </c>
      <c r="E28" s="5">
        <v>322.41000000000003</v>
      </c>
      <c r="F28">
        <v>213</v>
      </c>
    </row>
    <row r="29" spans="1:6">
      <c r="A29" t="s">
        <v>1127</v>
      </c>
      <c r="B29" t="s">
        <v>3408</v>
      </c>
      <c r="C29" t="s">
        <v>1069</v>
      </c>
      <c r="D29" t="s">
        <v>1128</v>
      </c>
      <c r="E29" s="5" t="s">
        <v>3528</v>
      </c>
      <c r="F29">
        <v>378</v>
      </c>
    </row>
    <row r="30" spans="1:6">
      <c r="A30" t="s">
        <v>1129</v>
      </c>
      <c r="B30" t="s">
        <v>3409</v>
      </c>
      <c r="C30" t="s">
        <v>1091</v>
      </c>
      <c r="D30" t="s">
        <v>1130</v>
      </c>
      <c r="E30" s="5">
        <v>38.76</v>
      </c>
      <c r="F30">
        <v>137</v>
      </c>
    </row>
    <row r="31" spans="1:6">
      <c r="A31" t="s">
        <v>1131</v>
      </c>
      <c r="B31" t="s">
        <v>3410</v>
      </c>
      <c r="C31" t="s">
        <v>1069</v>
      </c>
      <c r="D31" t="s">
        <v>1132</v>
      </c>
      <c r="E31" s="5">
        <v>218.48</v>
      </c>
      <c r="F31">
        <v>276</v>
      </c>
    </row>
    <row r="32" spans="1:6">
      <c r="A32" t="s">
        <v>1133</v>
      </c>
      <c r="B32" t="s">
        <v>3411</v>
      </c>
      <c r="C32" t="s">
        <v>1069</v>
      </c>
      <c r="D32" t="s">
        <v>1134</v>
      </c>
      <c r="E32" s="5">
        <v>19.52</v>
      </c>
      <c r="F32">
        <v>57</v>
      </c>
    </row>
    <row r="33" spans="1:6">
      <c r="A33" t="s">
        <v>1135</v>
      </c>
      <c r="B33" t="s">
        <v>3412</v>
      </c>
      <c r="C33" t="s">
        <v>1091</v>
      </c>
      <c r="D33" t="s">
        <v>1136</v>
      </c>
      <c r="E33" s="5">
        <v>204.39</v>
      </c>
      <c r="F33">
        <v>281</v>
      </c>
    </row>
    <row r="34" spans="1:6">
      <c r="A34" t="s">
        <v>1137</v>
      </c>
      <c r="B34" t="s">
        <v>3414</v>
      </c>
      <c r="C34" t="s">
        <v>1083</v>
      </c>
      <c r="D34" t="s">
        <v>1138</v>
      </c>
      <c r="E34" s="5">
        <v>283.83</v>
      </c>
      <c r="F34">
        <v>244</v>
      </c>
    </row>
    <row r="35" spans="1:6">
      <c r="A35" t="s">
        <v>1139</v>
      </c>
      <c r="B35" t="s">
        <v>3415</v>
      </c>
      <c r="C35" t="s">
        <v>1069</v>
      </c>
      <c r="D35" t="s">
        <v>1140</v>
      </c>
      <c r="E35" s="5">
        <v>179.77</v>
      </c>
      <c r="F35">
        <v>305</v>
      </c>
    </row>
    <row r="36" spans="1:6">
      <c r="A36" t="s">
        <v>1141</v>
      </c>
      <c r="B36" t="s">
        <v>3416</v>
      </c>
      <c r="C36" t="s">
        <v>1088</v>
      </c>
      <c r="D36" t="s">
        <v>1142</v>
      </c>
      <c r="E36" s="5">
        <v>419.28</v>
      </c>
      <c r="F36">
        <v>86</v>
      </c>
    </row>
    <row r="37" spans="1:6">
      <c r="A37" t="s">
        <v>1143</v>
      </c>
      <c r="B37" t="s">
        <v>3417</v>
      </c>
      <c r="C37" t="s">
        <v>1069</v>
      </c>
      <c r="D37" t="s">
        <v>1144</v>
      </c>
      <c r="E37" s="5">
        <v>382.22</v>
      </c>
      <c r="F37">
        <v>329</v>
      </c>
    </row>
    <row r="38" spans="1:6">
      <c r="A38" t="s">
        <v>1145</v>
      </c>
      <c r="B38" t="s">
        <v>3418</v>
      </c>
      <c r="C38" t="s">
        <v>1072</v>
      </c>
      <c r="D38" t="s">
        <v>1146</v>
      </c>
      <c r="E38" s="5">
        <v>223.43</v>
      </c>
      <c r="F38">
        <v>154</v>
      </c>
    </row>
    <row r="39" spans="1:6">
      <c r="A39" t="s">
        <v>1147</v>
      </c>
      <c r="B39" t="s">
        <v>3419</v>
      </c>
      <c r="C39" t="s">
        <v>1072</v>
      </c>
      <c r="D39" t="s">
        <v>1148</v>
      </c>
      <c r="E39" s="5">
        <v>353.47</v>
      </c>
      <c r="F39">
        <v>214</v>
      </c>
    </row>
    <row r="40" spans="1:6">
      <c r="A40" t="s">
        <v>1149</v>
      </c>
      <c r="B40" t="s">
        <v>3421</v>
      </c>
      <c r="C40" t="s">
        <v>1091</v>
      </c>
      <c r="D40" t="s">
        <v>1150</v>
      </c>
      <c r="E40" s="5">
        <v>135.61000000000001</v>
      </c>
      <c r="F40">
        <v>394</v>
      </c>
    </row>
    <row r="41" spans="1:6">
      <c r="A41" t="s">
        <v>1151</v>
      </c>
      <c r="B41" t="s">
        <v>3422</v>
      </c>
      <c r="C41" t="s">
        <v>1088</v>
      </c>
      <c r="D41" t="s">
        <v>1152</v>
      </c>
      <c r="E41" s="5">
        <v>326.06</v>
      </c>
      <c r="F41">
        <v>301</v>
      </c>
    </row>
    <row r="42" spans="1:6">
      <c r="A42" t="s">
        <v>1153</v>
      </c>
      <c r="B42" t="s">
        <v>3424</v>
      </c>
      <c r="C42" t="s">
        <v>1088</v>
      </c>
      <c r="D42" t="s">
        <v>1154</v>
      </c>
      <c r="E42" s="5">
        <v>38.520000000000003</v>
      </c>
      <c r="F42">
        <v>378</v>
      </c>
    </row>
    <row r="43" spans="1:6">
      <c r="A43" t="s">
        <v>1155</v>
      </c>
      <c r="B43" t="s">
        <v>3425</v>
      </c>
      <c r="C43" t="s">
        <v>1091</v>
      </c>
      <c r="D43" t="s">
        <v>1156</v>
      </c>
      <c r="E43" s="5">
        <v>313.26</v>
      </c>
      <c r="F43">
        <v>369</v>
      </c>
    </row>
    <row r="44" spans="1:6">
      <c r="A44" t="s">
        <v>1157</v>
      </c>
      <c r="B44" t="s">
        <v>3426</v>
      </c>
      <c r="C44" t="s">
        <v>1088</v>
      </c>
      <c r="D44" t="s">
        <v>1158</v>
      </c>
      <c r="E44" s="5">
        <v>450.71</v>
      </c>
      <c r="F44">
        <v>389</v>
      </c>
    </row>
    <row r="45" spans="1:6">
      <c r="A45" t="s">
        <v>1159</v>
      </c>
      <c r="B45" t="s">
        <v>3427</v>
      </c>
      <c r="C45" t="s">
        <v>1088</v>
      </c>
      <c r="D45" t="s">
        <v>1160</v>
      </c>
      <c r="E45" s="5">
        <v>253.33</v>
      </c>
      <c r="F45">
        <v>266</v>
      </c>
    </row>
    <row r="46" spans="1:6">
      <c r="A46" t="s">
        <v>1161</v>
      </c>
      <c r="B46" t="s">
        <v>3428</v>
      </c>
      <c r="C46" t="s">
        <v>1091</v>
      </c>
      <c r="D46" t="s">
        <v>1162</v>
      </c>
      <c r="E46" s="5">
        <v>167.12</v>
      </c>
      <c r="F46">
        <v>316</v>
      </c>
    </row>
    <row r="47" spans="1:6">
      <c r="A47" t="s">
        <v>1163</v>
      </c>
      <c r="B47" t="s">
        <v>3429</v>
      </c>
      <c r="C47" t="s">
        <v>1091</v>
      </c>
      <c r="D47" t="s">
        <v>1164</v>
      </c>
      <c r="E47" s="5">
        <v>318.91000000000003</v>
      </c>
      <c r="F47">
        <v>114</v>
      </c>
    </row>
    <row r="48" spans="1:6">
      <c r="A48" t="s">
        <v>1165</v>
      </c>
      <c r="B48" t="s">
        <v>3430</v>
      </c>
      <c r="C48" t="s">
        <v>1072</v>
      </c>
      <c r="D48" t="s">
        <v>1166</v>
      </c>
      <c r="E48" s="5">
        <v>167.34</v>
      </c>
      <c r="F48">
        <v>296</v>
      </c>
    </row>
    <row r="49" spans="1:6">
      <c r="A49" t="s">
        <v>1167</v>
      </c>
      <c r="B49" t="s">
        <v>3431</v>
      </c>
      <c r="C49" t="s">
        <v>1083</v>
      </c>
      <c r="D49" t="s">
        <v>1168</v>
      </c>
      <c r="E49" s="5" t="s">
        <v>3528</v>
      </c>
      <c r="F49">
        <v>431</v>
      </c>
    </row>
    <row r="50" spans="1:6">
      <c r="A50" t="s">
        <v>1169</v>
      </c>
      <c r="B50" t="s">
        <v>3433</v>
      </c>
      <c r="C50" t="s">
        <v>1088</v>
      </c>
      <c r="D50" t="s">
        <v>1170</v>
      </c>
      <c r="E50" s="5">
        <v>177.98</v>
      </c>
      <c r="F50">
        <v>103</v>
      </c>
    </row>
    <row r="51" spans="1:6">
      <c r="A51" t="s">
        <v>1171</v>
      </c>
      <c r="B51" t="s">
        <v>3434</v>
      </c>
      <c r="C51" t="s">
        <v>1083</v>
      </c>
      <c r="D51" t="s">
        <v>1172</v>
      </c>
      <c r="E51" s="5">
        <v>43.29</v>
      </c>
      <c r="F51">
        <v>267</v>
      </c>
    </row>
    <row r="52" spans="1:6">
      <c r="A52" t="s">
        <v>1173</v>
      </c>
      <c r="B52" t="s">
        <v>3436</v>
      </c>
      <c r="C52" t="s">
        <v>1091</v>
      </c>
      <c r="D52" t="s">
        <v>1174</v>
      </c>
      <c r="E52" s="5">
        <v>190.29</v>
      </c>
      <c r="F52">
        <v>260</v>
      </c>
    </row>
    <row r="53" spans="1:6">
      <c r="A53" t="s">
        <v>1175</v>
      </c>
      <c r="B53" t="s">
        <v>3437</v>
      </c>
      <c r="C53" t="s">
        <v>1088</v>
      </c>
      <c r="D53" t="s">
        <v>1176</v>
      </c>
      <c r="E53" s="5">
        <v>88.49</v>
      </c>
      <c r="F53">
        <v>246</v>
      </c>
    </row>
    <row r="54" spans="1:6">
      <c r="A54" t="s">
        <v>1177</v>
      </c>
      <c r="B54" t="s">
        <v>3438</v>
      </c>
      <c r="C54" t="s">
        <v>1091</v>
      </c>
      <c r="D54" t="s">
        <v>1178</v>
      </c>
      <c r="E54" s="5">
        <v>212.26</v>
      </c>
      <c r="F54">
        <v>82</v>
      </c>
    </row>
    <row r="55" spans="1:6">
      <c r="A55" t="s">
        <v>1179</v>
      </c>
      <c r="B55" t="s">
        <v>3439</v>
      </c>
      <c r="C55" t="s">
        <v>1072</v>
      </c>
      <c r="D55" t="s">
        <v>1180</v>
      </c>
      <c r="E55" s="5">
        <v>386.56</v>
      </c>
      <c r="F55">
        <v>125</v>
      </c>
    </row>
    <row r="56" spans="1:6">
      <c r="A56" t="s">
        <v>1181</v>
      </c>
      <c r="B56" t="s">
        <v>3440</v>
      </c>
      <c r="C56" t="s">
        <v>1091</v>
      </c>
      <c r="D56" t="s">
        <v>1182</v>
      </c>
      <c r="E56" s="5">
        <v>434.84</v>
      </c>
      <c r="F56">
        <v>185</v>
      </c>
    </row>
    <row r="57" spans="1:6">
      <c r="A57" t="s">
        <v>1183</v>
      </c>
      <c r="B57" t="s">
        <v>3441</v>
      </c>
      <c r="C57" t="s">
        <v>1069</v>
      </c>
      <c r="D57" t="s">
        <v>1184</v>
      </c>
      <c r="E57" s="5">
        <v>81.75</v>
      </c>
      <c r="F57">
        <v>0</v>
      </c>
    </row>
    <row r="58" spans="1:6">
      <c r="A58" t="s">
        <v>1185</v>
      </c>
      <c r="B58" t="s">
        <v>3442</v>
      </c>
      <c r="C58" t="s">
        <v>1069</v>
      </c>
      <c r="D58" t="s">
        <v>1186</v>
      </c>
      <c r="E58" s="5">
        <v>461.47</v>
      </c>
      <c r="F58">
        <v>190</v>
      </c>
    </row>
    <row r="59" spans="1:6">
      <c r="A59" t="s">
        <v>1187</v>
      </c>
      <c r="B59" t="s">
        <v>3443</v>
      </c>
      <c r="C59" t="s">
        <v>1091</v>
      </c>
      <c r="D59" t="s">
        <v>1188</v>
      </c>
      <c r="E59" s="5">
        <v>30.62</v>
      </c>
      <c r="F59">
        <v>138</v>
      </c>
    </row>
    <row r="60" spans="1:6">
      <c r="A60" t="s">
        <v>1189</v>
      </c>
      <c r="B60" t="s">
        <v>3444</v>
      </c>
      <c r="C60" t="s">
        <v>1072</v>
      </c>
      <c r="D60" t="s">
        <v>1190</v>
      </c>
      <c r="E60" s="5">
        <v>113.83</v>
      </c>
      <c r="F60">
        <v>485</v>
      </c>
    </row>
    <row r="61" spans="1:6">
      <c r="A61" t="s">
        <v>1191</v>
      </c>
      <c r="B61" t="s">
        <v>3445</v>
      </c>
      <c r="C61" t="s">
        <v>1083</v>
      </c>
      <c r="D61" t="s">
        <v>1192</v>
      </c>
      <c r="E61" s="5">
        <v>17.309999999999999</v>
      </c>
      <c r="F61">
        <v>399</v>
      </c>
    </row>
    <row r="62" spans="1:6">
      <c r="A62" t="s">
        <v>1193</v>
      </c>
      <c r="B62" t="s">
        <v>3446</v>
      </c>
      <c r="C62" t="s">
        <v>1083</v>
      </c>
      <c r="D62" t="s">
        <v>1194</v>
      </c>
      <c r="E62" s="5">
        <v>482.75</v>
      </c>
      <c r="F62">
        <v>444</v>
      </c>
    </row>
    <row r="63" spans="1:6">
      <c r="A63" t="s">
        <v>1195</v>
      </c>
      <c r="B63" t="s">
        <v>3447</v>
      </c>
      <c r="C63" t="s">
        <v>1091</v>
      </c>
      <c r="D63" t="s">
        <v>1196</v>
      </c>
      <c r="E63" s="5">
        <v>103.45</v>
      </c>
      <c r="F63">
        <v>465</v>
      </c>
    </row>
    <row r="64" spans="1:6">
      <c r="A64" t="s">
        <v>1197</v>
      </c>
      <c r="B64" t="s">
        <v>3448</v>
      </c>
      <c r="C64" t="s">
        <v>1088</v>
      </c>
      <c r="D64" t="s">
        <v>1198</v>
      </c>
      <c r="E64" s="5">
        <v>86.42</v>
      </c>
      <c r="F64">
        <v>222</v>
      </c>
    </row>
    <row r="65" spans="1:6">
      <c r="A65" t="s">
        <v>1199</v>
      </c>
      <c r="B65" t="s">
        <v>3449</v>
      </c>
      <c r="C65" t="s">
        <v>1083</v>
      </c>
      <c r="D65" t="s">
        <v>1200</v>
      </c>
      <c r="E65" s="5">
        <v>266.86</v>
      </c>
      <c r="F65">
        <v>458</v>
      </c>
    </row>
    <row r="66" spans="1:6">
      <c r="A66" t="s">
        <v>1201</v>
      </c>
      <c r="B66" t="s">
        <v>3450</v>
      </c>
      <c r="C66" t="s">
        <v>1083</v>
      </c>
      <c r="D66" t="s">
        <v>1202</v>
      </c>
      <c r="E66" s="5">
        <v>299.11</v>
      </c>
      <c r="F66">
        <v>118</v>
      </c>
    </row>
    <row r="67" spans="1:6">
      <c r="A67" t="s">
        <v>1203</v>
      </c>
      <c r="B67" t="s">
        <v>3451</v>
      </c>
      <c r="C67" t="s">
        <v>1091</v>
      </c>
      <c r="D67" t="s">
        <v>1204</v>
      </c>
      <c r="E67" s="5">
        <v>240.63</v>
      </c>
      <c r="F67">
        <v>423</v>
      </c>
    </row>
    <row r="68" spans="1:6">
      <c r="A68" t="s">
        <v>1205</v>
      </c>
      <c r="B68" t="s">
        <v>3452</v>
      </c>
      <c r="C68" t="s">
        <v>1083</v>
      </c>
      <c r="D68" t="s">
        <v>1206</v>
      </c>
      <c r="E68" s="5">
        <v>340.39</v>
      </c>
      <c r="F68">
        <v>177</v>
      </c>
    </row>
    <row r="69" spans="1:6">
      <c r="A69" t="s">
        <v>1207</v>
      </c>
      <c r="B69" t="s">
        <v>3453</v>
      </c>
      <c r="C69" t="s">
        <v>1088</v>
      </c>
      <c r="D69" t="s">
        <v>1208</v>
      </c>
      <c r="E69" s="5">
        <v>349.17</v>
      </c>
      <c r="F69">
        <v>476</v>
      </c>
    </row>
    <row r="70" spans="1:6">
      <c r="A70" t="s">
        <v>1209</v>
      </c>
      <c r="B70" t="s">
        <v>3454</v>
      </c>
      <c r="C70" t="s">
        <v>1069</v>
      </c>
      <c r="D70" t="s">
        <v>1210</v>
      </c>
      <c r="E70" s="5">
        <v>243.7</v>
      </c>
      <c r="F70">
        <v>130</v>
      </c>
    </row>
    <row r="71" spans="1:6">
      <c r="A71" t="s">
        <v>1211</v>
      </c>
      <c r="B71" t="s">
        <v>3456</v>
      </c>
      <c r="C71" t="s">
        <v>1072</v>
      </c>
      <c r="D71" t="s">
        <v>1212</v>
      </c>
      <c r="E71" s="5">
        <v>218.22</v>
      </c>
      <c r="F71">
        <v>224</v>
      </c>
    </row>
    <row r="72" spans="1:6">
      <c r="A72" t="s">
        <v>1213</v>
      </c>
      <c r="B72" t="s">
        <v>3457</v>
      </c>
      <c r="C72" t="s">
        <v>1069</v>
      </c>
      <c r="D72" t="s">
        <v>1214</v>
      </c>
      <c r="E72" s="5">
        <v>138.05000000000001</v>
      </c>
      <c r="F72">
        <v>89</v>
      </c>
    </row>
    <row r="73" spans="1:6">
      <c r="A73" t="s">
        <v>1215</v>
      </c>
      <c r="B73" t="s">
        <v>3458</v>
      </c>
      <c r="C73" t="s">
        <v>1083</v>
      </c>
      <c r="D73" t="s">
        <v>1216</v>
      </c>
      <c r="E73" s="5">
        <v>214.32</v>
      </c>
      <c r="F73">
        <v>383</v>
      </c>
    </row>
    <row r="74" spans="1:6">
      <c r="A74" t="s">
        <v>1217</v>
      </c>
      <c r="B74" t="s">
        <v>3459</v>
      </c>
      <c r="C74" t="s">
        <v>1091</v>
      </c>
      <c r="D74" t="s">
        <v>1218</v>
      </c>
      <c r="E74" s="5">
        <v>477.61</v>
      </c>
      <c r="F74">
        <v>300</v>
      </c>
    </row>
    <row r="75" spans="1:6">
      <c r="A75" t="s">
        <v>1219</v>
      </c>
      <c r="B75" t="s">
        <v>3460</v>
      </c>
      <c r="C75" t="s">
        <v>1091</v>
      </c>
      <c r="D75" t="s">
        <v>1220</v>
      </c>
      <c r="E75" s="5">
        <v>107.06</v>
      </c>
      <c r="F75">
        <v>359</v>
      </c>
    </row>
    <row r="76" spans="1:6">
      <c r="A76" t="s">
        <v>1221</v>
      </c>
      <c r="B76" t="s">
        <v>3461</v>
      </c>
      <c r="C76" t="s">
        <v>1088</v>
      </c>
      <c r="D76" t="s">
        <v>1222</v>
      </c>
      <c r="E76" s="5">
        <v>403.71</v>
      </c>
      <c r="F76">
        <v>159</v>
      </c>
    </row>
    <row r="77" spans="1:6">
      <c r="A77" t="s">
        <v>1223</v>
      </c>
      <c r="B77" t="s">
        <v>3462</v>
      </c>
      <c r="C77" t="s">
        <v>1072</v>
      </c>
      <c r="D77" t="s">
        <v>1224</v>
      </c>
      <c r="E77" s="5">
        <v>158.13999999999999</v>
      </c>
      <c r="F77">
        <v>82</v>
      </c>
    </row>
    <row r="78" spans="1:6">
      <c r="A78" t="s">
        <v>1225</v>
      </c>
      <c r="B78" t="s">
        <v>3463</v>
      </c>
      <c r="C78" t="s">
        <v>1088</v>
      </c>
      <c r="D78" t="s">
        <v>1226</v>
      </c>
      <c r="E78" s="5">
        <v>392.89</v>
      </c>
      <c r="F78">
        <v>320</v>
      </c>
    </row>
    <row r="79" spans="1:6">
      <c r="A79" t="s">
        <v>1227</v>
      </c>
      <c r="B79" t="s">
        <v>3464</v>
      </c>
      <c r="C79" t="s">
        <v>1088</v>
      </c>
      <c r="D79" t="s">
        <v>1228</v>
      </c>
      <c r="E79" s="5">
        <v>480.9</v>
      </c>
      <c r="F79">
        <v>104</v>
      </c>
    </row>
    <row r="80" spans="1:6">
      <c r="A80" t="s">
        <v>1229</v>
      </c>
      <c r="B80" t="s">
        <v>3465</v>
      </c>
      <c r="C80" t="s">
        <v>1069</v>
      </c>
      <c r="D80" t="s">
        <v>1230</v>
      </c>
      <c r="E80" s="5">
        <v>325.26</v>
      </c>
      <c r="F80">
        <v>400</v>
      </c>
    </row>
    <row r="81" spans="1:6">
      <c r="A81" t="s">
        <v>1231</v>
      </c>
      <c r="B81" t="s">
        <v>3466</v>
      </c>
      <c r="C81" t="s">
        <v>1069</v>
      </c>
      <c r="D81" t="s">
        <v>1232</v>
      </c>
      <c r="E81" s="5">
        <v>228.53</v>
      </c>
      <c r="F81">
        <v>469</v>
      </c>
    </row>
    <row r="82" spans="1:6">
      <c r="A82" t="s">
        <v>1233</v>
      </c>
      <c r="B82" t="s">
        <v>3467</v>
      </c>
      <c r="C82" t="s">
        <v>1069</v>
      </c>
      <c r="D82" t="s">
        <v>1234</v>
      </c>
      <c r="E82" s="5">
        <v>143.43</v>
      </c>
      <c r="F82">
        <v>58</v>
      </c>
    </row>
    <row r="83" spans="1:6">
      <c r="A83" t="s">
        <v>1235</v>
      </c>
      <c r="B83" t="s">
        <v>3468</v>
      </c>
      <c r="C83" t="s">
        <v>1091</v>
      </c>
      <c r="D83" t="s">
        <v>1236</v>
      </c>
      <c r="E83" s="5">
        <v>285.54000000000002</v>
      </c>
      <c r="F83">
        <v>358</v>
      </c>
    </row>
    <row r="84" spans="1:6">
      <c r="A84" t="s">
        <v>1237</v>
      </c>
      <c r="B84" t="s">
        <v>3469</v>
      </c>
      <c r="C84" t="s">
        <v>1091</v>
      </c>
      <c r="D84" t="s">
        <v>1238</v>
      </c>
      <c r="E84" s="5">
        <v>152.91999999999999</v>
      </c>
      <c r="F84">
        <v>281</v>
      </c>
    </row>
    <row r="85" spans="1:6">
      <c r="A85" t="s">
        <v>1239</v>
      </c>
      <c r="B85" t="s">
        <v>3470</v>
      </c>
      <c r="C85" t="s">
        <v>1083</v>
      </c>
      <c r="D85" t="s">
        <v>1240</v>
      </c>
      <c r="E85" s="5" t="s">
        <v>3528</v>
      </c>
      <c r="F85">
        <v>159</v>
      </c>
    </row>
    <row r="86" spans="1:6">
      <c r="A86" t="s">
        <v>1241</v>
      </c>
      <c r="B86" t="s">
        <v>3471</v>
      </c>
      <c r="C86" t="s">
        <v>1069</v>
      </c>
      <c r="D86" t="s">
        <v>1242</v>
      </c>
      <c r="E86" s="5">
        <v>388.46</v>
      </c>
      <c r="F86">
        <v>208</v>
      </c>
    </row>
    <row r="87" spans="1:6">
      <c r="A87" t="s">
        <v>1243</v>
      </c>
      <c r="B87" t="s">
        <v>3472</v>
      </c>
      <c r="C87" t="s">
        <v>1072</v>
      </c>
      <c r="D87" t="s">
        <v>1244</v>
      </c>
      <c r="E87" s="5">
        <v>119.57</v>
      </c>
      <c r="F87">
        <v>210</v>
      </c>
    </row>
    <row r="88" spans="1:6">
      <c r="A88" t="s">
        <v>1245</v>
      </c>
      <c r="B88" t="s">
        <v>3473</v>
      </c>
      <c r="C88" t="s">
        <v>1069</v>
      </c>
      <c r="D88" t="s">
        <v>1246</v>
      </c>
      <c r="E88" s="5">
        <v>176.07</v>
      </c>
      <c r="F88">
        <v>82</v>
      </c>
    </row>
    <row r="89" spans="1:6">
      <c r="A89" t="s">
        <v>1247</v>
      </c>
      <c r="B89" t="s">
        <v>3474</v>
      </c>
      <c r="C89" t="s">
        <v>1069</v>
      </c>
      <c r="D89" t="s">
        <v>1248</v>
      </c>
      <c r="E89" s="5">
        <v>371.38</v>
      </c>
      <c r="F89">
        <v>220</v>
      </c>
    </row>
    <row r="90" spans="1:6">
      <c r="A90" t="s">
        <v>1249</v>
      </c>
      <c r="B90" t="s">
        <v>3475</v>
      </c>
      <c r="C90" t="s">
        <v>1091</v>
      </c>
      <c r="D90" t="s">
        <v>1250</v>
      </c>
      <c r="E90" s="5">
        <v>131.24</v>
      </c>
      <c r="F90">
        <v>232</v>
      </c>
    </row>
    <row r="91" spans="1:6">
      <c r="A91" t="s">
        <v>1251</v>
      </c>
      <c r="B91" t="s">
        <v>3476</v>
      </c>
      <c r="C91" t="s">
        <v>1083</v>
      </c>
      <c r="D91" t="s">
        <v>1252</v>
      </c>
      <c r="E91" s="5">
        <v>183.04</v>
      </c>
      <c r="F91">
        <v>457</v>
      </c>
    </row>
    <row r="92" spans="1:6">
      <c r="A92" t="s">
        <v>1253</v>
      </c>
      <c r="B92" t="s">
        <v>3477</v>
      </c>
      <c r="C92" t="s">
        <v>1088</v>
      </c>
      <c r="D92" t="s">
        <v>1254</v>
      </c>
      <c r="E92" s="5">
        <v>340.14</v>
      </c>
      <c r="F92">
        <v>361</v>
      </c>
    </row>
    <row r="93" spans="1:6">
      <c r="A93" t="s">
        <v>1255</v>
      </c>
      <c r="B93" t="s">
        <v>3478</v>
      </c>
      <c r="C93" t="s">
        <v>1072</v>
      </c>
      <c r="D93" t="s">
        <v>1256</v>
      </c>
      <c r="E93" s="5">
        <v>438.25</v>
      </c>
      <c r="F93">
        <v>496</v>
      </c>
    </row>
    <row r="94" spans="1:6">
      <c r="A94" t="s">
        <v>1257</v>
      </c>
      <c r="B94" t="s">
        <v>3479</v>
      </c>
      <c r="C94" t="s">
        <v>1069</v>
      </c>
      <c r="D94" t="s">
        <v>1258</v>
      </c>
      <c r="E94" s="5">
        <v>447.43</v>
      </c>
      <c r="F94">
        <v>191</v>
      </c>
    </row>
    <row r="95" spans="1:6">
      <c r="A95" t="s">
        <v>1259</v>
      </c>
      <c r="B95" t="s">
        <v>3480</v>
      </c>
      <c r="C95" t="s">
        <v>1088</v>
      </c>
      <c r="D95" t="s">
        <v>1260</v>
      </c>
      <c r="E95" s="5">
        <v>377.52</v>
      </c>
      <c r="F95">
        <v>485</v>
      </c>
    </row>
    <row r="96" spans="1:6">
      <c r="A96" t="s">
        <v>1261</v>
      </c>
      <c r="B96" t="s">
        <v>3481</v>
      </c>
      <c r="C96" t="s">
        <v>1083</v>
      </c>
      <c r="D96" t="s">
        <v>1262</v>
      </c>
      <c r="E96" s="5">
        <v>358.47</v>
      </c>
      <c r="F96">
        <v>213</v>
      </c>
    </row>
    <row r="97" spans="1:6">
      <c r="A97" t="s">
        <v>1263</v>
      </c>
      <c r="B97" t="s">
        <v>3482</v>
      </c>
      <c r="C97" t="s">
        <v>1091</v>
      </c>
      <c r="D97" t="s">
        <v>1264</v>
      </c>
      <c r="E97" s="5">
        <v>60.65</v>
      </c>
      <c r="F97">
        <v>75</v>
      </c>
    </row>
    <row r="98" spans="1:6">
      <c r="A98" t="s">
        <v>1265</v>
      </c>
      <c r="B98" t="s">
        <v>3483</v>
      </c>
      <c r="C98" t="s">
        <v>1072</v>
      </c>
      <c r="D98" t="s">
        <v>1266</v>
      </c>
      <c r="E98" s="5">
        <v>358.47</v>
      </c>
      <c r="F98">
        <v>143</v>
      </c>
    </row>
    <row r="99" spans="1:6">
      <c r="A99" t="s">
        <v>1267</v>
      </c>
      <c r="B99" t="s">
        <v>3484</v>
      </c>
      <c r="C99" t="s">
        <v>1091</v>
      </c>
      <c r="D99" t="s">
        <v>1268</v>
      </c>
      <c r="E99" s="5">
        <v>245.98</v>
      </c>
      <c r="F99">
        <v>471</v>
      </c>
    </row>
    <row r="100" spans="1:6">
      <c r="A100" t="s">
        <v>1269</v>
      </c>
      <c r="B100" t="s">
        <v>3485</v>
      </c>
      <c r="C100" t="s">
        <v>1088</v>
      </c>
      <c r="D100" t="s">
        <v>1270</v>
      </c>
      <c r="E100" s="5">
        <v>431.67</v>
      </c>
      <c r="F100">
        <v>73</v>
      </c>
    </row>
    <row r="101" spans="1:6">
      <c r="A101" t="s">
        <v>1271</v>
      </c>
      <c r="B101" t="s">
        <v>3486</v>
      </c>
      <c r="C101" t="s">
        <v>1069</v>
      </c>
      <c r="D101" t="s">
        <v>1272</v>
      </c>
      <c r="E101" s="5">
        <v>201.41</v>
      </c>
      <c r="F101">
        <v>146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51780-4F11-4BEE-925B-6B7631CDC283}">
  <dimension ref="A1:E21"/>
  <sheetViews>
    <sheetView workbookViewId="0">
      <selection activeCell="H15" sqref="H15"/>
    </sheetView>
  </sheetViews>
  <sheetFormatPr defaultRowHeight="14.5"/>
  <cols>
    <col min="1" max="1" width="10.08984375" customWidth="1"/>
    <col min="2" max="2" width="31.54296875" customWidth="1"/>
    <col min="3" max="3" width="8.453125" customWidth="1"/>
    <col min="4" max="4" width="18.26953125" customWidth="1"/>
    <col min="5" max="5" width="12.26953125" customWidth="1"/>
  </cols>
  <sheetData>
    <row r="1" spans="1:5">
      <c r="A1" s="2" t="s">
        <v>1273</v>
      </c>
      <c r="B1" s="2" t="s">
        <v>1274</v>
      </c>
      <c r="C1" s="2" t="s">
        <v>1275</v>
      </c>
      <c r="D1" s="2" t="s">
        <v>4</v>
      </c>
      <c r="E1" s="2" t="s">
        <v>1276</v>
      </c>
    </row>
    <row r="2" spans="1:5">
      <c r="A2" t="s">
        <v>1277</v>
      </c>
      <c r="B2" t="s">
        <v>1278</v>
      </c>
      <c r="C2" t="s">
        <v>1279</v>
      </c>
      <c r="D2" t="s">
        <v>1280</v>
      </c>
      <c r="E2" t="s">
        <v>1281</v>
      </c>
    </row>
    <row r="3" spans="1:5">
      <c r="A3" t="s">
        <v>1282</v>
      </c>
      <c r="B3" t="s">
        <v>1283</v>
      </c>
      <c r="C3" t="s">
        <v>1284</v>
      </c>
      <c r="D3" t="s">
        <v>1285</v>
      </c>
      <c r="E3" t="s">
        <v>1281</v>
      </c>
    </row>
    <row r="4" spans="1:5">
      <c r="A4" t="s">
        <v>1286</v>
      </c>
      <c r="B4" t="s">
        <v>1287</v>
      </c>
      <c r="C4" t="s">
        <v>1288</v>
      </c>
      <c r="D4" t="s">
        <v>1289</v>
      </c>
      <c r="E4" t="s">
        <v>1290</v>
      </c>
    </row>
    <row r="5" spans="1:5">
      <c r="A5" t="s">
        <v>1291</v>
      </c>
      <c r="B5" t="s">
        <v>1292</v>
      </c>
      <c r="C5" t="s">
        <v>1284</v>
      </c>
      <c r="D5" t="s">
        <v>1293</v>
      </c>
      <c r="E5" t="s">
        <v>1290</v>
      </c>
    </row>
    <row r="6" spans="1:5">
      <c r="A6" t="s">
        <v>1294</v>
      </c>
      <c r="B6" t="s">
        <v>1295</v>
      </c>
      <c r="C6" t="s">
        <v>1288</v>
      </c>
      <c r="D6" t="s">
        <v>1296</v>
      </c>
      <c r="E6" t="s">
        <v>1297</v>
      </c>
    </row>
    <row r="7" spans="1:5">
      <c r="A7" t="s">
        <v>1298</v>
      </c>
      <c r="B7" t="s">
        <v>1299</v>
      </c>
      <c r="C7" t="s">
        <v>1284</v>
      </c>
      <c r="D7" t="s">
        <v>1300</v>
      </c>
      <c r="E7" t="s">
        <v>1290</v>
      </c>
    </row>
    <row r="8" spans="1:5">
      <c r="A8" t="s">
        <v>1301</v>
      </c>
      <c r="B8" t="s">
        <v>1302</v>
      </c>
      <c r="C8" t="s">
        <v>1279</v>
      </c>
      <c r="D8" t="s">
        <v>1303</v>
      </c>
      <c r="E8" t="s">
        <v>1297</v>
      </c>
    </row>
    <row r="9" spans="1:5">
      <c r="A9" t="s">
        <v>1304</v>
      </c>
      <c r="B9" t="s">
        <v>1305</v>
      </c>
      <c r="C9" t="s">
        <v>1288</v>
      </c>
      <c r="D9" t="s">
        <v>1306</v>
      </c>
      <c r="E9" t="s">
        <v>1297</v>
      </c>
    </row>
    <row r="10" spans="1:5">
      <c r="A10" t="s">
        <v>1307</v>
      </c>
      <c r="B10" t="s">
        <v>1308</v>
      </c>
      <c r="C10" t="s">
        <v>1309</v>
      </c>
      <c r="D10" t="s">
        <v>1310</v>
      </c>
      <c r="E10" t="s">
        <v>1297</v>
      </c>
    </row>
    <row r="11" spans="1:5">
      <c r="A11" t="s">
        <v>1311</v>
      </c>
      <c r="B11" t="s">
        <v>1312</v>
      </c>
      <c r="C11" t="s">
        <v>1288</v>
      </c>
      <c r="D11" t="s">
        <v>1313</v>
      </c>
      <c r="E11" t="s">
        <v>1281</v>
      </c>
    </row>
    <row r="12" spans="1:5">
      <c r="A12" t="s">
        <v>1314</v>
      </c>
      <c r="B12" t="s">
        <v>1315</v>
      </c>
      <c r="C12" t="s">
        <v>1279</v>
      </c>
      <c r="D12" t="s">
        <v>1316</v>
      </c>
      <c r="E12" t="s">
        <v>1297</v>
      </c>
    </row>
    <row r="13" spans="1:5">
      <c r="A13" t="s">
        <v>1317</v>
      </c>
      <c r="B13" t="s">
        <v>1318</v>
      </c>
      <c r="C13" t="s">
        <v>1288</v>
      </c>
      <c r="D13" t="s">
        <v>285</v>
      </c>
      <c r="E13" t="s">
        <v>1297</v>
      </c>
    </row>
    <row r="14" spans="1:5">
      <c r="A14" t="s">
        <v>1319</v>
      </c>
      <c r="B14" t="s">
        <v>1320</v>
      </c>
      <c r="C14" t="s">
        <v>1284</v>
      </c>
      <c r="D14" t="s">
        <v>1321</v>
      </c>
      <c r="E14" t="s">
        <v>1297</v>
      </c>
    </row>
    <row r="15" spans="1:5">
      <c r="A15" t="s">
        <v>1322</v>
      </c>
      <c r="B15" t="s">
        <v>1323</v>
      </c>
      <c r="C15" t="s">
        <v>1279</v>
      </c>
      <c r="D15" t="s">
        <v>98</v>
      </c>
      <c r="E15" t="s">
        <v>1281</v>
      </c>
    </row>
    <row r="16" spans="1:5">
      <c r="A16" t="s">
        <v>1324</v>
      </c>
      <c r="B16" t="s">
        <v>1325</v>
      </c>
      <c r="C16" t="s">
        <v>1288</v>
      </c>
      <c r="D16" t="s">
        <v>154</v>
      </c>
      <c r="E16" t="s">
        <v>1290</v>
      </c>
    </row>
    <row r="17" spans="1:5">
      <c r="A17" t="s">
        <v>1326</v>
      </c>
      <c r="B17" t="s">
        <v>1327</v>
      </c>
      <c r="C17" t="s">
        <v>1284</v>
      </c>
      <c r="D17" t="s">
        <v>1328</v>
      </c>
      <c r="E17" t="s">
        <v>1281</v>
      </c>
    </row>
    <row r="18" spans="1:5">
      <c r="A18" t="s">
        <v>1329</v>
      </c>
      <c r="B18" t="s">
        <v>1330</v>
      </c>
      <c r="C18" t="s">
        <v>1309</v>
      </c>
      <c r="D18" t="s">
        <v>1331</v>
      </c>
      <c r="E18" t="s">
        <v>1281</v>
      </c>
    </row>
    <row r="19" spans="1:5">
      <c r="A19" t="s">
        <v>1332</v>
      </c>
      <c r="B19" t="s">
        <v>1333</v>
      </c>
      <c r="C19" t="s">
        <v>1284</v>
      </c>
      <c r="D19" t="s">
        <v>1334</v>
      </c>
      <c r="E19" t="s">
        <v>1281</v>
      </c>
    </row>
    <row r="20" spans="1:5">
      <c r="A20" t="s">
        <v>1335</v>
      </c>
      <c r="B20" t="s">
        <v>1336</v>
      </c>
      <c r="C20" t="s">
        <v>1279</v>
      </c>
      <c r="D20" t="s">
        <v>1337</v>
      </c>
      <c r="E20" t="s">
        <v>1281</v>
      </c>
    </row>
    <row r="21" spans="1:5">
      <c r="A21" t="s">
        <v>1338</v>
      </c>
      <c r="B21" t="s">
        <v>1339</v>
      </c>
      <c r="C21" t="s">
        <v>1279</v>
      </c>
      <c r="D21" t="s">
        <v>1340</v>
      </c>
      <c r="E21" t="s">
        <v>1297</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5064-E3DC-4009-B217-70FE244BB5A6}">
  <dimension ref="A1:J2001"/>
  <sheetViews>
    <sheetView tabSelected="1" workbookViewId="0">
      <selection activeCell="G1" sqref="G1:G1048576"/>
    </sheetView>
  </sheetViews>
  <sheetFormatPr defaultRowHeight="14.5"/>
  <cols>
    <col min="1" max="1" width="14.6328125" customWidth="1"/>
    <col min="2" max="2" width="16.7265625" customWidth="1"/>
    <col min="3" max="3" width="15.08984375" customWidth="1"/>
    <col min="4" max="4" width="15" customWidth="1"/>
    <col min="5" max="5" width="12.1796875" customWidth="1"/>
    <col min="6" max="6" width="12.453125" customWidth="1"/>
    <col min="7" max="7" width="13.90625" style="5" customWidth="1"/>
    <col min="8" max="8" width="13" customWidth="1"/>
    <col min="9" max="10" width="16.6328125" customWidth="1"/>
  </cols>
  <sheetData>
    <row r="1" spans="1:10">
      <c r="A1" s="2" t="s">
        <v>1341</v>
      </c>
      <c r="B1" t="s">
        <v>1342</v>
      </c>
      <c r="C1" s="2" t="s">
        <v>0</v>
      </c>
      <c r="D1" s="2" t="s">
        <v>1061</v>
      </c>
      <c r="E1" s="2" t="s">
        <v>1273</v>
      </c>
      <c r="F1" s="2" t="s">
        <v>1343</v>
      </c>
      <c r="G1" s="18" t="s">
        <v>1344</v>
      </c>
      <c r="H1" s="2" t="s">
        <v>1345</v>
      </c>
      <c r="I1" s="2" t="s">
        <v>1346</v>
      </c>
      <c r="J1" s="2" t="s">
        <v>1347</v>
      </c>
    </row>
    <row r="2" spans="1:10">
      <c r="A2" t="s">
        <v>1348</v>
      </c>
      <c r="B2" s="7">
        <v>45480</v>
      </c>
      <c r="C2" t="s">
        <v>881</v>
      </c>
      <c r="D2" t="s">
        <v>1267</v>
      </c>
      <c r="E2" t="s">
        <v>1291</v>
      </c>
      <c r="F2">
        <v>1</v>
      </c>
      <c r="G2" s="5">
        <v>218.04</v>
      </c>
      <c r="H2">
        <v>0.09</v>
      </c>
      <c r="I2" t="s">
        <v>1349</v>
      </c>
      <c r="J2" s="5">
        <v>198.41640000000001</v>
      </c>
    </row>
    <row r="3" spans="1:10">
      <c r="A3" t="s">
        <v>1350</v>
      </c>
      <c r="B3" s="7">
        <v>45285</v>
      </c>
      <c r="C3" t="s">
        <v>996</v>
      </c>
      <c r="D3" t="s">
        <v>1221</v>
      </c>
      <c r="E3" t="s">
        <v>1332</v>
      </c>
      <c r="F3">
        <v>3</v>
      </c>
      <c r="G3" s="5">
        <v>104.47</v>
      </c>
      <c r="H3">
        <v>0.27</v>
      </c>
      <c r="I3" t="s">
        <v>1351</v>
      </c>
      <c r="J3" s="5">
        <v>228.7893</v>
      </c>
    </row>
    <row r="4" spans="1:10">
      <c r="A4" t="s">
        <v>1352</v>
      </c>
      <c r="B4" s="7">
        <v>45446</v>
      </c>
      <c r="C4" t="s">
        <v>157</v>
      </c>
      <c r="D4" t="s">
        <v>1171</v>
      </c>
      <c r="E4" t="s">
        <v>1307</v>
      </c>
      <c r="F4">
        <v>4</v>
      </c>
      <c r="G4" s="5">
        <v>914.05</v>
      </c>
      <c r="H4">
        <v>0.25</v>
      </c>
      <c r="I4" t="s">
        <v>1349</v>
      </c>
      <c r="J4" s="5">
        <v>2742.15</v>
      </c>
    </row>
    <row r="5" spans="1:10">
      <c r="A5" t="s">
        <v>1353</v>
      </c>
      <c r="B5" s="7">
        <v>45259</v>
      </c>
      <c r="C5" t="s">
        <v>756</v>
      </c>
      <c r="D5" t="s">
        <v>1225</v>
      </c>
      <c r="E5" t="s">
        <v>1307</v>
      </c>
      <c r="F5">
        <v>1</v>
      </c>
      <c r="G5" s="5">
        <v>921.51</v>
      </c>
      <c r="H5">
        <v>0.16</v>
      </c>
      <c r="I5" t="s">
        <v>1354</v>
      </c>
      <c r="J5" s="5">
        <v>774.0684</v>
      </c>
    </row>
    <row r="6" spans="1:10">
      <c r="A6" t="s">
        <v>1355</v>
      </c>
      <c r="B6" s="7">
        <v>45297</v>
      </c>
      <c r="C6" t="s">
        <v>1047</v>
      </c>
      <c r="D6" t="s">
        <v>1191</v>
      </c>
      <c r="E6" t="s">
        <v>1298</v>
      </c>
      <c r="F6">
        <v>3</v>
      </c>
      <c r="G6" s="5">
        <v>745.3</v>
      </c>
      <c r="H6">
        <v>0.18</v>
      </c>
      <c r="I6" t="s">
        <v>1349</v>
      </c>
      <c r="J6" s="5">
        <v>1833.4380000000001</v>
      </c>
    </row>
    <row r="7" spans="1:10">
      <c r="A7" t="s">
        <v>1356</v>
      </c>
      <c r="B7" s="7">
        <v>45499</v>
      </c>
      <c r="C7" t="s">
        <v>292</v>
      </c>
      <c r="D7" t="s">
        <v>1103</v>
      </c>
      <c r="E7" t="s">
        <v>1304</v>
      </c>
      <c r="F7">
        <v>3</v>
      </c>
      <c r="G7" s="5">
        <v>147.01</v>
      </c>
      <c r="H7">
        <v>0.19</v>
      </c>
      <c r="I7" t="s">
        <v>1354</v>
      </c>
      <c r="J7" s="5">
        <v>357.23430000000002</v>
      </c>
    </row>
    <row r="8" spans="1:10">
      <c r="A8" t="s">
        <v>1357</v>
      </c>
      <c r="B8" s="7">
        <v>45850</v>
      </c>
      <c r="C8" t="s">
        <v>59</v>
      </c>
      <c r="D8" t="s">
        <v>1185</v>
      </c>
      <c r="E8" t="s">
        <v>1294</v>
      </c>
      <c r="F8">
        <v>2</v>
      </c>
      <c r="G8" s="5">
        <v>785.31</v>
      </c>
      <c r="H8">
        <v>0.15</v>
      </c>
      <c r="I8" t="s">
        <v>1351</v>
      </c>
      <c r="J8" s="5">
        <v>1335.027</v>
      </c>
    </row>
    <row r="9" spans="1:10">
      <c r="A9" t="s">
        <v>1358</v>
      </c>
      <c r="B9" s="7">
        <v>45248</v>
      </c>
      <c r="C9" t="s">
        <v>365</v>
      </c>
      <c r="D9" t="s">
        <v>1213</v>
      </c>
      <c r="E9" t="s">
        <v>1307</v>
      </c>
      <c r="F9">
        <v>4</v>
      </c>
      <c r="G9" s="5">
        <v>342.39</v>
      </c>
      <c r="H9">
        <v>0.23</v>
      </c>
      <c r="I9" t="s">
        <v>1351</v>
      </c>
      <c r="J9" s="5">
        <v>1054.5612000000001</v>
      </c>
    </row>
    <row r="10" spans="1:10">
      <c r="A10" t="s">
        <v>1359</v>
      </c>
      <c r="B10" s="7">
        <v>45781</v>
      </c>
      <c r="C10" t="s">
        <v>436</v>
      </c>
      <c r="D10" t="s">
        <v>1271</v>
      </c>
      <c r="E10" t="s">
        <v>1298</v>
      </c>
      <c r="F10">
        <f>Table5[[#This Row],[Total_Amount]]/(G10*(1-Table5[[#This Row],[Discount]]))</f>
        <v>3.0000000000000004</v>
      </c>
      <c r="G10" s="5">
        <v>448.25</v>
      </c>
      <c r="H10">
        <v>7.0000000000000007E-2</v>
      </c>
      <c r="I10" t="s">
        <v>1351</v>
      </c>
      <c r="J10" s="5">
        <v>1250.6175000000001</v>
      </c>
    </row>
    <row r="11" spans="1:10">
      <c r="A11" t="s">
        <v>1360</v>
      </c>
      <c r="B11" s="7">
        <v>45869</v>
      </c>
      <c r="C11" t="s">
        <v>990</v>
      </c>
      <c r="D11" t="s">
        <v>1139</v>
      </c>
      <c r="E11" t="s">
        <v>1277</v>
      </c>
      <c r="F11">
        <f>Table5[[#This Row],[Total_Amount]]/(G11*(1-Table5[[#This Row],[Discount]]))</f>
        <v>2</v>
      </c>
      <c r="G11" s="5">
        <v>873.17</v>
      </c>
      <c r="H11">
        <v>0.23</v>
      </c>
      <c r="I11" t="s">
        <v>1351</v>
      </c>
      <c r="J11" s="5">
        <v>1344.6818000000001</v>
      </c>
    </row>
    <row r="12" spans="1:10">
      <c r="A12" t="s">
        <v>1361</v>
      </c>
      <c r="B12" s="7">
        <v>45335</v>
      </c>
      <c r="C12" t="s">
        <v>178</v>
      </c>
      <c r="D12" t="s">
        <v>1121</v>
      </c>
      <c r="E12" t="s">
        <v>1324</v>
      </c>
      <c r="F12">
        <f>Table5[[#This Row],[Total_Amount]]/(G12*(1-Table5[[#This Row],[Discount]]))</f>
        <v>1</v>
      </c>
      <c r="G12" s="5">
        <v>278.63</v>
      </c>
      <c r="H12">
        <v>7.0000000000000007E-2</v>
      </c>
      <c r="I12" t="s">
        <v>1349</v>
      </c>
      <c r="J12" s="5">
        <v>259.1259</v>
      </c>
    </row>
    <row r="13" spans="1:10">
      <c r="A13" t="s">
        <v>1362</v>
      </c>
      <c r="B13" s="7">
        <v>45801</v>
      </c>
      <c r="C13" t="s">
        <v>704</v>
      </c>
      <c r="D13" t="s">
        <v>1151</v>
      </c>
      <c r="E13" t="s">
        <v>1282</v>
      </c>
      <c r="F13">
        <f>Table5[[#This Row],[Total_Amount]]/(G13*(1-Table5[[#This Row],[Discount]]))</f>
        <v>4</v>
      </c>
      <c r="G13" s="5">
        <v>286.92</v>
      </c>
      <c r="H13">
        <v>0.17</v>
      </c>
      <c r="I13" t="s">
        <v>1349</v>
      </c>
      <c r="J13" s="5">
        <v>952.57439999999997</v>
      </c>
    </row>
    <row r="14" spans="1:10">
      <c r="A14" t="s">
        <v>1363</v>
      </c>
      <c r="B14" s="7">
        <v>45528</v>
      </c>
      <c r="C14" t="s">
        <v>537</v>
      </c>
      <c r="D14" t="s">
        <v>1249</v>
      </c>
      <c r="E14" t="s">
        <v>1294</v>
      </c>
      <c r="F14">
        <f>Table5[[#This Row],[Total_Amount]]/(G14*(1-Table5[[#This Row],[Discount]]))</f>
        <v>3.9999999999999991</v>
      </c>
      <c r="G14" s="5">
        <v>644.58000000000004</v>
      </c>
      <c r="H14">
        <v>0.01</v>
      </c>
      <c r="I14" t="s">
        <v>1349</v>
      </c>
      <c r="J14" s="5">
        <v>2552.5367999999999</v>
      </c>
    </row>
    <row r="15" spans="1:10">
      <c r="A15" t="s">
        <v>1364</v>
      </c>
      <c r="B15" s="7">
        <v>45875</v>
      </c>
      <c r="C15" t="s">
        <v>949</v>
      </c>
      <c r="D15" t="s">
        <v>1141</v>
      </c>
      <c r="E15" t="s">
        <v>1329</v>
      </c>
      <c r="F15">
        <f>Table5[[#This Row],[Total_Amount]]/(G15*(1-Table5[[#This Row],[Discount]]))</f>
        <v>2.0000000000000004</v>
      </c>
      <c r="G15" s="5">
        <v>316.89999999999998</v>
      </c>
      <c r="H15">
        <v>0.3</v>
      </c>
      <c r="I15" t="s">
        <v>1351</v>
      </c>
      <c r="J15" s="5">
        <v>443.66</v>
      </c>
    </row>
    <row r="16" spans="1:10">
      <c r="A16" t="s">
        <v>1365</v>
      </c>
      <c r="B16" s="7">
        <v>45829</v>
      </c>
      <c r="C16" t="s">
        <v>760</v>
      </c>
      <c r="D16" t="s">
        <v>1121</v>
      </c>
      <c r="E16" t="s">
        <v>1326</v>
      </c>
      <c r="F16">
        <f>Table5[[#This Row],[Total_Amount]]/(G16*(1-Table5[[#This Row],[Discount]]))</f>
        <v>4</v>
      </c>
      <c r="G16" s="5">
        <v>403.47</v>
      </c>
      <c r="H16">
        <v>0.28999999999999998</v>
      </c>
      <c r="I16" t="s">
        <v>1351</v>
      </c>
      <c r="J16" s="5">
        <v>1145.8548000000001</v>
      </c>
    </row>
    <row r="17" spans="1:10">
      <c r="A17" t="s">
        <v>1366</v>
      </c>
      <c r="B17" s="7">
        <v>45636</v>
      </c>
      <c r="C17" t="s">
        <v>933</v>
      </c>
      <c r="D17" t="s">
        <v>1145</v>
      </c>
      <c r="E17" t="s">
        <v>1311</v>
      </c>
      <c r="F17">
        <f>Table5[[#This Row],[Total_Amount]]/(G17*(1-Table5[[#This Row],[Discount]]))</f>
        <v>2.9999999999999996</v>
      </c>
      <c r="G17" s="5">
        <v>871.34</v>
      </c>
      <c r="H17">
        <v>0.04</v>
      </c>
      <c r="I17" t="s">
        <v>1354</v>
      </c>
      <c r="J17" s="5">
        <v>2509.4591999999998</v>
      </c>
    </row>
    <row r="18" spans="1:10">
      <c r="A18" t="s">
        <v>1367</v>
      </c>
      <c r="B18" s="7">
        <v>45913</v>
      </c>
      <c r="C18" t="s">
        <v>616</v>
      </c>
      <c r="D18" t="s">
        <v>1203</v>
      </c>
      <c r="E18" t="s">
        <v>1338</v>
      </c>
      <c r="F18">
        <f>Table5[[#This Row],[Total_Amount]]/(G18*(1-Table5[[#This Row],[Discount]]))</f>
        <v>2</v>
      </c>
      <c r="G18" s="5">
        <v>451.98</v>
      </c>
      <c r="H18">
        <v>0.25</v>
      </c>
      <c r="I18" t="s">
        <v>1349</v>
      </c>
      <c r="J18" s="5">
        <v>677.97</v>
      </c>
    </row>
    <row r="19" spans="1:10">
      <c r="A19" t="s">
        <v>1368</v>
      </c>
      <c r="B19" s="7">
        <v>45637</v>
      </c>
      <c r="C19" t="s">
        <v>211</v>
      </c>
      <c r="D19" t="s">
        <v>1127</v>
      </c>
      <c r="E19" t="s">
        <v>1294</v>
      </c>
      <c r="F19">
        <f>Table5[[#This Row],[Total_Amount]]/(G19*(1-Table5[[#This Row],[Discount]]))</f>
        <v>2</v>
      </c>
      <c r="G19" s="5">
        <v>502.69</v>
      </c>
      <c r="H19">
        <v>0.23</v>
      </c>
      <c r="I19" t="s">
        <v>1349</v>
      </c>
      <c r="J19" s="5">
        <v>774.14260000000002</v>
      </c>
    </row>
    <row r="20" spans="1:10">
      <c r="A20" t="s">
        <v>1369</v>
      </c>
      <c r="B20" s="7">
        <v>45517</v>
      </c>
      <c r="C20" t="s">
        <v>246</v>
      </c>
      <c r="D20" t="s">
        <v>1151</v>
      </c>
      <c r="E20" t="s">
        <v>1294</v>
      </c>
      <c r="F20">
        <f>Table5[[#This Row],[Total_Amount]]/(G20*(1-Table5[[#This Row],[Discount]]))</f>
        <v>2</v>
      </c>
      <c r="G20" s="5">
        <v>559.23</v>
      </c>
      <c r="H20">
        <v>0.25</v>
      </c>
      <c r="I20" t="s">
        <v>1354</v>
      </c>
      <c r="J20" s="5">
        <v>838.84500000000003</v>
      </c>
    </row>
    <row r="21" spans="1:10">
      <c r="A21" t="s">
        <v>1370</v>
      </c>
      <c r="B21" s="7">
        <v>45369</v>
      </c>
      <c r="C21" t="s">
        <v>541</v>
      </c>
      <c r="D21" t="s">
        <v>1193</v>
      </c>
      <c r="E21" t="s">
        <v>1322</v>
      </c>
      <c r="F21" t="s">
        <v>3492</v>
      </c>
      <c r="G21" s="5" t="s">
        <v>3491</v>
      </c>
      <c r="H21">
        <v>0.04</v>
      </c>
      <c r="I21" t="s">
        <v>1354</v>
      </c>
      <c r="J21" s="5">
        <v>1782.4512</v>
      </c>
    </row>
    <row r="22" spans="1:10">
      <c r="A22" t="s">
        <v>1371</v>
      </c>
      <c r="B22" s="7">
        <v>45843</v>
      </c>
      <c r="C22" t="s">
        <v>349</v>
      </c>
      <c r="D22" t="s">
        <v>1217</v>
      </c>
      <c r="E22" t="s">
        <v>1332</v>
      </c>
      <c r="F22">
        <f>Table5[[#This Row],[Total_Amount]]/(G22*(1-Table5[[#This Row],[Discount]]))</f>
        <v>3.0000000000000004</v>
      </c>
      <c r="G22" s="5">
        <v>986.04</v>
      </c>
      <c r="H22">
        <v>0.27</v>
      </c>
      <c r="I22" t="s">
        <v>1354</v>
      </c>
      <c r="J22" s="5">
        <v>2159.4276</v>
      </c>
    </row>
    <row r="23" spans="1:10">
      <c r="A23" t="s">
        <v>1372</v>
      </c>
      <c r="B23" s="7">
        <v>45447</v>
      </c>
      <c r="C23" t="s">
        <v>855</v>
      </c>
      <c r="D23" t="s">
        <v>1159</v>
      </c>
      <c r="E23" t="s">
        <v>1335</v>
      </c>
      <c r="F23">
        <f>Table5[[#This Row],[Total_Amount]]/(G23*(1-Table5[[#This Row],[Discount]]))</f>
        <v>1.0000000000000002</v>
      </c>
      <c r="G23" s="5">
        <v>589.55999999999995</v>
      </c>
      <c r="H23">
        <v>0.22</v>
      </c>
      <c r="I23" t="s">
        <v>1349</v>
      </c>
      <c r="J23" s="5">
        <v>459.85680000000002</v>
      </c>
    </row>
    <row r="24" spans="1:10">
      <c r="A24" t="s">
        <v>1373</v>
      </c>
      <c r="B24" s="7">
        <v>45394</v>
      </c>
      <c r="C24" t="s">
        <v>1014</v>
      </c>
      <c r="D24" t="s">
        <v>1211</v>
      </c>
      <c r="E24" t="s">
        <v>1314</v>
      </c>
      <c r="F24">
        <f>Table5[[#This Row],[Total_Amount]]/(G24*(1-Table5[[#This Row],[Discount]]))</f>
        <v>3.0000000000000004</v>
      </c>
      <c r="G24" s="5">
        <v>979.42</v>
      </c>
      <c r="H24">
        <v>0.03</v>
      </c>
      <c r="I24" t="s">
        <v>1351</v>
      </c>
      <c r="J24" s="5">
        <v>2850.1122</v>
      </c>
    </row>
    <row r="25" spans="1:10">
      <c r="A25" t="s">
        <v>1374</v>
      </c>
      <c r="B25" s="7">
        <v>45466</v>
      </c>
      <c r="C25" t="s">
        <v>799</v>
      </c>
      <c r="D25" t="s">
        <v>1097</v>
      </c>
      <c r="E25" t="s">
        <v>1307</v>
      </c>
      <c r="F25">
        <f>Table5[[#This Row],[Total_Amount]]/(G25*(1-Table5[[#This Row],[Discount]]))</f>
        <v>1</v>
      </c>
      <c r="G25" s="5">
        <v>719.28</v>
      </c>
      <c r="H25">
        <v>0.08</v>
      </c>
      <c r="I25" t="s">
        <v>1349</v>
      </c>
      <c r="J25" s="5">
        <v>661.73760000000004</v>
      </c>
    </row>
    <row r="26" spans="1:10">
      <c r="A26" t="s">
        <v>1375</v>
      </c>
      <c r="B26" s="7">
        <v>45908</v>
      </c>
      <c r="C26" t="s">
        <v>434</v>
      </c>
      <c r="D26" t="s">
        <v>1207</v>
      </c>
      <c r="E26" t="s">
        <v>1301</v>
      </c>
      <c r="F26">
        <f>Table5[[#This Row],[Total_Amount]]/(G26*(1-Table5[[#This Row],[Discount]]))</f>
        <v>3</v>
      </c>
      <c r="G26" s="5">
        <v>77.599999999999994</v>
      </c>
      <c r="H26">
        <v>7.0000000000000007E-2</v>
      </c>
      <c r="I26" t="s">
        <v>1349</v>
      </c>
      <c r="J26" s="5">
        <v>216.50399999999999</v>
      </c>
    </row>
    <row r="27" spans="1:10">
      <c r="A27" t="s">
        <v>1376</v>
      </c>
      <c r="B27" s="7">
        <v>45552</v>
      </c>
      <c r="C27" t="s">
        <v>825</v>
      </c>
      <c r="D27" t="s">
        <v>1080</v>
      </c>
      <c r="E27" t="s">
        <v>1291</v>
      </c>
      <c r="F27">
        <f>Table5[[#This Row],[Total_Amount]]/(G27*(1-Table5[[#This Row],[Discount]]))</f>
        <v>4</v>
      </c>
      <c r="G27" s="5">
        <v>852.71</v>
      </c>
      <c r="H27">
        <v>0.14000000000000001</v>
      </c>
      <c r="I27" t="s">
        <v>1351</v>
      </c>
      <c r="J27" s="5">
        <v>2933.3224</v>
      </c>
    </row>
    <row r="28" spans="1:10">
      <c r="A28" t="s">
        <v>1377</v>
      </c>
      <c r="B28" s="7">
        <v>45294</v>
      </c>
      <c r="C28" t="s">
        <v>488</v>
      </c>
      <c r="D28" t="s">
        <v>1269</v>
      </c>
      <c r="E28" t="s">
        <v>1307</v>
      </c>
      <c r="F28" t="s">
        <v>3492</v>
      </c>
      <c r="G28" s="5">
        <v>156.16</v>
      </c>
      <c r="H28" t="s">
        <v>3491</v>
      </c>
      <c r="I28" t="s">
        <v>1349</v>
      </c>
      <c r="J28" s="5">
        <v>599.65440000000001</v>
      </c>
    </row>
    <row r="29" spans="1:10">
      <c r="A29" t="s">
        <v>1378</v>
      </c>
      <c r="B29" s="7">
        <v>45710</v>
      </c>
      <c r="C29" t="s">
        <v>462</v>
      </c>
      <c r="D29" t="s">
        <v>1227</v>
      </c>
      <c r="E29" t="s">
        <v>1307</v>
      </c>
      <c r="F29">
        <f>Table5[[#This Row],[Total_Amount]]/(G29*(1-Table5[[#This Row],[Discount]]))</f>
        <v>3</v>
      </c>
      <c r="G29" s="5">
        <v>815.49</v>
      </c>
      <c r="H29">
        <v>0.17</v>
      </c>
      <c r="I29" t="s">
        <v>1349</v>
      </c>
      <c r="J29" s="5">
        <v>2030.5700999999999</v>
      </c>
    </row>
    <row r="30" spans="1:10">
      <c r="A30" t="s">
        <v>1379</v>
      </c>
      <c r="B30" s="7">
        <v>45923</v>
      </c>
      <c r="C30" t="s">
        <v>357</v>
      </c>
      <c r="D30" t="s">
        <v>1099</v>
      </c>
      <c r="E30" t="s">
        <v>1286</v>
      </c>
      <c r="F30">
        <f>Table5[[#This Row],[Total_Amount]]/(G30*(1-Table5[[#This Row],[Discount]]))</f>
        <v>2</v>
      </c>
      <c r="G30" s="5">
        <v>74.209999999999994</v>
      </c>
      <c r="H30">
        <v>0.11</v>
      </c>
      <c r="I30" t="s">
        <v>1351</v>
      </c>
      <c r="J30" s="5">
        <v>132.09379999999999</v>
      </c>
    </row>
    <row r="31" spans="1:10">
      <c r="A31" t="s">
        <v>1380</v>
      </c>
      <c r="B31" s="7">
        <v>45302</v>
      </c>
      <c r="C31" t="s">
        <v>760</v>
      </c>
      <c r="D31" t="s">
        <v>1271</v>
      </c>
      <c r="E31" t="s">
        <v>1291</v>
      </c>
      <c r="F31">
        <f>Table5[[#This Row],[Total_Amount]]/(G31*(1-Table5[[#This Row],[Discount]]))</f>
        <v>4</v>
      </c>
      <c r="G31" s="5">
        <v>451.67</v>
      </c>
      <c r="H31">
        <v>0.15</v>
      </c>
      <c r="I31" t="s">
        <v>1349</v>
      </c>
      <c r="J31" s="5">
        <v>1535.6780000000001</v>
      </c>
    </row>
    <row r="32" spans="1:10">
      <c r="A32" t="s">
        <v>1381</v>
      </c>
      <c r="B32" s="7">
        <v>45217</v>
      </c>
      <c r="C32" t="s">
        <v>90</v>
      </c>
      <c r="D32" t="s">
        <v>1080</v>
      </c>
      <c r="E32" t="s">
        <v>1338</v>
      </c>
      <c r="F32">
        <f>Table5[[#This Row],[Total_Amount]]/(G32*(1-Table5[[#This Row],[Discount]]))</f>
        <v>1</v>
      </c>
      <c r="G32" s="5">
        <v>429.38</v>
      </c>
      <c r="H32">
        <v>0.13</v>
      </c>
      <c r="I32" t="s">
        <v>1351</v>
      </c>
      <c r="J32" s="5">
        <v>373.56060000000002</v>
      </c>
    </row>
    <row r="33" spans="1:10">
      <c r="A33" t="s">
        <v>1382</v>
      </c>
      <c r="B33" s="7">
        <v>45593</v>
      </c>
      <c r="C33" t="s">
        <v>887</v>
      </c>
      <c r="D33" t="s">
        <v>1179</v>
      </c>
      <c r="E33" t="s">
        <v>1319</v>
      </c>
      <c r="F33">
        <f>Table5[[#This Row],[Total_Amount]]/(G33*(1-Table5[[#This Row],[Discount]]))</f>
        <v>2</v>
      </c>
      <c r="G33" s="5">
        <v>148.96</v>
      </c>
      <c r="H33">
        <v>0.03</v>
      </c>
      <c r="I33" t="s">
        <v>1354</v>
      </c>
      <c r="J33" s="5">
        <v>288.98239999999998</v>
      </c>
    </row>
    <row r="34" spans="1:10">
      <c r="A34" t="s">
        <v>1383</v>
      </c>
      <c r="B34" s="7">
        <v>45597</v>
      </c>
      <c r="C34" t="s">
        <v>859</v>
      </c>
      <c r="D34" t="s">
        <v>1223</v>
      </c>
      <c r="E34" t="s">
        <v>1307</v>
      </c>
      <c r="F34">
        <f>Table5[[#This Row],[Total_Amount]]/(G34*(1-Table5[[#This Row],[Discount]]))</f>
        <v>4</v>
      </c>
      <c r="G34" s="5">
        <v>313.83</v>
      </c>
      <c r="H34">
        <v>0.08</v>
      </c>
      <c r="I34" t="s">
        <v>1349</v>
      </c>
      <c r="J34" s="5">
        <v>1154.8943999999999</v>
      </c>
    </row>
    <row r="35" spans="1:10">
      <c r="A35" t="s">
        <v>1384</v>
      </c>
      <c r="B35" s="7">
        <v>45620</v>
      </c>
      <c r="C35" t="s">
        <v>969</v>
      </c>
      <c r="D35" t="s">
        <v>1097</v>
      </c>
      <c r="E35" t="s">
        <v>1301</v>
      </c>
      <c r="F35">
        <f>Table5[[#This Row],[Total_Amount]]/(G35*(1-Table5[[#This Row],[Discount]]))</f>
        <v>2</v>
      </c>
      <c r="G35" s="5">
        <v>717.31</v>
      </c>
      <c r="H35">
        <v>0.15</v>
      </c>
      <c r="I35" t="s">
        <v>1349</v>
      </c>
      <c r="J35" s="5">
        <v>1219.4269999999999</v>
      </c>
    </row>
    <row r="36" spans="1:10">
      <c r="A36" t="s">
        <v>1385</v>
      </c>
      <c r="B36" s="7">
        <v>45215</v>
      </c>
      <c r="C36" t="s">
        <v>752</v>
      </c>
      <c r="D36" t="s">
        <v>1231</v>
      </c>
      <c r="E36" t="s">
        <v>1282</v>
      </c>
      <c r="F36">
        <f>Table5[[#This Row],[Total_Amount]]/(G36*(1-Table5[[#This Row],[Discount]]))</f>
        <v>2.9999999999999996</v>
      </c>
      <c r="G36" s="5">
        <v>873.22</v>
      </c>
      <c r="H36">
        <v>0.18</v>
      </c>
      <c r="I36" t="s">
        <v>1349</v>
      </c>
      <c r="J36" s="5">
        <v>2148.1212</v>
      </c>
    </row>
    <row r="37" spans="1:10">
      <c r="A37" t="s">
        <v>1386</v>
      </c>
      <c r="B37" s="7">
        <v>45878</v>
      </c>
      <c r="C37" t="s">
        <v>498</v>
      </c>
      <c r="D37" t="s">
        <v>1105</v>
      </c>
      <c r="E37" t="s">
        <v>1291</v>
      </c>
      <c r="F37">
        <f>Table5[[#This Row],[Total_Amount]]/(G37*(1-Table5[[#This Row],[Discount]]))</f>
        <v>3.9999999999999996</v>
      </c>
      <c r="G37" s="5">
        <v>109.36</v>
      </c>
      <c r="H37">
        <v>0.19</v>
      </c>
      <c r="I37" t="s">
        <v>1354</v>
      </c>
      <c r="J37" s="5">
        <v>354.32639999999998</v>
      </c>
    </row>
    <row r="38" spans="1:10">
      <c r="A38" t="s">
        <v>1387</v>
      </c>
      <c r="B38" s="7">
        <v>45635</v>
      </c>
      <c r="C38" t="s">
        <v>226</v>
      </c>
      <c r="D38" t="s">
        <v>1080</v>
      </c>
      <c r="E38" t="s">
        <v>1304</v>
      </c>
      <c r="F38">
        <f>Table5[[#This Row],[Total_Amount]]/(G38*(1-Table5[[#This Row],[Discount]]))</f>
        <v>3</v>
      </c>
      <c r="G38" s="5">
        <v>559.52</v>
      </c>
      <c r="H38">
        <v>0.16</v>
      </c>
      <c r="I38" t="s">
        <v>1351</v>
      </c>
      <c r="J38" s="5">
        <v>1409.9903999999999</v>
      </c>
    </row>
    <row r="39" spans="1:10">
      <c r="A39" t="s">
        <v>1388</v>
      </c>
      <c r="B39" s="7">
        <v>45329</v>
      </c>
      <c r="C39" t="s">
        <v>1045</v>
      </c>
      <c r="D39" t="s">
        <v>1093</v>
      </c>
      <c r="E39" t="s">
        <v>1332</v>
      </c>
      <c r="F39">
        <f>Table5[[#This Row],[Total_Amount]]/(G39*(1-Table5[[#This Row],[Discount]]))</f>
        <v>3</v>
      </c>
      <c r="G39" s="5">
        <v>121.76</v>
      </c>
      <c r="H39">
        <v>0.27</v>
      </c>
      <c r="I39" t="s">
        <v>1351</v>
      </c>
      <c r="J39" s="5">
        <v>266.65440000000001</v>
      </c>
    </row>
    <row r="40" spans="1:10">
      <c r="A40" t="s">
        <v>1389</v>
      </c>
      <c r="B40" s="7">
        <v>45378</v>
      </c>
      <c r="C40" t="s">
        <v>440</v>
      </c>
      <c r="D40" t="s">
        <v>1139</v>
      </c>
      <c r="E40" t="s">
        <v>1322</v>
      </c>
      <c r="F40">
        <f>Table5[[#This Row],[Total_Amount]]/(G40*(1-Table5[[#This Row],[Discount]]))</f>
        <v>4</v>
      </c>
      <c r="G40" s="5">
        <v>735.32</v>
      </c>
      <c r="H40">
        <v>0.06</v>
      </c>
      <c r="I40" t="s">
        <v>1354</v>
      </c>
      <c r="J40" s="5">
        <v>2764.8031999999998</v>
      </c>
    </row>
    <row r="41" spans="1:10">
      <c r="A41" t="s">
        <v>1390</v>
      </c>
      <c r="B41" s="7">
        <v>45264</v>
      </c>
      <c r="C41" t="s">
        <v>925</v>
      </c>
      <c r="D41" t="s">
        <v>1261</v>
      </c>
      <c r="E41" t="s">
        <v>1291</v>
      </c>
      <c r="F41">
        <f>Table5[[#This Row],[Total_Amount]]/(G41*(1-Table5[[#This Row],[Discount]]))</f>
        <v>2</v>
      </c>
      <c r="G41" s="5">
        <v>600.73</v>
      </c>
      <c r="H41">
        <v>0.08</v>
      </c>
      <c r="I41" t="s">
        <v>1349</v>
      </c>
      <c r="J41" s="5">
        <v>1105.3432</v>
      </c>
    </row>
    <row r="42" spans="1:10">
      <c r="A42" t="s">
        <v>1391</v>
      </c>
      <c r="B42" s="7">
        <v>45486</v>
      </c>
      <c r="C42" t="s">
        <v>194</v>
      </c>
      <c r="D42" t="s">
        <v>1125</v>
      </c>
      <c r="E42" t="s">
        <v>1338</v>
      </c>
      <c r="F42">
        <f>Table5[[#This Row],[Total_Amount]]/(G42*(1-Table5[[#This Row],[Discount]]))</f>
        <v>2</v>
      </c>
      <c r="G42" s="5">
        <v>873.86</v>
      </c>
      <c r="H42">
        <v>7.0000000000000007E-2</v>
      </c>
      <c r="I42" t="s">
        <v>1354</v>
      </c>
      <c r="J42" s="5">
        <v>1625.3796</v>
      </c>
    </row>
    <row r="43" spans="1:10">
      <c r="A43" t="s">
        <v>1392</v>
      </c>
      <c r="B43" s="7">
        <v>45241</v>
      </c>
      <c r="C43" t="s">
        <v>668</v>
      </c>
      <c r="D43" t="s">
        <v>1119</v>
      </c>
      <c r="E43" t="s">
        <v>1307</v>
      </c>
      <c r="F43">
        <f>Table5[[#This Row],[Total_Amount]]/(G43*(1-Table5[[#This Row],[Discount]]))</f>
        <v>3.0000000000000004</v>
      </c>
      <c r="G43" s="5">
        <v>342.47</v>
      </c>
      <c r="H43">
        <v>0.08</v>
      </c>
      <c r="I43" t="s">
        <v>1351</v>
      </c>
      <c r="J43" s="5">
        <v>945.21720000000016</v>
      </c>
    </row>
    <row r="44" spans="1:10">
      <c r="A44" t="s">
        <v>1393</v>
      </c>
      <c r="B44" s="7">
        <v>45649</v>
      </c>
      <c r="C44" t="s">
        <v>734</v>
      </c>
      <c r="D44" t="s">
        <v>1131</v>
      </c>
      <c r="E44" t="s">
        <v>1311</v>
      </c>
      <c r="F44">
        <f>Table5[[#This Row],[Total_Amount]]/(G44*(1-Table5[[#This Row],[Discount]]))</f>
        <v>2</v>
      </c>
      <c r="G44" s="5">
        <v>915.15</v>
      </c>
      <c r="H44">
        <v>0.16</v>
      </c>
      <c r="I44" t="s">
        <v>1351</v>
      </c>
      <c r="J44" s="5">
        <v>1537.452</v>
      </c>
    </row>
    <row r="45" spans="1:10">
      <c r="A45" t="s">
        <v>1394</v>
      </c>
      <c r="B45" s="7">
        <v>45677</v>
      </c>
      <c r="C45" t="s">
        <v>222</v>
      </c>
      <c r="D45" t="s">
        <v>1139</v>
      </c>
      <c r="E45" t="s">
        <v>1332</v>
      </c>
      <c r="F45">
        <f>Table5[[#This Row],[Total_Amount]]/(G45*(1-Table5[[#This Row],[Discount]]))</f>
        <v>3</v>
      </c>
      <c r="G45" s="5">
        <v>863.11</v>
      </c>
      <c r="H45">
        <v>0.28000000000000003</v>
      </c>
      <c r="I45" t="s">
        <v>1351</v>
      </c>
      <c r="J45" s="5">
        <v>1864.3176000000001</v>
      </c>
    </row>
    <row r="46" spans="1:10">
      <c r="A46" t="s">
        <v>1395</v>
      </c>
      <c r="B46" s="7">
        <v>45538</v>
      </c>
      <c r="C46" t="s">
        <v>468</v>
      </c>
      <c r="D46" t="s">
        <v>1159</v>
      </c>
      <c r="E46" t="s">
        <v>1319</v>
      </c>
      <c r="F46">
        <f>Table5[[#This Row],[Total_Amount]]/(G46*(1-Table5[[#This Row],[Discount]]))</f>
        <v>2</v>
      </c>
      <c r="G46" s="5">
        <v>209.32</v>
      </c>
      <c r="H46">
        <v>0.23</v>
      </c>
      <c r="I46" t="s">
        <v>1354</v>
      </c>
      <c r="J46" s="5">
        <v>322.3528</v>
      </c>
    </row>
    <row r="47" spans="1:10">
      <c r="A47" t="s">
        <v>1396</v>
      </c>
      <c r="B47" s="7">
        <v>45606</v>
      </c>
      <c r="C47" t="s">
        <v>1002</v>
      </c>
      <c r="D47" t="s">
        <v>1191</v>
      </c>
      <c r="E47" t="s">
        <v>1307</v>
      </c>
      <c r="F47">
        <f>Table5[[#This Row],[Total_Amount]]/(G47*(1-Table5[[#This Row],[Discount]]))</f>
        <v>3.9999999999999991</v>
      </c>
      <c r="G47" s="5">
        <v>288.60000000000002</v>
      </c>
      <c r="H47">
        <v>0.09</v>
      </c>
      <c r="I47" t="s">
        <v>1351</v>
      </c>
      <c r="J47" s="5">
        <v>1050.5039999999999</v>
      </c>
    </row>
    <row r="48" spans="1:10">
      <c r="A48" t="s">
        <v>1397</v>
      </c>
      <c r="B48" s="7">
        <v>45570</v>
      </c>
      <c r="C48" t="s">
        <v>190</v>
      </c>
      <c r="D48" t="s">
        <v>1229</v>
      </c>
      <c r="E48" t="s">
        <v>1329</v>
      </c>
      <c r="F48">
        <f>Table5[[#This Row],[Total_Amount]]/(G48*(1-Table5[[#This Row],[Discount]]))</f>
        <v>1</v>
      </c>
      <c r="G48" s="5">
        <v>418.69</v>
      </c>
      <c r="H48">
        <v>0.06</v>
      </c>
      <c r="I48" t="s">
        <v>1351</v>
      </c>
      <c r="J48" s="5">
        <v>393.5686</v>
      </c>
    </row>
    <row r="49" spans="1:10">
      <c r="A49" t="s">
        <v>1398</v>
      </c>
      <c r="B49" s="7">
        <v>45466</v>
      </c>
      <c r="C49" t="s">
        <v>36</v>
      </c>
      <c r="D49" t="s">
        <v>1133</v>
      </c>
      <c r="E49" t="s">
        <v>1317</v>
      </c>
      <c r="F49">
        <f>Table5[[#This Row],[Total_Amount]]/(G49*(1-Table5[[#This Row],[Discount]]))</f>
        <v>1</v>
      </c>
      <c r="G49" s="5">
        <v>135.78</v>
      </c>
      <c r="H49">
        <v>0.14000000000000001</v>
      </c>
      <c r="I49" t="s">
        <v>1351</v>
      </c>
      <c r="J49" s="5">
        <v>116.77079999999999</v>
      </c>
    </row>
    <row r="50" spans="1:10">
      <c r="A50" t="s">
        <v>1399</v>
      </c>
      <c r="B50" s="7">
        <v>45218</v>
      </c>
      <c r="C50" t="s">
        <v>468</v>
      </c>
      <c r="D50" t="s">
        <v>1161</v>
      </c>
      <c r="E50" t="s">
        <v>1332</v>
      </c>
      <c r="F50">
        <f>Table5[[#This Row],[Total_Amount]]/(G50*(1-Table5[[#This Row],[Discount]]))</f>
        <v>1</v>
      </c>
      <c r="G50" s="5">
        <v>517.13</v>
      </c>
      <c r="H50">
        <v>0.28000000000000003</v>
      </c>
      <c r="I50" t="s">
        <v>1349</v>
      </c>
      <c r="J50" s="5">
        <v>372.33359999999999</v>
      </c>
    </row>
    <row r="51" spans="1:10">
      <c r="A51" t="s">
        <v>1400</v>
      </c>
      <c r="B51" s="7">
        <v>45607</v>
      </c>
      <c r="C51" t="s">
        <v>903</v>
      </c>
      <c r="D51" t="s">
        <v>1115</v>
      </c>
      <c r="E51" t="s">
        <v>1329</v>
      </c>
      <c r="F51">
        <f>Table5[[#This Row],[Total_Amount]]/(G51*(1-Table5[[#This Row],[Discount]]))</f>
        <v>2</v>
      </c>
      <c r="G51" s="5">
        <v>384.66</v>
      </c>
      <c r="H51">
        <v>0.08</v>
      </c>
      <c r="I51" t="s">
        <v>1354</v>
      </c>
      <c r="J51" s="5">
        <v>707.77440000000013</v>
      </c>
    </row>
    <row r="52" spans="1:10">
      <c r="A52" t="s">
        <v>1401</v>
      </c>
      <c r="B52" s="7">
        <v>45291</v>
      </c>
      <c r="C52" t="s">
        <v>190</v>
      </c>
      <c r="D52" t="s">
        <v>1177</v>
      </c>
      <c r="E52" t="s">
        <v>1311</v>
      </c>
      <c r="F52">
        <f>Table5[[#This Row],[Total_Amount]]/(G52*(1-Table5[[#This Row],[Discount]]))</f>
        <v>3</v>
      </c>
      <c r="G52" s="5">
        <v>83.7</v>
      </c>
      <c r="H52">
        <v>0.24</v>
      </c>
      <c r="I52" t="s">
        <v>1351</v>
      </c>
      <c r="J52" s="5">
        <v>190.83600000000001</v>
      </c>
    </row>
    <row r="53" spans="1:10">
      <c r="A53" t="s">
        <v>1402</v>
      </c>
      <c r="B53" s="7">
        <v>45689</v>
      </c>
      <c r="C53" t="s">
        <v>345</v>
      </c>
      <c r="D53" t="s">
        <v>1211</v>
      </c>
      <c r="E53" t="s">
        <v>1304</v>
      </c>
      <c r="F53">
        <f>Table5[[#This Row],[Total_Amount]]/(G53*(1-Table5[[#This Row],[Discount]]))</f>
        <v>3.0000000000000004</v>
      </c>
      <c r="G53" s="5">
        <v>76.569999999999993</v>
      </c>
      <c r="H53">
        <v>0.26</v>
      </c>
      <c r="I53" t="s">
        <v>1349</v>
      </c>
      <c r="J53" s="5">
        <v>169.9854</v>
      </c>
    </row>
    <row r="54" spans="1:10">
      <c r="A54" t="s">
        <v>1403</v>
      </c>
      <c r="B54" s="7">
        <v>45894</v>
      </c>
      <c r="C54" t="s">
        <v>357</v>
      </c>
      <c r="D54" t="s">
        <v>1251</v>
      </c>
      <c r="E54" t="s">
        <v>1301</v>
      </c>
      <c r="F54" t="s">
        <v>3492</v>
      </c>
      <c r="G54" s="5" t="s">
        <v>3491</v>
      </c>
      <c r="H54" t="s">
        <v>3491</v>
      </c>
      <c r="I54" t="s">
        <v>1349</v>
      </c>
      <c r="J54" s="5">
        <v>486.06330000000003</v>
      </c>
    </row>
    <row r="55" spans="1:10">
      <c r="A55" t="s">
        <v>1404</v>
      </c>
      <c r="B55" s="7">
        <v>45677</v>
      </c>
      <c r="C55" t="s">
        <v>712</v>
      </c>
      <c r="D55" t="s">
        <v>1113</v>
      </c>
      <c r="E55" t="s">
        <v>1307</v>
      </c>
      <c r="F55">
        <f>Table5[[#This Row],[Total_Amount]]/(G55*(1-Table5[[#This Row],[Discount]]))</f>
        <v>1</v>
      </c>
      <c r="G55" s="5">
        <v>900.35</v>
      </c>
      <c r="H55">
        <v>0.13</v>
      </c>
      <c r="I55" t="s">
        <v>1354</v>
      </c>
      <c r="J55" s="5">
        <v>783.30449999999996</v>
      </c>
    </row>
    <row r="56" spans="1:10">
      <c r="A56" t="s">
        <v>1405</v>
      </c>
      <c r="B56" s="7">
        <v>45706</v>
      </c>
      <c r="C56" t="s">
        <v>248</v>
      </c>
      <c r="D56" t="s">
        <v>1153</v>
      </c>
      <c r="E56" t="s">
        <v>1314</v>
      </c>
      <c r="F56">
        <f>Table5[[#This Row],[Total_Amount]]/(G56*(1-Table5[[#This Row],[Discount]]))</f>
        <v>4.0000000000000009</v>
      </c>
      <c r="G56" s="5">
        <v>428.09</v>
      </c>
      <c r="H56">
        <v>7.0000000000000007E-2</v>
      </c>
      <c r="I56" t="s">
        <v>1349</v>
      </c>
      <c r="J56" s="5">
        <v>1592.4947999999999</v>
      </c>
    </row>
    <row r="57" spans="1:10">
      <c r="A57" t="s">
        <v>1406</v>
      </c>
      <c r="B57" s="7">
        <v>45589</v>
      </c>
      <c r="C57" t="s">
        <v>895</v>
      </c>
      <c r="D57" t="s">
        <v>1171</v>
      </c>
      <c r="E57" t="s">
        <v>1317</v>
      </c>
      <c r="F57">
        <f>Table5[[#This Row],[Total_Amount]]/(G57*(1-Table5[[#This Row],[Discount]]))</f>
        <v>2</v>
      </c>
      <c r="G57" s="5">
        <v>559.71</v>
      </c>
      <c r="H57">
        <v>0.3</v>
      </c>
      <c r="I57" t="s">
        <v>1354</v>
      </c>
      <c r="J57" s="5">
        <v>783.59400000000005</v>
      </c>
    </row>
    <row r="58" spans="1:10">
      <c r="A58" t="s">
        <v>1407</v>
      </c>
      <c r="B58" s="7">
        <v>45282</v>
      </c>
      <c r="C58" t="s">
        <v>214</v>
      </c>
      <c r="D58" t="s">
        <v>1141</v>
      </c>
      <c r="E58" t="s">
        <v>1301</v>
      </c>
      <c r="F58">
        <f>Table5[[#This Row],[Total_Amount]]/(G58*(1-Table5[[#This Row],[Discount]]))</f>
        <v>2</v>
      </c>
      <c r="G58" s="5">
        <v>833.7</v>
      </c>
      <c r="H58">
        <v>0.06</v>
      </c>
      <c r="I58" t="s">
        <v>1351</v>
      </c>
      <c r="J58" s="5">
        <v>1567.356</v>
      </c>
    </row>
    <row r="59" spans="1:10">
      <c r="A59" t="s">
        <v>1408</v>
      </c>
      <c r="B59" s="7">
        <v>45462</v>
      </c>
      <c r="C59" t="s">
        <v>996</v>
      </c>
      <c r="D59" t="s">
        <v>1167</v>
      </c>
      <c r="E59" t="s">
        <v>1324</v>
      </c>
      <c r="F59">
        <f>Table5[[#This Row],[Total_Amount]]/(G59*(1-Table5[[#This Row],[Discount]]))</f>
        <v>2</v>
      </c>
      <c r="G59" s="5">
        <v>680.16</v>
      </c>
      <c r="H59">
        <v>0.28000000000000003</v>
      </c>
      <c r="I59" t="s">
        <v>1349</v>
      </c>
      <c r="J59" s="5">
        <v>979.43039999999996</v>
      </c>
    </row>
    <row r="60" spans="1:10">
      <c r="A60" t="s">
        <v>1409</v>
      </c>
      <c r="B60" s="7">
        <v>45633</v>
      </c>
      <c r="C60" t="s">
        <v>871</v>
      </c>
      <c r="D60" t="s">
        <v>1103</v>
      </c>
      <c r="E60" t="s">
        <v>1304</v>
      </c>
      <c r="F60" t="s">
        <v>3492</v>
      </c>
      <c r="G60" s="5">
        <v>733.42</v>
      </c>
      <c r="H60" t="s">
        <v>3491</v>
      </c>
      <c r="I60" t="s">
        <v>1351</v>
      </c>
      <c r="J60" s="5">
        <v>2552.3015999999998</v>
      </c>
    </row>
    <row r="61" spans="1:10">
      <c r="A61" t="s">
        <v>1410</v>
      </c>
      <c r="B61" s="7">
        <v>45257</v>
      </c>
      <c r="C61" t="s">
        <v>797</v>
      </c>
      <c r="D61" t="s">
        <v>1251</v>
      </c>
      <c r="E61" t="s">
        <v>1317</v>
      </c>
      <c r="F61">
        <f>Table5[[#This Row],[Total_Amount]]/(G61*(1-Table5[[#This Row],[Discount]]))</f>
        <v>1</v>
      </c>
      <c r="G61" s="5">
        <v>996.33</v>
      </c>
      <c r="H61">
        <v>0.23</v>
      </c>
      <c r="I61" t="s">
        <v>1351</v>
      </c>
      <c r="J61" s="5">
        <v>767.17410000000007</v>
      </c>
    </row>
    <row r="62" spans="1:10">
      <c r="A62" t="s">
        <v>1411</v>
      </c>
      <c r="B62" s="7">
        <v>45854</v>
      </c>
      <c r="C62" t="s">
        <v>879</v>
      </c>
      <c r="D62" t="s">
        <v>1135</v>
      </c>
      <c r="E62" t="s">
        <v>1314</v>
      </c>
      <c r="F62">
        <f>Table5[[#This Row],[Total_Amount]]/(G62*(1-Table5[[#This Row],[Discount]]))</f>
        <v>1</v>
      </c>
      <c r="G62" s="5">
        <v>198.83</v>
      </c>
      <c r="H62">
        <v>0.09</v>
      </c>
      <c r="I62" t="s">
        <v>1354</v>
      </c>
      <c r="J62" s="5">
        <v>180.93530000000001</v>
      </c>
    </row>
    <row r="63" spans="1:10">
      <c r="A63" t="s">
        <v>1412</v>
      </c>
      <c r="B63" s="7">
        <v>45716</v>
      </c>
      <c r="C63" t="s">
        <v>541</v>
      </c>
      <c r="D63" t="s">
        <v>1111</v>
      </c>
      <c r="E63" t="s">
        <v>1304</v>
      </c>
      <c r="F63">
        <f>Table5[[#This Row],[Total_Amount]]/(G63*(1-Table5[[#This Row],[Discount]]))</f>
        <v>0.99999999999999978</v>
      </c>
      <c r="G63" s="5">
        <v>374.92</v>
      </c>
      <c r="H63">
        <v>0.18</v>
      </c>
      <c r="I63" t="s">
        <v>1351</v>
      </c>
      <c r="J63" s="5">
        <v>307.43439999999998</v>
      </c>
    </row>
    <row r="64" spans="1:10">
      <c r="A64" t="s">
        <v>1413</v>
      </c>
      <c r="B64" s="7">
        <v>45515</v>
      </c>
      <c r="C64" t="s">
        <v>990</v>
      </c>
      <c r="D64" t="s">
        <v>1259</v>
      </c>
      <c r="E64" t="s">
        <v>1329</v>
      </c>
      <c r="F64">
        <f>Table5[[#This Row],[Total_Amount]]/(G64*(1-Table5[[#This Row],[Discount]]))</f>
        <v>1</v>
      </c>
      <c r="G64" s="5">
        <v>468.94</v>
      </c>
      <c r="H64">
        <v>0.12</v>
      </c>
      <c r="I64" t="s">
        <v>1349</v>
      </c>
      <c r="J64" s="5">
        <v>412.66719999999998</v>
      </c>
    </row>
    <row r="65" spans="1:10">
      <c r="A65" t="s">
        <v>1414</v>
      </c>
      <c r="B65" s="7">
        <v>45927</v>
      </c>
      <c r="C65" t="s">
        <v>313</v>
      </c>
      <c r="D65" t="s">
        <v>1251</v>
      </c>
      <c r="E65" t="s">
        <v>1319</v>
      </c>
      <c r="F65">
        <f>Table5[[#This Row],[Total_Amount]]/(G65*(1-Table5[[#This Row],[Discount]]))</f>
        <v>2</v>
      </c>
      <c r="G65" s="5">
        <v>121.37</v>
      </c>
      <c r="H65">
        <v>0.05</v>
      </c>
      <c r="I65" t="s">
        <v>1349</v>
      </c>
      <c r="J65" s="5">
        <v>230.60300000000001</v>
      </c>
    </row>
    <row r="66" spans="1:10">
      <c r="A66" t="s">
        <v>1415</v>
      </c>
      <c r="B66" s="7">
        <v>45914</v>
      </c>
      <c r="C66" t="s">
        <v>573</v>
      </c>
      <c r="D66" t="s">
        <v>1179</v>
      </c>
      <c r="E66" t="s">
        <v>1314</v>
      </c>
      <c r="F66">
        <f>Table5[[#This Row],[Total_Amount]]/(G66*(1-Table5[[#This Row],[Discount]]))</f>
        <v>0</v>
      </c>
      <c r="G66" s="5">
        <v>480.06</v>
      </c>
      <c r="H66">
        <v>0.01</v>
      </c>
      <c r="I66" t="s">
        <v>1349</v>
      </c>
      <c r="J66" s="5"/>
    </row>
    <row r="67" spans="1:10">
      <c r="A67" t="s">
        <v>1416</v>
      </c>
      <c r="B67" s="7">
        <v>45290</v>
      </c>
      <c r="C67" t="s">
        <v>385</v>
      </c>
      <c r="D67" t="s">
        <v>1271</v>
      </c>
      <c r="E67" t="s">
        <v>1332</v>
      </c>
      <c r="F67">
        <f>Table5[[#This Row],[Total_Amount]]/(G67*(1-Table5[[#This Row],[Discount]]))</f>
        <v>2</v>
      </c>
      <c r="G67" s="5">
        <v>856.57</v>
      </c>
      <c r="H67">
        <v>0.24</v>
      </c>
      <c r="I67" t="s">
        <v>1349</v>
      </c>
      <c r="J67" s="5">
        <v>1301.9864</v>
      </c>
    </row>
    <row r="68" spans="1:10">
      <c r="A68" t="s">
        <v>1417</v>
      </c>
      <c r="B68" s="7">
        <v>45213</v>
      </c>
      <c r="C68" t="s">
        <v>602</v>
      </c>
      <c r="D68" t="s">
        <v>1227</v>
      </c>
      <c r="E68" t="s">
        <v>1286</v>
      </c>
      <c r="F68">
        <f>Table5[[#This Row],[Total_Amount]]/(G68*(1-Table5[[#This Row],[Discount]]))</f>
        <v>3.9999999999999991</v>
      </c>
      <c r="G68" s="5">
        <v>814.25</v>
      </c>
      <c r="H68">
        <v>0.18</v>
      </c>
      <c r="I68" t="s">
        <v>1349</v>
      </c>
      <c r="J68" s="5">
        <v>2670.74</v>
      </c>
    </row>
    <row r="69" spans="1:10">
      <c r="A69" t="s">
        <v>1418</v>
      </c>
      <c r="B69" s="7">
        <v>45255</v>
      </c>
      <c r="C69" t="s">
        <v>1028</v>
      </c>
      <c r="D69" t="s">
        <v>1097</v>
      </c>
      <c r="E69" t="s">
        <v>1286</v>
      </c>
      <c r="F69">
        <f>Table5[[#This Row],[Total_Amount]]/(G69*(1-Table5[[#This Row],[Discount]]))</f>
        <v>1</v>
      </c>
      <c r="G69" s="5">
        <v>989.17</v>
      </c>
      <c r="H69">
        <v>0.2</v>
      </c>
      <c r="I69" t="s">
        <v>1351</v>
      </c>
      <c r="J69" s="5">
        <v>791.33600000000001</v>
      </c>
    </row>
    <row r="70" spans="1:10">
      <c r="A70" t="s">
        <v>1419</v>
      </c>
      <c r="B70" s="7">
        <v>45270</v>
      </c>
      <c r="C70" t="s">
        <v>807</v>
      </c>
      <c r="D70" t="s">
        <v>1217</v>
      </c>
      <c r="E70" t="s">
        <v>1314</v>
      </c>
      <c r="F70">
        <f>Table5[[#This Row],[Total_Amount]]/(G70*(1-Table5[[#This Row],[Discount]]))</f>
        <v>4</v>
      </c>
      <c r="G70" s="5">
        <v>62.48</v>
      </c>
      <c r="H70">
        <v>0.18</v>
      </c>
      <c r="I70" t="s">
        <v>1349</v>
      </c>
      <c r="J70" s="5">
        <v>204.93440000000001</v>
      </c>
    </row>
    <row r="71" spans="1:10">
      <c r="A71" t="s">
        <v>1420</v>
      </c>
      <c r="B71" s="7">
        <v>45897</v>
      </c>
      <c r="C71" t="s">
        <v>909</v>
      </c>
      <c r="D71" t="s">
        <v>1099</v>
      </c>
      <c r="E71" t="s">
        <v>1329</v>
      </c>
      <c r="F71">
        <f>Table5[[#This Row],[Total_Amount]]/(G71*(1-Table5[[#This Row],[Discount]]))</f>
        <v>4</v>
      </c>
      <c r="G71" s="5">
        <v>561.24</v>
      </c>
      <c r="H71">
        <v>0.24</v>
      </c>
      <c r="I71" t="s">
        <v>1349</v>
      </c>
      <c r="J71" s="5">
        <v>1706.1695999999999</v>
      </c>
    </row>
    <row r="72" spans="1:10">
      <c r="A72" t="s">
        <v>1421</v>
      </c>
      <c r="B72" s="7">
        <v>45849</v>
      </c>
      <c r="C72" t="s">
        <v>162</v>
      </c>
      <c r="D72" t="s">
        <v>1193</v>
      </c>
      <c r="E72" t="s">
        <v>1298</v>
      </c>
      <c r="F72">
        <f>Table5[[#This Row],[Total_Amount]]/(G72*(1-Table5[[#This Row],[Discount]]))</f>
        <v>0</v>
      </c>
      <c r="G72" s="5">
        <v>92.24</v>
      </c>
      <c r="H72">
        <v>0.28000000000000003</v>
      </c>
      <c r="I72" t="s">
        <v>1354</v>
      </c>
      <c r="J72" s="5"/>
    </row>
    <row r="73" spans="1:10">
      <c r="A73" t="s">
        <v>1422</v>
      </c>
      <c r="B73" s="7">
        <v>45889</v>
      </c>
      <c r="C73" t="s">
        <v>397</v>
      </c>
      <c r="D73" t="s">
        <v>1217</v>
      </c>
      <c r="E73" t="s">
        <v>1282</v>
      </c>
      <c r="F73">
        <f>Table5[[#This Row],[Total_Amount]]/(G73*(1-Table5[[#This Row],[Discount]]))</f>
        <v>2.0000000000000004</v>
      </c>
      <c r="G73" s="5">
        <v>668.3</v>
      </c>
      <c r="H73">
        <v>7.0000000000000007E-2</v>
      </c>
      <c r="I73" t="s">
        <v>1349</v>
      </c>
      <c r="J73" s="5">
        <v>1243.038</v>
      </c>
    </row>
    <row r="74" spans="1:10">
      <c r="A74" t="s">
        <v>1423</v>
      </c>
      <c r="B74" s="7">
        <v>45533</v>
      </c>
      <c r="C74" t="s">
        <v>881</v>
      </c>
      <c r="D74" t="s">
        <v>1149</v>
      </c>
      <c r="E74" t="s">
        <v>1298</v>
      </c>
      <c r="F74">
        <f>Table5[[#This Row],[Total_Amount]]/(G74*(1-Table5[[#This Row],[Discount]]))</f>
        <v>1.0000000000000002</v>
      </c>
      <c r="G74" s="5">
        <v>553.82000000000005</v>
      </c>
      <c r="H74">
        <v>0.09</v>
      </c>
      <c r="I74" t="s">
        <v>1349</v>
      </c>
      <c r="J74" s="5">
        <v>503.97620000000012</v>
      </c>
    </row>
    <row r="75" spans="1:10">
      <c r="A75" t="s">
        <v>1424</v>
      </c>
      <c r="B75" s="7">
        <v>45626</v>
      </c>
      <c r="C75" t="s">
        <v>111</v>
      </c>
      <c r="D75" t="s">
        <v>1163</v>
      </c>
      <c r="E75" t="s">
        <v>1317</v>
      </c>
      <c r="F75">
        <f>Table5[[#This Row],[Total_Amount]]/(G75*(1-Table5[[#This Row],[Discount]]))</f>
        <v>2</v>
      </c>
      <c r="G75" s="5">
        <v>556.42999999999995</v>
      </c>
      <c r="H75">
        <v>0.13</v>
      </c>
      <c r="I75" t="s">
        <v>1349</v>
      </c>
      <c r="J75" s="5">
        <v>968.18819999999994</v>
      </c>
    </row>
    <row r="76" spans="1:10">
      <c r="A76" t="s">
        <v>1425</v>
      </c>
      <c r="B76" s="7">
        <v>45942</v>
      </c>
      <c r="C76" t="s">
        <v>610</v>
      </c>
      <c r="D76" t="s">
        <v>1113</v>
      </c>
      <c r="E76" t="s">
        <v>1307</v>
      </c>
      <c r="F76">
        <f>Table5[[#This Row],[Total_Amount]]/(G76*(1-Table5[[#This Row],[Discount]]))</f>
        <v>1</v>
      </c>
      <c r="G76" s="5">
        <v>184.98</v>
      </c>
      <c r="H76">
        <v>0.1</v>
      </c>
      <c r="I76" t="s">
        <v>1354</v>
      </c>
      <c r="J76" s="5">
        <v>166.482</v>
      </c>
    </row>
    <row r="77" spans="1:10">
      <c r="A77" t="s">
        <v>1426</v>
      </c>
      <c r="B77" s="7">
        <v>45500</v>
      </c>
      <c r="C77" t="s">
        <v>107</v>
      </c>
      <c r="D77" t="s">
        <v>1267</v>
      </c>
      <c r="E77" t="s">
        <v>1319</v>
      </c>
      <c r="F77">
        <f>Table5[[#This Row],[Total_Amount]]/(G77*(1-Table5[[#This Row],[Discount]]))</f>
        <v>4</v>
      </c>
      <c r="G77" s="5">
        <v>700.18</v>
      </c>
      <c r="H77">
        <v>0.23</v>
      </c>
      <c r="I77" t="s">
        <v>1349</v>
      </c>
      <c r="J77" s="5">
        <v>2156.5544</v>
      </c>
    </row>
    <row r="78" spans="1:10">
      <c r="A78" t="s">
        <v>1427</v>
      </c>
      <c r="B78" s="7">
        <v>45285</v>
      </c>
      <c r="C78" t="s">
        <v>66</v>
      </c>
      <c r="D78" t="s">
        <v>1225</v>
      </c>
      <c r="E78" t="s">
        <v>1314</v>
      </c>
      <c r="F78">
        <f>Table5[[#This Row],[Total_Amount]]/(G78*(1-Table5[[#This Row],[Discount]]))</f>
        <v>2</v>
      </c>
      <c r="G78" s="5">
        <v>686.31</v>
      </c>
      <c r="H78">
        <v>0.25</v>
      </c>
      <c r="I78" t="s">
        <v>1349</v>
      </c>
      <c r="J78" s="5">
        <v>1029.4649999999999</v>
      </c>
    </row>
    <row r="79" spans="1:10">
      <c r="A79" t="s">
        <v>1428</v>
      </c>
      <c r="B79" s="7">
        <v>45800</v>
      </c>
      <c r="C79" t="s">
        <v>33</v>
      </c>
      <c r="D79" t="s">
        <v>1207</v>
      </c>
      <c r="E79" t="s">
        <v>1326</v>
      </c>
      <c r="F79">
        <f>Table5[[#This Row],[Total_Amount]]/(G79*(1-Table5[[#This Row],[Discount]]))</f>
        <v>1</v>
      </c>
      <c r="G79" s="5">
        <v>687.82</v>
      </c>
      <c r="H79">
        <v>0.27</v>
      </c>
      <c r="I79" t="s">
        <v>1354</v>
      </c>
      <c r="J79" s="5">
        <v>502.10860000000002</v>
      </c>
    </row>
    <row r="80" spans="1:10">
      <c r="A80" t="s">
        <v>1429</v>
      </c>
      <c r="B80" s="7">
        <v>45609</v>
      </c>
      <c r="C80" t="s">
        <v>505</v>
      </c>
      <c r="D80" t="s">
        <v>1239</v>
      </c>
      <c r="E80" t="s">
        <v>1307</v>
      </c>
      <c r="F80">
        <f>Table5[[#This Row],[Total_Amount]]/(G80*(1-Table5[[#This Row],[Discount]]))</f>
        <v>2</v>
      </c>
      <c r="G80" s="5">
        <v>900.55</v>
      </c>
      <c r="H80">
        <v>0.16</v>
      </c>
      <c r="I80" t="s">
        <v>1349</v>
      </c>
      <c r="J80" s="5">
        <v>1512.924</v>
      </c>
    </row>
    <row r="81" spans="1:10">
      <c r="A81" t="s">
        <v>1430</v>
      </c>
      <c r="B81" s="7">
        <v>45268</v>
      </c>
      <c r="C81" t="s">
        <v>290</v>
      </c>
      <c r="D81" t="s">
        <v>1115</v>
      </c>
      <c r="E81" t="s">
        <v>1286</v>
      </c>
      <c r="F81">
        <f>Table5[[#This Row],[Total_Amount]]/(G81*(1-Table5[[#This Row],[Discount]]))</f>
        <v>1</v>
      </c>
      <c r="G81" s="5">
        <v>341.17</v>
      </c>
      <c r="H81">
        <v>0.15</v>
      </c>
      <c r="I81" t="s">
        <v>1349</v>
      </c>
      <c r="J81" s="5">
        <v>289.99450000000002</v>
      </c>
    </row>
    <row r="82" spans="1:10">
      <c r="A82" t="s">
        <v>1431</v>
      </c>
      <c r="B82" s="7">
        <v>45885</v>
      </c>
      <c r="C82" t="s">
        <v>413</v>
      </c>
      <c r="D82" t="s">
        <v>1177</v>
      </c>
      <c r="E82" t="s">
        <v>1307</v>
      </c>
      <c r="F82">
        <f>Table5[[#This Row],[Total_Amount]]/(G82*(1-Table5[[#This Row],[Discount]]))</f>
        <v>1</v>
      </c>
      <c r="G82" s="5">
        <v>442.27</v>
      </c>
      <c r="H82">
        <v>0.06</v>
      </c>
      <c r="I82" t="s">
        <v>1354</v>
      </c>
      <c r="J82" s="5">
        <v>415.73379999999997</v>
      </c>
    </row>
    <row r="83" spans="1:10">
      <c r="A83" t="s">
        <v>1432</v>
      </c>
      <c r="B83" s="7">
        <v>45616</v>
      </c>
      <c r="C83" t="s">
        <v>569</v>
      </c>
      <c r="D83" t="s">
        <v>1215</v>
      </c>
      <c r="E83" t="s">
        <v>1311</v>
      </c>
      <c r="F83">
        <f>Table5[[#This Row],[Total_Amount]]/(G83*(1-Table5[[#This Row],[Discount]]))</f>
        <v>1</v>
      </c>
      <c r="G83" s="5">
        <v>363.73</v>
      </c>
      <c r="H83">
        <v>0.25</v>
      </c>
      <c r="I83" t="s">
        <v>1351</v>
      </c>
      <c r="J83" s="5">
        <v>272.79750000000001</v>
      </c>
    </row>
    <row r="84" spans="1:10">
      <c r="A84" t="s">
        <v>1433</v>
      </c>
      <c r="B84" s="7">
        <v>45518</v>
      </c>
      <c r="C84" t="s">
        <v>819</v>
      </c>
      <c r="D84" t="s">
        <v>1255</v>
      </c>
      <c r="E84" t="s">
        <v>1332</v>
      </c>
      <c r="F84">
        <f>Table5[[#This Row],[Total_Amount]]/(G84*(1-Table5[[#This Row],[Discount]]))</f>
        <v>2</v>
      </c>
      <c r="G84" s="5">
        <v>601.33000000000004</v>
      </c>
      <c r="H84">
        <v>0.16</v>
      </c>
      <c r="I84" t="s">
        <v>1351</v>
      </c>
      <c r="J84" s="5">
        <v>1010.2344000000001</v>
      </c>
    </row>
    <row r="85" spans="1:10">
      <c r="A85" t="s">
        <v>1434</v>
      </c>
      <c r="B85" s="7">
        <v>45427</v>
      </c>
      <c r="C85" t="s">
        <v>869</v>
      </c>
      <c r="D85" t="s">
        <v>1107</v>
      </c>
      <c r="E85" t="s">
        <v>1335</v>
      </c>
      <c r="F85">
        <f>Table5[[#This Row],[Total_Amount]]/(G85*(1-Table5[[#This Row],[Discount]]))</f>
        <v>4</v>
      </c>
      <c r="G85" s="5">
        <v>34.39</v>
      </c>
      <c r="H85">
        <v>0.03</v>
      </c>
      <c r="I85" t="s">
        <v>1351</v>
      </c>
      <c r="J85" s="5">
        <v>133.4332</v>
      </c>
    </row>
    <row r="86" spans="1:10">
      <c r="A86" t="s">
        <v>1435</v>
      </c>
      <c r="B86" s="7">
        <v>45268</v>
      </c>
      <c r="C86" t="s">
        <v>909</v>
      </c>
      <c r="D86" t="s">
        <v>1165</v>
      </c>
      <c r="E86" t="s">
        <v>1332</v>
      </c>
      <c r="F86">
        <f>Table5[[#This Row],[Total_Amount]]/(G86*(1-Table5[[#This Row],[Discount]]))</f>
        <v>0</v>
      </c>
      <c r="G86" s="5">
        <v>773.57</v>
      </c>
      <c r="H86">
        <v>0.05</v>
      </c>
      <c r="I86" t="s">
        <v>1354</v>
      </c>
      <c r="J86" s="5"/>
    </row>
    <row r="87" spans="1:10">
      <c r="A87" t="s">
        <v>1436</v>
      </c>
      <c r="B87" s="7">
        <v>45282</v>
      </c>
      <c r="C87" t="s">
        <v>152</v>
      </c>
      <c r="D87" t="s">
        <v>1249</v>
      </c>
      <c r="E87" t="s">
        <v>1304</v>
      </c>
      <c r="F87">
        <f>Table5[[#This Row],[Total_Amount]]/(G87*(1-Table5[[#This Row],[Discount]]))</f>
        <v>4</v>
      </c>
      <c r="G87" s="5">
        <v>127.1</v>
      </c>
      <c r="H87">
        <v>0.24</v>
      </c>
      <c r="I87" t="s">
        <v>1354</v>
      </c>
      <c r="J87" s="5">
        <v>386.38400000000001</v>
      </c>
    </row>
    <row r="88" spans="1:10">
      <c r="A88" t="s">
        <v>1437</v>
      </c>
      <c r="B88" s="7">
        <v>45545</v>
      </c>
      <c r="C88" t="s">
        <v>670</v>
      </c>
      <c r="D88" t="s">
        <v>1113</v>
      </c>
      <c r="E88" t="s">
        <v>1291</v>
      </c>
      <c r="F88">
        <f>Table5[[#This Row],[Total_Amount]]/(G88*(1-Table5[[#This Row],[Discount]]))</f>
        <v>3</v>
      </c>
      <c r="G88" s="5">
        <v>899.58</v>
      </c>
      <c r="H88">
        <v>0.28000000000000003</v>
      </c>
      <c r="I88" t="s">
        <v>1351</v>
      </c>
      <c r="J88" s="5">
        <v>1943.0927999999999</v>
      </c>
    </row>
    <row r="89" spans="1:10">
      <c r="A89" t="s">
        <v>1438</v>
      </c>
      <c r="B89" s="7">
        <v>45755</v>
      </c>
      <c r="C89" t="s">
        <v>718</v>
      </c>
      <c r="D89" t="s">
        <v>1071</v>
      </c>
      <c r="E89" t="s">
        <v>1314</v>
      </c>
      <c r="F89">
        <f>Table5[[#This Row],[Total_Amount]]/(G89*(1-Table5[[#This Row],[Discount]]))</f>
        <v>3.0000000000000004</v>
      </c>
      <c r="G89" s="5">
        <v>964.39</v>
      </c>
      <c r="H89">
        <v>0.04</v>
      </c>
      <c r="I89" t="s">
        <v>1349</v>
      </c>
      <c r="J89" s="5">
        <v>2777.4432000000002</v>
      </c>
    </row>
    <row r="90" spans="1:10">
      <c r="A90" t="s">
        <v>1439</v>
      </c>
      <c r="B90" s="7">
        <v>45588</v>
      </c>
      <c r="C90" t="s">
        <v>428</v>
      </c>
      <c r="D90" t="s">
        <v>1149</v>
      </c>
      <c r="E90" t="s">
        <v>1277</v>
      </c>
      <c r="F90">
        <f>Table5[[#This Row],[Total_Amount]]/(G90*(1-Table5[[#This Row],[Discount]]))</f>
        <v>2</v>
      </c>
      <c r="G90" s="5">
        <v>217.83</v>
      </c>
      <c r="H90">
        <v>0.14000000000000001</v>
      </c>
      <c r="I90" t="s">
        <v>1351</v>
      </c>
      <c r="J90" s="5">
        <v>374.66759999999999</v>
      </c>
    </row>
    <row r="91" spans="1:10">
      <c r="A91" t="s">
        <v>1440</v>
      </c>
      <c r="B91" s="7">
        <v>45848</v>
      </c>
      <c r="C91" t="s">
        <v>347</v>
      </c>
      <c r="D91" t="s">
        <v>1107</v>
      </c>
      <c r="E91" t="s">
        <v>1282</v>
      </c>
      <c r="F91">
        <f>Table5[[#This Row],[Total_Amount]]/(G91*(1-Table5[[#This Row],[Discount]]))</f>
        <v>4</v>
      </c>
      <c r="G91" s="5">
        <v>187.71</v>
      </c>
      <c r="H91">
        <v>0.06</v>
      </c>
      <c r="I91" t="s">
        <v>1354</v>
      </c>
      <c r="J91" s="5">
        <v>705.78959999999995</v>
      </c>
    </row>
    <row r="92" spans="1:10">
      <c r="A92" t="s">
        <v>1441</v>
      </c>
      <c r="B92" s="7">
        <v>45577</v>
      </c>
      <c r="C92" t="s">
        <v>42</v>
      </c>
      <c r="D92" t="s">
        <v>1139</v>
      </c>
      <c r="E92" t="s">
        <v>1335</v>
      </c>
      <c r="F92">
        <f>Table5[[#This Row],[Total_Amount]]/(G92*(1-Table5[[#This Row],[Discount]]))</f>
        <v>2</v>
      </c>
      <c r="G92" s="5">
        <v>350.12</v>
      </c>
      <c r="H92">
        <v>0.12</v>
      </c>
      <c r="I92" t="s">
        <v>1354</v>
      </c>
      <c r="J92" s="5">
        <v>616.21119999999996</v>
      </c>
    </row>
    <row r="93" spans="1:10">
      <c r="A93" t="s">
        <v>1442</v>
      </c>
      <c r="B93" s="7">
        <v>45312</v>
      </c>
      <c r="C93" t="s">
        <v>875</v>
      </c>
      <c r="D93" t="s">
        <v>1105</v>
      </c>
      <c r="E93" t="s">
        <v>1282</v>
      </c>
      <c r="F93">
        <f>Table5[[#This Row],[Total_Amount]]/(G93*(1-Table5[[#This Row],[Discount]]))</f>
        <v>4.0000000000000009</v>
      </c>
      <c r="G93" s="5">
        <v>102.19</v>
      </c>
      <c r="H93">
        <v>0.17</v>
      </c>
      <c r="I93" t="s">
        <v>1351</v>
      </c>
      <c r="J93" s="5">
        <v>339.27080000000001</v>
      </c>
    </row>
    <row r="94" spans="1:10">
      <c r="A94" t="s">
        <v>1443</v>
      </c>
      <c r="B94" s="7">
        <v>45350</v>
      </c>
      <c r="C94" t="s">
        <v>33</v>
      </c>
      <c r="D94" t="s">
        <v>1245</v>
      </c>
      <c r="E94" t="s">
        <v>1294</v>
      </c>
      <c r="F94">
        <f>Table5[[#This Row],[Total_Amount]]/(G94*(1-Table5[[#This Row],[Discount]]))</f>
        <v>1</v>
      </c>
      <c r="G94" s="5">
        <v>696.53</v>
      </c>
      <c r="H94">
        <v>0.17</v>
      </c>
      <c r="I94" t="s">
        <v>1349</v>
      </c>
      <c r="J94" s="5">
        <v>578.11989999999992</v>
      </c>
    </row>
    <row r="95" spans="1:10">
      <c r="A95" t="s">
        <v>1444</v>
      </c>
      <c r="B95" s="7">
        <v>45657</v>
      </c>
      <c r="C95" t="s">
        <v>178</v>
      </c>
      <c r="D95" t="s">
        <v>1111</v>
      </c>
      <c r="E95" t="s">
        <v>1294</v>
      </c>
      <c r="F95">
        <f>Table5[[#This Row],[Total_Amount]]/(G95*(1-Table5[[#This Row],[Discount]]))</f>
        <v>2</v>
      </c>
      <c r="G95" s="5">
        <v>327.52</v>
      </c>
      <c r="H95">
        <v>0.15</v>
      </c>
      <c r="I95" t="s">
        <v>1351</v>
      </c>
      <c r="J95" s="5">
        <v>556.78399999999999</v>
      </c>
    </row>
    <row r="96" spans="1:10">
      <c r="A96" t="s">
        <v>1445</v>
      </c>
      <c r="B96" s="7">
        <v>45530</v>
      </c>
      <c r="C96" t="s">
        <v>660</v>
      </c>
      <c r="D96" t="s">
        <v>1267</v>
      </c>
      <c r="E96" t="s">
        <v>1338</v>
      </c>
      <c r="F96">
        <f>Table5[[#This Row],[Total_Amount]]/(G96*(1-Table5[[#This Row],[Discount]]))</f>
        <v>0</v>
      </c>
      <c r="G96" s="5">
        <v>569.36</v>
      </c>
      <c r="H96">
        <v>0.01</v>
      </c>
      <c r="I96" t="s">
        <v>1351</v>
      </c>
      <c r="J96" s="5"/>
    </row>
    <row r="97" spans="1:10">
      <c r="A97" t="s">
        <v>1446</v>
      </c>
      <c r="B97" s="7">
        <v>45556</v>
      </c>
      <c r="C97" t="s">
        <v>706</v>
      </c>
      <c r="D97" t="s">
        <v>1271</v>
      </c>
      <c r="E97" t="s">
        <v>1301</v>
      </c>
      <c r="F97">
        <f>Table5[[#This Row],[Total_Amount]]/(G97*(1-Table5[[#This Row],[Discount]]))</f>
        <v>1.9999999999999998</v>
      </c>
      <c r="G97" s="5">
        <v>68.290000000000006</v>
      </c>
      <c r="H97">
        <v>0.14000000000000001</v>
      </c>
      <c r="I97" t="s">
        <v>1354</v>
      </c>
      <c r="J97" s="5">
        <v>117.4588</v>
      </c>
    </row>
    <row r="98" spans="1:10">
      <c r="A98" t="s">
        <v>1447</v>
      </c>
      <c r="B98" s="7">
        <v>45523</v>
      </c>
      <c r="C98" t="s">
        <v>551</v>
      </c>
      <c r="D98" t="s">
        <v>1173</v>
      </c>
      <c r="E98" t="s">
        <v>1314</v>
      </c>
      <c r="F98">
        <f>Table5[[#This Row],[Total_Amount]]/(G98*(1-Table5[[#This Row],[Discount]]))</f>
        <v>1</v>
      </c>
      <c r="G98" s="5">
        <v>842.9</v>
      </c>
      <c r="H98">
        <v>0.06</v>
      </c>
      <c r="I98" t="s">
        <v>1354</v>
      </c>
      <c r="J98" s="5">
        <v>792.32599999999991</v>
      </c>
    </row>
    <row r="99" spans="1:10">
      <c r="A99" t="s">
        <v>1448</v>
      </c>
      <c r="B99" s="7">
        <v>45587</v>
      </c>
      <c r="C99" t="s">
        <v>638</v>
      </c>
      <c r="D99" t="s">
        <v>1076</v>
      </c>
      <c r="E99" t="s">
        <v>1291</v>
      </c>
      <c r="F99">
        <f>Table5[[#This Row],[Total_Amount]]/(G99*(1-Table5[[#This Row],[Discount]]))</f>
        <v>3</v>
      </c>
      <c r="G99" s="5">
        <v>751.94</v>
      </c>
      <c r="H99">
        <v>0.26</v>
      </c>
      <c r="I99" t="s">
        <v>1351</v>
      </c>
      <c r="J99" s="5">
        <v>1669.3068000000001</v>
      </c>
    </row>
    <row r="100" spans="1:10">
      <c r="A100" t="s">
        <v>1449</v>
      </c>
      <c r="B100" s="7">
        <v>45580</v>
      </c>
      <c r="C100" t="s">
        <v>323</v>
      </c>
      <c r="D100" t="s">
        <v>1185</v>
      </c>
      <c r="E100" t="s">
        <v>1304</v>
      </c>
      <c r="F100">
        <f>Table5[[#This Row],[Total_Amount]]/(G100*(1-Table5[[#This Row],[Discount]]))</f>
        <v>4.0000000000000009</v>
      </c>
      <c r="G100" s="5">
        <v>476.28</v>
      </c>
      <c r="H100">
        <v>0.17</v>
      </c>
      <c r="I100" t="s">
        <v>1349</v>
      </c>
      <c r="J100" s="5">
        <v>1581.2496000000001</v>
      </c>
    </row>
    <row r="101" spans="1:10">
      <c r="A101" t="s">
        <v>1450</v>
      </c>
      <c r="B101" s="7">
        <v>45479</v>
      </c>
      <c r="C101" t="s">
        <v>714</v>
      </c>
      <c r="D101" t="s">
        <v>1181</v>
      </c>
      <c r="E101" t="s">
        <v>1291</v>
      </c>
      <c r="F101">
        <f>Table5[[#This Row],[Total_Amount]]/(G101*(1-Table5[[#This Row],[Discount]]))</f>
        <v>3</v>
      </c>
      <c r="G101" s="5">
        <v>541.99</v>
      </c>
      <c r="H101">
        <v>0.24</v>
      </c>
      <c r="I101" t="s">
        <v>1354</v>
      </c>
      <c r="J101" s="5">
        <v>1235.7372</v>
      </c>
    </row>
    <row r="102" spans="1:10">
      <c r="A102" t="s">
        <v>1451</v>
      </c>
      <c r="B102" s="7">
        <v>45677</v>
      </c>
      <c r="C102" t="s">
        <v>801</v>
      </c>
      <c r="D102" t="s">
        <v>1139</v>
      </c>
      <c r="E102" t="s">
        <v>1298</v>
      </c>
      <c r="F102">
        <f>Table5[[#This Row],[Total_Amount]]/(G102*(1-Table5[[#This Row],[Discount]]))</f>
        <v>2</v>
      </c>
      <c r="G102" s="5">
        <v>401.5</v>
      </c>
      <c r="H102">
        <v>0.18</v>
      </c>
      <c r="I102" t="s">
        <v>1349</v>
      </c>
      <c r="J102" s="5">
        <v>658.46</v>
      </c>
    </row>
    <row r="103" spans="1:10">
      <c r="A103" t="s">
        <v>1452</v>
      </c>
      <c r="B103" s="7">
        <v>45453</v>
      </c>
      <c r="C103" t="s">
        <v>222</v>
      </c>
      <c r="D103" t="s">
        <v>1123</v>
      </c>
      <c r="E103" t="s">
        <v>1322</v>
      </c>
      <c r="F103">
        <f>Table5[[#This Row],[Total_Amount]]/(G103*(1-Table5[[#This Row],[Discount]]))</f>
        <v>3</v>
      </c>
      <c r="G103" s="5">
        <v>359.56</v>
      </c>
      <c r="H103">
        <v>0.17</v>
      </c>
      <c r="I103" t="s">
        <v>1351</v>
      </c>
      <c r="J103" s="5">
        <v>895.30439999999999</v>
      </c>
    </row>
    <row r="104" spans="1:10">
      <c r="A104" t="s">
        <v>1453</v>
      </c>
      <c r="B104" s="7">
        <v>45552</v>
      </c>
      <c r="C104" t="s">
        <v>252</v>
      </c>
      <c r="D104" t="s">
        <v>1233</v>
      </c>
      <c r="E104" t="s">
        <v>1319</v>
      </c>
      <c r="F104">
        <f>Table5[[#This Row],[Total_Amount]]/(G104*(1-Table5[[#This Row],[Discount]]))</f>
        <v>2</v>
      </c>
      <c r="G104" s="5">
        <v>471.88</v>
      </c>
      <c r="H104">
        <v>0.24</v>
      </c>
      <c r="I104" t="s">
        <v>1351</v>
      </c>
      <c r="J104" s="5">
        <v>717.25760000000002</v>
      </c>
    </row>
    <row r="105" spans="1:10">
      <c r="A105" t="s">
        <v>1454</v>
      </c>
      <c r="B105" s="7">
        <v>45907</v>
      </c>
      <c r="C105" t="s">
        <v>426</v>
      </c>
      <c r="D105" t="s">
        <v>1141</v>
      </c>
      <c r="E105" t="s">
        <v>1294</v>
      </c>
      <c r="F105">
        <f>Table5[[#This Row],[Total_Amount]]/(G105*(1-Table5[[#This Row],[Discount]]))</f>
        <v>4.0000000000000009</v>
      </c>
      <c r="G105" s="5">
        <v>925.19</v>
      </c>
      <c r="H105">
        <v>0.19</v>
      </c>
      <c r="I105" t="s">
        <v>1351</v>
      </c>
      <c r="J105" s="5">
        <v>2997.615600000001</v>
      </c>
    </row>
    <row r="106" spans="1:10">
      <c r="A106" t="s">
        <v>1455</v>
      </c>
      <c r="B106" s="7">
        <v>45330</v>
      </c>
      <c r="C106" t="s">
        <v>92</v>
      </c>
      <c r="D106" t="s">
        <v>1245</v>
      </c>
      <c r="E106" t="s">
        <v>1317</v>
      </c>
      <c r="F106">
        <f>Table5[[#This Row],[Total_Amount]]/(G106*(1-Table5[[#This Row],[Discount]]))</f>
        <v>2</v>
      </c>
      <c r="G106" s="5">
        <v>879.63</v>
      </c>
      <c r="H106">
        <v>7.0000000000000007E-2</v>
      </c>
      <c r="I106" t="s">
        <v>1354</v>
      </c>
      <c r="J106" s="5">
        <v>1636.1117999999999</v>
      </c>
    </row>
    <row r="107" spans="1:10">
      <c r="A107" t="s">
        <v>1456</v>
      </c>
      <c r="B107" s="7">
        <v>45214</v>
      </c>
      <c r="C107" t="s">
        <v>18</v>
      </c>
      <c r="D107" t="s">
        <v>1231</v>
      </c>
      <c r="E107" t="s">
        <v>1332</v>
      </c>
      <c r="F107">
        <f>Table5[[#This Row],[Total_Amount]]/(G107*(1-Table5[[#This Row],[Discount]]))</f>
        <v>2</v>
      </c>
      <c r="G107" s="5">
        <v>418.23</v>
      </c>
      <c r="H107">
        <v>0.28000000000000003</v>
      </c>
      <c r="I107" t="s">
        <v>1349</v>
      </c>
      <c r="J107" s="5">
        <v>602.25120000000004</v>
      </c>
    </row>
    <row r="108" spans="1:10">
      <c r="A108" t="s">
        <v>1457</v>
      </c>
      <c r="B108" s="7">
        <v>45891</v>
      </c>
      <c r="C108" t="s">
        <v>602</v>
      </c>
      <c r="D108" t="s">
        <v>1111</v>
      </c>
      <c r="E108" t="s">
        <v>1335</v>
      </c>
      <c r="F108">
        <f>Table5[[#This Row],[Total_Amount]]/(G108*(1-Table5[[#This Row],[Discount]]))</f>
        <v>3</v>
      </c>
      <c r="G108" s="5">
        <v>551.72</v>
      </c>
      <c r="H108">
        <v>0.03</v>
      </c>
      <c r="I108" t="s">
        <v>1354</v>
      </c>
      <c r="J108" s="5">
        <v>1605.5052000000001</v>
      </c>
    </row>
    <row r="109" spans="1:10">
      <c r="A109" t="s">
        <v>1458</v>
      </c>
      <c r="B109" s="7">
        <v>45323</v>
      </c>
      <c r="C109" t="s">
        <v>740</v>
      </c>
      <c r="D109" t="s">
        <v>1245</v>
      </c>
      <c r="E109" t="s">
        <v>1304</v>
      </c>
      <c r="F109">
        <f>Table5[[#This Row],[Total_Amount]]/(G109*(1-Table5[[#This Row],[Discount]]))</f>
        <v>4</v>
      </c>
      <c r="G109" s="5">
        <v>525.61</v>
      </c>
      <c r="H109">
        <v>0.02</v>
      </c>
      <c r="I109" t="s">
        <v>1351</v>
      </c>
      <c r="J109" s="5">
        <v>2060.3912</v>
      </c>
    </row>
    <row r="110" spans="1:10">
      <c r="A110" t="s">
        <v>1459</v>
      </c>
      <c r="B110" s="7">
        <v>45785</v>
      </c>
      <c r="C110" t="s">
        <v>120</v>
      </c>
      <c r="D110" t="s">
        <v>1117</v>
      </c>
      <c r="E110" t="s">
        <v>1322</v>
      </c>
      <c r="F110">
        <f>Table5[[#This Row],[Total_Amount]]/(G110*(1-Table5[[#This Row],[Discount]]))</f>
        <v>3.0000000000000004</v>
      </c>
      <c r="G110" s="5">
        <v>815.3</v>
      </c>
      <c r="H110">
        <v>0.03</v>
      </c>
      <c r="I110" t="s">
        <v>1349</v>
      </c>
      <c r="J110" s="5">
        <v>2372.5230000000001</v>
      </c>
    </row>
    <row r="111" spans="1:10">
      <c r="A111" t="s">
        <v>1460</v>
      </c>
      <c r="B111" s="7">
        <v>45738</v>
      </c>
      <c r="C111" t="s">
        <v>490</v>
      </c>
      <c r="D111" t="s">
        <v>1255</v>
      </c>
      <c r="E111" t="s">
        <v>1277</v>
      </c>
      <c r="F111">
        <f>Table5[[#This Row],[Total_Amount]]/(G111*(1-Table5[[#This Row],[Discount]]))</f>
        <v>3</v>
      </c>
      <c r="G111" s="5">
        <v>376.46</v>
      </c>
      <c r="H111">
        <v>0.09</v>
      </c>
      <c r="I111" t="s">
        <v>1354</v>
      </c>
      <c r="J111" s="5">
        <v>1027.7357999999999</v>
      </c>
    </row>
    <row r="112" spans="1:10">
      <c r="A112" t="s">
        <v>1461</v>
      </c>
      <c r="B112" s="7">
        <v>45851</v>
      </c>
      <c r="C112" t="s">
        <v>33</v>
      </c>
      <c r="D112" t="s">
        <v>1157</v>
      </c>
      <c r="E112" t="s">
        <v>1307</v>
      </c>
      <c r="F112">
        <f>Table5[[#This Row],[Total_Amount]]/(G112*(1-Table5[[#This Row],[Discount]]))</f>
        <v>4</v>
      </c>
      <c r="G112" s="5">
        <v>239.83</v>
      </c>
      <c r="H112">
        <v>0.08</v>
      </c>
      <c r="I112" t="s">
        <v>1349</v>
      </c>
      <c r="J112" s="5">
        <v>882.57440000000008</v>
      </c>
    </row>
    <row r="113" spans="1:10">
      <c r="A113" t="s">
        <v>1462</v>
      </c>
      <c r="B113" s="7">
        <v>45798</v>
      </c>
      <c r="C113" t="s">
        <v>298</v>
      </c>
      <c r="D113" t="s">
        <v>1253</v>
      </c>
      <c r="E113" t="s">
        <v>1291</v>
      </c>
      <c r="F113">
        <f>Table5[[#This Row],[Total_Amount]]/(G113*(1-Table5[[#This Row],[Discount]]))</f>
        <v>1.9999999999999998</v>
      </c>
      <c r="G113" s="5">
        <v>845.71</v>
      </c>
      <c r="H113">
        <v>0.01</v>
      </c>
      <c r="I113" t="s">
        <v>1351</v>
      </c>
      <c r="J113" s="5">
        <v>1674.5057999999999</v>
      </c>
    </row>
    <row r="114" spans="1:10">
      <c r="A114" t="s">
        <v>1463</v>
      </c>
      <c r="B114" s="7">
        <v>45705</v>
      </c>
      <c r="C114" t="s">
        <v>229</v>
      </c>
      <c r="D114" t="s">
        <v>1225</v>
      </c>
      <c r="E114" t="s">
        <v>1322</v>
      </c>
      <c r="F114">
        <f>Table5[[#This Row],[Total_Amount]]/(G114*(1-Table5[[#This Row],[Discount]]))</f>
        <v>3.0000000000000004</v>
      </c>
      <c r="G114" s="5">
        <v>948.69</v>
      </c>
      <c r="H114">
        <v>0.28999999999999998</v>
      </c>
      <c r="I114" t="s">
        <v>1349</v>
      </c>
      <c r="J114" s="5">
        <v>2020.7097000000001</v>
      </c>
    </row>
    <row r="115" spans="1:10">
      <c r="A115" t="s">
        <v>1464</v>
      </c>
      <c r="B115" s="7">
        <v>45413</v>
      </c>
      <c r="C115" t="s">
        <v>996</v>
      </c>
      <c r="D115" t="s">
        <v>1127</v>
      </c>
      <c r="E115" t="s">
        <v>1314</v>
      </c>
      <c r="F115">
        <f>Table5[[#This Row],[Total_Amount]]/(G115*(1-Table5[[#This Row],[Discount]]))</f>
        <v>0.99999999999999989</v>
      </c>
      <c r="G115" s="5">
        <v>281.97000000000003</v>
      </c>
      <c r="H115">
        <v>0.2</v>
      </c>
      <c r="I115" t="s">
        <v>1351</v>
      </c>
      <c r="J115" s="5">
        <v>225.57599999999999</v>
      </c>
    </row>
    <row r="116" spans="1:10">
      <c r="A116" t="s">
        <v>1465</v>
      </c>
      <c r="B116" s="7">
        <v>45482</v>
      </c>
      <c r="C116" t="s">
        <v>365</v>
      </c>
      <c r="D116" t="s">
        <v>1255</v>
      </c>
      <c r="E116" t="s">
        <v>1294</v>
      </c>
      <c r="F116">
        <f>Table5[[#This Row],[Total_Amount]]/(G116*(1-Table5[[#This Row],[Discount]]))</f>
        <v>2.0000000000000004</v>
      </c>
      <c r="G116" s="5">
        <v>731.01</v>
      </c>
      <c r="H116">
        <v>0.05</v>
      </c>
      <c r="I116" t="s">
        <v>1351</v>
      </c>
      <c r="J116" s="5">
        <v>1388.9190000000001</v>
      </c>
    </row>
    <row r="117" spans="1:10">
      <c r="A117" t="s">
        <v>1466</v>
      </c>
      <c r="B117" s="7">
        <v>45925</v>
      </c>
      <c r="C117" t="s">
        <v>577</v>
      </c>
      <c r="D117" t="s">
        <v>1243</v>
      </c>
      <c r="E117" t="s">
        <v>1304</v>
      </c>
      <c r="F117">
        <f>Table5[[#This Row],[Total_Amount]]/(G117*(1-Table5[[#This Row],[Discount]]))</f>
        <v>4</v>
      </c>
      <c r="G117" s="5">
        <v>930.85</v>
      </c>
      <c r="H117">
        <v>0.13</v>
      </c>
      <c r="I117" t="s">
        <v>1351</v>
      </c>
      <c r="J117" s="5">
        <v>3239.3580000000002</v>
      </c>
    </row>
    <row r="118" spans="1:10">
      <c r="A118" t="s">
        <v>1467</v>
      </c>
      <c r="B118" s="7">
        <v>45420</v>
      </c>
      <c r="C118" t="s">
        <v>901</v>
      </c>
      <c r="D118" t="s">
        <v>1076</v>
      </c>
      <c r="E118" t="s">
        <v>1307</v>
      </c>
      <c r="F118">
        <f>Table5[[#This Row],[Total_Amount]]/(G118*(1-Table5[[#This Row],[Discount]]))</f>
        <v>4</v>
      </c>
      <c r="G118" s="5">
        <v>770.77</v>
      </c>
      <c r="H118">
        <v>0.22</v>
      </c>
      <c r="I118" t="s">
        <v>1349</v>
      </c>
      <c r="J118" s="5">
        <v>2404.8024</v>
      </c>
    </row>
    <row r="119" spans="1:10">
      <c r="A119" t="s">
        <v>1468</v>
      </c>
      <c r="B119" s="7">
        <v>45554</v>
      </c>
      <c r="C119" t="s">
        <v>182</v>
      </c>
      <c r="D119" t="s">
        <v>1165</v>
      </c>
      <c r="E119" t="s">
        <v>1294</v>
      </c>
      <c r="F119">
        <f>Table5[[#This Row],[Total_Amount]]/(G119*(1-Table5[[#This Row],[Discount]]))</f>
        <v>3</v>
      </c>
      <c r="G119" s="5">
        <v>479.63</v>
      </c>
      <c r="H119">
        <v>0.3</v>
      </c>
      <c r="I119" t="s">
        <v>1351</v>
      </c>
      <c r="J119" s="5">
        <v>1007.223</v>
      </c>
    </row>
    <row r="120" spans="1:10">
      <c r="A120" t="s">
        <v>1469</v>
      </c>
      <c r="B120" s="7">
        <v>45405</v>
      </c>
      <c r="C120" t="s">
        <v>269</v>
      </c>
      <c r="D120" t="s">
        <v>1151</v>
      </c>
      <c r="E120" t="s">
        <v>1317</v>
      </c>
      <c r="F120">
        <f>Table5[[#This Row],[Total_Amount]]/(G120*(1-Table5[[#This Row],[Discount]]))</f>
        <v>1.0000000000000002</v>
      </c>
      <c r="G120" s="5">
        <v>165</v>
      </c>
      <c r="H120">
        <v>0.3</v>
      </c>
      <c r="I120" t="s">
        <v>1354</v>
      </c>
      <c r="J120" s="5">
        <v>115.5</v>
      </c>
    </row>
    <row r="121" spans="1:10">
      <c r="A121" t="s">
        <v>1470</v>
      </c>
      <c r="B121" s="7">
        <v>45503</v>
      </c>
      <c r="C121" t="s">
        <v>377</v>
      </c>
      <c r="D121" t="s">
        <v>1111</v>
      </c>
      <c r="E121" t="s">
        <v>1307</v>
      </c>
      <c r="F121">
        <f>Table5[[#This Row],[Total_Amount]]/(G121*(1-Table5[[#This Row],[Discount]]))</f>
        <v>2.0000000000000004</v>
      </c>
      <c r="G121" s="5">
        <v>151.51</v>
      </c>
      <c r="H121">
        <v>0.28999999999999998</v>
      </c>
      <c r="I121" t="s">
        <v>1354</v>
      </c>
      <c r="J121" s="5">
        <v>215.14420000000001</v>
      </c>
    </row>
    <row r="122" spans="1:10">
      <c r="A122" t="s">
        <v>1471</v>
      </c>
      <c r="B122" s="7">
        <v>45274</v>
      </c>
      <c r="C122" t="s">
        <v>525</v>
      </c>
      <c r="D122" t="s">
        <v>1135</v>
      </c>
      <c r="E122" t="s">
        <v>1332</v>
      </c>
      <c r="F122">
        <f>Table5[[#This Row],[Total_Amount]]/(G122*(1-Table5[[#This Row],[Discount]]))</f>
        <v>2.0000000000000004</v>
      </c>
      <c r="G122" s="5">
        <v>872.93</v>
      </c>
      <c r="H122">
        <v>0.28999999999999998</v>
      </c>
      <c r="I122" t="s">
        <v>1354</v>
      </c>
      <c r="J122" s="5">
        <v>1239.5606</v>
      </c>
    </row>
    <row r="123" spans="1:10">
      <c r="A123" t="s">
        <v>1472</v>
      </c>
      <c r="B123" s="7">
        <v>45558</v>
      </c>
      <c r="C123" t="s">
        <v>591</v>
      </c>
      <c r="D123" t="s">
        <v>1117</v>
      </c>
      <c r="E123" t="s">
        <v>1314</v>
      </c>
      <c r="F123">
        <f>Table5[[#This Row],[Total_Amount]]/(G123*(1-Table5[[#This Row],[Discount]]))</f>
        <v>3</v>
      </c>
      <c r="G123" s="5">
        <v>432.4</v>
      </c>
      <c r="H123">
        <v>0.04</v>
      </c>
      <c r="I123" t="s">
        <v>1349</v>
      </c>
      <c r="J123" s="5">
        <v>1245.3119999999999</v>
      </c>
    </row>
    <row r="124" spans="1:10">
      <c r="A124" t="s">
        <v>1473</v>
      </c>
      <c r="B124" s="7">
        <v>45886</v>
      </c>
      <c r="C124" t="s">
        <v>740</v>
      </c>
      <c r="D124" t="s">
        <v>1173</v>
      </c>
      <c r="E124" t="s">
        <v>1304</v>
      </c>
      <c r="F124">
        <f>Table5[[#This Row],[Total_Amount]]/(G124*(1-Table5[[#This Row],[Discount]]))</f>
        <v>2.0000000000000004</v>
      </c>
      <c r="G124" s="5">
        <v>197.76</v>
      </c>
      <c r="H124">
        <v>0.04</v>
      </c>
      <c r="I124" t="s">
        <v>1349</v>
      </c>
      <c r="J124" s="5">
        <v>379.69920000000002</v>
      </c>
    </row>
    <row r="125" spans="1:10">
      <c r="A125" t="s">
        <v>1474</v>
      </c>
      <c r="B125" s="7">
        <v>45674</v>
      </c>
      <c r="C125" t="s">
        <v>1014</v>
      </c>
      <c r="D125" t="s">
        <v>1153</v>
      </c>
      <c r="E125" t="s">
        <v>1286</v>
      </c>
      <c r="F125">
        <f>Table5[[#This Row],[Total_Amount]]/(G125*(1-Table5[[#This Row],[Discount]]))</f>
        <v>3</v>
      </c>
      <c r="G125" s="5">
        <v>334.6</v>
      </c>
      <c r="H125">
        <v>0.11</v>
      </c>
      <c r="I125" t="s">
        <v>1351</v>
      </c>
      <c r="J125" s="5">
        <v>893.38200000000006</v>
      </c>
    </row>
    <row r="126" spans="1:10">
      <c r="A126" t="s">
        <v>1475</v>
      </c>
      <c r="B126" s="7">
        <v>45777</v>
      </c>
      <c r="C126" t="s">
        <v>229</v>
      </c>
      <c r="D126" t="s">
        <v>1101</v>
      </c>
      <c r="E126" t="s">
        <v>1291</v>
      </c>
      <c r="F126">
        <f>Table5[[#This Row],[Total_Amount]]/(G126*(1-Table5[[#This Row],[Discount]]))</f>
        <v>2</v>
      </c>
      <c r="G126" s="5">
        <v>44.35</v>
      </c>
      <c r="H126">
        <v>0.2</v>
      </c>
      <c r="I126" t="s">
        <v>1354</v>
      </c>
      <c r="J126" s="5">
        <v>70.960000000000008</v>
      </c>
    </row>
    <row r="127" spans="1:10">
      <c r="A127" t="s">
        <v>1476</v>
      </c>
      <c r="B127" s="7">
        <v>45598</v>
      </c>
      <c r="C127" t="s">
        <v>1057</v>
      </c>
      <c r="D127" t="s">
        <v>1087</v>
      </c>
      <c r="E127" t="s">
        <v>1301</v>
      </c>
      <c r="F127">
        <f>Table5[[#This Row],[Total_Amount]]/(G127*(1-Table5[[#This Row],[Discount]]))</f>
        <v>1</v>
      </c>
      <c r="G127" s="5">
        <v>846.31</v>
      </c>
      <c r="H127">
        <v>0.05</v>
      </c>
      <c r="I127" t="s">
        <v>1351</v>
      </c>
      <c r="J127" s="5">
        <v>803.9944999999999</v>
      </c>
    </row>
    <row r="128" spans="1:10">
      <c r="A128" t="s">
        <v>1477</v>
      </c>
      <c r="B128" s="7">
        <v>45884</v>
      </c>
      <c r="C128" t="s">
        <v>323</v>
      </c>
      <c r="D128" t="s">
        <v>1143</v>
      </c>
      <c r="E128" t="s">
        <v>1319</v>
      </c>
      <c r="F128">
        <f>Table5[[#This Row],[Total_Amount]]/(G128*(1-Table5[[#This Row],[Discount]]))</f>
        <v>1</v>
      </c>
      <c r="G128" s="5">
        <v>996.48</v>
      </c>
      <c r="H128">
        <v>7.0000000000000007E-2</v>
      </c>
      <c r="I128" t="s">
        <v>1354</v>
      </c>
      <c r="J128" s="5">
        <v>926.7263999999999</v>
      </c>
    </row>
    <row r="129" spans="1:10">
      <c r="A129" t="s">
        <v>1478</v>
      </c>
      <c r="B129" s="7">
        <v>45916</v>
      </c>
      <c r="C129" t="s">
        <v>618</v>
      </c>
      <c r="D129" t="s">
        <v>1259</v>
      </c>
      <c r="E129" t="s">
        <v>1301</v>
      </c>
      <c r="F129">
        <f>Table5[[#This Row],[Total_Amount]]/(G129*(1-Table5[[#This Row],[Discount]]))</f>
        <v>3</v>
      </c>
      <c r="G129" s="5">
        <v>949.19</v>
      </c>
      <c r="H129">
        <v>0.03</v>
      </c>
      <c r="I129" t="s">
        <v>1354</v>
      </c>
      <c r="J129" s="5">
        <v>2762.1428999999998</v>
      </c>
    </row>
    <row r="130" spans="1:10">
      <c r="A130" t="s">
        <v>1479</v>
      </c>
      <c r="B130" s="7">
        <v>45347</v>
      </c>
      <c r="C130" t="s">
        <v>857</v>
      </c>
      <c r="D130" t="s">
        <v>1261</v>
      </c>
      <c r="E130" t="s">
        <v>1311</v>
      </c>
      <c r="F130">
        <f>Table5[[#This Row],[Total_Amount]]/(G130*(1-Table5[[#This Row],[Discount]]))</f>
        <v>1.9999999999999996</v>
      </c>
      <c r="G130" s="5">
        <v>724.97</v>
      </c>
      <c r="H130">
        <v>0.1</v>
      </c>
      <c r="I130" t="s">
        <v>1349</v>
      </c>
      <c r="J130" s="5">
        <v>1304.9459999999999</v>
      </c>
    </row>
    <row r="131" spans="1:10">
      <c r="A131" t="s">
        <v>1480</v>
      </c>
      <c r="B131" s="7">
        <v>45723</v>
      </c>
      <c r="C131" t="s">
        <v>694</v>
      </c>
      <c r="D131" t="s">
        <v>1071</v>
      </c>
      <c r="E131" t="s">
        <v>1329</v>
      </c>
      <c r="F131">
        <f>Table5[[#This Row],[Total_Amount]]/(G131*(1-Table5[[#This Row],[Discount]]))</f>
        <v>1</v>
      </c>
      <c r="G131" s="5">
        <v>783.25</v>
      </c>
      <c r="H131">
        <v>0.3</v>
      </c>
      <c r="I131" t="s">
        <v>1349</v>
      </c>
      <c r="J131" s="5">
        <v>548.27499999999998</v>
      </c>
    </row>
    <row r="132" spans="1:10">
      <c r="A132" t="s">
        <v>1481</v>
      </c>
      <c r="B132" s="7">
        <v>45495</v>
      </c>
      <c r="C132" t="s">
        <v>750</v>
      </c>
      <c r="D132" t="s">
        <v>1107</v>
      </c>
      <c r="E132" t="s">
        <v>1291</v>
      </c>
      <c r="F132">
        <f>Table5[[#This Row],[Total_Amount]]/(G132*(1-Table5[[#This Row],[Discount]]))</f>
        <v>1</v>
      </c>
      <c r="G132" s="5">
        <v>942.38</v>
      </c>
      <c r="H132">
        <v>0.17</v>
      </c>
      <c r="I132" t="s">
        <v>1349</v>
      </c>
      <c r="J132" s="5">
        <v>782.17539999999997</v>
      </c>
    </row>
    <row r="133" spans="1:10">
      <c r="A133" t="s">
        <v>1482</v>
      </c>
      <c r="B133" s="7">
        <v>45444</v>
      </c>
      <c r="C133" t="s">
        <v>1053</v>
      </c>
      <c r="D133" t="s">
        <v>1175</v>
      </c>
      <c r="E133" t="s">
        <v>1317</v>
      </c>
      <c r="F133">
        <f>Table5[[#This Row],[Total_Amount]]/(G133*(1-Table5[[#This Row],[Discount]]))</f>
        <v>3</v>
      </c>
      <c r="G133" s="5">
        <v>298.35000000000002</v>
      </c>
      <c r="H133">
        <v>0.05</v>
      </c>
      <c r="I133" t="s">
        <v>1354</v>
      </c>
      <c r="J133" s="5">
        <v>850.29750000000001</v>
      </c>
    </row>
    <row r="134" spans="1:10">
      <c r="A134" t="s">
        <v>1483</v>
      </c>
      <c r="B134" s="7">
        <v>45662</v>
      </c>
      <c r="C134" t="s">
        <v>389</v>
      </c>
      <c r="D134" t="s">
        <v>1169</v>
      </c>
      <c r="E134" t="s">
        <v>1319</v>
      </c>
      <c r="F134">
        <f>Table5[[#This Row],[Total_Amount]]/(G134*(1-Table5[[#This Row],[Discount]]))</f>
        <v>4</v>
      </c>
      <c r="G134" s="5">
        <v>950.04</v>
      </c>
      <c r="H134">
        <v>0.13</v>
      </c>
      <c r="I134" t="s">
        <v>1351</v>
      </c>
      <c r="J134" s="5">
        <v>3306.1392000000001</v>
      </c>
    </row>
    <row r="135" spans="1:10">
      <c r="A135" t="s">
        <v>1484</v>
      </c>
      <c r="B135" s="7">
        <v>45910</v>
      </c>
      <c r="C135" t="s">
        <v>722</v>
      </c>
      <c r="D135" t="s">
        <v>1187</v>
      </c>
      <c r="E135" t="s">
        <v>1294</v>
      </c>
      <c r="F135">
        <f>Table5[[#This Row],[Total_Amount]]/(G135*(1-Table5[[#This Row],[Discount]]))</f>
        <v>2.0000000000000004</v>
      </c>
      <c r="G135" s="5">
        <v>267.19</v>
      </c>
      <c r="H135">
        <v>7.0000000000000007E-2</v>
      </c>
      <c r="I135" t="s">
        <v>1349</v>
      </c>
      <c r="J135" s="5">
        <v>496.97340000000003</v>
      </c>
    </row>
    <row r="136" spans="1:10">
      <c r="A136" t="s">
        <v>1485</v>
      </c>
      <c r="B136" s="7">
        <v>45827</v>
      </c>
      <c r="C136" t="s">
        <v>464</v>
      </c>
      <c r="D136" t="s">
        <v>1247</v>
      </c>
      <c r="E136" t="s">
        <v>1326</v>
      </c>
      <c r="F136">
        <f>Table5[[#This Row],[Total_Amount]]/(G136*(1-Table5[[#This Row],[Discount]]))</f>
        <v>4</v>
      </c>
      <c r="G136" s="5">
        <v>72.63</v>
      </c>
      <c r="H136">
        <v>0.06</v>
      </c>
      <c r="I136" t="s">
        <v>1351</v>
      </c>
      <c r="J136" s="5">
        <v>273.08879999999999</v>
      </c>
    </row>
    <row r="137" spans="1:10">
      <c r="A137" t="s">
        <v>1486</v>
      </c>
      <c r="B137" s="7">
        <v>45544</v>
      </c>
      <c r="C137" t="s">
        <v>917</v>
      </c>
      <c r="D137" t="s">
        <v>1179</v>
      </c>
      <c r="E137" t="s">
        <v>1298</v>
      </c>
      <c r="F137">
        <f>Table5[[#This Row],[Total_Amount]]/(G137*(1-Table5[[#This Row],[Discount]]))</f>
        <v>3</v>
      </c>
      <c r="G137" s="5">
        <v>576.52</v>
      </c>
      <c r="H137">
        <v>0.22</v>
      </c>
      <c r="I137" t="s">
        <v>1354</v>
      </c>
      <c r="J137" s="5">
        <v>1349.0568000000001</v>
      </c>
    </row>
    <row r="138" spans="1:10">
      <c r="A138" t="s">
        <v>1487</v>
      </c>
      <c r="B138" s="7">
        <v>45751</v>
      </c>
      <c r="C138" t="s">
        <v>762</v>
      </c>
      <c r="D138" t="s">
        <v>1215</v>
      </c>
      <c r="E138" t="s">
        <v>1311</v>
      </c>
      <c r="F138">
        <f>Table5[[#This Row],[Total_Amount]]/(G138*(1-Table5[[#This Row],[Discount]]))</f>
        <v>3</v>
      </c>
      <c r="G138" s="5">
        <v>849.36</v>
      </c>
      <c r="H138">
        <v>0.03</v>
      </c>
      <c r="I138" t="s">
        <v>1349</v>
      </c>
      <c r="J138" s="5">
        <v>2471.6376</v>
      </c>
    </row>
    <row r="139" spans="1:10">
      <c r="A139" t="s">
        <v>1488</v>
      </c>
      <c r="B139" s="7">
        <v>45392</v>
      </c>
      <c r="C139" t="s">
        <v>1008</v>
      </c>
      <c r="D139" t="s">
        <v>1173</v>
      </c>
      <c r="E139" t="s">
        <v>1301</v>
      </c>
      <c r="F139">
        <f>Table5[[#This Row],[Total_Amount]]/(G139*(1-Table5[[#This Row],[Discount]]))</f>
        <v>1</v>
      </c>
      <c r="G139" s="5">
        <v>245.85</v>
      </c>
      <c r="H139">
        <v>0.18</v>
      </c>
      <c r="I139" t="s">
        <v>1354</v>
      </c>
      <c r="J139" s="5">
        <v>201.59700000000001</v>
      </c>
    </row>
    <row r="140" spans="1:10">
      <c r="A140" t="s">
        <v>1489</v>
      </c>
      <c r="B140" s="7">
        <v>45589</v>
      </c>
      <c r="C140" t="s">
        <v>418</v>
      </c>
      <c r="D140" t="s">
        <v>1267</v>
      </c>
      <c r="E140" t="s">
        <v>1314</v>
      </c>
      <c r="F140">
        <f>Table5[[#This Row],[Total_Amount]]/(G140*(1-Table5[[#This Row],[Discount]]))</f>
        <v>3</v>
      </c>
      <c r="G140" s="5">
        <v>237.68</v>
      </c>
      <c r="H140">
        <v>0.1</v>
      </c>
      <c r="I140" t="s">
        <v>1354</v>
      </c>
      <c r="J140" s="5">
        <v>641.73599999999999</v>
      </c>
    </row>
    <row r="141" spans="1:10">
      <c r="A141" t="s">
        <v>1490</v>
      </c>
      <c r="B141" s="7">
        <v>45756</v>
      </c>
      <c r="C141" t="s">
        <v>738</v>
      </c>
      <c r="D141" t="s">
        <v>1215</v>
      </c>
      <c r="E141" t="s">
        <v>1324</v>
      </c>
      <c r="F141">
        <f>Table5[[#This Row],[Total_Amount]]/(G141*(1-Table5[[#This Row],[Discount]]))</f>
        <v>4</v>
      </c>
      <c r="G141" s="5">
        <v>715.85</v>
      </c>
      <c r="H141">
        <v>0.25</v>
      </c>
      <c r="I141" t="s">
        <v>1351</v>
      </c>
      <c r="J141" s="5">
        <v>2147.5500000000002</v>
      </c>
    </row>
    <row r="142" spans="1:10">
      <c r="A142" t="s">
        <v>1491</v>
      </c>
      <c r="B142" s="7">
        <v>45255</v>
      </c>
      <c r="C142" t="s">
        <v>403</v>
      </c>
      <c r="D142" t="s">
        <v>1253</v>
      </c>
      <c r="E142" t="s">
        <v>1298</v>
      </c>
      <c r="F142">
        <f>Table5[[#This Row],[Total_Amount]]/(G142*(1-Table5[[#This Row],[Discount]]))</f>
        <v>2</v>
      </c>
      <c r="G142" s="5">
        <v>478.85</v>
      </c>
      <c r="H142">
        <v>0.01</v>
      </c>
      <c r="I142" t="s">
        <v>1354</v>
      </c>
      <c r="J142" s="5">
        <v>948.12300000000005</v>
      </c>
    </row>
    <row r="143" spans="1:10">
      <c r="A143" t="s">
        <v>1492</v>
      </c>
      <c r="B143" s="7">
        <v>45718</v>
      </c>
      <c r="C143" t="s">
        <v>286</v>
      </c>
      <c r="D143" t="s">
        <v>1167</v>
      </c>
      <c r="E143" t="s">
        <v>1277</v>
      </c>
      <c r="F143">
        <f>Table5[[#This Row],[Total_Amount]]/(G143*(1-Table5[[#This Row],[Discount]]))</f>
        <v>1</v>
      </c>
      <c r="G143" s="5">
        <v>503.95</v>
      </c>
      <c r="H143">
        <v>0.26</v>
      </c>
      <c r="I143" t="s">
        <v>1354</v>
      </c>
      <c r="J143" s="5">
        <v>372.923</v>
      </c>
    </row>
    <row r="144" spans="1:10">
      <c r="A144" t="s">
        <v>1493</v>
      </c>
      <c r="B144" s="7">
        <v>45573</v>
      </c>
      <c r="C144" t="s">
        <v>861</v>
      </c>
      <c r="D144" t="s">
        <v>1205</v>
      </c>
      <c r="E144" t="s">
        <v>1319</v>
      </c>
      <c r="F144">
        <f>Table5[[#This Row],[Total_Amount]]/(G144*(1-Table5[[#This Row],[Discount]]))</f>
        <v>2</v>
      </c>
      <c r="G144" s="5">
        <v>975.48</v>
      </c>
      <c r="H144">
        <v>0.26</v>
      </c>
      <c r="I144" t="s">
        <v>1354</v>
      </c>
      <c r="J144" s="5">
        <v>1443.7103999999999</v>
      </c>
    </row>
    <row r="145" spans="1:10">
      <c r="A145" t="s">
        <v>1494</v>
      </c>
      <c r="B145" s="7">
        <v>45884</v>
      </c>
      <c r="C145" t="s">
        <v>865</v>
      </c>
      <c r="D145" t="s">
        <v>1141</v>
      </c>
      <c r="E145" t="s">
        <v>1329</v>
      </c>
      <c r="F145">
        <f>Table5[[#This Row],[Total_Amount]]/(G145*(1-Table5[[#This Row],[Discount]]))</f>
        <v>4</v>
      </c>
      <c r="G145" s="5">
        <v>450.12</v>
      </c>
      <c r="H145">
        <v>0.28999999999999998</v>
      </c>
      <c r="I145" t="s">
        <v>1354</v>
      </c>
      <c r="J145" s="5">
        <v>1278.3407999999999</v>
      </c>
    </row>
    <row r="146" spans="1:10">
      <c r="A146" t="s">
        <v>1495</v>
      </c>
      <c r="B146" s="7">
        <v>45448</v>
      </c>
      <c r="C146" t="s">
        <v>933</v>
      </c>
      <c r="D146" t="s">
        <v>1145</v>
      </c>
      <c r="E146" t="s">
        <v>1307</v>
      </c>
      <c r="F146">
        <f>Table5[[#This Row],[Total_Amount]]/(G146*(1-Table5[[#This Row],[Discount]]))</f>
        <v>3</v>
      </c>
      <c r="G146" s="5">
        <v>237.24</v>
      </c>
      <c r="H146">
        <v>0.24</v>
      </c>
      <c r="I146" t="s">
        <v>1351</v>
      </c>
      <c r="J146" s="5">
        <v>540.90719999999999</v>
      </c>
    </row>
    <row r="147" spans="1:10">
      <c r="A147" t="s">
        <v>1496</v>
      </c>
      <c r="B147" s="7">
        <v>45522</v>
      </c>
      <c r="C147" t="s">
        <v>981</v>
      </c>
      <c r="D147" t="s">
        <v>1181</v>
      </c>
      <c r="E147" t="s">
        <v>1326</v>
      </c>
      <c r="F147">
        <f>Table5[[#This Row],[Total_Amount]]/(G147*(1-Table5[[#This Row],[Discount]]))</f>
        <v>2</v>
      </c>
      <c r="G147" s="5">
        <v>536.84</v>
      </c>
      <c r="H147">
        <v>0.09</v>
      </c>
      <c r="I147" t="s">
        <v>1354</v>
      </c>
      <c r="J147" s="5">
        <v>977.04880000000014</v>
      </c>
    </row>
    <row r="148" spans="1:10">
      <c r="A148" t="s">
        <v>1497</v>
      </c>
      <c r="B148" s="7">
        <v>45626</v>
      </c>
      <c r="C148" t="s">
        <v>949</v>
      </c>
      <c r="D148" t="s">
        <v>1145</v>
      </c>
      <c r="E148" t="s">
        <v>1338</v>
      </c>
      <c r="F148">
        <f>Table5[[#This Row],[Total_Amount]]/(G148*(1-Table5[[#This Row],[Discount]]))</f>
        <v>3</v>
      </c>
      <c r="G148" s="5">
        <v>584.41</v>
      </c>
      <c r="H148">
        <v>0</v>
      </c>
      <c r="I148" t="s">
        <v>1354</v>
      </c>
      <c r="J148" s="5">
        <v>1753.23</v>
      </c>
    </row>
    <row r="149" spans="1:10">
      <c r="A149" t="s">
        <v>1498</v>
      </c>
      <c r="B149" s="7">
        <v>45617</v>
      </c>
      <c r="C149" t="s">
        <v>652</v>
      </c>
      <c r="D149" t="s">
        <v>1237</v>
      </c>
      <c r="E149" t="s">
        <v>1338</v>
      </c>
      <c r="F149">
        <f>Table5[[#This Row],[Total_Amount]]/(G149*(1-Table5[[#This Row],[Discount]]))</f>
        <v>1</v>
      </c>
      <c r="G149" s="5">
        <v>653.87</v>
      </c>
      <c r="H149">
        <v>0.14000000000000001</v>
      </c>
      <c r="I149" t="s">
        <v>1351</v>
      </c>
      <c r="J149" s="5">
        <v>562.32820000000004</v>
      </c>
    </row>
    <row r="150" spans="1:10">
      <c r="A150" t="s">
        <v>1499</v>
      </c>
      <c r="B150" s="7">
        <v>45878</v>
      </c>
      <c r="C150" t="s">
        <v>1047</v>
      </c>
      <c r="D150" t="s">
        <v>1247</v>
      </c>
      <c r="E150" t="s">
        <v>1277</v>
      </c>
      <c r="F150">
        <f>Table5[[#This Row],[Total_Amount]]/(G150*(1-Table5[[#This Row],[Discount]]))</f>
        <v>1</v>
      </c>
      <c r="G150" s="5">
        <v>652.03</v>
      </c>
      <c r="H150">
        <v>0.27</v>
      </c>
      <c r="I150" t="s">
        <v>1349</v>
      </c>
      <c r="J150" s="5">
        <v>475.9819</v>
      </c>
    </row>
    <row r="151" spans="1:10">
      <c r="A151" t="s">
        <v>1500</v>
      </c>
      <c r="B151" s="7">
        <v>45502</v>
      </c>
      <c r="C151" t="s">
        <v>244</v>
      </c>
      <c r="D151" t="s">
        <v>1080</v>
      </c>
      <c r="E151" t="s">
        <v>1319</v>
      </c>
      <c r="F151">
        <f>Table5[[#This Row],[Total_Amount]]/(G151*(1-Table5[[#This Row],[Discount]]))</f>
        <v>3</v>
      </c>
      <c r="G151" s="5">
        <v>513.36</v>
      </c>
      <c r="H151">
        <v>7.0000000000000007E-2</v>
      </c>
      <c r="I151" t="s">
        <v>1354</v>
      </c>
      <c r="J151" s="5">
        <v>1432.2744</v>
      </c>
    </row>
    <row r="152" spans="1:10">
      <c r="A152" t="s">
        <v>1501</v>
      </c>
      <c r="B152" s="7">
        <v>45433</v>
      </c>
      <c r="C152" t="s">
        <v>185</v>
      </c>
      <c r="D152" t="s">
        <v>1177</v>
      </c>
      <c r="E152" t="s">
        <v>1298</v>
      </c>
      <c r="F152">
        <f>Table5[[#This Row],[Total_Amount]]/(G152*(1-Table5[[#This Row],[Discount]]))</f>
        <v>4</v>
      </c>
      <c r="G152" s="5">
        <v>355.64</v>
      </c>
      <c r="H152">
        <v>0.16</v>
      </c>
      <c r="I152" t="s">
        <v>1354</v>
      </c>
      <c r="J152" s="5">
        <v>1194.9503999999999</v>
      </c>
    </row>
    <row r="153" spans="1:10">
      <c r="A153" t="s">
        <v>1502</v>
      </c>
      <c r="B153" s="7">
        <v>45594</v>
      </c>
      <c r="C153" t="s">
        <v>75</v>
      </c>
      <c r="D153" t="s">
        <v>1099</v>
      </c>
      <c r="E153" t="s">
        <v>1307</v>
      </c>
      <c r="F153">
        <f>Table5[[#This Row],[Total_Amount]]/(G153*(1-Table5[[#This Row],[Discount]]))</f>
        <v>4.0000000000000009</v>
      </c>
      <c r="G153" s="5">
        <v>535.4</v>
      </c>
      <c r="H153">
        <v>0.26</v>
      </c>
      <c r="I153" t="s">
        <v>1351</v>
      </c>
      <c r="J153" s="5">
        <v>1584.7840000000001</v>
      </c>
    </row>
    <row r="154" spans="1:10">
      <c r="A154" t="s">
        <v>1503</v>
      </c>
      <c r="B154" s="7">
        <v>45798</v>
      </c>
      <c r="C154" t="s">
        <v>549</v>
      </c>
      <c r="D154" t="s">
        <v>1211</v>
      </c>
      <c r="E154" t="s">
        <v>1338</v>
      </c>
      <c r="F154">
        <f>Table5[[#This Row],[Total_Amount]]/(G154*(1-Table5[[#This Row],[Discount]]))</f>
        <v>2</v>
      </c>
      <c r="G154" s="5">
        <v>108.74</v>
      </c>
      <c r="H154">
        <v>0.11</v>
      </c>
      <c r="I154" t="s">
        <v>1351</v>
      </c>
      <c r="J154" s="5">
        <v>193.55719999999999</v>
      </c>
    </row>
    <row r="155" spans="1:10">
      <c r="A155" t="s">
        <v>1504</v>
      </c>
      <c r="B155" s="7">
        <v>45579</v>
      </c>
      <c r="C155" t="s">
        <v>692</v>
      </c>
      <c r="D155" t="s">
        <v>1095</v>
      </c>
      <c r="E155" t="s">
        <v>1338</v>
      </c>
      <c r="F155">
        <f>Table5[[#This Row],[Total_Amount]]/(G155*(1-Table5[[#This Row],[Discount]]))</f>
        <v>3.0000000000000004</v>
      </c>
      <c r="G155" s="5">
        <v>591.98</v>
      </c>
      <c r="H155">
        <v>0.16</v>
      </c>
      <c r="I155" t="s">
        <v>1349</v>
      </c>
      <c r="J155" s="5">
        <v>1491.7896000000001</v>
      </c>
    </row>
    <row r="156" spans="1:10">
      <c r="A156" t="s">
        <v>1505</v>
      </c>
      <c r="B156" s="7">
        <v>45613</v>
      </c>
      <c r="C156" t="s">
        <v>873</v>
      </c>
      <c r="D156" t="s">
        <v>1169</v>
      </c>
      <c r="E156" t="s">
        <v>1286</v>
      </c>
      <c r="F156">
        <f>Table5[[#This Row],[Total_Amount]]/(G156*(1-Table5[[#This Row],[Discount]]))</f>
        <v>1</v>
      </c>
      <c r="G156" s="5">
        <v>345.06</v>
      </c>
      <c r="H156">
        <v>0.13</v>
      </c>
      <c r="I156" t="s">
        <v>1354</v>
      </c>
      <c r="J156" s="5">
        <v>300.2022</v>
      </c>
    </row>
    <row r="157" spans="1:10">
      <c r="A157" t="s">
        <v>1506</v>
      </c>
      <c r="B157" s="7">
        <v>45745</v>
      </c>
      <c r="C157" t="s">
        <v>678</v>
      </c>
      <c r="D157" t="s">
        <v>1259</v>
      </c>
      <c r="E157" t="s">
        <v>1319</v>
      </c>
      <c r="F157">
        <f>Table5[[#This Row],[Total_Amount]]/(G157*(1-Table5[[#This Row],[Discount]]))</f>
        <v>4</v>
      </c>
      <c r="G157" s="5">
        <v>986.41</v>
      </c>
      <c r="H157">
        <v>0.22</v>
      </c>
      <c r="I157" t="s">
        <v>1349</v>
      </c>
      <c r="J157" s="5">
        <v>3077.5992000000001</v>
      </c>
    </row>
    <row r="158" spans="1:10">
      <c r="A158" t="s">
        <v>1507</v>
      </c>
      <c r="B158" s="7">
        <v>45494</v>
      </c>
      <c r="C158" t="s">
        <v>702</v>
      </c>
      <c r="D158" t="s">
        <v>1171</v>
      </c>
      <c r="E158" t="s">
        <v>1277</v>
      </c>
      <c r="F158">
        <f>Table5[[#This Row],[Total_Amount]]/(G158*(1-Table5[[#This Row],[Discount]]))</f>
        <v>2</v>
      </c>
      <c r="G158" s="5">
        <v>921.52</v>
      </c>
      <c r="H158">
        <v>0</v>
      </c>
      <c r="I158" t="s">
        <v>1351</v>
      </c>
      <c r="J158" s="5">
        <v>1843.04</v>
      </c>
    </row>
    <row r="159" spans="1:10">
      <c r="A159" t="s">
        <v>1508</v>
      </c>
      <c r="B159" s="7">
        <v>45883</v>
      </c>
      <c r="C159" t="s">
        <v>252</v>
      </c>
      <c r="D159" t="s">
        <v>1183</v>
      </c>
      <c r="E159" t="s">
        <v>1298</v>
      </c>
      <c r="F159">
        <f>Table5[[#This Row],[Total_Amount]]/(G159*(1-Table5[[#This Row],[Discount]]))</f>
        <v>1</v>
      </c>
      <c r="G159" s="5">
        <v>83.1</v>
      </c>
      <c r="H159">
        <v>0.04</v>
      </c>
      <c r="I159" t="s">
        <v>1351</v>
      </c>
      <c r="J159" s="5">
        <v>79.775999999999996</v>
      </c>
    </row>
    <row r="160" spans="1:10">
      <c r="A160" t="s">
        <v>1509</v>
      </c>
      <c r="B160" s="7">
        <v>45601</v>
      </c>
      <c r="C160" t="s">
        <v>801</v>
      </c>
      <c r="D160" t="s">
        <v>1129</v>
      </c>
      <c r="E160" t="s">
        <v>1317</v>
      </c>
      <c r="F160">
        <f>Table5[[#This Row],[Total_Amount]]/(G160*(1-Table5[[#This Row],[Discount]]))</f>
        <v>2</v>
      </c>
      <c r="G160" s="5">
        <v>60.98</v>
      </c>
      <c r="H160">
        <v>0.23</v>
      </c>
      <c r="I160" t="s">
        <v>1351</v>
      </c>
      <c r="J160" s="5">
        <v>93.909199999999998</v>
      </c>
    </row>
    <row r="161" spans="1:10">
      <c r="A161" t="s">
        <v>1510</v>
      </c>
      <c r="B161" s="7">
        <v>45454</v>
      </c>
      <c r="C161" t="s">
        <v>851</v>
      </c>
      <c r="D161" t="s">
        <v>1251</v>
      </c>
      <c r="E161" t="s">
        <v>1329</v>
      </c>
      <c r="F161">
        <f>Table5[[#This Row],[Total_Amount]]/(G161*(1-Table5[[#This Row],[Discount]]))</f>
        <v>2</v>
      </c>
      <c r="G161" s="5">
        <v>122.23</v>
      </c>
      <c r="H161">
        <v>0.21</v>
      </c>
      <c r="I161" t="s">
        <v>1354</v>
      </c>
      <c r="J161" s="5">
        <v>193.1234</v>
      </c>
    </row>
    <row r="162" spans="1:10">
      <c r="A162" t="s">
        <v>1511</v>
      </c>
      <c r="B162" s="7">
        <v>45918</v>
      </c>
      <c r="C162" t="s">
        <v>69</v>
      </c>
      <c r="D162" t="s">
        <v>1213</v>
      </c>
      <c r="E162" t="s">
        <v>1335</v>
      </c>
      <c r="F162">
        <f>Table5[[#This Row],[Total_Amount]]/(G162*(1-Table5[[#This Row],[Discount]]))</f>
        <v>2</v>
      </c>
      <c r="G162" s="5">
        <v>623.38</v>
      </c>
      <c r="H162">
        <v>0.13</v>
      </c>
      <c r="I162" t="s">
        <v>1349</v>
      </c>
      <c r="J162" s="5">
        <v>1084.6812</v>
      </c>
    </row>
    <row r="163" spans="1:10">
      <c r="A163" t="s">
        <v>1512</v>
      </c>
      <c r="B163" s="7">
        <v>45729</v>
      </c>
      <c r="C163" t="s">
        <v>162</v>
      </c>
      <c r="D163" t="s">
        <v>1213</v>
      </c>
      <c r="E163" t="s">
        <v>1277</v>
      </c>
      <c r="F163">
        <f>Table5[[#This Row],[Total_Amount]]/(G163*(1-Table5[[#This Row],[Discount]]))</f>
        <v>0.99999999999999989</v>
      </c>
      <c r="G163" s="5">
        <v>479.58</v>
      </c>
      <c r="H163">
        <v>0.05</v>
      </c>
      <c r="I163" t="s">
        <v>1351</v>
      </c>
      <c r="J163" s="5">
        <v>455.60099999999989</v>
      </c>
    </row>
    <row r="164" spans="1:10">
      <c r="A164" t="s">
        <v>1513</v>
      </c>
      <c r="B164" s="7">
        <v>45276</v>
      </c>
      <c r="C164" t="s">
        <v>660</v>
      </c>
      <c r="D164" t="s">
        <v>1219</v>
      </c>
      <c r="E164" t="s">
        <v>1301</v>
      </c>
      <c r="F164">
        <f>Table5[[#This Row],[Total_Amount]]/(G164*(1-Table5[[#This Row],[Discount]]))</f>
        <v>3</v>
      </c>
      <c r="G164" s="5">
        <v>369.32</v>
      </c>
      <c r="H164">
        <v>0.14000000000000001</v>
      </c>
      <c r="I164" t="s">
        <v>1351</v>
      </c>
      <c r="J164" s="5">
        <v>952.84559999999999</v>
      </c>
    </row>
    <row r="165" spans="1:10">
      <c r="A165" t="s">
        <v>1514</v>
      </c>
      <c r="B165" s="7">
        <v>45851</v>
      </c>
      <c r="C165" t="s">
        <v>204</v>
      </c>
      <c r="D165" t="s">
        <v>1137</v>
      </c>
      <c r="E165" t="s">
        <v>1282</v>
      </c>
      <c r="F165">
        <f>Table5[[#This Row],[Total_Amount]]/(G165*(1-Table5[[#This Row],[Discount]]))</f>
        <v>1.0000000000000002</v>
      </c>
      <c r="G165" s="5">
        <v>488.31</v>
      </c>
      <c r="H165">
        <v>0.03</v>
      </c>
      <c r="I165" t="s">
        <v>1351</v>
      </c>
      <c r="J165" s="5">
        <v>473.66070000000002</v>
      </c>
    </row>
    <row r="166" spans="1:10">
      <c r="A166" t="s">
        <v>1515</v>
      </c>
      <c r="B166" s="7">
        <v>45418</v>
      </c>
      <c r="C166" t="s">
        <v>616</v>
      </c>
      <c r="D166" t="s">
        <v>1181</v>
      </c>
      <c r="E166" t="s">
        <v>1319</v>
      </c>
      <c r="F166">
        <f>Table5[[#This Row],[Total_Amount]]/(G166*(1-Table5[[#This Row],[Discount]]))</f>
        <v>3.9999999999999996</v>
      </c>
      <c r="G166" s="5">
        <v>164.04</v>
      </c>
      <c r="H166">
        <v>0.26</v>
      </c>
      <c r="I166" t="s">
        <v>1349</v>
      </c>
      <c r="J166" s="5">
        <v>485.55839999999989</v>
      </c>
    </row>
    <row r="167" spans="1:10">
      <c r="A167" t="s">
        <v>1516</v>
      </c>
      <c r="B167" s="7">
        <v>45508</v>
      </c>
      <c r="C167" t="s">
        <v>197</v>
      </c>
      <c r="D167" t="s">
        <v>1093</v>
      </c>
      <c r="E167" t="s">
        <v>1332</v>
      </c>
      <c r="F167">
        <f>Table5[[#This Row],[Total_Amount]]/(G167*(1-Table5[[#This Row],[Discount]]))</f>
        <v>2.9999999999999996</v>
      </c>
      <c r="G167" s="5">
        <v>707.95</v>
      </c>
      <c r="H167">
        <v>0.18</v>
      </c>
      <c r="I167" t="s">
        <v>1351</v>
      </c>
      <c r="J167" s="5">
        <v>1741.557</v>
      </c>
    </row>
    <row r="168" spans="1:10">
      <c r="A168" t="s">
        <v>1517</v>
      </c>
      <c r="B168" s="7">
        <v>45269</v>
      </c>
      <c r="C168" t="s">
        <v>654</v>
      </c>
      <c r="D168" t="s">
        <v>1211</v>
      </c>
      <c r="E168" t="s">
        <v>1307</v>
      </c>
      <c r="F168">
        <f>Table5[[#This Row],[Total_Amount]]/(G168*(1-Table5[[#This Row],[Discount]]))</f>
        <v>4</v>
      </c>
      <c r="G168" s="5">
        <v>714.47</v>
      </c>
      <c r="H168">
        <v>0.18</v>
      </c>
      <c r="I168" t="s">
        <v>1354</v>
      </c>
      <c r="J168" s="5">
        <v>2343.4616000000001</v>
      </c>
    </row>
    <row r="169" spans="1:10">
      <c r="A169" t="s">
        <v>1518</v>
      </c>
      <c r="B169" s="7">
        <v>45866</v>
      </c>
      <c r="C169" t="s">
        <v>893</v>
      </c>
      <c r="D169" t="s">
        <v>1231</v>
      </c>
      <c r="E169" t="s">
        <v>1304</v>
      </c>
      <c r="F169">
        <f>Table5[[#This Row],[Total_Amount]]/(G169*(1-Table5[[#This Row],[Discount]]))</f>
        <v>4</v>
      </c>
      <c r="G169" s="5">
        <v>422.09</v>
      </c>
      <c r="H169">
        <v>0.04</v>
      </c>
      <c r="I169" t="s">
        <v>1349</v>
      </c>
      <c r="J169" s="5">
        <v>1620.8255999999999</v>
      </c>
    </row>
    <row r="170" spans="1:10">
      <c r="A170" t="s">
        <v>1519</v>
      </c>
      <c r="B170" s="7">
        <v>45462</v>
      </c>
      <c r="C170" t="s">
        <v>275</v>
      </c>
      <c r="D170" t="s">
        <v>1133</v>
      </c>
      <c r="E170" t="s">
        <v>1311</v>
      </c>
      <c r="F170">
        <f>Table5[[#This Row],[Total_Amount]]/(G170*(1-Table5[[#This Row],[Discount]]))</f>
        <v>1</v>
      </c>
      <c r="G170" s="5">
        <v>998.19</v>
      </c>
      <c r="H170">
        <v>0.2</v>
      </c>
      <c r="I170" t="s">
        <v>1349</v>
      </c>
      <c r="J170" s="5">
        <v>798.55200000000013</v>
      </c>
    </row>
    <row r="171" spans="1:10">
      <c r="A171" t="s">
        <v>1520</v>
      </c>
      <c r="B171" s="7">
        <v>45313</v>
      </c>
      <c r="C171" t="s">
        <v>809</v>
      </c>
      <c r="D171" t="s">
        <v>1217</v>
      </c>
      <c r="E171" t="s">
        <v>1304</v>
      </c>
      <c r="F171">
        <f>Table5[[#This Row],[Total_Amount]]/(G171*(1-Table5[[#This Row],[Discount]]))</f>
        <v>2</v>
      </c>
      <c r="G171" s="5">
        <v>343.42</v>
      </c>
      <c r="H171">
        <v>0.12</v>
      </c>
      <c r="I171" t="s">
        <v>1354</v>
      </c>
      <c r="J171" s="5">
        <v>604.41920000000005</v>
      </c>
    </row>
    <row r="172" spans="1:10">
      <c r="A172" t="s">
        <v>1521</v>
      </c>
      <c r="B172" s="7">
        <v>45390</v>
      </c>
      <c r="C172" t="s">
        <v>575</v>
      </c>
      <c r="D172" t="s">
        <v>1141</v>
      </c>
      <c r="E172" t="s">
        <v>1301</v>
      </c>
      <c r="F172">
        <f>Table5[[#This Row],[Total_Amount]]/(G172*(1-Table5[[#This Row],[Discount]]))</f>
        <v>1.0000000000000002</v>
      </c>
      <c r="G172" s="5">
        <v>152.16999999999999</v>
      </c>
      <c r="H172">
        <v>0.28000000000000003</v>
      </c>
      <c r="I172" t="s">
        <v>1354</v>
      </c>
      <c r="J172" s="5">
        <v>109.5624</v>
      </c>
    </row>
    <row r="173" spans="1:10">
      <c r="A173" t="s">
        <v>1522</v>
      </c>
      <c r="B173" s="7">
        <v>45795</v>
      </c>
      <c r="C173" t="s">
        <v>411</v>
      </c>
      <c r="D173" t="s">
        <v>1171</v>
      </c>
      <c r="E173" t="s">
        <v>1317</v>
      </c>
      <c r="F173">
        <f>Table5[[#This Row],[Total_Amount]]/(G173*(1-Table5[[#This Row],[Discount]]))</f>
        <v>1.0000000000000002</v>
      </c>
      <c r="G173" s="5">
        <v>325.08</v>
      </c>
      <c r="H173">
        <v>0.26</v>
      </c>
      <c r="I173" t="s">
        <v>1351</v>
      </c>
      <c r="J173" s="5">
        <v>240.5592</v>
      </c>
    </row>
    <row r="174" spans="1:10">
      <c r="A174" t="s">
        <v>1523</v>
      </c>
      <c r="B174" s="7">
        <v>45267</v>
      </c>
      <c r="C174" t="s">
        <v>752</v>
      </c>
      <c r="D174" t="s">
        <v>1251</v>
      </c>
      <c r="E174" t="s">
        <v>1314</v>
      </c>
      <c r="F174">
        <f>Table5[[#This Row],[Total_Amount]]/(G174*(1-Table5[[#This Row],[Discount]]))</f>
        <v>2.0000000000000004</v>
      </c>
      <c r="G174" s="5">
        <v>827.92</v>
      </c>
      <c r="H174">
        <v>0.25</v>
      </c>
      <c r="I174" t="s">
        <v>1354</v>
      </c>
      <c r="J174" s="5">
        <v>1241.8800000000001</v>
      </c>
    </row>
    <row r="175" spans="1:10">
      <c r="A175" t="s">
        <v>1524</v>
      </c>
      <c r="B175" s="7">
        <v>45314</v>
      </c>
      <c r="C175" t="s">
        <v>1031</v>
      </c>
      <c r="D175" t="s">
        <v>1125</v>
      </c>
      <c r="E175" t="s">
        <v>1286</v>
      </c>
      <c r="F175">
        <f>Table5[[#This Row],[Total_Amount]]/(G175*(1-Table5[[#This Row],[Discount]]))</f>
        <v>2</v>
      </c>
      <c r="G175" s="5">
        <v>593.47</v>
      </c>
      <c r="H175">
        <v>0.1</v>
      </c>
      <c r="I175" t="s">
        <v>1354</v>
      </c>
      <c r="J175" s="5">
        <v>1068.2460000000001</v>
      </c>
    </row>
    <row r="176" spans="1:10">
      <c r="A176" t="s">
        <v>1525</v>
      </c>
      <c r="B176" s="7">
        <v>45267</v>
      </c>
      <c r="C176" t="s">
        <v>650</v>
      </c>
      <c r="D176" t="s">
        <v>1113</v>
      </c>
      <c r="E176" t="s">
        <v>1304</v>
      </c>
      <c r="F176">
        <f>Table5[[#This Row],[Total_Amount]]/(G176*(1-Table5[[#This Row],[Discount]]))</f>
        <v>4.0000000000000009</v>
      </c>
      <c r="G176" s="5">
        <v>756.28</v>
      </c>
      <c r="H176">
        <v>0.05</v>
      </c>
      <c r="I176" t="s">
        <v>1354</v>
      </c>
      <c r="J176" s="5">
        <v>2873.864</v>
      </c>
    </row>
    <row r="177" spans="1:10">
      <c r="A177" t="s">
        <v>1526</v>
      </c>
      <c r="B177" s="7">
        <v>45641</v>
      </c>
      <c r="C177" t="s">
        <v>817</v>
      </c>
      <c r="D177" t="s">
        <v>1257</v>
      </c>
      <c r="E177" t="s">
        <v>1282</v>
      </c>
      <c r="F177">
        <f>Table5[[#This Row],[Total_Amount]]/(G177*(1-Table5[[#This Row],[Discount]]))</f>
        <v>2</v>
      </c>
      <c r="G177" s="5">
        <v>707.65</v>
      </c>
      <c r="H177">
        <v>0.14000000000000001</v>
      </c>
      <c r="I177" t="s">
        <v>1349</v>
      </c>
      <c r="J177" s="5">
        <v>1217.1579999999999</v>
      </c>
    </row>
    <row r="178" spans="1:10">
      <c r="A178" t="s">
        <v>1527</v>
      </c>
      <c r="B178" s="7">
        <v>45371</v>
      </c>
      <c r="C178" t="s">
        <v>317</v>
      </c>
      <c r="D178" t="s">
        <v>1123</v>
      </c>
      <c r="E178" t="s">
        <v>1326</v>
      </c>
      <c r="F178">
        <f>Table5[[#This Row],[Total_Amount]]/(G178*(1-Table5[[#This Row],[Discount]]))</f>
        <v>1</v>
      </c>
      <c r="G178" s="5">
        <v>857.35</v>
      </c>
      <c r="H178">
        <v>0.28000000000000003</v>
      </c>
      <c r="I178" t="s">
        <v>1351</v>
      </c>
      <c r="J178" s="5">
        <v>617.29200000000003</v>
      </c>
    </row>
    <row r="179" spans="1:10">
      <c r="A179" t="s">
        <v>1528</v>
      </c>
      <c r="B179" s="7">
        <v>45670</v>
      </c>
      <c r="C179" t="s">
        <v>1059</v>
      </c>
      <c r="D179" t="s">
        <v>1183</v>
      </c>
      <c r="E179" t="s">
        <v>1307</v>
      </c>
      <c r="F179">
        <f>Table5[[#This Row],[Total_Amount]]/(G179*(1-Table5[[#This Row],[Discount]]))</f>
        <v>1</v>
      </c>
      <c r="G179" s="5">
        <v>79</v>
      </c>
      <c r="H179">
        <v>0.04</v>
      </c>
      <c r="I179" t="s">
        <v>1351</v>
      </c>
      <c r="J179" s="5">
        <v>75.84</v>
      </c>
    </row>
    <row r="180" spans="1:10">
      <c r="A180" t="s">
        <v>1529</v>
      </c>
      <c r="B180" s="7">
        <v>45885</v>
      </c>
      <c r="C180" t="s">
        <v>180</v>
      </c>
      <c r="D180" t="s">
        <v>1261</v>
      </c>
      <c r="E180" t="s">
        <v>1298</v>
      </c>
      <c r="F180">
        <f>Table5[[#This Row],[Total_Amount]]/(G180*(1-Table5[[#This Row],[Discount]]))</f>
        <v>4</v>
      </c>
      <c r="G180" s="5">
        <v>638.91</v>
      </c>
      <c r="H180">
        <v>0</v>
      </c>
      <c r="I180" t="s">
        <v>1354</v>
      </c>
      <c r="J180" s="5">
        <v>2555.64</v>
      </c>
    </row>
    <row r="181" spans="1:10">
      <c r="A181" t="s">
        <v>1530</v>
      </c>
      <c r="B181" s="7">
        <v>45812</v>
      </c>
      <c r="C181" t="s">
        <v>216</v>
      </c>
      <c r="D181" t="s">
        <v>1163</v>
      </c>
      <c r="E181" t="s">
        <v>1277</v>
      </c>
      <c r="F181">
        <f>Table5[[#This Row],[Total_Amount]]/(G181*(1-Table5[[#This Row],[Discount]]))</f>
        <v>2</v>
      </c>
      <c r="G181" s="5">
        <v>522.16999999999996</v>
      </c>
      <c r="H181">
        <v>0.27</v>
      </c>
      <c r="I181" t="s">
        <v>1349</v>
      </c>
      <c r="J181" s="5">
        <v>762.36819999999989</v>
      </c>
    </row>
    <row r="182" spans="1:10">
      <c r="A182" t="s">
        <v>1531</v>
      </c>
      <c r="B182" s="7">
        <v>45235</v>
      </c>
      <c r="C182" t="s">
        <v>1018</v>
      </c>
      <c r="D182" t="s">
        <v>1151</v>
      </c>
      <c r="E182" t="s">
        <v>1319</v>
      </c>
      <c r="F182">
        <f>Table5[[#This Row],[Total_Amount]]/(G182*(1-Table5[[#This Row],[Discount]]))</f>
        <v>3.0000000000000004</v>
      </c>
      <c r="G182" s="5">
        <v>954.29</v>
      </c>
      <c r="H182">
        <v>0.27</v>
      </c>
      <c r="I182" t="s">
        <v>1349</v>
      </c>
      <c r="J182" s="5">
        <v>2089.8951000000002</v>
      </c>
    </row>
    <row r="183" spans="1:10">
      <c r="A183" t="s">
        <v>1532</v>
      </c>
      <c r="B183" s="7">
        <v>45710</v>
      </c>
      <c r="C183" t="s">
        <v>986</v>
      </c>
      <c r="D183" t="s">
        <v>1139</v>
      </c>
      <c r="E183" t="s">
        <v>1322</v>
      </c>
      <c r="F183">
        <f>Table5[[#This Row],[Total_Amount]]/(G183*(1-Table5[[#This Row],[Discount]]))</f>
        <v>3</v>
      </c>
      <c r="G183" s="5">
        <v>53.92</v>
      </c>
      <c r="H183">
        <v>0.15</v>
      </c>
      <c r="I183" t="s">
        <v>1351</v>
      </c>
      <c r="J183" s="5">
        <v>137.49600000000001</v>
      </c>
    </row>
    <row r="184" spans="1:10">
      <c r="A184" t="s">
        <v>1533</v>
      </c>
      <c r="B184" s="7">
        <v>45753</v>
      </c>
      <c r="C184" t="s">
        <v>855</v>
      </c>
      <c r="D184" t="s">
        <v>1141</v>
      </c>
      <c r="E184" t="s">
        <v>1277</v>
      </c>
      <c r="F184">
        <f>Table5[[#This Row],[Total_Amount]]/(G184*(1-Table5[[#This Row],[Discount]]))</f>
        <v>4.0000000000000009</v>
      </c>
      <c r="G184" s="5">
        <v>741.88</v>
      </c>
      <c r="H184">
        <v>0.02</v>
      </c>
      <c r="I184" t="s">
        <v>1354</v>
      </c>
      <c r="J184" s="5">
        <v>2908.1696000000002</v>
      </c>
    </row>
    <row r="185" spans="1:10">
      <c r="A185" t="s">
        <v>1534</v>
      </c>
      <c r="B185" s="7">
        <v>45594</v>
      </c>
      <c r="C185" t="s">
        <v>102</v>
      </c>
      <c r="D185" t="s">
        <v>1165</v>
      </c>
      <c r="E185" t="s">
        <v>1291</v>
      </c>
      <c r="F185">
        <f>Table5[[#This Row],[Total_Amount]]/(G185*(1-Table5[[#This Row],[Discount]]))</f>
        <v>1</v>
      </c>
      <c r="G185" s="5">
        <v>547.09</v>
      </c>
      <c r="H185">
        <v>0.01</v>
      </c>
      <c r="I185" t="s">
        <v>1351</v>
      </c>
      <c r="J185" s="5">
        <v>541.6191</v>
      </c>
    </row>
    <row r="186" spans="1:10">
      <c r="A186" t="s">
        <v>1535</v>
      </c>
      <c r="B186" s="7">
        <v>45686</v>
      </c>
      <c r="C186" t="s">
        <v>1039</v>
      </c>
      <c r="D186" t="s">
        <v>1251</v>
      </c>
      <c r="E186" t="s">
        <v>1291</v>
      </c>
      <c r="F186">
        <f>Table5[[#This Row],[Total_Amount]]/(G186*(1-Table5[[#This Row],[Discount]]))</f>
        <v>1</v>
      </c>
      <c r="G186" s="5">
        <v>789.35</v>
      </c>
      <c r="H186">
        <v>0.14000000000000001</v>
      </c>
      <c r="I186" t="s">
        <v>1351</v>
      </c>
      <c r="J186" s="5">
        <v>678.84100000000001</v>
      </c>
    </row>
    <row r="187" spans="1:10">
      <c r="A187" t="s">
        <v>1536</v>
      </c>
      <c r="B187" s="7">
        <v>45354</v>
      </c>
      <c r="C187" t="s">
        <v>919</v>
      </c>
      <c r="D187" t="s">
        <v>1199</v>
      </c>
      <c r="E187" t="s">
        <v>1291</v>
      </c>
      <c r="F187">
        <f>Table5[[#This Row],[Total_Amount]]/(G187*(1-Table5[[#This Row],[Discount]]))</f>
        <v>3</v>
      </c>
      <c r="G187" s="5">
        <v>476.78</v>
      </c>
      <c r="H187">
        <v>0.09</v>
      </c>
      <c r="I187" t="s">
        <v>1354</v>
      </c>
      <c r="J187" s="5">
        <v>1301.6094000000001</v>
      </c>
    </row>
    <row r="188" spans="1:10">
      <c r="A188" t="s">
        <v>1537</v>
      </c>
      <c r="B188" s="7">
        <v>45600</v>
      </c>
      <c r="C188" t="s">
        <v>969</v>
      </c>
      <c r="D188" t="s">
        <v>1231</v>
      </c>
      <c r="E188" t="s">
        <v>1335</v>
      </c>
      <c r="F188">
        <f>Table5[[#This Row],[Total_Amount]]/(G188*(1-Table5[[#This Row],[Discount]]))</f>
        <v>2</v>
      </c>
      <c r="G188" s="5">
        <v>504.26</v>
      </c>
      <c r="H188">
        <v>0.04</v>
      </c>
      <c r="I188" t="s">
        <v>1351</v>
      </c>
      <c r="J188" s="5">
        <v>968.17919999999992</v>
      </c>
    </row>
    <row r="189" spans="1:10">
      <c r="A189" t="s">
        <v>1538</v>
      </c>
      <c r="B189" s="7">
        <v>45538</v>
      </c>
      <c r="C189" t="s">
        <v>608</v>
      </c>
      <c r="D189" t="s">
        <v>1235</v>
      </c>
      <c r="E189" t="s">
        <v>1301</v>
      </c>
      <c r="F189">
        <f>Table5[[#This Row],[Total_Amount]]/(G189*(1-Table5[[#This Row],[Discount]]))</f>
        <v>1.9999999999999996</v>
      </c>
      <c r="G189" s="5">
        <v>549.33000000000004</v>
      </c>
      <c r="H189">
        <v>0.01</v>
      </c>
      <c r="I189" t="s">
        <v>1354</v>
      </c>
      <c r="J189" s="5">
        <v>1087.6733999999999</v>
      </c>
    </row>
    <row r="190" spans="1:10">
      <c r="A190" t="s">
        <v>1539</v>
      </c>
      <c r="B190" s="7">
        <v>45411</v>
      </c>
      <c r="C190" t="s">
        <v>827</v>
      </c>
      <c r="D190" t="s">
        <v>1078</v>
      </c>
      <c r="E190" t="s">
        <v>1291</v>
      </c>
      <c r="F190">
        <f>Table5[[#This Row],[Total_Amount]]/(G190*(1-Table5[[#This Row],[Discount]]))</f>
        <v>3</v>
      </c>
      <c r="G190" s="5">
        <v>620.22</v>
      </c>
      <c r="H190">
        <v>0.04</v>
      </c>
      <c r="I190" t="s">
        <v>1349</v>
      </c>
      <c r="J190" s="5">
        <v>1786.2336</v>
      </c>
    </row>
    <row r="191" spans="1:10">
      <c r="A191" t="s">
        <v>1540</v>
      </c>
      <c r="B191" s="7">
        <v>45411</v>
      </c>
      <c r="C191" t="s">
        <v>240</v>
      </c>
      <c r="D191" t="s">
        <v>1165</v>
      </c>
      <c r="E191" t="s">
        <v>1291</v>
      </c>
      <c r="F191">
        <f>Table5[[#This Row],[Total_Amount]]/(G191*(1-Table5[[#This Row],[Discount]]))</f>
        <v>1</v>
      </c>
      <c r="G191" s="5">
        <v>580.76</v>
      </c>
      <c r="H191">
        <v>0.1</v>
      </c>
      <c r="I191" t="s">
        <v>1354</v>
      </c>
      <c r="J191" s="5">
        <v>522.68399999999997</v>
      </c>
    </row>
    <row r="192" spans="1:10">
      <c r="A192" t="s">
        <v>1541</v>
      </c>
      <c r="B192" s="7">
        <v>45775</v>
      </c>
      <c r="C192" t="s">
        <v>732</v>
      </c>
      <c r="D192" t="s">
        <v>1215</v>
      </c>
      <c r="E192" t="s">
        <v>1311</v>
      </c>
      <c r="F192">
        <f>Table5[[#This Row],[Total_Amount]]/(G192*(1-Table5[[#This Row],[Discount]]))</f>
        <v>3.0000000000000004</v>
      </c>
      <c r="G192" s="5">
        <v>444.55</v>
      </c>
      <c r="H192">
        <v>0.14000000000000001</v>
      </c>
      <c r="I192" t="s">
        <v>1351</v>
      </c>
      <c r="J192" s="5">
        <v>1146.9390000000001</v>
      </c>
    </row>
    <row r="193" spans="1:10">
      <c r="A193" t="s">
        <v>1542</v>
      </c>
      <c r="B193" s="7">
        <v>45459</v>
      </c>
      <c r="C193" t="s">
        <v>337</v>
      </c>
      <c r="D193" t="s">
        <v>1165</v>
      </c>
      <c r="E193" t="s">
        <v>1335</v>
      </c>
      <c r="F193">
        <f>Table5[[#This Row],[Total_Amount]]/(G193*(1-Table5[[#This Row],[Discount]]))</f>
        <v>1</v>
      </c>
      <c r="G193" s="5">
        <v>804.9</v>
      </c>
      <c r="H193">
        <v>0.03</v>
      </c>
      <c r="I193" t="s">
        <v>1351</v>
      </c>
      <c r="J193" s="5">
        <v>780.75299999999993</v>
      </c>
    </row>
    <row r="194" spans="1:10">
      <c r="A194" t="s">
        <v>1543</v>
      </c>
      <c r="B194" s="7">
        <v>45617</v>
      </c>
      <c r="C194" t="s">
        <v>911</v>
      </c>
      <c r="D194" t="s">
        <v>1257</v>
      </c>
      <c r="E194" t="s">
        <v>1324</v>
      </c>
      <c r="F194">
        <f>Table5[[#This Row],[Total_Amount]]/(G194*(1-Table5[[#This Row],[Discount]]))</f>
        <v>3</v>
      </c>
      <c r="G194" s="5">
        <v>361.65</v>
      </c>
      <c r="H194">
        <v>0.15</v>
      </c>
      <c r="I194" t="s">
        <v>1354</v>
      </c>
      <c r="J194" s="5">
        <v>922.20749999999987</v>
      </c>
    </row>
    <row r="195" spans="1:10">
      <c r="A195" t="s">
        <v>1544</v>
      </c>
      <c r="B195" s="7">
        <v>45763</v>
      </c>
      <c r="C195" t="s">
        <v>385</v>
      </c>
      <c r="D195" t="s">
        <v>1085</v>
      </c>
      <c r="E195" t="s">
        <v>1294</v>
      </c>
      <c r="F195">
        <f>Table5[[#This Row],[Total_Amount]]/(G195*(1-Table5[[#This Row],[Discount]]))</f>
        <v>1</v>
      </c>
      <c r="G195" s="5">
        <v>271.76</v>
      </c>
      <c r="H195">
        <v>0.03</v>
      </c>
      <c r="I195" t="s">
        <v>1349</v>
      </c>
      <c r="J195" s="5">
        <v>263.60719999999998</v>
      </c>
    </row>
    <row r="196" spans="1:10">
      <c r="A196" t="s">
        <v>1545</v>
      </c>
      <c r="B196" s="7">
        <v>45618</v>
      </c>
      <c r="C196" t="s">
        <v>710</v>
      </c>
      <c r="D196" t="s">
        <v>1171</v>
      </c>
      <c r="E196" t="s">
        <v>1314</v>
      </c>
      <c r="F196">
        <f>Table5[[#This Row],[Total_Amount]]/(G196*(1-Table5[[#This Row],[Discount]]))</f>
        <v>3</v>
      </c>
      <c r="G196" s="5">
        <v>958.15</v>
      </c>
      <c r="H196">
        <v>0.24</v>
      </c>
      <c r="I196" t="s">
        <v>1354</v>
      </c>
      <c r="J196" s="5">
        <v>2184.5819999999999</v>
      </c>
    </row>
    <row r="197" spans="1:10">
      <c r="A197" t="s">
        <v>1546</v>
      </c>
      <c r="B197" s="7">
        <v>45290</v>
      </c>
      <c r="C197" t="s">
        <v>917</v>
      </c>
      <c r="D197" t="s">
        <v>1193</v>
      </c>
      <c r="E197" t="s">
        <v>1332</v>
      </c>
      <c r="F197">
        <f>Table5[[#This Row],[Total_Amount]]/(G197*(1-Table5[[#This Row],[Discount]]))</f>
        <v>1</v>
      </c>
      <c r="G197" s="5">
        <v>889.19</v>
      </c>
      <c r="H197">
        <v>0.03</v>
      </c>
      <c r="I197" t="s">
        <v>1349</v>
      </c>
      <c r="J197" s="5">
        <v>862.51430000000005</v>
      </c>
    </row>
    <row r="198" spans="1:10">
      <c r="A198" t="s">
        <v>1547</v>
      </c>
      <c r="B198" s="7">
        <v>45904</v>
      </c>
      <c r="C198" t="s">
        <v>990</v>
      </c>
      <c r="D198" t="s">
        <v>1187</v>
      </c>
      <c r="E198" t="s">
        <v>1329</v>
      </c>
      <c r="F198">
        <f>Table5[[#This Row],[Total_Amount]]/(G198*(1-Table5[[#This Row],[Discount]]))</f>
        <v>4.0000000000000009</v>
      </c>
      <c r="G198" s="5">
        <v>689.67</v>
      </c>
      <c r="H198">
        <v>0.05</v>
      </c>
      <c r="I198" t="s">
        <v>1354</v>
      </c>
      <c r="J198" s="5">
        <v>2620.7460000000001</v>
      </c>
    </row>
    <row r="199" spans="1:10">
      <c r="A199" t="s">
        <v>1548</v>
      </c>
      <c r="B199" s="7">
        <v>45227</v>
      </c>
      <c r="C199" t="s">
        <v>331</v>
      </c>
      <c r="D199" t="s">
        <v>1161</v>
      </c>
      <c r="E199" t="s">
        <v>1317</v>
      </c>
      <c r="F199">
        <f>Table5[[#This Row],[Total_Amount]]/(G199*(1-Table5[[#This Row],[Discount]]))</f>
        <v>1</v>
      </c>
      <c r="G199" s="5">
        <v>541.24</v>
      </c>
      <c r="H199">
        <v>0.03</v>
      </c>
      <c r="I199" t="s">
        <v>1351</v>
      </c>
      <c r="J199" s="5">
        <v>525.00279999999998</v>
      </c>
    </row>
    <row r="200" spans="1:10">
      <c r="A200" t="s">
        <v>1549</v>
      </c>
      <c r="B200" s="7">
        <v>45600</v>
      </c>
      <c r="C200" t="s">
        <v>959</v>
      </c>
      <c r="D200" t="s">
        <v>1235</v>
      </c>
      <c r="E200" t="s">
        <v>1301</v>
      </c>
      <c r="F200">
        <f>Table5[[#This Row],[Total_Amount]]/(G200*(1-Table5[[#This Row],[Discount]]))</f>
        <v>1</v>
      </c>
      <c r="G200" s="5">
        <v>454.71</v>
      </c>
      <c r="H200">
        <v>0.16</v>
      </c>
      <c r="I200" t="s">
        <v>1351</v>
      </c>
      <c r="J200" s="5">
        <v>381.95639999999997</v>
      </c>
    </row>
    <row r="201" spans="1:10">
      <c r="A201" t="s">
        <v>1550</v>
      </c>
      <c r="B201" s="7">
        <v>45646</v>
      </c>
      <c r="C201" t="s">
        <v>113</v>
      </c>
      <c r="D201" t="s">
        <v>1205</v>
      </c>
      <c r="E201" t="s">
        <v>1298</v>
      </c>
      <c r="F201">
        <f>Table5[[#This Row],[Total_Amount]]/(G201*(1-Table5[[#This Row],[Discount]]))</f>
        <v>2</v>
      </c>
      <c r="G201" s="5">
        <v>397.63</v>
      </c>
      <c r="H201">
        <v>0.26</v>
      </c>
      <c r="I201" t="s">
        <v>1349</v>
      </c>
      <c r="J201" s="5">
        <v>588.49239999999998</v>
      </c>
    </row>
    <row r="202" spans="1:10">
      <c r="A202" t="s">
        <v>1551</v>
      </c>
      <c r="B202" s="7">
        <v>45725</v>
      </c>
      <c r="C202" t="s">
        <v>401</v>
      </c>
      <c r="D202" t="s">
        <v>1239</v>
      </c>
      <c r="E202" t="s">
        <v>1301</v>
      </c>
      <c r="F202">
        <f>Table5[[#This Row],[Total_Amount]]/(G202*(1-Table5[[#This Row],[Discount]]))</f>
        <v>3</v>
      </c>
      <c r="G202" s="5">
        <v>748.56</v>
      </c>
      <c r="H202">
        <v>0.26</v>
      </c>
      <c r="I202" t="s">
        <v>1351</v>
      </c>
      <c r="J202" s="5">
        <v>1661.8032000000001</v>
      </c>
    </row>
    <row r="203" spans="1:10">
      <c r="A203" t="s">
        <v>1552</v>
      </c>
      <c r="B203" s="7">
        <v>45742</v>
      </c>
      <c r="C203" t="s">
        <v>349</v>
      </c>
      <c r="D203" t="s">
        <v>1139</v>
      </c>
      <c r="E203" t="s">
        <v>1294</v>
      </c>
      <c r="F203">
        <f>Table5[[#This Row],[Total_Amount]]/(G203*(1-Table5[[#This Row],[Discount]]))</f>
        <v>1</v>
      </c>
      <c r="G203" s="5">
        <v>885.72</v>
      </c>
      <c r="H203">
        <v>0.15</v>
      </c>
      <c r="I203" t="s">
        <v>1349</v>
      </c>
      <c r="J203" s="5">
        <v>752.86199999999997</v>
      </c>
    </row>
    <row r="204" spans="1:10">
      <c r="A204" t="s">
        <v>1553</v>
      </c>
      <c r="B204" s="7">
        <v>45750</v>
      </c>
      <c r="C204" t="s">
        <v>275</v>
      </c>
      <c r="D204" t="s">
        <v>1197</v>
      </c>
      <c r="E204" t="s">
        <v>1282</v>
      </c>
      <c r="F204">
        <f>Table5[[#This Row],[Total_Amount]]/(G204*(1-Table5[[#This Row],[Discount]]))</f>
        <v>4.0000000000000009</v>
      </c>
      <c r="G204" s="5">
        <v>408.07</v>
      </c>
      <c r="H204">
        <v>0.28000000000000003</v>
      </c>
      <c r="I204" t="s">
        <v>1354</v>
      </c>
      <c r="J204" s="5">
        <v>1175.2416000000001</v>
      </c>
    </row>
    <row r="205" spans="1:10">
      <c r="A205" t="s">
        <v>1554</v>
      </c>
      <c r="B205" s="7">
        <v>45327</v>
      </c>
      <c r="C205" t="s">
        <v>1006</v>
      </c>
      <c r="D205" t="s">
        <v>1141</v>
      </c>
      <c r="E205" t="s">
        <v>1311</v>
      </c>
      <c r="F205">
        <f>Table5[[#This Row],[Total_Amount]]/(G205*(1-Table5[[#This Row],[Discount]]))</f>
        <v>2</v>
      </c>
      <c r="G205" s="5">
        <v>597.07000000000005</v>
      </c>
      <c r="H205">
        <v>0.28000000000000003</v>
      </c>
      <c r="I205" t="s">
        <v>1351</v>
      </c>
      <c r="J205" s="5">
        <v>859.7808</v>
      </c>
    </row>
    <row r="206" spans="1:10">
      <c r="A206" t="s">
        <v>1555</v>
      </c>
      <c r="B206" s="7">
        <v>45465</v>
      </c>
      <c r="C206" t="s">
        <v>75</v>
      </c>
      <c r="D206" t="s">
        <v>1207</v>
      </c>
      <c r="E206" t="s">
        <v>1311</v>
      </c>
      <c r="F206">
        <f>Table5[[#This Row],[Total_Amount]]/(G206*(1-Table5[[#This Row],[Discount]]))</f>
        <v>3</v>
      </c>
      <c r="G206" s="5">
        <v>723.47</v>
      </c>
      <c r="H206">
        <v>0.12</v>
      </c>
      <c r="I206" t="s">
        <v>1354</v>
      </c>
      <c r="J206" s="5">
        <v>1909.9608000000001</v>
      </c>
    </row>
    <row r="207" spans="1:10">
      <c r="A207" t="s">
        <v>1556</v>
      </c>
      <c r="B207" s="7">
        <v>45883</v>
      </c>
      <c r="C207" t="s">
        <v>937</v>
      </c>
      <c r="D207" t="s">
        <v>1249</v>
      </c>
      <c r="E207" t="s">
        <v>1298</v>
      </c>
      <c r="F207">
        <f>Table5[[#This Row],[Total_Amount]]/(G207*(1-Table5[[#This Row],[Discount]]))</f>
        <v>0.99999999999999989</v>
      </c>
      <c r="G207" s="5">
        <v>479.93</v>
      </c>
      <c r="H207">
        <v>0.22</v>
      </c>
      <c r="I207" t="s">
        <v>1349</v>
      </c>
      <c r="J207" s="5">
        <v>374.34539999999998</v>
      </c>
    </row>
    <row r="208" spans="1:10">
      <c r="A208" t="s">
        <v>1557</v>
      </c>
      <c r="B208" s="7">
        <v>45445</v>
      </c>
      <c r="C208" t="s">
        <v>549</v>
      </c>
      <c r="D208" t="s">
        <v>1141</v>
      </c>
      <c r="E208" t="s">
        <v>1329</v>
      </c>
      <c r="F208">
        <f>Table5[[#This Row],[Total_Amount]]/(G208*(1-Table5[[#This Row],[Discount]]))</f>
        <v>3.9999999999999991</v>
      </c>
      <c r="G208" s="5">
        <v>362.81</v>
      </c>
      <c r="H208">
        <v>0.21</v>
      </c>
      <c r="I208" t="s">
        <v>1354</v>
      </c>
      <c r="J208" s="5">
        <v>1146.4795999999999</v>
      </c>
    </row>
    <row r="209" spans="1:10">
      <c r="A209" t="s">
        <v>1558</v>
      </c>
      <c r="B209" s="7">
        <v>45640</v>
      </c>
      <c r="C209" t="s">
        <v>432</v>
      </c>
      <c r="D209" t="s">
        <v>1231</v>
      </c>
      <c r="E209" t="s">
        <v>1291</v>
      </c>
      <c r="F209">
        <f>Table5[[#This Row],[Total_Amount]]/(G209*(1-Table5[[#This Row],[Discount]]))</f>
        <v>1</v>
      </c>
      <c r="G209" s="5">
        <v>127.11</v>
      </c>
      <c r="H209">
        <v>0.01</v>
      </c>
      <c r="I209" t="s">
        <v>1351</v>
      </c>
      <c r="J209" s="5">
        <v>125.8389</v>
      </c>
    </row>
    <row r="210" spans="1:10">
      <c r="A210" t="s">
        <v>1559</v>
      </c>
      <c r="B210" s="7">
        <v>45411</v>
      </c>
      <c r="C210" t="s">
        <v>430</v>
      </c>
      <c r="D210" t="s">
        <v>1141</v>
      </c>
      <c r="E210" t="s">
        <v>1332</v>
      </c>
      <c r="F210">
        <f>Table5[[#This Row],[Total_Amount]]/(G210*(1-Table5[[#This Row],[Discount]]))</f>
        <v>4</v>
      </c>
      <c r="G210" s="5">
        <v>931.26</v>
      </c>
      <c r="H210">
        <v>0.04</v>
      </c>
      <c r="I210" t="s">
        <v>1349</v>
      </c>
      <c r="J210" s="5">
        <v>3576.0383999999999</v>
      </c>
    </row>
    <row r="211" spans="1:10">
      <c r="A211" t="s">
        <v>1560</v>
      </c>
      <c r="B211" s="7">
        <v>45224</v>
      </c>
      <c r="C211" t="s">
        <v>805</v>
      </c>
      <c r="D211" t="s">
        <v>1207</v>
      </c>
      <c r="E211" t="s">
        <v>1307</v>
      </c>
      <c r="F211">
        <f>Table5[[#This Row],[Total_Amount]]/(G211*(1-Table5[[#This Row],[Discount]]))</f>
        <v>1</v>
      </c>
      <c r="G211" s="5">
        <v>620.80999999999995</v>
      </c>
      <c r="H211">
        <v>0.04</v>
      </c>
      <c r="I211" t="s">
        <v>1351</v>
      </c>
      <c r="J211" s="5">
        <v>595.97759999999994</v>
      </c>
    </row>
    <row r="212" spans="1:10">
      <c r="A212" t="s">
        <v>1561</v>
      </c>
      <c r="B212" s="7">
        <v>45497</v>
      </c>
      <c r="C212" t="s">
        <v>246</v>
      </c>
      <c r="D212" t="s">
        <v>1173</v>
      </c>
      <c r="E212" t="s">
        <v>1286</v>
      </c>
      <c r="F212">
        <f>Table5[[#This Row],[Total_Amount]]/(G212*(1-Table5[[#This Row],[Discount]]))</f>
        <v>1</v>
      </c>
      <c r="G212" s="5">
        <v>823.26</v>
      </c>
      <c r="H212">
        <v>0.27</v>
      </c>
      <c r="I212" t="s">
        <v>1354</v>
      </c>
      <c r="J212" s="5">
        <v>600.97979999999995</v>
      </c>
    </row>
    <row r="213" spans="1:10">
      <c r="A213" t="s">
        <v>1562</v>
      </c>
      <c r="B213" s="7">
        <v>45807</v>
      </c>
      <c r="C213" t="s">
        <v>47</v>
      </c>
      <c r="D213" t="s">
        <v>1127</v>
      </c>
      <c r="E213" t="s">
        <v>1307</v>
      </c>
      <c r="F213">
        <f>Table5[[#This Row],[Total_Amount]]/(G213*(1-Table5[[#This Row],[Discount]]))</f>
        <v>3.0000000000000004</v>
      </c>
      <c r="G213" s="5">
        <v>681.01</v>
      </c>
      <c r="H213">
        <v>0.27</v>
      </c>
      <c r="I213" t="s">
        <v>1354</v>
      </c>
      <c r="J213" s="5">
        <v>1491.4119000000001</v>
      </c>
    </row>
    <row r="214" spans="1:10">
      <c r="A214" t="s">
        <v>1563</v>
      </c>
      <c r="B214" s="7">
        <v>45942</v>
      </c>
      <c r="C214" t="s">
        <v>947</v>
      </c>
      <c r="D214" t="s">
        <v>1185</v>
      </c>
      <c r="E214" t="s">
        <v>1338</v>
      </c>
      <c r="F214">
        <f>Table5[[#This Row],[Total_Amount]]/(G214*(1-Table5[[#This Row],[Discount]]))</f>
        <v>4</v>
      </c>
      <c r="G214" s="5">
        <v>119.83</v>
      </c>
      <c r="H214">
        <v>0.13</v>
      </c>
      <c r="I214" t="s">
        <v>1349</v>
      </c>
      <c r="J214" s="5">
        <v>417.00839999999999</v>
      </c>
    </row>
    <row r="215" spans="1:10">
      <c r="A215" t="s">
        <v>1564</v>
      </c>
      <c r="B215" s="7">
        <v>45314</v>
      </c>
      <c r="C215" t="s">
        <v>678</v>
      </c>
      <c r="D215" t="s">
        <v>1229</v>
      </c>
      <c r="E215" t="s">
        <v>1286</v>
      </c>
      <c r="F215">
        <f>Table5[[#This Row],[Total_Amount]]/(G215*(1-Table5[[#This Row],[Discount]]))</f>
        <v>1</v>
      </c>
      <c r="G215" s="5">
        <v>575.66</v>
      </c>
      <c r="H215">
        <v>0.03</v>
      </c>
      <c r="I215" t="s">
        <v>1351</v>
      </c>
      <c r="J215" s="5">
        <v>558.39019999999994</v>
      </c>
    </row>
    <row r="216" spans="1:10">
      <c r="A216" t="s">
        <v>1565</v>
      </c>
      <c r="B216" s="7">
        <v>45943</v>
      </c>
      <c r="C216" t="s">
        <v>460</v>
      </c>
      <c r="D216" t="s">
        <v>1169</v>
      </c>
      <c r="E216" t="s">
        <v>1329</v>
      </c>
      <c r="F216">
        <f>Table5[[#This Row],[Total_Amount]]/(G216*(1-Table5[[#This Row],[Discount]]))</f>
        <v>1</v>
      </c>
      <c r="G216" s="5">
        <v>775.84</v>
      </c>
      <c r="H216">
        <v>0.26</v>
      </c>
      <c r="I216" t="s">
        <v>1349</v>
      </c>
      <c r="J216" s="5">
        <v>574.12160000000006</v>
      </c>
    </row>
    <row r="217" spans="1:10">
      <c r="A217" t="s">
        <v>1566</v>
      </c>
      <c r="B217" s="7">
        <v>45356</v>
      </c>
      <c r="C217" t="s">
        <v>949</v>
      </c>
      <c r="D217" t="s">
        <v>1101</v>
      </c>
      <c r="E217" t="s">
        <v>1311</v>
      </c>
      <c r="F217">
        <f>Table5[[#This Row],[Total_Amount]]/(G217*(1-Table5[[#This Row],[Discount]]))</f>
        <v>3</v>
      </c>
      <c r="G217" s="5">
        <v>318.43</v>
      </c>
      <c r="H217">
        <v>0.05</v>
      </c>
      <c r="I217" t="s">
        <v>1349</v>
      </c>
      <c r="J217" s="5">
        <v>907.52549999999997</v>
      </c>
    </row>
    <row r="218" spans="1:10">
      <c r="A218" t="s">
        <v>1567</v>
      </c>
      <c r="B218" s="7">
        <v>45854</v>
      </c>
      <c r="C218" t="s">
        <v>367</v>
      </c>
      <c r="D218" t="s">
        <v>1217</v>
      </c>
      <c r="E218" t="s">
        <v>1307</v>
      </c>
      <c r="F218">
        <f>Table5[[#This Row],[Total_Amount]]/(G218*(1-Table5[[#This Row],[Discount]]))</f>
        <v>3</v>
      </c>
      <c r="G218" s="5">
        <v>141.6</v>
      </c>
      <c r="H218">
        <v>0.08</v>
      </c>
      <c r="I218" t="s">
        <v>1354</v>
      </c>
      <c r="J218" s="5">
        <v>390.81599999999997</v>
      </c>
    </row>
    <row r="219" spans="1:10">
      <c r="A219" t="s">
        <v>1568</v>
      </c>
      <c r="B219" s="7">
        <v>45219</v>
      </c>
      <c r="C219" t="s">
        <v>596</v>
      </c>
      <c r="D219" t="s">
        <v>1103</v>
      </c>
      <c r="E219" t="s">
        <v>1338</v>
      </c>
      <c r="F219">
        <f>Table5[[#This Row],[Total_Amount]]/(G219*(1-Table5[[#This Row],[Discount]]))</f>
        <v>1</v>
      </c>
      <c r="G219" s="5">
        <v>332.82</v>
      </c>
      <c r="H219">
        <v>0.14000000000000001</v>
      </c>
      <c r="I219" t="s">
        <v>1351</v>
      </c>
      <c r="J219" s="5">
        <v>286.22519999999997</v>
      </c>
    </row>
    <row r="220" spans="1:10">
      <c r="A220" t="s">
        <v>1569</v>
      </c>
      <c r="B220" s="7">
        <v>45447</v>
      </c>
      <c r="C220" t="s">
        <v>555</v>
      </c>
      <c r="D220" t="s">
        <v>1217</v>
      </c>
      <c r="E220" t="s">
        <v>1282</v>
      </c>
      <c r="F220">
        <f>Table5[[#This Row],[Total_Amount]]/(G220*(1-Table5[[#This Row],[Discount]]))</f>
        <v>4</v>
      </c>
      <c r="G220" s="5">
        <v>640.97</v>
      </c>
      <c r="H220">
        <v>0.11</v>
      </c>
      <c r="I220" t="s">
        <v>1354</v>
      </c>
      <c r="J220" s="5">
        <v>2281.8532</v>
      </c>
    </row>
    <row r="221" spans="1:10">
      <c r="A221" t="s">
        <v>1570</v>
      </c>
      <c r="B221" s="7">
        <v>45225</v>
      </c>
      <c r="C221" t="s">
        <v>468</v>
      </c>
      <c r="D221" t="s">
        <v>1253</v>
      </c>
      <c r="E221" t="s">
        <v>1326</v>
      </c>
      <c r="F221">
        <f>Table5[[#This Row],[Total_Amount]]/(G221*(1-Table5[[#This Row],[Discount]]))</f>
        <v>4</v>
      </c>
      <c r="G221" s="5">
        <v>75.37</v>
      </c>
      <c r="H221">
        <v>0.02</v>
      </c>
      <c r="I221" t="s">
        <v>1354</v>
      </c>
      <c r="J221" s="5">
        <v>295.4504</v>
      </c>
    </row>
    <row r="222" spans="1:10">
      <c r="A222" t="s">
        <v>1571</v>
      </c>
      <c r="B222" s="7">
        <v>45754</v>
      </c>
      <c r="C222" t="s">
        <v>202</v>
      </c>
      <c r="D222" t="s">
        <v>1105</v>
      </c>
      <c r="E222" t="s">
        <v>1335</v>
      </c>
      <c r="F222">
        <f>Table5[[#This Row],[Total_Amount]]/(G222*(1-Table5[[#This Row],[Discount]]))</f>
        <v>3</v>
      </c>
      <c r="G222" s="5">
        <v>434.55</v>
      </c>
      <c r="H222">
        <v>0.08</v>
      </c>
      <c r="I222" t="s">
        <v>1354</v>
      </c>
      <c r="J222" s="5">
        <v>1199.3579999999999</v>
      </c>
    </row>
    <row r="223" spans="1:10">
      <c r="A223" t="s">
        <v>1572</v>
      </c>
      <c r="B223" s="7">
        <v>45729</v>
      </c>
      <c r="C223" t="s">
        <v>256</v>
      </c>
      <c r="D223" t="s">
        <v>1125</v>
      </c>
      <c r="E223" t="s">
        <v>1324</v>
      </c>
      <c r="F223">
        <f>Table5[[#This Row],[Total_Amount]]/(G223*(1-Table5[[#This Row],[Discount]]))</f>
        <v>4</v>
      </c>
      <c r="G223" s="5">
        <v>652.28</v>
      </c>
      <c r="H223">
        <v>0.15</v>
      </c>
      <c r="I223" t="s">
        <v>1349</v>
      </c>
      <c r="J223" s="5">
        <v>2217.752</v>
      </c>
    </row>
    <row r="224" spans="1:10">
      <c r="A224" t="s">
        <v>1573</v>
      </c>
      <c r="B224" s="7">
        <v>45480</v>
      </c>
      <c r="C224" t="s">
        <v>602</v>
      </c>
      <c r="D224" t="s">
        <v>1225</v>
      </c>
      <c r="E224" t="s">
        <v>1332</v>
      </c>
      <c r="F224">
        <f>Table5[[#This Row],[Total_Amount]]/(G224*(1-Table5[[#This Row],[Discount]]))</f>
        <v>3.0000000000000004</v>
      </c>
      <c r="G224" s="5">
        <v>207.8</v>
      </c>
      <c r="H224">
        <v>0.15</v>
      </c>
      <c r="I224" t="s">
        <v>1349</v>
      </c>
      <c r="J224" s="5">
        <v>529.8900000000001</v>
      </c>
    </row>
    <row r="225" spans="1:10">
      <c r="A225" t="s">
        <v>1574</v>
      </c>
      <c r="B225" s="7">
        <v>45361</v>
      </c>
      <c r="C225" t="s">
        <v>1051</v>
      </c>
      <c r="D225" t="s">
        <v>1195</v>
      </c>
      <c r="E225" t="s">
        <v>1326</v>
      </c>
      <c r="F225">
        <f>Table5[[#This Row],[Total_Amount]]/(G225*(1-Table5[[#This Row],[Discount]]))</f>
        <v>4</v>
      </c>
      <c r="G225" s="5">
        <v>385.5</v>
      </c>
      <c r="H225">
        <v>0.03</v>
      </c>
      <c r="I225" t="s">
        <v>1351</v>
      </c>
      <c r="J225" s="5">
        <v>1495.74</v>
      </c>
    </row>
    <row r="226" spans="1:10">
      <c r="A226" t="s">
        <v>1575</v>
      </c>
      <c r="B226" s="7">
        <v>45915</v>
      </c>
      <c r="C226" t="s">
        <v>250</v>
      </c>
      <c r="D226" t="s">
        <v>1203</v>
      </c>
      <c r="E226" t="s">
        <v>1301</v>
      </c>
      <c r="F226">
        <f>Table5[[#This Row],[Total_Amount]]/(G226*(1-Table5[[#This Row],[Discount]]))</f>
        <v>3</v>
      </c>
      <c r="G226" s="5">
        <v>548.19000000000005</v>
      </c>
      <c r="H226">
        <v>0.12</v>
      </c>
      <c r="I226" t="s">
        <v>1349</v>
      </c>
      <c r="J226" s="5">
        <v>1447.2216000000001</v>
      </c>
    </row>
    <row r="227" spans="1:10">
      <c r="A227" t="s">
        <v>1576</v>
      </c>
      <c r="B227" s="7">
        <v>45607</v>
      </c>
      <c r="C227" t="s">
        <v>188</v>
      </c>
      <c r="D227" t="s">
        <v>1219</v>
      </c>
      <c r="E227" t="s">
        <v>1311</v>
      </c>
      <c r="F227">
        <f>Table5[[#This Row],[Total_Amount]]/(G227*(1-Table5[[#This Row],[Discount]]))</f>
        <v>2.9999999999999996</v>
      </c>
      <c r="G227" s="5">
        <v>927.6</v>
      </c>
      <c r="H227">
        <v>0.09</v>
      </c>
      <c r="I227" t="s">
        <v>1349</v>
      </c>
      <c r="J227" s="5">
        <v>2532.348</v>
      </c>
    </row>
    <row r="228" spans="1:10">
      <c r="A228" t="s">
        <v>1577</v>
      </c>
      <c r="B228" s="7">
        <v>45666</v>
      </c>
      <c r="C228" t="s">
        <v>596</v>
      </c>
      <c r="D228" t="s">
        <v>1195</v>
      </c>
      <c r="E228" t="s">
        <v>1291</v>
      </c>
      <c r="F228">
        <f>Table5[[#This Row],[Total_Amount]]/(G228*(1-Table5[[#This Row],[Discount]]))</f>
        <v>4.0000000000000009</v>
      </c>
      <c r="G228" s="5">
        <v>585.04</v>
      </c>
      <c r="H228">
        <v>0.22</v>
      </c>
      <c r="I228" t="s">
        <v>1351</v>
      </c>
      <c r="J228" s="5">
        <v>1825.3248000000001</v>
      </c>
    </row>
    <row r="229" spans="1:10">
      <c r="A229" t="s">
        <v>1578</v>
      </c>
      <c r="B229" s="7">
        <v>45406</v>
      </c>
      <c r="C229" t="s">
        <v>1059</v>
      </c>
      <c r="D229" t="s">
        <v>1151</v>
      </c>
      <c r="E229" t="s">
        <v>1286</v>
      </c>
      <c r="F229">
        <f>Table5[[#This Row],[Total_Amount]]/(G229*(1-Table5[[#This Row],[Discount]]))</f>
        <v>2</v>
      </c>
      <c r="G229" s="5">
        <v>999.89</v>
      </c>
      <c r="H229">
        <v>0.09</v>
      </c>
      <c r="I229" t="s">
        <v>1349</v>
      </c>
      <c r="J229" s="5">
        <v>1819.7998</v>
      </c>
    </row>
    <row r="230" spans="1:10">
      <c r="A230" t="s">
        <v>1579</v>
      </c>
      <c r="B230" s="7">
        <v>45284</v>
      </c>
      <c r="C230" t="s">
        <v>273</v>
      </c>
      <c r="D230" t="s">
        <v>1223</v>
      </c>
      <c r="E230" t="s">
        <v>1291</v>
      </c>
      <c r="F230">
        <f>Table5[[#This Row],[Total_Amount]]/(G230*(1-Table5[[#This Row],[Discount]]))</f>
        <v>2</v>
      </c>
      <c r="G230" s="5">
        <v>848.98</v>
      </c>
      <c r="H230">
        <v>0.04</v>
      </c>
      <c r="I230" t="s">
        <v>1351</v>
      </c>
      <c r="J230" s="5">
        <v>1630.0416</v>
      </c>
    </row>
    <row r="231" spans="1:10">
      <c r="A231" t="s">
        <v>1580</v>
      </c>
      <c r="B231" s="7">
        <v>45348</v>
      </c>
      <c r="C231" t="s">
        <v>345</v>
      </c>
      <c r="D231" t="s">
        <v>1193</v>
      </c>
      <c r="E231" t="s">
        <v>1324</v>
      </c>
      <c r="F231">
        <f>Table5[[#This Row],[Total_Amount]]/(G231*(1-Table5[[#This Row],[Discount]]))</f>
        <v>3</v>
      </c>
      <c r="G231" s="5">
        <v>769.56</v>
      </c>
      <c r="H231">
        <v>0.08</v>
      </c>
      <c r="I231" t="s">
        <v>1349</v>
      </c>
      <c r="J231" s="5">
        <v>2123.9856</v>
      </c>
    </row>
    <row r="232" spans="1:10">
      <c r="A232" t="s">
        <v>1581</v>
      </c>
      <c r="B232" s="7">
        <v>45676</v>
      </c>
      <c r="C232" t="s">
        <v>140</v>
      </c>
      <c r="D232" t="s">
        <v>1169</v>
      </c>
      <c r="E232" t="s">
        <v>1322</v>
      </c>
      <c r="F232">
        <f>Table5[[#This Row],[Total_Amount]]/(G232*(1-Table5[[#This Row],[Discount]]))</f>
        <v>3</v>
      </c>
      <c r="G232" s="5">
        <v>449.88</v>
      </c>
      <c r="H232">
        <v>0.1</v>
      </c>
      <c r="I232" t="s">
        <v>1351</v>
      </c>
      <c r="J232" s="5">
        <v>1214.6759999999999</v>
      </c>
    </row>
    <row r="233" spans="1:10">
      <c r="A233" t="s">
        <v>1582</v>
      </c>
      <c r="B233" s="7">
        <v>45863</v>
      </c>
      <c r="C233" t="s">
        <v>614</v>
      </c>
      <c r="D233" t="s">
        <v>1211</v>
      </c>
      <c r="E233" t="s">
        <v>1319</v>
      </c>
      <c r="F233">
        <f>Table5[[#This Row],[Total_Amount]]/(G233*(1-Table5[[#This Row],[Discount]]))</f>
        <v>4</v>
      </c>
      <c r="G233" s="5">
        <v>383.74</v>
      </c>
      <c r="H233">
        <v>0.01</v>
      </c>
      <c r="I233" t="s">
        <v>1349</v>
      </c>
      <c r="J233" s="5">
        <v>1519.6104</v>
      </c>
    </row>
    <row r="234" spans="1:10">
      <c r="A234" t="s">
        <v>1583</v>
      </c>
      <c r="B234" s="7">
        <v>45409</v>
      </c>
      <c r="C234" t="s">
        <v>357</v>
      </c>
      <c r="D234" t="s">
        <v>1189</v>
      </c>
      <c r="E234" t="s">
        <v>1314</v>
      </c>
      <c r="F234">
        <f>Table5[[#This Row],[Total_Amount]]/(G234*(1-Table5[[#This Row],[Discount]]))</f>
        <v>3.9999999999999991</v>
      </c>
      <c r="G234" s="5">
        <v>794.97</v>
      </c>
      <c r="H234">
        <v>0.24</v>
      </c>
      <c r="I234" t="s">
        <v>1351</v>
      </c>
      <c r="J234" s="5">
        <v>2416.7087999999999</v>
      </c>
    </row>
    <row r="235" spans="1:10">
      <c r="A235" t="s">
        <v>1584</v>
      </c>
      <c r="B235" s="7">
        <v>45880</v>
      </c>
      <c r="C235" t="s">
        <v>42</v>
      </c>
      <c r="D235" t="s">
        <v>1231</v>
      </c>
      <c r="E235" t="s">
        <v>1298</v>
      </c>
      <c r="F235">
        <f>Table5[[#This Row],[Total_Amount]]/(G235*(1-Table5[[#This Row],[Discount]]))</f>
        <v>1</v>
      </c>
      <c r="G235" s="5">
        <v>989.63</v>
      </c>
      <c r="H235">
        <v>0.05</v>
      </c>
      <c r="I235" t="s">
        <v>1351</v>
      </c>
      <c r="J235" s="5">
        <v>940.1484999999999</v>
      </c>
    </row>
    <row r="236" spans="1:10">
      <c r="A236" t="s">
        <v>1585</v>
      </c>
      <c r="B236" s="7">
        <v>45731</v>
      </c>
      <c r="C236" t="s">
        <v>734</v>
      </c>
      <c r="D236" t="s">
        <v>1181</v>
      </c>
      <c r="E236" t="s">
        <v>1277</v>
      </c>
      <c r="F236">
        <f>Table5[[#This Row],[Total_Amount]]/(G236*(1-Table5[[#This Row],[Discount]]))</f>
        <v>1</v>
      </c>
      <c r="G236" s="5">
        <v>447.16</v>
      </c>
      <c r="H236">
        <v>0.22</v>
      </c>
      <c r="I236" t="s">
        <v>1354</v>
      </c>
      <c r="J236" s="5">
        <v>348.78480000000002</v>
      </c>
    </row>
    <row r="237" spans="1:10">
      <c r="A237" t="s">
        <v>1586</v>
      </c>
      <c r="B237" s="7">
        <v>45671</v>
      </c>
      <c r="C237" t="s">
        <v>36</v>
      </c>
      <c r="D237" t="s">
        <v>1261</v>
      </c>
      <c r="E237" t="s">
        <v>1301</v>
      </c>
      <c r="F237">
        <f>Table5[[#This Row],[Total_Amount]]/(G237*(1-Table5[[#This Row],[Discount]]))</f>
        <v>1</v>
      </c>
      <c r="G237" s="5">
        <v>946.9</v>
      </c>
      <c r="H237">
        <v>0.28999999999999998</v>
      </c>
      <c r="I237" t="s">
        <v>1354</v>
      </c>
      <c r="J237" s="5">
        <v>672.29899999999998</v>
      </c>
    </row>
    <row r="238" spans="1:10">
      <c r="A238" t="s">
        <v>1587</v>
      </c>
      <c r="B238" s="7">
        <v>45809</v>
      </c>
      <c r="C238" t="s">
        <v>399</v>
      </c>
      <c r="D238" t="s">
        <v>1107</v>
      </c>
      <c r="E238" t="s">
        <v>1277</v>
      </c>
      <c r="F238">
        <f>Table5[[#This Row],[Total_Amount]]/(G238*(1-Table5[[#This Row],[Discount]]))</f>
        <v>4</v>
      </c>
      <c r="G238" s="5">
        <v>469.68</v>
      </c>
      <c r="H238">
        <v>0.19</v>
      </c>
      <c r="I238" t="s">
        <v>1349</v>
      </c>
      <c r="J238" s="5">
        <v>1521.7632000000001</v>
      </c>
    </row>
    <row r="239" spans="1:10">
      <c r="A239" t="s">
        <v>1588</v>
      </c>
      <c r="B239" s="7">
        <v>45559</v>
      </c>
      <c r="C239" t="s">
        <v>1049</v>
      </c>
      <c r="D239" t="s">
        <v>1129</v>
      </c>
      <c r="E239" t="s">
        <v>1332</v>
      </c>
      <c r="F239">
        <f>Table5[[#This Row],[Total_Amount]]/(G239*(1-Table5[[#This Row],[Discount]]))</f>
        <v>4</v>
      </c>
      <c r="G239" s="5">
        <v>320.64</v>
      </c>
      <c r="H239">
        <v>0.2</v>
      </c>
      <c r="I239" t="s">
        <v>1354</v>
      </c>
      <c r="J239" s="5">
        <v>1026.048</v>
      </c>
    </row>
    <row r="240" spans="1:10">
      <c r="A240" t="s">
        <v>1589</v>
      </c>
      <c r="B240" s="7">
        <v>45253</v>
      </c>
      <c r="C240" t="s">
        <v>331</v>
      </c>
      <c r="D240" t="s">
        <v>1103</v>
      </c>
      <c r="E240" t="s">
        <v>1298</v>
      </c>
      <c r="F240">
        <f>Table5[[#This Row],[Total_Amount]]/(G240*(1-Table5[[#This Row],[Discount]]))</f>
        <v>0.99999999999999989</v>
      </c>
      <c r="G240" s="5">
        <v>594.44000000000005</v>
      </c>
      <c r="H240">
        <v>0.21</v>
      </c>
      <c r="I240" t="s">
        <v>1349</v>
      </c>
      <c r="J240" s="5">
        <v>469.60759999999999</v>
      </c>
    </row>
    <row r="241" spans="1:10">
      <c r="A241" t="s">
        <v>1590</v>
      </c>
      <c r="B241" s="7">
        <v>45861</v>
      </c>
      <c r="C241" t="s">
        <v>494</v>
      </c>
      <c r="D241" t="s">
        <v>1245</v>
      </c>
      <c r="E241" t="s">
        <v>1307</v>
      </c>
      <c r="F241">
        <f>Table5[[#This Row],[Total_Amount]]/(G241*(1-Table5[[#This Row],[Discount]]))</f>
        <v>3</v>
      </c>
      <c r="G241" s="5">
        <v>91.7</v>
      </c>
      <c r="H241">
        <v>0.08</v>
      </c>
      <c r="I241" t="s">
        <v>1354</v>
      </c>
      <c r="J241" s="5">
        <v>253.09200000000001</v>
      </c>
    </row>
    <row r="242" spans="1:10">
      <c r="A242" t="s">
        <v>1591</v>
      </c>
      <c r="B242" s="7">
        <v>45917</v>
      </c>
      <c r="C242" t="s">
        <v>96</v>
      </c>
      <c r="D242" t="s">
        <v>1197</v>
      </c>
      <c r="E242" t="s">
        <v>1319</v>
      </c>
      <c r="F242">
        <f>Table5[[#This Row],[Total_Amount]]/(G242*(1-Table5[[#This Row],[Discount]]))</f>
        <v>3</v>
      </c>
      <c r="G242" s="5">
        <v>741.33</v>
      </c>
      <c r="H242">
        <v>0.03</v>
      </c>
      <c r="I242" t="s">
        <v>1349</v>
      </c>
      <c r="J242" s="5">
        <v>2157.2703000000001</v>
      </c>
    </row>
    <row r="243" spans="1:10">
      <c r="A243" t="s">
        <v>1592</v>
      </c>
      <c r="B243" s="7">
        <v>45754</v>
      </c>
      <c r="C243" t="s">
        <v>1014</v>
      </c>
      <c r="D243" t="s">
        <v>1105</v>
      </c>
      <c r="E243" t="s">
        <v>1338</v>
      </c>
      <c r="F243">
        <f>Table5[[#This Row],[Total_Amount]]/(G243*(1-Table5[[#This Row],[Discount]]))</f>
        <v>1</v>
      </c>
      <c r="G243" s="5">
        <v>922.78</v>
      </c>
      <c r="H243">
        <v>0.28999999999999998</v>
      </c>
      <c r="I243" t="s">
        <v>1354</v>
      </c>
      <c r="J243" s="5">
        <v>655.17379999999991</v>
      </c>
    </row>
    <row r="244" spans="1:10">
      <c r="A244" t="s">
        <v>1593</v>
      </c>
      <c r="B244" s="7">
        <v>45312</v>
      </c>
      <c r="C244" t="s">
        <v>714</v>
      </c>
      <c r="D244" t="s">
        <v>1087</v>
      </c>
      <c r="E244" t="s">
        <v>1329</v>
      </c>
      <c r="F244">
        <f>Table5[[#This Row],[Total_Amount]]/(G244*(1-Table5[[#This Row],[Discount]]))</f>
        <v>0.99999999999999989</v>
      </c>
      <c r="G244" s="5">
        <v>394.35</v>
      </c>
      <c r="H244">
        <v>0.09</v>
      </c>
      <c r="I244" t="s">
        <v>1351</v>
      </c>
      <c r="J244" s="5">
        <v>358.85849999999999</v>
      </c>
    </row>
    <row r="245" spans="1:10">
      <c r="A245" t="s">
        <v>1594</v>
      </c>
      <c r="B245" s="7">
        <v>45480</v>
      </c>
      <c r="C245" t="s">
        <v>791</v>
      </c>
      <c r="D245" t="s">
        <v>1203</v>
      </c>
      <c r="E245" t="s">
        <v>1317</v>
      </c>
      <c r="F245">
        <f>Table5[[#This Row],[Total_Amount]]/(G245*(1-Table5[[#This Row],[Discount]]))</f>
        <v>2</v>
      </c>
      <c r="G245" s="5">
        <v>703.95</v>
      </c>
      <c r="H245">
        <v>0.03</v>
      </c>
      <c r="I245" t="s">
        <v>1349</v>
      </c>
      <c r="J245" s="5">
        <v>1365.663</v>
      </c>
    </row>
    <row r="246" spans="1:10">
      <c r="A246" t="s">
        <v>1595</v>
      </c>
      <c r="B246" s="7">
        <v>45780</v>
      </c>
      <c r="C246" t="s">
        <v>462</v>
      </c>
      <c r="D246" t="s">
        <v>1101</v>
      </c>
      <c r="E246" t="s">
        <v>1277</v>
      </c>
      <c r="F246">
        <f>Table5[[#This Row],[Total_Amount]]/(G246*(1-Table5[[#This Row],[Discount]]))</f>
        <v>4</v>
      </c>
      <c r="G246" s="5">
        <v>452.67</v>
      </c>
      <c r="H246">
        <v>0.28000000000000003</v>
      </c>
      <c r="I246" t="s">
        <v>1351</v>
      </c>
      <c r="J246" s="5">
        <v>1303.6895999999999</v>
      </c>
    </row>
    <row r="247" spans="1:10">
      <c r="A247" t="s">
        <v>1596</v>
      </c>
      <c r="B247" s="7">
        <v>45349</v>
      </c>
      <c r="C247" t="s">
        <v>988</v>
      </c>
      <c r="D247" t="s">
        <v>1087</v>
      </c>
      <c r="E247" t="s">
        <v>1304</v>
      </c>
      <c r="F247">
        <f>Table5[[#This Row],[Total_Amount]]/(G247*(1-Table5[[#This Row],[Discount]]))</f>
        <v>2</v>
      </c>
      <c r="G247" s="5">
        <v>377.3</v>
      </c>
      <c r="H247">
        <v>0.15</v>
      </c>
      <c r="I247" t="s">
        <v>1351</v>
      </c>
      <c r="J247" s="5">
        <v>641.41</v>
      </c>
    </row>
    <row r="248" spans="1:10">
      <c r="A248" t="s">
        <v>1597</v>
      </c>
      <c r="B248" s="7">
        <v>45846</v>
      </c>
      <c r="C248" t="s">
        <v>752</v>
      </c>
      <c r="D248" t="s">
        <v>1221</v>
      </c>
      <c r="E248" t="s">
        <v>1304</v>
      </c>
      <c r="F248">
        <f>Table5[[#This Row],[Total_Amount]]/(G248*(1-Table5[[#This Row],[Discount]]))</f>
        <v>2</v>
      </c>
      <c r="G248" s="5">
        <v>130.47999999999999</v>
      </c>
      <c r="H248">
        <v>0.23</v>
      </c>
      <c r="I248" t="s">
        <v>1351</v>
      </c>
      <c r="J248" s="5">
        <v>200.9392</v>
      </c>
    </row>
    <row r="249" spans="1:10">
      <c r="A249" t="s">
        <v>1598</v>
      </c>
      <c r="B249" s="7">
        <v>45729</v>
      </c>
      <c r="C249" t="s">
        <v>933</v>
      </c>
      <c r="D249" t="s">
        <v>1261</v>
      </c>
      <c r="E249" t="s">
        <v>1319</v>
      </c>
      <c r="F249">
        <f>Table5[[#This Row],[Total_Amount]]/(G249*(1-Table5[[#This Row],[Discount]]))</f>
        <v>1</v>
      </c>
      <c r="G249" s="5">
        <v>809.45</v>
      </c>
      <c r="H249">
        <v>0.09</v>
      </c>
      <c r="I249" t="s">
        <v>1354</v>
      </c>
      <c r="J249" s="5">
        <v>736.59950000000003</v>
      </c>
    </row>
    <row r="250" spans="1:10">
      <c r="A250" t="s">
        <v>1599</v>
      </c>
      <c r="B250" s="7">
        <v>45768</v>
      </c>
      <c r="C250" t="s">
        <v>220</v>
      </c>
      <c r="D250" t="s">
        <v>1163</v>
      </c>
      <c r="E250" t="s">
        <v>1311</v>
      </c>
      <c r="F250">
        <f>Table5[[#This Row],[Total_Amount]]/(G250*(1-Table5[[#This Row],[Discount]]))</f>
        <v>3</v>
      </c>
      <c r="G250" s="5">
        <v>499.12</v>
      </c>
      <c r="H250">
        <v>0.05</v>
      </c>
      <c r="I250" t="s">
        <v>1351</v>
      </c>
      <c r="J250" s="5">
        <v>1422.492</v>
      </c>
    </row>
    <row r="251" spans="1:10">
      <c r="A251" t="s">
        <v>1600</v>
      </c>
      <c r="B251" s="7">
        <v>45606</v>
      </c>
      <c r="C251" t="s">
        <v>77</v>
      </c>
      <c r="D251" t="s">
        <v>1209</v>
      </c>
      <c r="E251" t="s">
        <v>1291</v>
      </c>
      <c r="F251">
        <f>Table5[[#This Row],[Total_Amount]]/(G251*(1-Table5[[#This Row],[Discount]]))</f>
        <v>1.9999999999999996</v>
      </c>
      <c r="G251" s="5">
        <v>894.58</v>
      </c>
      <c r="H251">
        <v>0.25</v>
      </c>
      <c r="I251" t="s">
        <v>1349</v>
      </c>
      <c r="J251" s="5">
        <v>1341.87</v>
      </c>
    </row>
    <row r="252" spans="1:10">
      <c r="A252" t="s">
        <v>1601</v>
      </c>
      <c r="B252" s="7">
        <v>45513</v>
      </c>
      <c r="C252" t="s">
        <v>323</v>
      </c>
      <c r="D252" t="s">
        <v>1223</v>
      </c>
      <c r="E252" t="s">
        <v>1311</v>
      </c>
      <c r="F252">
        <f>Table5[[#This Row],[Total_Amount]]/(G252*(1-Table5[[#This Row],[Discount]]))</f>
        <v>4</v>
      </c>
      <c r="G252" s="5">
        <v>578.39</v>
      </c>
      <c r="H252">
        <v>0.01</v>
      </c>
      <c r="I252" t="s">
        <v>1349</v>
      </c>
      <c r="J252" s="5">
        <v>2290.4243999999999</v>
      </c>
    </row>
    <row r="253" spans="1:10">
      <c r="A253" t="s">
        <v>1602</v>
      </c>
      <c r="B253" s="7">
        <v>45356</v>
      </c>
      <c r="C253" t="s">
        <v>1031</v>
      </c>
      <c r="D253" t="s">
        <v>1155</v>
      </c>
      <c r="E253" t="s">
        <v>1332</v>
      </c>
      <c r="F253">
        <f>Table5[[#This Row],[Total_Amount]]/(G253*(1-Table5[[#This Row],[Discount]]))</f>
        <v>4</v>
      </c>
      <c r="G253" s="5">
        <v>982.45</v>
      </c>
      <c r="H253">
        <v>0.2</v>
      </c>
      <c r="I253" t="s">
        <v>1351</v>
      </c>
      <c r="J253" s="5">
        <v>3143.84</v>
      </c>
    </row>
    <row r="254" spans="1:10">
      <c r="A254" t="s">
        <v>1603</v>
      </c>
      <c r="B254" s="7">
        <v>45925</v>
      </c>
      <c r="C254" t="s">
        <v>961</v>
      </c>
      <c r="D254" t="s">
        <v>1269</v>
      </c>
      <c r="E254" t="s">
        <v>1338</v>
      </c>
      <c r="F254">
        <f>Table5[[#This Row],[Total_Amount]]/(G254*(1-Table5[[#This Row],[Discount]]))</f>
        <v>1</v>
      </c>
      <c r="G254" s="5">
        <v>549.52</v>
      </c>
      <c r="H254">
        <v>0.1</v>
      </c>
      <c r="I254" t="s">
        <v>1351</v>
      </c>
      <c r="J254" s="5">
        <v>494.56799999999998</v>
      </c>
    </row>
    <row r="255" spans="1:10">
      <c r="A255" t="s">
        <v>1604</v>
      </c>
      <c r="B255" s="7">
        <v>45876</v>
      </c>
      <c r="C255" t="s">
        <v>543</v>
      </c>
      <c r="D255" t="s">
        <v>1257</v>
      </c>
      <c r="E255" t="s">
        <v>1335</v>
      </c>
      <c r="F255">
        <f>Table5[[#This Row],[Total_Amount]]/(G255*(1-Table5[[#This Row],[Discount]]))</f>
        <v>2.0000000000000004</v>
      </c>
      <c r="G255" s="5">
        <v>239.92</v>
      </c>
      <c r="H255">
        <v>0.16</v>
      </c>
      <c r="I255" t="s">
        <v>1349</v>
      </c>
      <c r="J255" s="5">
        <v>403.06560000000002</v>
      </c>
    </row>
    <row r="256" spans="1:10">
      <c r="A256" t="s">
        <v>1605</v>
      </c>
      <c r="B256" s="7">
        <v>45338</v>
      </c>
      <c r="C256" t="s">
        <v>218</v>
      </c>
      <c r="D256" t="s">
        <v>1257</v>
      </c>
      <c r="E256" t="s">
        <v>1301</v>
      </c>
      <c r="F256">
        <f>Table5[[#This Row],[Total_Amount]]/(G256*(1-Table5[[#This Row],[Discount]]))</f>
        <v>2.0000000000000004</v>
      </c>
      <c r="G256" s="5">
        <v>878.05</v>
      </c>
      <c r="H256">
        <v>0.11</v>
      </c>
      <c r="I256" t="s">
        <v>1351</v>
      </c>
      <c r="J256" s="5">
        <v>1562.9290000000001</v>
      </c>
    </row>
    <row r="257" spans="1:10">
      <c r="A257" t="s">
        <v>1606</v>
      </c>
      <c r="B257" s="7">
        <v>45746</v>
      </c>
      <c r="C257" t="s">
        <v>129</v>
      </c>
      <c r="D257" t="s">
        <v>1071</v>
      </c>
      <c r="E257" t="s">
        <v>1311</v>
      </c>
      <c r="F257">
        <f>Table5[[#This Row],[Total_Amount]]/(G257*(1-Table5[[#This Row],[Discount]]))</f>
        <v>3</v>
      </c>
      <c r="G257" s="5">
        <v>546.96</v>
      </c>
      <c r="H257">
        <v>0.19</v>
      </c>
      <c r="I257" t="s">
        <v>1349</v>
      </c>
      <c r="J257" s="5">
        <v>1329.1128000000001</v>
      </c>
    </row>
    <row r="258" spans="1:10">
      <c r="A258" t="s">
        <v>1607</v>
      </c>
      <c r="B258" s="7">
        <v>45706</v>
      </c>
      <c r="C258" t="s">
        <v>1004</v>
      </c>
      <c r="D258" t="s">
        <v>1107</v>
      </c>
      <c r="E258" t="s">
        <v>1314</v>
      </c>
      <c r="F258">
        <f>Table5[[#This Row],[Total_Amount]]/(G258*(1-Table5[[#This Row],[Discount]]))</f>
        <v>2.0000000000000004</v>
      </c>
      <c r="G258" s="5">
        <v>71.77</v>
      </c>
      <c r="H258">
        <v>0.22</v>
      </c>
      <c r="I258" t="s">
        <v>1349</v>
      </c>
      <c r="J258" s="5">
        <v>111.96120000000001</v>
      </c>
    </row>
    <row r="259" spans="1:10">
      <c r="A259" t="s">
        <v>1608</v>
      </c>
      <c r="B259" s="7">
        <v>45717</v>
      </c>
      <c r="C259" t="s">
        <v>50</v>
      </c>
      <c r="D259" t="s">
        <v>1121</v>
      </c>
      <c r="E259" t="s">
        <v>1282</v>
      </c>
      <c r="F259">
        <f>Table5[[#This Row],[Total_Amount]]/(G259*(1-Table5[[#This Row],[Discount]]))</f>
        <v>2</v>
      </c>
      <c r="G259" s="5">
        <v>679.86</v>
      </c>
      <c r="H259">
        <v>0.22</v>
      </c>
      <c r="I259" t="s">
        <v>1354</v>
      </c>
      <c r="J259" s="5">
        <v>1060.5816</v>
      </c>
    </row>
    <row r="260" spans="1:10">
      <c r="A260" t="s">
        <v>1609</v>
      </c>
      <c r="B260" s="7">
        <v>45300</v>
      </c>
      <c r="C260" t="s">
        <v>333</v>
      </c>
      <c r="D260" t="s">
        <v>1143</v>
      </c>
      <c r="E260" t="s">
        <v>1332</v>
      </c>
      <c r="F260">
        <f>Table5[[#This Row],[Total_Amount]]/(G260*(1-Table5[[#This Row],[Discount]]))</f>
        <v>1</v>
      </c>
      <c r="G260" s="5">
        <v>222.94</v>
      </c>
      <c r="H260">
        <v>0.19</v>
      </c>
      <c r="I260" t="s">
        <v>1349</v>
      </c>
      <c r="J260" s="5">
        <v>180.5814</v>
      </c>
    </row>
    <row r="261" spans="1:10">
      <c r="A261" t="s">
        <v>1610</v>
      </c>
      <c r="B261" s="7">
        <v>45773</v>
      </c>
      <c r="C261" t="s">
        <v>559</v>
      </c>
      <c r="D261" t="s">
        <v>1143</v>
      </c>
      <c r="E261" t="s">
        <v>1286</v>
      </c>
      <c r="F261" t="s">
        <v>3492</v>
      </c>
      <c r="G261" s="5">
        <v>355.3</v>
      </c>
      <c r="H261" t="s">
        <v>3491</v>
      </c>
      <c r="I261" t="s">
        <v>1351</v>
      </c>
      <c r="J261" s="5">
        <v>589.798</v>
      </c>
    </row>
    <row r="262" spans="1:10">
      <c r="A262" t="s">
        <v>1611</v>
      </c>
      <c r="B262" s="7">
        <v>45497</v>
      </c>
      <c r="C262" t="s">
        <v>265</v>
      </c>
      <c r="D262" t="s">
        <v>1251</v>
      </c>
      <c r="E262" t="s">
        <v>1338</v>
      </c>
      <c r="F262">
        <f>Table5[[#This Row],[Total_Amount]]/(G262*(1-Table5[[#This Row],[Discount]]))</f>
        <v>4</v>
      </c>
      <c r="G262" s="5">
        <v>611.29999999999995</v>
      </c>
      <c r="H262">
        <v>0.11</v>
      </c>
      <c r="I262" t="s">
        <v>1351</v>
      </c>
      <c r="J262" s="5">
        <v>2176.2280000000001</v>
      </c>
    </row>
    <row r="263" spans="1:10">
      <c r="A263" t="s">
        <v>1612</v>
      </c>
      <c r="B263" s="7">
        <v>45742</v>
      </c>
      <c r="C263" t="s">
        <v>730</v>
      </c>
      <c r="D263" t="s">
        <v>1068</v>
      </c>
      <c r="E263" t="s">
        <v>1307</v>
      </c>
      <c r="F263">
        <f>Table5[[#This Row],[Total_Amount]]/(G263*(1-Table5[[#This Row],[Discount]]))</f>
        <v>4</v>
      </c>
      <c r="G263" s="5">
        <v>849.21</v>
      </c>
      <c r="H263">
        <v>7.0000000000000007E-2</v>
      </c>
      <c r="I263" t="s">
        <v>1349</v>
      </c>
      <c r="J263" s="5">
        <v>3159.0612000000001</v>
      </c>
    </row>
    <row r="264" spans="1:10">
      <c r="A264" t="s">
        <v>1613</v>
      </c>
      <c r="B264" s="7">
        <v>45713</v>
      </c>
      <c r="C264" t="s">
        <v>480</v>
      </c>
      <c r="D264" t="s">
        <v>1157</v>
      </c>
      <c r="E264" t="s">
        <v>1304</v>
      </c>
      <c r="F264">
        <f>Table5[[#This Row],[Total_Amount]]/(G264*(1-Table5[[#This Row],[Discount]]))</f>
        <v>3</v>
      </c>
      <c r="G264" s="5">
        <v>553.12</v>
      </c>
      <c r="H264">
        <v>0.28000000000000003</v>
      </c>
      <c r="I264" t="s">
        <v>1354</v>
      </c>
      <c r="J264" s="5">
        <v>1194.7392</v>
      </c>
    </row>
    <row r="265" spans="1:10">
      <c r="A265" t="s">
        <v>1614</v>
      </c>
      <c r="B265" s="7">
        <v>45826</v>
      </c>
      <c r="C265" t="s">
        <v>628</v>
      </c>
      <c r="D265" t="s">
        <v>1255</v>
      </c>
      <c r="E265" t="s">
        <v>1311</v>
      </c>
      <c r="F265">
        <f>Table5[[#This Row],[Total_Amount]]/(G265*(1-Table5[[#This Row],[Discount]]))</f>
        <v>2</v>
      </c>
      <c r="G265" s="5">
        <v>903.08</v>
      </c>
      <c r="H265">
        <v>0.18</v>
      </c>
      <c r="I265" t="s">
        <v>1354</v>
      </c>
      <c r="J265" s="5">
        <v>1481.0512000000001</v>
      </c>
    </row>
    <row r="266" spans="1:10">
      <c r="A266" t="s">
        <v>1615</v>
      </c>
      <c r="B266" s="7">
        <v>45648</v>
      </c>
      <c r="C266" t="s">
        <v>1018</v>
      </c>
      <c r="D266" t="s">
        <v>1105</v>
      </c>
      <c r="E266" t="s">
        <v>1317</v>
      </c>
      <c r="F266">
        <f>Table5[[#This Row],[Total_Amount]]/(G266*(1-Table5[[#This Row],[Discount]]))</f>
        <v>4</v>
      </c>
      <c r="G266" s="5">
        <v>640.23</v>
      </c>
      <c r="H266">
        <v>0.06</v>
      </c>
      <c r="I266" t="s">
        <v>1354</v>
      </c>
      <c r="J266" s="5">
        <v>2407.2647999999999</v>
      </c>
    </row>
    <row r="267" spans="1:10">
      <c r="A267" t="s">
        <v>1616</v>
      </c>
      <c r="B267" s="7">
        <v>45836</v>
      </c>
      <c r="C267" t="s">
        <v>343</v>
      </c>
      <c r="D267" t="s">
        <v>1115</v>
      </c>
      <c r="E267" t="s">
        <v>1301</v>
      </c>
      <c r="F267">
        <f>Table5[[#This Row],[Total_Amount]]/(G267*(1-Table5[[#This Row],[Discount]]))</f>
        <v>1</v>
      </c>
      <c r="G267" s="5">
        <v>518</v>
      </c>
      <c r="H267">
        <v>0.25</v>
      </c>
      <c r="I267" t="s">
        <v>1349</v>
      </c>
      <c r="J267" s="5">
        <v>388.5</v>
      </c>
    </row>
    <row r="268" spans="1:10">
      <c r="A268" t="s">
        <v>1617</v>
      </c>
      <c r="B268" s="7">
        <v>45437</v>
      </c>
      <c r="C268" t="s">
        <v>929</v>
      </c>
      <c r="D268" t="s">
        <v>1201</v>
      </c>
      <c r="E268" t="s">
        <v>1294</v>
      </c>
      <c r="F268">
        <f>Table5[[#This Row],[Total_Amount]]/(G268*(1-Table5[[#This Row],[Discount]]))</f>
        <v>4</v>
      </c>
      <c r="G268" s="5">
        <v>779.25</v>
      </c>
      <c r="H268">
        <v>0.25</v>
      </c>
      <c r="I268" t="s">
        <v>1349</v>
      </c>
      <c r="J268" s="5">
        <v>2337.75</v>
      </c>
    </row>
    <row r="269" spans="1:10">
      <c r="A269" t="s">
        <v>1618</v>
      </c>
      <c r="B269" s="7">
        <v>45807</v>
      </c>
      <c r="C269" t="s">
        <v>296</v>
      </c>
      <c r="D269" t="s">
        <v>1239</v>
      </c>
      <c r="E269" t="s">
        <v>1304</v>
      </c>
      <c r="F269">
        <f>Table5[[#This Row],[Total_Amount]]/(G269*(1-Table5[[#This Row],[Discount]]))</f>
        <v>2</v>
      </c>
      <c r="G269" s="5">
        <v>467.75</v>
      </c>
      <c r="H269">
        <v>0.26</v>
      </c>
      <c r="I269" t="s">
        <v>1349</v>
      </c>
      <c r="J269" s="5">
        <v>692.27</v>
      </c>
    </row>
    <row r="270" spans="1:10">
      <c r="A270" t="s">
        <v>1619</v>
      </c>
      <c r="B270" s="7">
        <v>45555</v>
      </c>
      <c r="C270" t="s">
        <v>875</v>
      </c>
      <c r="D270" t="s">
        <v>1253</v>
      </c>
      <c r="E270" t="s">
        <v>1335</v>
      </c>
      <c r="F270" t="s">
        <v>3492</v>
      </c>
      <c r="G270" s="5" t="s">
        <v>3491</v>
      </c>
      <c r="H270">
        <v>0.06</v>
      </c>
      <c r="I270" t="s">
        <v>1349</v>
      </c>
      <c r="J270" s="5">
        <v>315.24779999999998</v>
      </c>
    </row>
    <row r="271" spans="1:10">
      <c r="A271" t="s">
        <v>1620</v>
      </c>
      <c r="B271" s="7">
        <v>45803</v>
      </c>
      <c r="C271" t="s">
        <v>500</v>
      </c>
      <c r="D271" t="s">
        <v>1147</v>
      </c>
      <c r="E271" t="s">
        <v>1277</v>
      </c>
      <c r="F271">
        <f>Table5[[#This Row],[Total_Amount]]/(G271*(1-Table5[[#This Row],[Discount]]))</f>
        <v>4</v>
      </c>
      <c r="G271" s="5">
        <v>747.01</v>
      </c>
      <c r="H271">
        <v>0.13</v>
      </c>
      <c r="I271" t="s">
        <v>1351</v>
      </c>
      <c r="J271" s="5">
        <v>2599.5947999999999</v>
      </c>
    </row>
    <row r="272" spans="1:10">
      <c r="A272" t="s">
        <v>1621</v>
      </c>
      <c r="B272" s="7">
        <v>45735</v>
      </c>
      <c r="C272" t="s">
        <v>261</v>
      </c>
      <c r="D272" t="s">
        <v>1251</v>
      </c>
      <c r="E272" t="s">
        <v>1319</v>
      </c>
      <c r="F272">
        <f>Table5[[#This Row],[Total_Amount]]/(G272*(1-Table5[[#This Row],[Discount]]))</f>
        <v>4.0000000000000009</v>
      </c>
      <c r="G272" s="5">
        <v>461.83</v>
      </c>
      <c r="H272">
        <v>0.28000000000000003</v>
      </c>
      <c r="I272" t="s">
        <v>1351</v>
      </c>
      <c r="J272" s="5">
        <v>1330.0704000000001</v>
      </c>
    </row>
    <row r="273" spans="1:10">
      <c r="A273" t="s">
        <v>1622</v>
      </c>
      <c r="B273" s="7">
        <v>45750</v>
      </c>
      <c r="C273" t="s">
        <v>329</v>
      </c>
      <c r="D273" t="s">
        <v>1213</v>
      </c>
      <c r="E273" t="s">
        <v>1307</v>
      </c>
      <c r="F273">
        <f>Table5[[#This Row],[Total_Amount]]/(G273*(1-Table5[[#This Row],[Discount]]))</f>
        <v>2</v>
      </c>
      <c r="G273" s="5">
        <v>105.15</v>
      </c>
      <c r="H273">
        <v>0.06</v>
      </c>
      <c r="I273" t="s">
        <v>1349</v>
      </c>
      <c r="J273" s="5">
        <v>197.68199999999999</v>
      </c>
    </row>
    <row r="274" spans="1:10">
      <c r="A274" t="s">
        <v>1623</v>
      </c>
      <c r="B274" s="7">
        <v>45693</v>
      </c>
      <c r="C274" t="s">
        <v>102</v>
      </c>
      <c r="D274" t="s">
        <v>1119</v>
      </c>
      <c r="E274" t="s">
        <v>1291</v>
      </c>
      <c r="F274">
        <f>Table5[[#This Row],[Total_Amount]]/(G274*(1-Table5[[#This Row],[Discount]]))</f>
        <v>3</v>
      </c>
      <c r="G274" s="5">
        <v>610.24</v>
      </c>
      <c r="H274">
        <v>0.17</v>
      </c>
      <c r="I274" t="s">
        <v>1354</v>
      </c>
      <c r="J274" s="5">
        <v>1519.4975999999999</v>
      </c>
    </row>
    <row r="275" spans="1:10">
      <c r="A275" t="s">
        <v>1624</v>
      </c>
      <c r="B275" s="7">
        <v>45667</v>
      </c>
      <c r="C275" t="s">
        <v>688</v>
      </c>
      <c r="D275" t="s">
        <v>1221</v>
      </c>
      <c r="E275" t="s">
        <v>1307</v>
      </c>
      <c r="F275">
        <f>Table5[[#This Row],[Total_Amount]]/(G275*(1-Table5[[#This Row],[Discount]]))</f>
        <v>1</v>
      </c>
      <c r="G275" s="5">
        <v>872.12</v>
      </c>
      <c r="H275">
        <v>7.0000000000000007E-2</v>
      </c>
      <c r="I275" t="s">
        <v>1351</v>
      </c>
      <c r="J275" s="5">
        <v>811.07159999999999</v>
      </c>
    </row>
    <row r="276" spans="1:10">
      <c r="A276" t="s">
        <v>1625</v>
      </c>
      <c r="B276" s="7">
        <v>45316</v>
      </c>
      <c r="C276" t="s">
        <v>929</v>
      </c>
      <c r="D276" t="s">
        <v>1093</v>
      </c>
      <c r="E276" t="s">
        <v>1282</v>
      </c>
      <c r="F276">
        <f>Table5[[#This Row],[Total_Amount]]/(G276*(1-Table5[[#This Row],[Discount]]))</f>
        <v>1</v>
      </c>
      <c r="G276" s="5">
        <v>406.79</v>
      </c>
      <c r="H276">
        <v>0.03</v>
      </c>
      <c r="I276" t="s">
        <v>1354</v>
      </c>
      <c r="J276" s="5">
        <v>394.58629999999999</v>
      </c>
    </row>
    <row r="277" spans="1:10">
      <c r="A277" t="s">
        <v>1626</v>
      </c>
      <c r="B277" s="7">
        <v>45932</v>
      </c>
      <c r="C277" t="s">
        <v>807</v>
      </c>
      <c r="D277" t="s">
        <v>1181</v>
      </c>
      <c r="E277" t="s">
        <v>1324</v>
      </c>
      <c r="F277">
        <f>Table5[[#This Row],[Total_Amount]]/(G277*(1-Table5[[#This Row],[Discount]]))</f>
        <v>1</v>
      </c>
      <c r="G277" s="5">
        <v>606.01</v>
      </c>
      <c r="H277">
        <v>0.04</v>
      </c>
      <c r="I277" t="s">
        <v>1351</v>
      </c>
      <c r="J277" s="5">
        <v>581.76959999999997</v>
      </c>
    </row>
    <row r="278" spans="1:10">
      <c r="A278" t="s">
        <v>1627</v>
      </c>
      <c r="B278" s="7">
        <v>45483</v>
      </c>
      <c r="C278" t="s">
        <v>762</v>
      </c>
      <c r="D278" t="s">
        <v>1107</v>
      </c>
      <c r="E278" t="s">
        <v>1298</v>
      </c>
      <c r="F278">
        <f>Table5[[#This Row],[Total_Amount]]/(G278*(1-Table5[[#This Row],[Discount]]))</f>
        <v>4</v>
      </c>
      <c r="G278" s="5">
        <v>322.58</v>
      </c>
      <c r="H278">
        <v>0.06</v>
      </c>
      <c r="I278" t="s">
        <v>1349</v>
      </c>
      <c r="J278" s="5">
        <v>1212.9007999999999</v>
      </c>
    </row>
    <row r="279" spans="1:10">
      <c r="A279" t="s">
        <v>1628</v>
      </c>
      <c r="B279" s="7">
        <v>45661</v>
      </c>
      <c r="C279" t="s">
        <v>1029</v>
      </c>
      <c r="D279" t="s">
        <v>1227</v>
      </c>
      <c r="E279" t="s">
        <v>1335</v>
      </c>
      <c r="F279">
        <f>Table5[[#This Row],[Total_Amount]]/(G279*(1-Table5[[#This Row],[Discount]]))</f>
        <v>4</v>
      </c>
      <c r="G279" s="5">
        <v>463.17</v>
      </c>
      <c r="H279">
        <v>0.06</v>
      </c>
      <c r="I279" t="s">
        <v>1351</v>
      </c>
      <c r="J279" s="5">
        <v>1741.5192</v>
      </c>
    </row>
    <row r="280" spans="1:10">
      <c r="A280" t="s">
        <v>1629</v>
      </c>
      <c r="B280" s="7">
        <v>45798</v>
      </c>
      <c r="C280" t="s">
        <v>696</v>
      </c>
      <c r="D280" t="s">
        <v>1123</v>
      </c>
      <c r="E280" t="s">
        <v>1304</v>
      </c>
      <c r="F280">
        <f>Table5[[#This Row],[Total_Amount]]/(G280*(1-Table5[[#This Row],[Discount]]))</f>
        <v>4</v>
      </c>
      <c r="G280" s="5">
        <v>285.82</v>
      </c>
      <c r="H280">
        <v>0.18</v>
      </c>
      <c r="I280" t="s">
        <v>1351</v>
      </c>
      <c r="J280" s="5">
        <v>937.4896</v>
      </c>
    </row>
    <row r="281" spans="1:10">
      <c r="A281" t="s">
        <v>1630</v>
      </c>
      <c r="B281" s="7">
        <v>45868</v>
      </c>
      <c r="C281" t="s">
        <v>716</v>
      </c>
      <c r="D281" t="s">
        <v>1147</v>
      </c>
      <c r="E281" t="s">
        <v>1317</v>
      </c>
      <c r="F281">
        <f>Table5[[#This Row],[Total_Amount]]/(G281*(1-Table5[[#This Row],[Discount]]))</f>
        <v>3</v>
      </c>
      <c r="G281" s="5">
        <v>995.38</v>
      </c>
      <c r="H281">
        <v>0.1</v>
      </c>
      <c r="I281" t="s">
        <v>1351</v>
      </c>
      <c r="J281" s="5">
        <v>2687.5259999999998</v>
      </c>
    </row>
    <row r="282" spans="1:10">
      <c r="A282" t="s">
        <v>1631</v>
      </c>
      <c r="B282" s="7">
        <v>45757</v>
      </c>
      <c r="C282" t="s">
        <v>298</v>
      </c>
      <c r="D282" t="s">
        <v>1197</v>
      </c>
      <c r="E282" t="s">
        <v>1307</v>
      </c>
      <c r="F282">
        <f>Table5[[#This Row],[Total_Amount]]/(G282*(1-Table5[[#This Row],[Discount]]))</f>
        <v>1</v>
      </c>
      <c r="G282" s="5">
        <v>329.31</v>
      </c>
      <c r="H282">
        <v>0.09</v>
      </c>
      <c r="I282" t="s">
        <v>1349</v>
      </c>
      <c r="J282" s="5">
        <v>299.6721</v>
      </c>
    </row>
    <row r="283" spans="1:10">
      <c r="A283" t="s">
        <v>1632</v>
      </c>
      <c r="B283" s="7">
        <v>45475</v>
      </c>
      <c r="C283" t="s">
        <v>1041</v>
      </c>
      <c r="D283" t="s">
        <v>1167</v>
      </c>
      <c r="E283" t="s">
        <v>1329</v>
      </c>
      <c r="F283">
        <f>Table5[[#This Row],[Total_Amount]]/(G283*(1-Table5[[#This Row],[Discount]]))</f>
        <v>2.9999999999999996</v>
      </c>
      <c r="G283" s="5">
        <v>64.2</v>
      </c>
      <c r="H283">
        <v>0.08</v>
      </c>
      <c r="I283" t="s">
        <v>1354</v>
      </c>
      <c r="J283" s="5">
        <v>177.19200000000001</v>
      </c>
    </row>
    <row r="284" spans="1:10">
      <c r="A284" t="s">
        <v>1633</v>
      </c>
      <c r="B284" s="7">
        <v>45829</v>
      </c>
      <c r="C284" t="s">
        <v>587</v>
      </c>
      <c r="D284" t="s">
        <v>1095</v>
      </c>
      <c r="E284" t="s">
        <v>1322</v>
      </c>
      <c r="F284">
        <f>Table5[[#This Row],[Total_Amount]]/(G284*(1-Table5[[#This Row],[Discount]]))</f>
        <v>3</v>
      </c>
      <c r="G284" s="5">
        <v>697.13</v>
      </c>
      <c r="H284">
        <v>0.25</v>
      </c>
      <c r="I284" t="s">
        <v>1354</v>
      </c>
      <c r="J284" s="5">
        <v>1568.5425</v>
      </c>
    </row>
    <row r="285" spans="1:10">
      <c r="A285" t="s">
        <v>1634</v>
      </c>
      <c r="B285" s="7">
        <v>45639</v>
      </c>
      <c r="C285" t="s">
        <v>75</v>
      </c>
      <c r="D285" t="s">
        <v>1090</v>
      </c>
      <c r="E285" t="s">
        <v>1298</v>
      </c>
      <c r="F285">
        <f>Table5[[#This Row],[Total_Amount]]/(G285*(1-Table5[[#This Row],[Discount]]))</f>
        <v>3</v>
      </c>
      <c r="G285" s="5">
        <v>134.30000000000001</v>
      </c>
      <c r="H285">
        <v>0.14000000000000001</v>
      </c>
      <c r="I285" t="s">
        <v>1349</v>
      </c>
      <c r="J285" s="5">
        <v>346.49400000000003</v>
      </c>
    </row>
    <row r="286" spans="1:10">
      <c r="A286" t="s">
        <v>1635</v>
      </c>
      <c r="B286" s="7">
        <v>45518</v>
      </c>
      <c r="C286" t="s">
        <v>583</v>
      </c>
      <c r="D286" t="s">
        <v>1241</v>
      </c>
      <c r="E286" t="s">
        <v>1322</v>
      </c>
      <c r="F286">
        <f>Table5[[#This Row],[Total_Amount]]/(G286*(1-Table5[[#This Row],[Discount]]))</f>
        <v>1.0000000000000002</v>
      </c>
      <c r="G286" s="5">
        <v>520.92999999999995</v>
      </c>
      <c r="H286">
        <v>0.15</v>
      </c>
      <c r="I286" t="s">
        <v>1349</v>
      </c>
      <c r="J286" s="5">
        <v>442.79050000000001</v>
      </c>
    </row>
    <row r="287" spans="1:10">
      <c r="A287" t="s">
        <v>1636</v>
      </c>
      <c r="B287" s="7">
        <v>45721</v>
      </c>
      <c r="C287" t="s">
        <v>513</v>
      </c>
      <c r="D287" t="s">
        <v>1111</v>
      </c>
      <c r="E287" t="s">
        <v>1304</v>
      </c>
      <c r="F287">
        <f>Table5[[#This Row],[Total_Amount]]/(G287*(1-Table5[[#This Row],[Discount]]))</f>
        <v>2</v>
      </c>
      <c r="G287" s="5">
        <v>350.12</v>
      </c>
      <c r="H287">
        <v>0.21</v>
      </c>
      <c r="I287" t="s">
        <v>1354</v>
      </c>
      <c r="J287" s="5">
        <v>553.18960000000004</v>
      </c>
    </row>
    <row r="288" spans="1:10">
      <c r="A288" t="s">
        <v>1637</v>
      </c>
      <c r="B288" s="7">
        <v>45308</v>
      </c>
      <c r="C288" t="s">
        <v>994</v>
      </c>
      <c r="D288" t="s">
        <v>1169</v>
      </c>
      <c r="E288" t="s">
        <v>1338</v>
      </c>
      <c r="F288">
        <f>Table5[[#This Row],[Total_Amount]]/(G288*(1-Table5[[#This Row],[Discount]]))</f>
        <v>3.0000000000000009</v>
      </c>
      <c r="G288" s="5">
        <v>807.95</v>
      </c>
      <c r="H288">
        <v>0.1</v>
      </c>
      <c r="I288" t="s">
        <v>1351</v>
      </c>
      <c r="J288" s="5">
        <v>2181.4650000000011</v>
      </c>
    </row>
    <row r="289" spans="1:10">
      <c r="A289" t="s">
        <v>1638</v>
      </c>
      <c r="B289" s="7">
        <v>45889</v>
      </c>
      <c r="C289" t="s">
        <v>734</v>
      </c>
      <c r="D289" t="s">
        <v>1149</v>
      </c>
      <c r="E289" t="s">
        <v>1301</v>
      </c>
      <c r="F289">
        <f>Table5[[#This Row],[Total_Amount]]/(G289*(1-Table5[[#This Row],[Discount]]))</f>
        <v>4</v>
      </c>
      <c r="G289" s="5">
        <v>766.03</v>
      </c>
      <c r="H289">
        <v>0.28999999999999998</v>
      </c>
      <c r="I289" t="s">
        <v>1351</v>
      </c>
      <c r="J289" s="5">
        <v>2175.5252</v>
      </c>
    </row>
    <row r="290" spans="1:10">
      <c r="A290" t="s">
        <v>1639</v>
      </c>
      <c r="B290" s="7">
        <v>45386</v>
      </c>
      <c r="C290" t="s">
        <v>426</v>
      </c>
      <c r="D290" t="s">
        <v>1187</v>
      </c>
      <c r="E290" t="s">
        <v>1307</v>
      </c>
      <c r="F290">
        <f>Table5[[#This Row],[Total_Amount]]/(G290*(1-Table5[[#This Row],[Discount]]))</f>
        <v>3</v>
      </c>
      <c r="G290" s="5">
        <v>545.1</v>
      </c>
      <c r="H290">
        <v>0.08</v>
      </c>
      <c r="I290" t="s">
        <v>1354</v>
      </c>
      <c r="J290" s="5">
        <v>1504.4760000000001</v>
      </c>
    </row>
    <row r="291" spans="1:10">
      <c r="A291" t="s">
        <v>1640</v>
      </c>
      <c r="B291" s="7">
        <v>45438</v>
      </c>
      <c r="C291" t="s">
        <v>589</v>
      </c>
      <c r="D291" t="s">
        <v>1203</v>
      </c>
      <c r="E291" t="s">
        <v>1304</v>
      </c>
      <c r="F291">
        <f>Table5[[#This Row],[Total_Amount]]/(G291*(1-Table5[[#This Row],[Discount]]))</f>
        <v>0.99999999999999978</v>
      </c>
      <c r="G291" s="5">
        <v>203.61</v>
      </c>
      <c r="H291">
        <v>0.24</v>
      </c>
      <c r="I291" t="s">
        <v>1354</v>
      </c>
      <c r="J291" s="5">
        <v>154.74359999999999</v>
      </c>
    </row>
    <row r="292" spans="1:10">
      <c r="A292" t="s">
        <v>1641</v>
      </c>
      <c r="B292" s="7">
        <v>45856</v>
      </c>
      <c r="C292" t="s">
        <v>897</v>
      </c>
      <c r="D292" t="s">
        <v>1267</v>
      </c>
      <c r="E292" t="s">
        <v>1326</v>
      </c>
      <c r="F292">
        <f>Table5[[#This Row],[Total_Amount]]/(G292*(1-Table5[[#This Row],[Discount]]))</f>
        <v>4</v>
      </c>
      <c r="G292" s="5">
        <v>493.8</v>
      </c>
      <c r="H292">
        <v>0.24</v>
      </c>
      <c r="I292" t="s">
        <v>1354</v>
      </c>
      <c r="J292" s="5">
        <v>1501.152</v>
      </c>
    </row>
    <row r="293" spans="1:10">
      <c r="A293" t="s">
        <v>1642</v>
      </c>
      <c r="B293" s="7">
        <v>45485</v>
      </c>
      <c r="C293" t="s">
        <v>61</v>
      </c>
      <c r="D293" t="s">
        <v>1155</v>
      </c>
      <c r="E293" t="s">
        <v>1332</v>
      </c>
      <c r="F293">
        <f>Table5[[#This Row],[Total_Amount]]/(G293*(1-Table5[[#This Row],[Discount]]))</f>
        <v>1.0000000000000002</v>
      </c>
      <c r="G293" s="5">
        <v>640.54999999999995</v>
      </c>
      <c r="H293">
        <v>0.25</v>
      </c>
      <c r="I293" t="s">
        <v>1349</v>
      </c>
      <c r="J293" s="5">
        <v>480.41250000000002</v>
      </c>
    </row>
    <row r="294" spans="1:10">
      <c r="A294" t="s">
        <v>1643</v>
      </c>
      <c r="B294" s="7">
        <v>45545</v>
      </c>
      <c r="C294" t="s">
        <v>298</v>
      </c>
      <c r="D294" t="s">
        <v>1221</v>
      </c>
      <c r="E294" t="s">
        <v>1294</v>
      </c>
      <c r="F294">
        <f>Table5[[#This Row],[Total_Amount]]/(G294*(1-Table5[[#This Row],[Discount]]))</f>
        <v>1.0000000000000002</v>
      </c>
      <c r="G294" s="5">
        <v>702.53</v>
      </c>
      <c r="H294">
        <v>0.3</v>
      </c>
      <c r="I294" t="s">
        <v>1349</v>
      </c>
      <c r="J294" s="5">
        <v>491.77100000000002</v>
      </c>
    </row>
    <row r="295" spans="1:10">
      <c r="A295" t="s">
        <v>1644</v>
      </c>
      <c r="B295" s="7">
        <v>45826</v>
      </c>
      <c r="C295" t="s">
        <v>511</v>
      </c>
      <c r="D295" t="s">
        <v>1151</v>
      </c>
      <c r="E295" t="s">
        <v>1307</v>
      </c>
      <c r="F295">
        <f>Table5[[#This Row],[Total_Amount]]/(G295*(1-Table5[[#This Row],[Discount]]))</f>
        <v>4</v>
      </c>
      <c r="G295" s="5">
        <v>139.94</v>
      </c>
      <c r="H295">
        <v>0.24</v>
      </c>
      <c r="I295" t="s">
        <v>1349</v>
      </c>
      <c r="J295" s="5">
        <v>425.41759999999999</v>
      </c>
    </row>
    <row r="296" spans="1:10">
      <c r="A296" t="s">
        <v>1645</v>
      </c>
      <c r="B296" s="7">
        <v>45654</v>
      </c>
      <c r="C296" t="s">
        <v>618</v>
      </c>
      <c r="D296" t="s">
        <v>1111</v>
      </c>
      <c r="E296" t="s">
        <v>1307</v>
      </c>
      <c r="F296">
        <f>Table5[[#This Row],[Total_Amount]]/(G296*(1-Table5[[#This Row],[Discount]]))</f>
        <v>2</v>
      </c>
      <c r="G296" s="5">
        <v>230.85</v>
      </c>
      <c r="H296">
        <v>0.18</v>
      </c>
      <c r="I296" t="s">
        <v>1349</v>
      </c>
      <c r="J296" s="5">
        <v>378.59399999999999</v>
      </c>
    </row>
    <row r="297" spans="1:10">
      <c r="A297" t="s">
        <v>1646</v>
      </c>
      <c r="B297" s="7">
        <v>45556</v>
      </c>
      <c r="C297" t="s">
        <v>484</v>
      </c>
      <c r="D297" t="s">
        <v>1243</v>
      </c>
      <c r="E297" t="s">
        <v>1332</v>
      </c>
      <c r="F297">
        <f>Table5[[#This Row],[Total_Amount]]/(G297*(1-Table5[[#This Row],[Discount]]))</f>
        <v>3.9999999999999996</v>
      </c>
      <c r="G297" s="5">
        <v>626.35</v>
      </c>
      <c r="H297">
        <v>0.25</v>
      </c>
      <c r="I297" t="s">
        <v>1354</v>
      </c>
      <c r="J297" s="5">
        <v>1879.05</v>
      </c>
    </row>
    <row r="298" spans="1:10">
      <c r="A298" t="s">
        <v>1647</v>
      </c>
      <c r="B298" s="7">
        <v>45434</v>
      </c>
      <c r="C298" t="s">
        <v>218</v>
      </c>
      <c r="D298" t="s">
        <v>1155</v>
      </c>
      <c r="E298" t="s">
        <v>1324</v>
      </c>
      <c r="F298">
        <f>Table5[[#This Row],[Total_Amount]]/(G298*(1-Table5[[#This Row],[Discount]]))</f>
        <v>3.9999999999999996</v>
      </c>
      <c r="G298" s="5">
        <v>108.55</v>
      </c>
      <c r="H298">
        <v>0.18</v>
      </c>
      <c r="I298" t="s">
        <v>1351</v>
      </c>
      <c r="J298" s="5">
        <v>356.04399999999998</v>
      </c>
    </row>
    <row r="299" spans="1:10">
      <c r="A299" t="s">
        <v>1648</v>
      </c>
      <c r="B299" s="7">
        <v>45871</v>
      </c>
      <c r="C299" t="s">
        <v>444</v>
      </c>
      <c r="D299" t="s">
        <v>1107</v>
      </c>
      <c r="E299" t="s">
        <v>1282</v>
      </c>
      <c r="F299">
        <f>Table5[[#This Row],[Total_Amount]]/(G299*(1-Table5[[#This Row],[Discount]]))</f>
        <v>4</v>
      </c>
      <c r="G299" s="5">
        <v>353.67</v>
      </c>
      <c r="H299">
        <v>0.03</v>
      </c>
      <c r="I299" t="s">
        <v>1354</v>
      </c>
      <c r="J299" s="5">
        <v>1372.2396000000001</v>
      </c>
    </row>
    <row r="300" spans="1:10">
      <c r="A300" t="s">
        <v>1649</v>
      </c>
      <c r="B300" s="7">
        <v>45583</v>
      </c>
      <c r="C300" t="s">
        <v>178</v>
      </c>
      <c r="D300" t="s">
        <v>1253</v>
      </c>
      <c r="E300" t="s">
        <v>1282</v>
      </c>
      <c r="F300">
        <f>Table5[[#This Row],[Total_Amount]]/(G300*(1-Table5[[#This Row],[Discount]]))</f>
        <v>4.0000000000000009</v>
      </c>
      <c r="G300" s="5">
        <v>61.98</v>
      </c>
      <c r="H300">
        <v>0.16</v>
      </c>
      <c r="I300" t="s">
        <v>1349</v>
      </c>
      <c r="J300" s="5">
        <v>208.25280000000001</v>
      </c>
    </row>
    <row r="301" spans="1:10">
      <c r="A301" t="s">
        <v>1650</v>
      </c>
      <c r="B301" s="7">
        <v>45348</v>
      </c>
      <c r="C301" t="s">
        <v>494</v>
      </c>
      <c r="D301" t="s">
        <v>1117</v>
      </c>
      <c r="E301" t="s">
        <v>1338</v>
      </c>
      <c r="F301">
        <f>Table5[[#This Row],[Total_Amount]]/(G301*(1-Table5[[#This Row],[Discount]]))</f>
        <v>2</v>
      </c>
      <c r="G301" s="5">
        <v>873.1</v>
      </c>
      <c r="H301">
        <v>0.12</v>
      </c>
      <c r="I301" t="s">
        <v>1351</v>
      </c>
      <c r="J301" s="5">
        <v>1536.6559999999999</v>
      </c>
    </row>
    <row r="302" spans="1:10">
      <c r="A302" t="s">
        <v>1651</v>
      </c>
      <c r="B302" s="7">
        <v>45268</v>
      </c>
      <c r="C302" t="s">
        <v>458</v>
      </c>
      <c r="D302" t="s">
        <v>1097</v>
      </c>
      <c r="E302" t="s">
        <v>1326</v>
      </c>
      <c r="F302">
        <f>Table5[[#This Row],[Total_Amount]]/(G302*(1-Table5[[#This Row],[Discount]]))</f>
        <v>4</v>
      </c>
      <c r="G302" s="5">
        <v>889.47</v>
      </c>
      <c r="H302">
        <v>0.24</v>
      </c>
      <c r="I302" t="s">
        <v>1349</v>
      </c>
      <c r="J302" s="5">
        <v>2703.9888000000001</v>
      </c>
    </row>
    <row r="303" spans="1:10">
      <c r="A303" t="s">
        <v>1652</v>
      </c>
      <c r="B303" s="7">
        <v>45596</v>
      </c>
      <c r="C303" t="s">
        <v>90</v>
      </c>
      <c r="D303" t="s">
        <v>1221</v>
      </c>
      <c r="E303" t="s">
        <v>1317</v>
      </c>
      <c r="F303">
        <f>Table5[[#This Row],[Total_Amount]]/(G303*(1-Table5[[#This Row],[Discount]]))</f>
        <v>3</v>
      </c>
      <c r="G303" s="5">
        <v>803.76</v>
      </c>
      <c r="H303">
        <v>0.19</v>
      </c>
      <c r="I303" t="s">
        <v>1354</v>
      </c>
      <c r="J303" s="5">
        <v>1953.1368</v>
      </c>
    </row>
    <row r="304" spans="1:10">
      <c r="A304" t="s">
        <v>1653</v>
      </c>
      <c r="B304" s="7">
        <v>45624</v>
      </c>
      <c r="C304" t="s">
        <v>998</v>
      </c>
      <c r="D304" t="s">
        <v>1223</v>
      </c>
      <c r="E304" t="s">
        <v>1298</v>
      </c>
      <c r="F304">
        <f>Table5[[#This Row],[Total_Amount]]/(G304*(1-Table5[[#This Row],[Discount]]))</f>
        <v>1.9999999999999998</v>
      </c>
      <c r="G304" s="5">
        <v>865.14</v>
      </c>
      <c r="H304">
        <v>0.2</v>
      </c>
      <c r="I304" t="s">
        <v>1351</v>
      </c>
      <c r="J304" s="5">
        <v>1384.2239999999999</v>
      </c>
    </row>
    <row r="305" spans="1:10">
      <c r="A305" t="s">
        <v>1654</v>
      </c>
      <c r="B305" s="7">
        <v>45813</v>
      </c>
      <c r="C305" t="s">
        <v>252</v>
      </c>
      <c r="D305" t="s">
        <v>1135</v>
      </c>
      <c r="E305" t="s">
        <v>1311</v>
      </c>
      <c r="F305">
        <f>Table5[[#This Row],[Total_Amount]]/(G305*(1-Table5[[#This Row],[Discount]]))</f>
        <v>2</v>
      </c>
      <c r="G305" s="5">
        <v>916.49</v>
      </c>
      <c r="H305">
        <v>0.3</v>
      </c>
      <c r="I305" t="s">
        <v>1354</v>
      </c>
      <c r="J305" s="5">
        <v>1283.086</v>
      </c>
    </row>
    <row r="306" spans="1:10">
      <c r="A306" t="s">
        <v>1655</v>
      </c>
      <c r="B306" s="7">
        <v>45615</v>
      </c>
      <c r="C306" t="s">
        <v>123</v>
      </c>
      <c r="D306" t="s">
        <v>1175</v>
      </c>
      <c r="E306" t="s">
        <v>1319</v>
      </c>
      <c r="F306">
        <f>Table5[[#This Row],[Total_Amount]]/(G306*(1-Table5[[#This Row],[Discount]]))</f>
        <v>3</v>
      </c>
      <c r="G306" s="5">
        <v>781.39</v>
      </c>
      <c r="H306">
        <v>0.12</v>
      </c>
      <c r="I306" t="s">
        <v>1349</v>
      </c>
      <c r="J306" s="5">
        <v>2062.8696</v>
      </c>
    </row>
    <row r="307" spans="1:10">
      <c r="A307" t="s">
        <v>1656</v>
      </c>
      <c r="B307" s="7">
        <v>45431</v>
      </c>
      <c r="C307" t="s">
        <v>484</v>
      </c>
      <c r="D307" t="s">
        <v>1149</v>
      </c>
      <c r="E307" t="s">
        <v>1319</v>
      </c>
      <c r="F307">
        <f>Table5[[#This Row],[Total_Amount]]/(G307*(1-Table5[[#This Row],[Discount]]))</f>
        <v>4</v>
      </c>
      <c r="G307" s="5">
        <v>619.74</v>
      </c>
      <c r="H307">
        <v>0.13</v>
      </c>
      <c r="I307" t="s">
        <v>1354</v>
      </c>
      <c r="J307" s="5">
        <v>2156.6952000000001</v>
      </c>
    </row>
    <row r="308" spans="1:10">
      <c r="A308" t="s">
        <v>1657</v>
      </c>
      <c r="B308" s="7">
        <v>45679</v>
      </c>
      <c r="C308" t="s">
        <v>1024</v>
      </c>
      <c r="D308" t="s">
        <v>1197</v>
      </c>
      <c r="E308" t="s">
        <v>1324</v>
      </c>
      <c r="F308">
        <f>Table5[[#This Row],[Total_Amount]]/(G308*(1-Table5[[#This Row],[Discount]]))</f>
        <v>2</v>
      </c>
      <c r="G308" s="5">
        <v>837.76</v>
      </c>
      <c r="H308">
        <v>0.03</v>
      </c>
      <c r="I308" t="s">
        <v>1354</v>
      </c>
      <c r="J308" s="5">
        <v>1625.2544</v>
      </c>
    </row>
    <row r="309" spans="1:10">
      <c r="A309" t="s">
        <v>1658</v>
      </c>
      <c r="B309" s="7">
        <v>45842</v>
      </c>
      <c r="C309" t="s">
        <v>965</v>
      </c>
      <c r="D309" t="s">
        <v>1253</v>
      </c>
      <c r="E309" t="s">
        <v>1282</v>
      </c>
      <c r="F309">
        <f>Table5[[#This Row],[Total_Amount]]/(G309*(1-Table5[[#This Row],[Discount]]))</f>
        <v>2.9999999999999996</v>
      </c>
      <c r="G309" s="5">
        <v>135.94</v>
      </c>
      <c r="H309">
        <v>0.2</v>
      </c>
      <c r="I309" t="s">
        <v>1349</v>
      </c>
      <c r="J309" s="5">
        <v>326.25599999999997</v>
      </c>
    </row>
    <row r="310" spans="1:10">
      <c r="A310" t="s">
        <v>1659</v>
      </c>
      <c r="B310" s="7">
        <v>45796</v>
      </c>
      <c r="C310" t="s">
        <v>1020</v>
      </c>
      <c r="D310" t="s">
        <v>1221</v>
      </c>
      <c r="E310" t="s">
        <v>1282</v>
      </c>
      <c r="F310">
        <f>Table5[[#This Row],[Total_Amount]]/(G310*(1-Table5[[#This Row],[Discount]]))</f>
        <v>4.0000000000000009</v>
      </c>
      <c r="G310" s="5">
        <v>396.53</v>
      </c>
      <c r="H310">
        <v>7.0000000000000007E-2</v>
      </c>
      <c r="I310" t="s">
        <v>1351</v>
      </c>
      <c r="J310" s="5">
        <v>1475.0916</v>
      </c>
    </row>
    <row r="311" spans="1:10">
      <c r="A311" t="s">
        <v>1660</v>
      </c>
      <c r="B311" s="7">
        <v>45264</v>
      </c>
      <c r="C311" t="s">
        <v>502</v>
      </c>
      <c r="D311" t="s">
        <v>1131</v>
      </c>
      <c r="E311" t="s">
        <v>1324</v>
      </c>
      <c r="F311">
        <f>Table5[[#This Row],[Total_Amount]]/(G311*(1-Table5[[#This Row],[Discount]]))</f>
        <v>1.9999999999999996</v>
      </c>
      <c r="G311" s="5">
        <v>722.45</v>
      </c>
      <c r="H311">
        <v>0.22</v>
      </c>
      <c r="I311" t="s">
        <v>1351</v>
      </c>
      <c r="J311" s="5">
        <v>1127.0219999999999</v>
      </c>
    </row>
    <row r="312" spans="1:10">
      <c r="A312" t="s">
        <v>1661</v>
      </c>
      <c r="B312" s="7">
        <v>45504</v>
      </c>
      <c r="C312" t="s">
        <v>135</v>
      </c>
      <c r="D312" t="s">
        <v>1201</v>
      </c>
      <c r="E312" t="s">
        <v>1286</v>
      </c>
      <c r="F312">
        <f>Table5[[#This Row],[Total_Amount]]/(G312*(1-Table5[[#This Row],[Discount]]))</f>
        <v>2</v>
      </c>
      <c r="G312" s="5">
        <v>138.41</v>
      </c>
      <c r="H312">
        <v>0.02</v>
      </c>
      <c r="I312" t="s">
        <v>1349</v>
      </c>
      <c r="J312" s="5">
        <v>271.28359999999998</v>
      </c>
    </row>
    <row r="313" spans="1:10">
      <c r="A313" t="s">
        <v>1662</v>
      </c>
      <c r="B313" s="7">
        <v>45679</v>
      </c>
      <c r="C313" t="s">
        <v>313</v>
      </c>
      <c r="D313" t="s">
        <v>1233</v>
      </c>
      <c r="E313" t="s">
        <v>1286</v>
      </c>
      <c r="F313">
        <f>Table5[[#This Row],[Total_Amount]]/(G313*(1-Table5[[#This Row],[Discount]]))</f>
        <v>4</v>
      </c>
      <c r="G313" s="5">
        <v>741.51</v>
      </c>
      <c r="H313">
        <v>0.09</v>
      </c>
      <c r="I313" t="s">
        <v>1354</v>
      </c>
      <c r="J313" s="5">
        <v>2699.0963999999999</v>
      </c>
    </row>
    <row r="314" spans="1:10">
      <c r="A314" t="s">
        <v>1663</v>
      </c>
      <c r="B314" s="7">
        <v>45611</v>
      </c>
      <c r="C314" t="s">
        <v>77</v>
      </c>
      <c r="D314" t="s">
        <v>1233</v>
      </c>
      <c r="E314" t="s">
        <v>1332</v>
      </c>
      <c r="F314">
        <f>Table5[[#This Row],[Total_Amount]]/(G314*(1-Table5[[#This Row],[Discount]]))</f>
        <v>2</v>
      </c>
      <c r="G314" s="5">
        <v>588.9</v>
      </c>
      <c r="H314">
        <v>0.19</v>
      </c>
      <c r="I314" t="s">
        <v>1351</v>
      </c>
      <c r="J314" s="5">
        <v>954.01800000000003</v>
      </c>
    </row>
    <row r="315" spans="1:10">
      <c r="A315" t="s">
        <v>1664</v>
      </c>
      <c r="B315" s="7">
        <v>45389</v>
      </c>
      <c r="C315" t="s">
        <v>672</v>
      </c>
      <c r="D315" t="s">
        <v>1173</v>
      </c>
      <c r="E315" t="s">
        <v>1286</v>
      </c>
      <c r="F315">
        <f>Table5[[#This Row],[Total_Amount]]/(G315*(1-Table5[[#This Row],[Discount]]))</f>
        <v>1</v>
      </c>
      <c r="G315" s="5">
        <v>88.92</v>
      </c>
      <c r="H315">
        <v>0.19</v>
      </c>
      <c r="I315" t="s">
        <v>1351</v>
      </c>
      <c r="J315" s="5">
        <v>72.025200000000012</v>
      </c>
    </row>
    <row r="316" spans="1:10">
      <c r="A316" t="s">
        <v>1665</v>
      </c>
      <c r="B316" s="7">
        <v>45339</v>
      </c>
      <c r="C316" t="s">
        <v>296</v>
      </c>
      <c r="D316" t="s">
        <v>1195</v>
      </c>
      <c r="E316" t="s">
        <v>1329</v>
      </c>
      <c r="F316">
        <f>Table5[[#This Row],[Total_Amount]]/(G316*(1-Table5[[#This Row],[Discount]]))</f>
        <v>1</v>
      </c>
      <c r="G316" s="5">
        <v>299.13</v>
      </c>
      <c r="H316">
        <v>0.1</v>
      </c>
      <c r="I316" t="s">
        <v>1354</v>
      </c>
      <c r="J316" s="5">
        <v>269.21699999999998</v>
      </c>
    </row>
    <row r="317" spans="1:10">
      <c r="A317" t="s">
        <v>1666</v>
      </c>
      <c r="B317" s="7">
        <v>45433</v>
      </c>
      <c r="C317" t="s">
        <v>292</v>
      </c>
      <c r="D317" t="s">
        <v>1227</v>
      </c>
      <c r="E317" t="s">
        <v>1291</v>
      </c>
      <c r="F317">
        <f>Table5[[#This Row],[Total_Amount]]/(G317*(1-Table5[[#This Row],[Discount]]))</f>
        <v>2</v>
      </c>
      <c r="G317" s="5">
        <v>548.29999999999995</v>
      </c>
      <c r="H317">
        <v>0.23</v>
      </c>
      <c r="I317" t="s">
        <v>1349</v>
      </c>
      <c r="J317" s="5">
        <v>844.38199999999995</v>
      </c>
    </row>
    <row r="318" spans="1:10">
      <c r="A318" t="s">
        <v>1667</v>
      </c>
      <c r="B318" s="7">
        <v>45435</v>
      </c>
      <c r="C318" t="s">
        <v>587</v>
      </c>
      <c r="D318" t="s">
        <v>1181</v>
      </c>
      <c r="E318" t="s">
        <v>1314</v>
      </c>
      <c r="F318">
        <f>Table5[[#This Row],[Total_Amount]]/(G318*(1-Table5[[#This Row],[Discount]]))</f>
        <v>2.9999999999999991</v>
      </c>
      <c r="G318" s="5">
        <v>977.55</v>
      </c>
      <c r="H318">
        <v>0.02</v>
      </c>
      <c r="I318" t="s">
        <v>1351</v>
      </c>
      <c r="J318" s="5">
        <v>2873.9969999999989</v>
      </c>
    </row>
    <row r="319" spans="1:10">
      <c r="A319" t="s">
        <v>1668</v>
      </c>
      <c r="B319" s="7">
        <v>45823</v>
      </c>
      <c r="C319" t="s">
        <v>756</v>
      </c>
      <c r="D319" t="s">
        <v>1161</v>
      </c>
      <c r="E319" t="s">
        <v>1335</v>
      </c>
      <c r="F319">
        <f>Table5[[#This Row],[Total_Amount]]/(G319*(1-Table5[[#This Row],[Discount]]))</f>
        <v>1</v>
      </c>
      <c r="G319" s="5">
        <v>459.42</v>
      </c>
      <c r="H319">
        <v>0.28000000000000003</v>
      </c>
      <c r="I319" t="s">
        <v>1354</v>
      </c>
      <c r="J319" s="5">
        <v>330.7824</v>
      </c>
    </row>
    <row r="320" spans="1:10">
      <c r="A320" t="s">
        <v>1669</v>
      </c>
      <c r="B320" s="7">
        <v>45663</v>
      </c>
      <c r="C320" t="s">
        <v>232</v>
      </c>
      <c r="D320" t="s">
        <v>1074</v>
      </c>
      <c r="E320" t="s">
        <v>1294</v>
      </c>
      <c r="F320">
        <f>Table5[[#This Row],[Total_Amount]]/(G320*(1-Table5[[#This Row],[Discount]]))</f>
        <v>2</v>
      </c>
      <c r="G320" s="5">
        <v>123.19</v>
      </c>
      <c r="H320">
        <v>0.19</v>
      </c>
      <c r="I320" t="s">
        <v>1349</v>
      </c>
      <c r="J320" s="5">
        <v>199.56780000000001</v>
      </c>
    </row>
    <row r="321" spans="1:10">
      <c r="A321" t="s">
        <v>1670</v>
      </c>
      <c r="B321" s="7">
        <v>45879</v>
      </c>
      <c r="C321" t="s">
        <v>779</v>
      </c>
      <c r="D321" t="s">
        <v>1183</v>
      </c>
      <c r="E321" t="s">
        <v>1338</v>
      </c>
      <c r="F321">
        <f>Table5[[#This Row],[Total_Amount]]/(G321*(1-Table5[[#This Row],[Discount]]))</f>
        <v>1.0000000000000002</v>
      </c>
      <c r="G321" s="5">
        <v>222.95</v>
      </c>
      <c r="H321">
        <v>0.02</v>
      </c>
      <c r="I321" t="s">
        <v>1351</v>
      </c>
      <c r="J321" s="5">
        <v>218.49100000000001</v>
      </c>
    </row>
    <row r="322" spans="1:10">
      <c r="A322" t="s">
        <v>1671</v>
      </c>
      <c r="B322" s="7">
        <v>45840</v>
      </c>
      <c r="C322" t="s">
        <v>728</v>
      </c>
      <c r="D322" t="s">
        <v>1137</v>
      </c>
      <c r="E322" t="s">
        <v>1294</v>
      </c>
      <c r="F322">
        <f>Table5[[#This Row],[Total_Amount]]/(G322*(1-Table5[[#This Row],[Discount]]))</f>
        <v>3.0000000000000004</v>
      </c>
      <c r="G322" s="5">
        <v>601.92999999999995</v>
      </c>
      <c r="H322">
        <v>0.14000000000000001</v>
      </c>
      <c r="I322" t="s">
        <v>1349</v>
      </c>
      <c r="J322" s="5">
        <v>1552.9793999999999</v>
      </c>
    </row>
    <row r="323" spans="1:10">
      <c r="A323" t="s">
        <v>1672</v>
      </c>
      <c r="B323" s="7">
        <v>45380</v>
      </c>
      <c r="C323" t="s">
        <v>658</v>
      </c>
      <c r="D323" t="s">
        <v>1211</v>
      </c>
      <c r="E323" t="s">
        <v>1286</v>
      </c>
      <c r="F323">
        <f>Table5[[#This Row],[Total_Amount]]/(G323*(1-Table5[[#This Row],[Discount]]))</f>
        <v>1</v>
      </c>
      <c r="G323" s="5">
        <v>564.1</v>
      </c>
      <c r="H323">
        <v>0.03</v>
      </c>
      <c r="I323" t="s">
        <v>1349</v>
      </c>
      <c r="J323" s="5">
        <v>547.17700000000002</v>
      </c>
    </row>
    <row r="324" spans="1:10">
      <c r="A324" t="s">
        <v>1673</v>
      </c>
      <c r="B324" s="7">
        <v>45672</v>
      </c>
      <c r="C324" t="s">
        <v>248</v>
      </c>
      <c r="D324" t="s">
        <v>1233</v>
      </c>
      <c r="E324" t="s">
        <v>1298</v>
      </c>
      <c r="F324">
        <f>Table5[[#This Row],[Total_Amount]]/(G324*(1-Table5[[#This Row],[Discount]]))</f>
        <v>1.0000000000000002</v>
      </c>
      <c r="G324" s="5">
        <v>516.62</v>
      </c>
      <c r="H324">
        <v>0.18</v>
      </c>
      <c r="I324" t="s">
        <v>1349</v>
      </c>
      <c r="J324" s="5">
        <v>423.62840000000011</v>
      </c>
    </row>
    <row r="325" spans="1:10">
      <c r="A325" t="s">
        <v>1674</v>
      </c>
      <c r="B325" s="7">
        <v>45497</v>
      </c>
      <c r="C325" t="s">
        <v>939</v>
      </c>
      <c r="D325" t="s">
        <v>1199</v>
      </c>
      <c r="E325" t="s">
        <v>1319</v>
      </c>
      <c r="F325">
        <f>Table5[[#This Row],[Total_Amount]]/(G325*(1-Table5[[#This Row],[Discount]]))</f>
        <v>1</v>
      </c>
      <c r="G325" s="5">
        <v>934.75</v>
      </c>
      <c r="H325">
        <v>0.11</v>
      </c>
      <c r="I325" t="s">
        <v>1351</v>
      </c>
      <c r="J325" s="5">
        <v>831.92750000000001</v>
      </c>
    </row>
    <row r="326" spans="1:10">
      <c r="A326" t="s">
        <v>1675</v>
      </c>
      <c r="B326" s="7">
        <v>45407</v>
      </c>
      <c r="C326" t="s">
        <v>531</v>
      </c>
      <c r="D326" t="s">
        <v>1269</v>
      </c>
      <c r="E326" t="s">
        <v>1304</v>
      </c>
      <c r="F326">
        <f>Table5[[#This Row],[Total_Amount]]/(G326*(1-Table5[[#This Row],[Discount]]))</f>
        <v>4</v>
      </c>
      <c r="G326" s="5">
        <v>548.44000000000005</v>
      </c>
      <c r="H326">
        <v>0.05</v>
      </c>
      <c r="I326" t="s">
        <v>1351</v>
      </c>
      <c r="J326" s="5">
        <v>2084.0720000000001</v>
      </c>
    </row>
    <row r="327" spans="1:10">
      <c r="A327" t="s">
        <v>1676</v>
      </c>
      <c r="B327" s="7">
        <v>45764</v>
      </c>
      <c r="C327" t="s">
        <v>50</v>
      </c>
      <c r="D327" t="s">
        <v>1147</v>
      </c>
      <c r="E327" t="s">
        <v>1291</v>
      </c>
      <c r="F327">
        <f>Table5[[#This Row],[Total_Amount]]/(G327*(1-Table5[[#This Row],[Discount]]))</f>
        <v>3</v>
      </c>
      <c r="G327" s="5">
        <v>361.11</v>
      </c>
      <c r="H327">
        <v>0.06</v>
      </c>
      <c r="I327" t="s">
        <v>1349</v>
      </c>
      <c r="J327" s="5">
        <v>1018.3302</v>
      </c>
    </row>
    <row r="328" spans="1:10">
      <c r="A328" t="s">
        <v>1677</v>
      </c>
      <c r="B328" s="7">
        <v>45924</v>
      </c>
      <c r="C328" t="s">
        <v>436</v>
      </c>
      <c r="D328" t="s">
        <v>1099</v>
      </c>
      <c r="E328" t="s">
        <v>1282</v>
      </c>
      <c r="F328">
        <f>Table5[[#This Row],[Total_Amount]]/(G328*(1-Table5[[#This Row],[Discount]]))</f>
        <v>2</v>
      </c>
      <c r="G328" s="5">
        <v>610.37</v>
      </c>
      <c r="H328">
        <v>0.1</v>
      </c>
      <c r="I328" t="s">
        <v>1351</v>
      </c>
      <c r="J328" s="5">
        <v>1098.6659999999999</v>
      </c>
    </row>
    <row r="329" spans="1:10">
      <c r="A329" t="s">
        <v>1678</v>
      </c>
      <c r="B329" s="7">
        <v>45240</v>
      </c>
      <c r="C329" t="s">
        <v>732</v>
      </c>
      <c r="D329" t="s">
        <v>1175</v>
      </c>
      <c r="E329" t="s">
        <v>1329</v>
      </c>
      <c r="F329">
        <f>Table5[[#This Row],[Total_Amount]]/(G329*(1-Table5[[#This Row],[Discount]]))</f>
        <v>1</v>
      </c>
      <c r="G329" s="5">
        <v>272.2</v>
      </c>
      <c r="H329">
        <v>0.3</v>
      </c>
      <c r="I329" t="s">
        <v>1349</v>
      </c>
      <c r="J329" s="5">
        <v>190.54</v>
      </c>
    </row>
    <row r="330" spans="1:10">
      <c r="A330" t="s">
        <v>1679</v>
      </c>
      <c r="B330" s="7">
        <v>45349</v>
      </c>
      <c r="C330" t="s">
        <v>939</v>
      </c>
      <c r="D330" t="s">
        <v>1227</v>
      </c>
      <c r="E330" t="s">
        <v>1301</v>
      </c>
      <c r="F330">
        <f>Table5[[#This Row],[Total_Amount]]/(G330*(1-Table5[[#This Row],[Discount]]))</f>
        <v>3</v>
      </c>
      <c r="G330" s="5">
        <v>573.1</v>
      </c>
      <c r="H330">
        <v>0.16</v>
      </c>
      <c r="I330" t="s">
        <v>1354</v>
      </c>
      <c r="J330" s="5">
        <v>1444.212</v>
      </c>
    </row>
    <row r="331" spans="1:10">
      <c r="A331" t="s">
        <v>1680</v>
      </c>
      <c r="B331" s="7">
        <v>45756</v>
      </c>
      <c r="C331" t="s">
        <v>708</v>
      </c>
      <c r="D331" t="s">
        <v>1082</v>
      </c>
      <c r="E331" t="s">
        <v>1277</v>
      </c>
      <c r="F331">
        <f>Table5[[#This Row],[Total_Amount]]/(G331*(1-Table5[[#This Row],[Discount]]))</f>
        <v>4</v>
      </c>
      <c r="G331" s="5">
        <v>24.72</v>
      </c>
      <c r="H331">
        <v>0.28000000000000003</v>
      </c>
      <c r="I331" t="s">
        <v>1349</v>
      </c>
      <c r="J331" s="5">
        <v>71.193599999999989</v>
      </c>
    </row>
    <row r="332" spans="1:10">
      <c r="A332" t="s">
        <v>1681</v>
      </c>
      <c r="B332" s="7">
        <v>45478</v>
      </c>
      <c r="C332" t="s">
        <v>565</v>
      </c>
      <c r="D332" t="s">
        <v>1090</v>
      </c>
      <c r="E332" t="s">
        <v>1311</v>
      </c>
      <c r="F332">
        <f>Table5[[#This Row],[Total_Amount]]/(G332*(1-Table5[[#This Row],[Discount]]))</f>
        <v>3</v>
      </c>
      <c r="G332" s="5">
        <v>268.89</v>
      </c>
      <c r="H332">
        <v>7.0000000000000007E-2</v>
      </c>
      <c r="I332" t="s">
        <v>1354</v>
      </c>
      <c r="J332" s="5">
        <v>750.20309999999995</v>
      </c>
    </row>
    <row r="333" spans="1:10">
      <c r="A333" t="s">
        <v>1682</v>
      </c>
      <c r="B333" s="7">
        <v>45890</v>
      </c>
      <c r="C333" t="s">
        <v>577</v>
      </c>
      <c r="D333" t="s">
        <v>1209</v>
      </c>
      <c r="E333" t="s">
        <v>1311</v>
      </c>
      <c r="F333">
        <f>Table5[[#This Row],[Total_Amount]]/(G333*(1-Table5[[#This Row],[Discount]]))</f>
        <v>1</v>
      </c>
      <c r="G333" s="5">
        <v>78.5</v>
      </c>
      <c r="H333">
        <v>0.17</v>
      </c>
      <c r="I333" t="s">
        <v>1354</v>
      </c>
      <c r="J333" s="5">
        <v>65.155000000000001</v>
      </c>
    </row>
    <row r="334" spans="1:10">
      <c r="A334" t="s">
        <v>1683</v>
      </c>
      <c r="B334" s="7">
        <v>45815</v>
      </c>
      <c r="C334" t="s">
        <v>327</v>
      </c>
      <c r="D334" t="s">
        <v>1145</v>
      </c>
      <c r="E334" t="s">
        <v>1294</v>
      </c>
      <c r="F334">
        <f>Table5[[#This Row],[Total_Amount]]/(G334*(1-Table5[[#This Row],[Discount]]))</f>
        <v>2.9999999999999996</v>
      </c>
      <c r="G334" s="5">
        <v>399.42</v>
      </c>
      <c r="H334">
        <v>0.02</v>
      </c>
      <c r="I334" t="s">
        <v>1349</v>
      </c>
      <c r="J334" s="5">
        <v>1174.2947999999999</v>
      </c>
    </row>
    <row r="335" spans="1:10">
      <c r="A335" t="s">
        <v>1684</v>
      </c>
      <c r="B335" s="7">
        <v>45891</v>
      </c>
      <c r="C335" t="s">
        <v>224</v>
      </c>
      <c r="D335" t="s">
        <v>1135</v>
      </c>
      <c r="E335" t="s">
        <v>1338</v>
      </c>
      <c r="F335">
        <f>Table5[[#This Row],[Total_Amount]]/(G335*(1-Table5[[#This Row],[Discount]]))</f>
        <v>3</v>
      </c>
      <c r="G335" s="5">
        <v>455.82</v>
      </c>
      <c r="H335">
        <v>0.01</v>
      </c>
      <c r="I335" t="s">
        <v>1351</v>
      </c>
      <c r="J335" s="5">
        <v>1353.7854</v>
      </c>
    </row>
    <row r="336" spans="1:10">
      <c r="A336" t="s">
        <v>1685</v>
      </c>
      <c r="B336" s="7">
        <v>45609</v>
      </c>
      <c r="C336" t="s">
        <v>762</v>
      </c>
      <c r="D336" t="s">
        <v>1173</v>
      </c>
      <c r="E336" t="s">
        <v>1298</v>
      </c>
      <c r="F336">
        <f>Table5[[#This Row],[Total_Amount]]/(G336*(1-Table5[[#This Row],[Discount]]))</f>
        <v>2</v>
      </c>
      <c r="G336" s="5">
        <v>613.23</v>
      </c>
      <c r="H336">
        <v>0.15</v>
      </c>
      <c r="I336" t="s">
        <v>1351</v>
      </c>
      <c r="J336" s="5">
        <v>1042.491</v>
      </c>
    </row>
    <row r="337" spans="1:10">
      <c r="A337" t="s">
        <v>1686</v>
      </c>
      <c r="B337" s="7">
        <v>45309</v>
      </c>
      <c r="C337" t="s">
        <v>979</v>
      </c>
      <c r="D337" t="s">
        <v>1074</v>
      </c>
      <c r="E337" t="s">
        <v>1324</v>
      </c>
      <c r="F337">
        <f>Table5[[#This Row],[Total_Amount]]/(G337*(1-Table5[[#This Row],[Discount]]))</f>
        <v>4.0000000000000009</v>
      </c>
      <c r="G337" s="5">
        <v>971.9</v>
      </c>
      <c r="H337">
        <v>0.28000000000000003</v>
      </c>
      <c r="I337" t="s">
        <v>1351</v>
      </c>
      <c r="J337" s="5">
        <v>2799.0720000000001</v>
      </c>
    </row>
    <row r="338" spans="1:10">
      <c r="A338" t="s">
        <v>1687</v>
      </c>
      <c r="B338" s="7">
        <v>45519</v>
      </c>
      <c r="C338" t="s">
        <v>104</v>
      </c>
      <c r="D338" t="s">
        <v>1129</v>
      </c>
      <c r="E338" t="s">
        <v>1304</v>
      </c>
      <c r="F338">
        <f>Table5[[#This Row],[Total_Amount]]/(G338*(1-Table5[[#This Row],[Discount]]))</f>
        <v>3.0000000000000004</v>
      </c>
      <c r="G338" s="5">
        <v>884.92</v>
      </c>
      <c r="H338">
        <v>0.06</v>
      </c>
      <c r="I338" t="s">
        <v>1351</v>
      </c>
      <c r="J338" s="5">
        <v>2495.4744000000001</v>
      </c>
    </row>
    <row r="339" spans="1:10">
      <c r="A339" t="s">
        <v>1688</v>
      </c>
      <c r="B339" s="7">
        <v>45921</v>
      </c>
      <c r="C339" t="s">
        <v>229</v>
      </c>
      <c r="D339" t="s">
        <v>1087</v>
      </c>
      <c r="E339" t="s">
        <v>1311</v>
      </c>
      <c r="F339">
        <f>Table5[[#This Row],[Total_Amount]]/(G339*(1-Table5[[#This Row],[Discount]]))</f>
        <v>1</v>
      </c>
      <c r="G339" s="5">
        <v>125</v>
      </c>
      <c r="H339">
        <v>0.23</v>
      </c>
      <c r="I339" t="s">
        <v>1349</v>
      </c>
      <c r="J339" s="5">
        <v>96.25</v>
      </c>
    </row>
    <row r="340" spans="1:10">
      <c r="A340" t="s">
        <v>1689</v>
      </c>
      <c r="B340" s="7">
        <v>45465</v>
      </c>
      <c r="C340" t="s">
        <v>317</v>
      </c>
      <c r="D340" t="s">
        <v>1093</v>
      </c>
      <c r="E340" t="s">
        <v>1326</v>
      </c>
      <c r="F340">
        <f>Table5[[#This Row],[Total_Amount]]/(G340*(1-Table5[[#This Row],[Discount]]))</f>
        <v>2</v>
      </c>
      <c r="G340" s="5">
        <v>188.25</v>
      </c>
      <c r="H340">
        <v>0.08</v>
      </c>
      <c r="I340" t="s">
        <v>1351</v>
      </c>
      <c r="J340" s="5">
        <v>346.38</v>
      </c>
    </row>
    <row r="341" spans="1:10">
      <c r="A341" t="s">
        <v>1690</v>
      </c>
      <c r="B341" s="7">
        <v>45303</v>
      </c>
      <c r="C341" t="s">
        <v>507</v>
      </c>
      <c r="D341" t="s">
        <v>1165</v>
      </c>
      <c r="E341" t="s">
        <v>1301</v>
      </c>
      <c r="F341">
        <f>Table5[[#This Row],[Total_Amount]]/(G341*(1-Table5[[#This Row],[Discount]]))</f>
        <v>3.9999999999999991</v>
      </c>
      <c r="G341" s="5">
        <v>344.12</v>
      </c>
      <c r="H341">
        <v>0.25</v>
      </c>
      <c r="I341" t="s">
        <v>1351</v>
      </c>
      <c r="J341" s="5">
        <v>1032.3599999999999</v>
      </c>
    </row>
    <row r="342" spans="1:10">
      <c r="A342" t="s">
        <v>1691</v>
      </c>
      <c r="B342" s="7">
        <v>45218</v>
      </c>
      <c r="C342" t="s">
        <v>135</v>
      </c>
      <c r="D342" t="s">
        <v>1107</v>
      </c>
      <c r="E342" t="s">
        <v>1338</v>
      </c>
      <c r="F342">
        <f>Table5[[#This Row],[Total_Amount]]/(G342*(1-Table5[[#This Row],[Discount]]))</f>
        <v>2.9999999999999996</v>
      </c>
      <c r="G342" s="5">
        <v>997.95</v>
      </c>
      <c r="H342">
        <v>0.09</v>
      </c>
      <c r="I342" t="s">
        <v>1354</v>
      </c>
      <c r="J342" s="5">
        <v>2724.4034999999999</v>
      </c>
    </row>
    <row r="343" spans="1:10">
      <c r="A343" t="s">
        <v>1692</v>
      </c>
      <c r="B343" s="7">
        <v>45727</v>
      </c>
      <c r="C343" t="s">
        <v>361</v>
      </c>
      <c r="D343" t="s">
        <v>1095</v>
      </c>
      <c r="E343" t="s">
        <v>1326</v>
      </c>
      <c r="F343">
        <f>Table5[[#This Row],[Total_Amount]]/(G343*(1-Table5[[#This Row],[Discount]]))</f>
        <v>3.0000000000000004</v>
      </c>
      <c r="G343" s="5">
        <v>121.64</v>
      </c>
      <c r="H343">
        <v>7.0000000000000007E-2</v>
      </c>
      <c r="I343" t="s">
        <v>1351</v>
      </c>
      <c r="J343" s="5">
        <v>339.37560000000002</v>
      </c>
    </row>
    <row r="344" spans="1:10">
      <c r="A344" t="s">
        <v>1693</v>
      </c>
      <c r="B344" s="7">
        <v>45557</v>
      </c>
      <c r="C344" t="s">
        <v>505</v>
      </c>
      <c r="D344" t="s">
        <v>1209</v>
      </c>
      <c r="E344" t="s">
        <v>1314</v>
      </c>
      <c r="F344">
        <f>Table5[[#This Row],[Total_Amount]]/(G344*(1-Table5[[#This Row],[Discount]]))</f>
        <v>1.9999999999999996</v>
      </c>
      <c r="G344" s="5">
        <v>692.72</v>
      </c>
      <c r="H344">
        <v>0.13</v>
      </c>
      <c r="I344" t="s">
        <v>1351</v>
      </c>
      <c r="J344" s="5">
        <v>1205.3327999999999</v>
      </c>
    </row>
    <row r="345" spans="1:10">
      <c r="A345" t="s">
        <v>1694</v>
      </c>
      <c r="B345" s="7">
        <v>45623</v>
      </c>
      <c r="C345" t="s">
        <v>87</v>
      </c>
      <c r="D345" t="s">
        <v>1121</v>
      </c>
      <c r="E345" t="s">
        <v>1338</v>
      </c>
      <c r="F345">
        <f>Table5[[#This Row],[Total_Amount]]/(G345*(1-Table5[[#This Row],[Discount]]))</f>
        <v>3</v>
      </c>
      <c r="G345" s="5">
        <v>794.59</v>
      </c>
      <c r="H345">
        <v>0.03</v>
      </c>
      <c r="I345" t="s">
        <v>1351</v>
      </c>
      <c r="J345" s="5">
        <v>2312.2568999999999</v>
      </c>
    </row>
    <row r="346" spans="1:10">
      <c r="A346" t="s">
        <v>1695</v>
      </c>
      <c r="B346" s="7">
        <v>45224</v>
      </c>
      <c r="C346" t="s">
        <v>53</v>
      </c>
      <c r="D346" t="s">
        <v>1125</v>
      </c>
      <c r="E346" t="s">
        <v>1311</v>
      </c>
      <c r="F346">
        <f>Table5[[#This Row],[Total_Amount]]/(G346*(1-Table5[[#This Row],[Discount]]))</f>
        <v>1</v>
      </c>
      <c r="G346" s="5">
        <v>907.95</v>
      </c>
      <c r="H346">
        <v>0.1</v>
      </c>
      <c r="I346" t="s">
        <v>1351</v>
      </c>
      <c r="J346" s="5">
        <v>817.15500000000009</v>
      </c>
    </row>
    <row r="347" spans="1:10">
      <c r="A347" t="s">
        <v>1696</v>
      </c>
      <c r="B347" s="7">
        <v>45940</v>
      </c>
      <c r="C347" t="s">
        <v>638</v>
      </c>
      <c r="D347" t="s">
        <v>1173</v>
      </c>
      <c r="E347" t="s">
        <v>1277</v>
      </c>
      <c r="F347">
        <f>Table5[[#This Row],[Total_Amount]]/(G347*(1-Table5[[#This Row],[Discount]]))</f>
        <v>2</v>
      </c>
      <c r="G347" s="5">
        <v>660.81</v>
      </c>
      <c r="H347">
        <v>0.18</v>
      </c>
      <c r="I347" t="s">
        <v>1349</v>
      </c>
      <c r="J347" s="5">
        <v>1083.7284</v>
      </c>
    </row>
    <row r="348" spans="1:10">
      <c r="A348" t="s">
        <v>1697</v>
      </c>
      <c r="B348" s="7">
        <v>45915</v>
      </c>
      <c r="C348" t="s">
        <v>168</v>
      </c>
      <c r="D348" t="s">
        <v>1175</v>
      </c>
      <c r="E348" t="s">
        <v>1307</v>
      </c>
      <c r="F348">
        <f>Table5[[#This Row],[Total_Amount]]/(G348*(1-Table5[[#This Row],[Discount]]))</f>
        <v>2.9999999999999991</v>
      </c>
      <c r="G348" s="5">
        <v>564.94000000000005</v>
      </c>
      <c r="H348">
        <v>0.22</v>
      </c>
      <c r="I348" t="s">
        <v>1354</v>
      </c>
      <c r="J348" s="5">
        <v>1321.9595999999999</v>
      </c>
    </row>
    <row r="349" spans="1:10">
      <c r="A349" t="s">
        <v>1698</v>
      </c>
      <c r="B349" s="7">
        <v>45541</v>
      </c>
      <c r="C349" t="s">
        <v>152</v>
      </c>
      <c r="D349" t="s">
        <v>1103</v>
      </c>
      <c r="E349" t="s">
        <v>1326</v>
      </c>
      <c r="F349">
        <f>Table5[[#This Row],[Total_Amount]]/(G349*(1-Table5[[#This Row],[Discount]]))</f>
        <v>2</v>
      </c>
      <c r="G349" s="5">
        <v>280.37</v>
      </c>
      <c r="H349">
        <v>0.22</v>
      </c>
      <c r="I349" t="s">
        <v>1354</v>
      </c>
      <c r="J349" s="5">
        <v>437.37720000000002</v>
      </c>
    </row>
    <row r="350" spans="1:10">
      <c r="A350" t="s">
        <v>1699</v>
      </c>
      <c r="B350" s="7">
        <v>45489</v>
      </c>
      <c r="C350" t="s">
        <v>807</v>
      </c>
      <c r="D350" t="s">
        <v>1173</v>
      </c>
      <c r="E350" t="s">
        <v>1291</v>
      </c>
      <c r="F350">
        <f>Table5[[#This Row],[Total_Amount]]/(G350*(1-Table5[[#This Row],[Discount]]))</f>
        <v>1.9999999999999996</v>
      </c>
      <c r="G350" s="5">
        <v>85.23</v>
      </c>
      <c r="H350">
        <v>0.13</v>
      </c>
      <c r="I350" t="s">
        <v>1349</v>
      </c>
      <c r="J350" s="5">
        <v>148.30019999999999</v>
      </c>
    </row>
    <row r="351" spans="1:10">
      <c r="A351" t="s">
        <v>1700</v>
      </c>
      <c r="B351" s="7">
        <v>45748</v>
      </c>
      <c r="C351" t="s">
        <v>688</v>
      </c>
      <c r="D351" t="s">
        <v>1127</v>
      </c>
      <c r="E351" t="s">
        <v>1322</v>
      </c>
      <c r="F351">
        <f>Table5[[#This Row],[Total_Amount]]/(G351*(1-Table5[[#This Row],[Discount]]))</f>
        <v>2</v>
      </c>
      <c r="G351" s="5">
        <v>563.29999999999995</v>
      </c>
      <c r="H351">
        <v>0.26</v>
      </c>
      <c r="I351" t="s">
        <v>1349</v>
      </c>
      <c r="J351" s="5">
        <v>833.68399999999997</v>
      </c>
    </row>
    <row r="352" spans="1:10">
      <c r="A352" t="s">
        <v>1701</v>
      </c>
      <c r="B352" s="7">
        <v>45309</v>
      </c>
      <c r="C352" t="s">
        <v>102</v>
      </c>
      <c r="D352" t="s">
        <v>1233</v>
      </c>
      <c r="E352" t="s">
        <v>1335</v>
      </c>
      <c r="F352">
        <f>Table5[[#This Row],[Total_Amount]]/(G352*(1-Table5[[#This Row],[Discount]]))</f>
        <v>2</v>
      </c>
      <c r="G352" s="5">
        <v>827.81</v>
      </c>
      <c r="H352">
        <v>0.04</v>
      </c>
      <c r="I352" t="s">
        <v>1351</v>
      </c>
      <c r="J352" s="5">
        <v>1589.3951999999999</v>
      </c>
    </row>
    <row r="353" spans="1:10">
      <c r="A353" t="s">
        <v>1702</v>
      </c>
      <c r="B353" s="7">
        <v>45621</v>
      </c>
      <c r="C353" t="s">
        <v>490</v>
      </c>
      <c r="D353" t="s">
        <v>1097</v>
      </c>
      <c r="E353" t="s">
        <v>1335</v>
      </c>
      <c r="F353">
        <f>Table5[[#This Row],[Total_Amount]]/(G353*(1-Table5[[#This Row],[Discount]]))</f>
        <v>2.9999999999999996</v>
      </c>
      <c r="G353" s="5">
        <v>877.71</v>
      </c>
      <c r="H353">
        <v>0.12</v>
      </c>
      <c r="I353" t="s">
        <v>1351</v>
      </c>
      <c r="J353" s="5">
        <v>2317.1543999999999</v>
      </c>
    </row>
    <row r="354" spans="1:10">
      <c r="A354" t="s">
        <v>1703</v>
      </c>
      <c r="B354" s="7">
        <v>45603</v>
      </c>
      <c r="C354" t="s">
        <v>577</v>
      </c>
      <c r="D354" t="s">
        <v>1187</v>
      </c>
      <c r="E354" t="s">
        <v>1311</v>
      </c>
      <c r="F354">
        <f>Table5[[#This Row],[Total_Amount]]/(G354*(1-Table5[[#This Row],[Discount]]))</f>
        <v>4</v>
      </c>
      <c r="G354" s="5">
        <v>488.56</v>
      </c>
      <c r="H354">
        <v>0.26</v>
      </c>
      <c r="I354" t="s">
        <v>1354</v>
      </c>
      <c r="J354" s="5">
        <v>1446.1376</v>
      </c>
    </row>
    <row r="355" spans="1:10">
      <c r="A355" t="s">
        <v>1704</v>
      </c>
      <c r="B355" s="7">
        <v>45501</v>
      </c>
      <c r="C355" t="s">
        <v>267</v>
      </c>
      <c r="D355" t="s">
        <v>1123</v>
      </c>
      <c r="E355" t="s">
        <v>1319</v>
      </c>
      <c r="F355">
        <f>Table5[[#This Row],[Total_Amount]]/(G355*(1-Table5[[#This Row],[Discount]]))</f>
        <v>4</v>
      </c>
      <c r="G355" s="5">
        <v>175.91</v>
      </c>
      <c r="H355">
        <v>0.13</v>
      </c>
      <c r="I355" t="s">
        <v>1351</v>
      </c>
      <c r="J355" s="5">
        <v>612.16679999999997</v>
      </c>
    </row>
    <row r="356" spans="1:10">
      <c r="A356" t="s">
        <v>1705</v>
      </c>
      <c r="B356" s="7">
        <v>45398</v>
      </c>
      <c r="C356" t="s">
        <v>559</v>
      </c>
      <c r="D356" t="s">
        <v>1247</v>
      </c>
      <c r="E356" t="s">
        <v>1307</v>
      </c>
      <c r="F356">
        <f>Table5[[#This Row],[Total_Amount]]/(G356*(1-Table5[[#This Row],[Discount]]))</f>
        <v>4</v>
      </c>
      <c r="G356" s="5">
        <v>289.66000000000003</v>
      </c>
      <c r="H356">
        <v>0.25</v>
      </c>
      <c r="I356" t="s">
        <v>1354</v>
      </c>
      <c r="J356" s="5">
        <v>868.98</v>
      </c>
    </row>
    <row r="357" spans="1:10">
      <c r="A357" t="s">
        <v>1706</v>
      </c>
      <c r="B357" s="7">
        <v>45304</v>
      </c>
      <c r="C357" t="s">
        <v>545</v>
      </c>
      <c r="D357" t="s">
        <v>1103</v>
      </c>
      <c r="E357" t="s">
        <v>1326</v>
      </c>
      <c r="F357">
        <f>Table5[[#This Row],[Total_Amount]]/(G357*(1-Table5[[#This Row],[Discount]]))</f>
        <v>2</v>
      </c>
      <c r="G357" s="5">
        <v>899.27</v>
      </c>
      <c r="H357">
        <v>0.17</v>
      </c>
      <c r="I357" t="s">
        <v>1349</v>
      </c>
      <c r="J357" s="5">
        <v>1492.7882</v>
      </c>
    </row>
    <row r="358" spans="1:10">
      <c r="A358" t="s">
        <v>1707</v>
      </c>
      <c r="B358" s="7">
        <v>45299</v>
      </c>
      <c r="C358" t="s">
        <v>178</v>
      </c>
      <c r="D358" t="s">
        <v>1109</v>
      </c>
      <c r="E358" t="s">
        <v>1282</v>
      </c>
      <c r="F358">
        <f>Table5[[#This Row],[Total_Amount]]/(G358*(1-Table5[[#This Row],[Discount]]))</f>
        <v>1</v>
      </c>
      <c r="G358" s="5">
        <v>691.38</v>
      </c>
      <c r="H358">
        <v>0.11</v>
      </c>
      <c r="I358" t="s">
        <v>1354</v>
      </c>
      <c r="J358" s="5">
        <v>615.32820000000004</v>
      </c>
    </row>
    <row r="359" spans="1:10">
      <c r="A359" t="s">
        <v>1708</v>
      </c>
      <c r="B359" s="7">
        <v>45564</v>
      </c>
      <c r="C359" t="s">
        <v>391</v>
      </c>
      <c r="D359" t="s">
        <v>1127</v>
      </c>
      <c r="E359" t="s">
        <v>1277</v>
      </c>
      <c r="F359">
        <f>Table5[[#This Row],[Total_Amount]]/(G359*(1-Table5[[#This Row],[Discount]]))</f>
        <v>3</v>
      </c>
      <c r="G359" s="5">
        <v>158.72</v>
      </c>
      <c r="H359">
        <v>0.13</v>
      </c>
      <c r="I359" t="s">
        <v>1349</v>
      </c>
      <c r="J359" s="5">
        <v>414.25920000000002</v>
      </c>
    </row>
    <row r="360" spans="1:10">
      <c r="A360" t="s">
        <v>1709</v>
      </c>
      <c r="B360" s="7">
        <v>45413</v>
      </c>
      <c r="C360" t="s">
        <v>482</v>
      </c>
      <c r="D360" t="s">
        <v>1193</v>
      </c>
      <c r="E360" t="s">
        <v>1329</v>
      </c>
      <c r="F360">
        <f>Table5[[#This Row],[Total_Amount]]/(G360*(1-Table5[[#This Row],[Discount]]))</f>
        <v>4.0000000000000009</v>
      </c>
      <c r="G360" s="5">
        <v>537.15</v>
      </c>
      <c r="H360">
        <v>0.06</v>
      </c>
      <c r="I360" t="s">
        <v>1354</v>
      </c>
      <c r="J360" s="5">
        <v>2019.684</v>
      </c>
    </row>
    <row r="361" spans="1:10">
      <c r="A361" t="s">
        <v>1710</v>
      </c>
      <c r="B361" s="7">
        <v>45480</v>
      </c>
      <c r="C361" t="s">
        <v>897</v>
      </c>
      <c r="D361" t="s">
        <v>1155</v>
      </c>
      <c r="E361" t="s">
        <v>1311</v>
      </c>
      <c r="F361">
        <f>Table5[[#This Row],[Total_Amount]]/(G361*(1-Table5[[#This Row],[Discount]]))</f>
        <v>2.9999999999999996</v>
      </c>
      <c r="G361" s="5">
        <v>771.7</v>
      </c>
      <c r="H361">
        <v>0.05</v>
      </c>
      <c r="I361" t="s">
        <v>1354</v>
      </c>
      <c r="J361" s="5">
        <v>2199.3449999999998</v>
      </c>
    </row>
    <row r="362" spans="1:10">
      <c r="A362" t="s">
        <v>1711</v>
      </c>
      <c r="B362" s="7">
        <v>45610</v>
      </c>
      <c r="C362" t="s">
        <v>275</v>
      </c>
      <c r="D362" t="s">
        <v>1249</v>
      </c>
      <c r="E362" t="s">
        <v>1282</v>
      </c>
      <c r="F362">
        <f>Table5[[#This Row],[Total_Amount]]/(G362*(1-Table5[[#This Row],[Discount]]))</f>
        <v>4</v>
      </c>
      <c r="G362" s="5">
        <v>677.25</v>
      </c>
      <c r="H362">
        <v>0.14000000000000001</v>
      </c>
      <c r="I362" t="s">
        <v>1351</v>
      </c>
      <c r="J362" s="5">
        <v>2329.7399999999998</v>
      </c>
    </row>
    <row r="363" spans="1:10">
      <c r="A363" t="s">
        <v>1712</v>
      </c>
      <c r="B363" s="7">
        <v>45763</v>
      </c>
      <c r="C363" t="s">
        <v>263</v>
      </c>
      <c r="D363" t="s">
        <v>1269</v>
      </c>
      <c r="E363" t="s">
        <v>1317</v>
      </c>
      <c r="F363">
        <f>Table5[[#This Row],[Total_Amount]]/(G363*(1-Table5[[#This Row],[Discount]]))</f>
        <v>1</v>
      </c>
      <c r="G363" s="5">
        <v>645.48</v>
      </c>
      <c r="H363">
        <v>0.26</v>
      </c>
      <c r="I363" t="s">
        <v>1354</v>
      </c>
      <c r="J363" s="5">
        <v>477.65519999999998</v>
      </c>
    </row>
    <row r="364" spans="1:10">
      <c r="A364" t="s">
        <v>1713</v>
      </c>
      <c r="B364" s="7">
        <v>45856</v>
      </c>
      <c r="C364" t="s">
        <v>783</v>
      </c>
      <c r="D364" t="s">
        <v>1219</v>
      </c>
      <c r="E364" t="s">
        <v>1286</v>
      </c>
      <c r="F364">
        <f>Table5[[#This Row],[Total_Amount]]/(G364*(1-Table5[[#This Row],[Discount]]))</f>
        <v>2</v>
      </c>
      <c r="G364" s="5">
        <v>934</v>
      </c>
      <c r="H364">
        <v>0.3</v>
      </c>
      <c r="I364" t="s">
        <v>1354</v>
      </c>
      <c r="J364" s="5">
        <v>1307.5999999999999</v>
      </c>
    </row>
    <row r="365" spans="1:10">
      <c r="A365" t="s">
        <v>1714</v>
      </c>
      <c r="B365" s="7">
        <v>45712</v>
      </c>
      <c r="C365" t="s">
        <v>732</v>
      </c>
      <c r="D365" t="s">
        <v>1165</v>
      </c>
      <c r="E365" t="s">
        <v>1286</v>
      </c>
      <c r="F365">
        <f>Table5[[#This Row],[Total_Amount]]/(G365*(1-Table5[[#This Row],[Discount]]))</f>
        <v>1</v>
      </c>
      <c r="G365" s="5">
        <v>669.53</v>
      </c>
      <c r="H365">
        <v>0.2</v>
      </c>
      <c r="I365" t="s">
        <v>1349</v>
      </c>
      <c r="J365" s="5">
        <v>535.62400000000002</v>
      </c>
    </row>
    <row r="366" spans="1:10">
      <c r="A366" t="s">
        <v>1715</v>
      </c>
      <c r="B366" s="7">
        <v>45723</v>
      </c>
      <c r="C366" t="s">
        <v>494</v>
      </c>
      <c r="D366" t="s">
        <v>1143</v>
      </c>
      <c r="E366" t="s">
        <v>1335</v>
      </c>
      <c r="F366">
        <f>Table5[[#This Row],[Total_Amount]]/(G366*(1-Table5[[#This Row],[Discount]]))</f>
        <v>1</v>
      </c>
      <c r="G366" s="5">
        <v>213.69</v>
      </c>
      <c r="H366">
        <v>0.28000000000000003</v>
      </c>
      <c r="I366" t="s">
        <v>1354</v>
      </c>
      <c r="J366" s="5">
        <v>153.85679999999999</v>
      </c>
    </row>
    <row r="367" spans="1:10">
      <c r="A367" t="s">
        <v>1716</v>
      </c>
      <c r="B367" s="7">
        <v>45706</v>
      </c>
      <c r="C367" t="s">
        <v>206</v>
      </c>
      <c r="D367" t="s">
        <v>1115</v>
      </c>
      <c r="E367" t="s">
        <v>1338</v>
      </c>
      <c r="F367">
        <f>Table5[[#This Row],[Total_Amount]]/(G367*(1-Table5[[#This Row],[Discount]]))</f>
        <v>2</v>
      </c>
      <c r="G367" s="5">
        <v>99.1</v>
      </c>
      <c r="H367">
        <v>0.2</v>
      </c>
      <c r="I367" t="s">
        <v>1351</v>
      </c>
      <c r="J367" s="5">
        <v>158.56</v>
      </c>
    </row>
    <row r="368" spans="1:10">
      <c r="A368" t="s">
        <v>1717</v>
      </c>
      <c r="B368" s="7">
        <v>45469</v>
      </c>
      <c r="C368" t="s">
        <v>803</v>
      </c>
      <c r="D368" t="s">
        <v>1147</v>
      </c>
      <c r="E368" t="s">
        <v>1329</v>
      </c>
      <c r="F368">
        <f>Table5[[#This Row],[Total_Amount]]/(G368*(1-Table5[[#This Row],[Discount]]))</f>
        <v>1</v>
      </c>
      <c r="G368" s="5">
        <v>628.98</v>
      </c>
      <c r="H368">
        <v>0.03</v>
      </c>
      <c r="I368" t="s">
        <v>1354</v>
      </c>
      <c r="J368" s="5">
        <v>610.11059999999998</v>
      </c>
    </row>
    <row r="369" spans="1:10">
      <c r="A369" t="s">
        <v>1718</v>
      </c>
      <c r="B369" s="7">
        <v>45711</v>
      </c>
      <c r="C369" t="s">
        <v>224</v>
      </c>
      <c r="D369" t="s">
        <v>1241</v>
      </c>
      <c r="E369" t="s">
        <v>1294</v>
      </c>
      <c r="F369">
        <f>Table5[[#This Row],[Total_Amount]]/(G369*(1-Table5[[#This Row],[Discount]]))</f>
        <v>3.0000000000000004</v>
      </c>
      <c r="G369" s="5">
        <v>944.64</v>
      </c>
      <c r="H369">
        <v>0.26</v>
      </c>
      <c r="I369" t="s">
        <v>1349</v>
      </c>
      <c r="J369" s="5">
        <v>2097.1008000000002</v>
      </c>
    </row>
    <row r="370" spans="1:10">
      <c r="A370" t="s">
        <v>1719</v>
      </c>
      <c r="B370" s="7">
        <v>45823</v>
      </c>
      <c r="C370" t="s">
        <v>1004</v>
      </c>
      <c r="D370" t="s">
        <v>1259</v>
      </c>
      <c r="E370" t="s">
        <v>1319</v>
      </c>
      <c r="F370">
        <f>Table5[[#This Row],[Total_Amount]]/(G370*(1-Table5[[#This Row],[Discount]]))</f>
        <v>2</v>
      </c>
      <c r="G370" s="5">
        <v>121.7</v>
      </c>
      <c r="H370">
        <v>0.06</v>
      </c>
      <c r="I370" t="s">
        <v>1354</v>
      </c>
      <c r="J370" s="5">
        <v>228.79599999999999</v>
      </c>
    </row>
    <row r="371" spans="1:10">
      <c r="A371" t="s">
        <v>1720</v>
      </c>
      <c r="B371" s="7">
        <v>45217</v>
      </c>
      <c r="C371" t="s">
        <v>959</v>
      </c>
      <c r="D371" t="s">
        <v>1203</v>
      </c>
      <c r="E371" t="s">
        <v>1291</v>
      </c>
      <c r="F371">
        <f>Table5[[#This Row],[Total_Amount]]/(G371*(1-Table5[[#This Row],[Discount]]))</f>
        <v>4</v>
      </c>
      <c r="G371" s="5">
        <v>269.49</v>
      </c>
      <c r="H371">
        <v>7.0000000000000007E-2</v>
      </c>
      <c r="I371" t="s">
        <v>1351</v>
      </c>
      <c r="J371" s="5">
        <v>1002.5028</v>
      </c>
    </row>
    <row r="372" spans="1:10">
      <c r="A372" t="s">
        <v>1721</v>
      </c>
      <c r="B372" s="7">
        <v>45733</v>
      </c>
      <c r="C372" t="s">
        <v>256</v>
      </c>
      <c r="D372" t="s">
        <v>1117</v>
      </c>
      <c r="E372" t="s">
        <v>1335</v>
      </c>
      <c r="F372">
        <f>Table5[[#This Row],[Total_Amount]]/(G372*(1-Table5[[#This Row],[Discount]]))</f>
        <v>1</v>
      </c>
      <c r="G372" s="5">
        <v>678.2</v>
      </c>
      <c r="H372">
        <v>0.14000000000000001</v>
      </c>
      <c r="I372" t="s">
        <v>1349</v>
      </c>
      <c r="J372" s="5">
        <v>583.25200000000007</v>
      </c>
    </row>
    <row r="373" spans="1:10">
      <c r="A373" t="s">
        <v>1722</v>
      </c>
      <c r="B373" s="7">
        <v>45520</v>
      </c>
      <c r="C373" t="s">
        <v>525</v>
      </c>
      <c r="D373" t="s">
        <v>1253</v>
      </c>
      <c r="E373" t="s">
        <v>1322</v>
      </c>
      <c r="F373">
        <f>Table5[[#This Row],[Total_Amount]]/(G373*(1-Table5[[#This Row],[Discount]]))</f>
        <v>1</v>
      </c>
      <c r="G373" s="5">
        <v>752.45</v>
      </c>
      <c r="H373">
        <v>0.21</v>
      </c>
      <c r="I373" t="s">
        <v>1354</v>
      </c>
      <c r="J373" s="5">
        <v>594.43550000000005</v>
      </c>
    </row>
    <row r="374" spans="1:10">
      <c r="A374" t="s">
        <v>1723</v>
      </c>
      <c r="B374" s="7">
        <v>45373</v>
      </c>
      <c r="C374" t="s">
        <v>111</v>
      </c>
      <c r="D374" t="s">
        <v>1261</v>
      </c>
      <c r="E374" t="s">
        <v>1322</v>
      </c>
      <c r="F374">
        <f>Table5[[#This Row],[Total_Amount]]/(G374*(1-Table5[[#This Row],[Discount]]))</f>
        <v>2</v>
      </c>
      <c r="G374" s="5">
        <v>209.66</v>
      </c>
      <c r="H374">
        <v>0.21</v>
      </c>
      <c r="I374" t="s">
        <v>1349</v>
      </c>
      <c r="J374" s="5">
        <v>331.26280000000003</v>
      </c>
    </row>
    <row r="375" spans="1:10">
      <c r="A375" t="s">
        <v>1724</v>
      </c>
      <c r="B375" s="7">
        <v>45688</v>
      </c>
      <c r="C375" t="s">
        <v>383</v>
      </c>
      <c r="D375" t="s">
        <v>1267</v>
      </c>
      <c r="E375" t="s">
        <v>1338</v>
      </c>
      <c r="F375">
        <f>Table5[[#This Row],[Total_Amount]]/(G375*(1-Table5[[#This Row],[Discount]]))</f>
        <v>2</v>
      </c>
      <c r="G375" s="5">
        <v>739.95</v>
      </c>
      <c r="H375">
        <v>0.1</v>
      </c>
      <c r="I375" t="s">
        <v>1354</v>
      </c>
      <c r="J375" s="5">
        <v>1331.91</v>
      </c>
    </row>
    <row r="376" spans="1:10">
      <c r="A376" t="s">
        <v>1725</v>
      </c>
      <c r="B376" s="7">
        <v>45276</v>
      </c>
      <c r="C376" t="s">
        <v>1000</v>
      </c>
      <c r="D376" t="s">
        <v>1163</v>
      </c>
      <c r="E376" t="s">
        <v>1326</v>
      </c>
      <c r="F376">
        <f>Table5[[#This Row],[Total_Amount]]/(G376*(1-Table5[[#This Row],[Discount]]))</f>
        <v>1</v>
      </c>
      <c r="G376" s="5">
        <v>496.19</v>
      </c>
      <c r="H376">
        <v>0.08</v>
      </c>
      <c r="I376" t="s">
        <v>1354</v>
      </c>
      <c r="J376" s="5">
        <v>456.4948</v>
      </c>
    </row>
    <row r="377" spans="1:10">
      <c r="A377" t="s">
        <v>1726</v>
      </c>
      <c r="B377" s="7">
        <v>45756</v>
      </c>
      <c r="C377" t="s">
        <v>129</v>
      </c>
      <c r="D377" t="s">
        <v>1090</v>
      </c>
      <c r="E377" t="s">
        <v>1319</v>
      </c>
      <c r="F377">
        <f>Table5[[#This Row],[Total_Amount]]/(G377*(1-Table5[[#This Row],[Discount]]))</f>
        <v>1</v>
      </c>
      <c r="G377" s="5">
        <v>306.36</v>
      </c>
      <c r="H377">
        <v>0.01</v>
      </c>
      <c r="I377" t="s">
        <v>1351</v>
      </c>
      <c r="J377" s="5">
        <v>303.29640000000001</v>
      </c>
    </row>
    <row r="378" spans="1:10">
      <c r="A378" t="s">
        <v>1727</v>
      </c>
      <c r="B378" s="7">
        <v>45309</v>
      </c>
      <c r="C378" t="s">
        <v>300</v>
      </c>
      <c r="D378" t="s">
        <v>1219</v>
      </c>
      <c r="E378" t="s">
        <v>1294</v>
      </c>
      <c r="F378">
        <f>Table5[[#This Row],[Total_Amount]]/(G378*(1-Table5[[#This Row],[Discount]]))</f>
        <v>4</v>
      </c>
      <c r="G378" s="5">
        <v>693.16</v>
      </c>
      <c r="H378">
        <v>0.05</v>
      </c>
      <c r="I378" t="s">
        <v>1351</v>
      </c>
      <c r="J378" s="5">
        <v>2634.0079999999998</v>
      </c>
    </row>
    <row r="379" spans="1:10">
      <c r="A379" t="s">
        <v>1728</v>
      </c>
      <c r="B379" s="7">
        <v>45744</v>
      </c>
      <c r="C379" t="s">
        <v>973</v>
      </c>
      <c r="D379" t="s">
        <v>1239</v>
      </c>
      <c r="E379" t="s">
        <v>1314</v>
      </c>
      <c r="F379">
        <f>Table5[[#This Row],[Total_Amount]]/(G379*(1-Table5[[#This Row],[Discount]]))</f>
        <v>1</v>
      </c>
      <c r="G379" s="5">
        <v>995.52</v>
      </c>
      <c r="H379">
        <v>0.22</v>
      </c>
      <c r="I379" t="s">
        <v>1351</v>
      </c>
      <c r="J379" s="5">
        <v>776.50559999999996</v>
      </c>
    </row>
    <row r="380" spans="1:10">
      <c r="A380" t="s">
        <v>1729</v>
      </c>
      <c r="B380" s="7">
        <v>45535</v>
      </c>
      <c r="C380" t="s">
        <v>310</v>
      </c>
      <c r="D380" t="s">
        <v>1085</v>
      </c>
      <c r="E380" t="s">
        <v>1335</v>
      </c>
      <c r="F380">
        <f>Table5[[#This Row],[Total_Amount]]/(G380*(1-Table5[[#This Row],[Discount]]))</f>
        <v>4</v>
      </c>
      <c r="G380" s="5">
        <v>241.32</v>
      </c>
      <c r="H380">
        <v>0.28999999999999998</v>
      </c>
      <c r="I380" t="s">
        <v>1354</v>
      </c>
      <c r="J380" s="5">
        <v>685.34879999999998</v>
      </c>
    </row>
    <row r="381" spans="1:10">
      <c r="A381" t="s">
        <v>1730</v>
      </c>
      <c r="B381" s="7">
        <v>45240</v>
      </c>
      <c r="C381" t="s">
        <v>541</v>
      </c>
      <c r="D381" t="s">
        <v>1229</v>
      </c>
      <c r="E381" t="s">
        <v>1282</v>
      </c>
      <c r="F381">
        <f>Table5[[#This Row],[Total_Amount]]/(G381*(1-Table5[[#This Row],[Discount]]))</f>
        <v>3.0000000000000004</v>
      </c>
      <c r="G381" s="5">
        <v>636.03</v>
      </c>
      <c r="H381">
        <v>0.06</v>
      </c>
      <c r="I381" t="s">
        <v>1354</v>
      </c>
      <c r="J381" s="5">
        <v>1793.6045999999999</v>
      </c>
    </row>
    <row r="382" spans="1:10">
      <c r="A382" t="s">
        <v>1731</v>
      </c>
      <c r="B382" s="7">
        <v>45275</v>
      </c>
      <c r="C382" t="s">
        <v>250</v>
      </c>
      <c r="D382" t="s">
        <v>1078</v>
      </c>
      <c r="E382" t="s">
        <v>1338</v>
      </c>
      <c r="F382">
        <f>Table5[[#This Row],[Total_Amount]]/(G382*(1-Table5[[#This Row],[Discount]]))</f>
        <v>4</v>
      </c>
      <c r="G382" s="5">
        <v>603.30999999999995</v>
      </c>
      <c r="H382">
        <v>0.15</v>
      </c>
      <c r="I382" t="s">
        <v>1349</v>
      </c>
      <c r="J382" s="5">
        <v>2051.2539999999999</v>
      </c>
    </row>
    <row r="383" spans="1:10">
      <c r="A383" t="s">
        <v>1732</v>
      </c>
      <c r="B383" s="7">
        <v>45427</v>
      </c>
      <c r="C383" t="s">
        <v>202</v>
      </c>
      <c r="D383" t="s">
        <v>1251</v>
      </c>
      <c r="E383" t="s">
        <v>1314</v>
      </c>
      <c r="F383">
        <f>Table5[[#This Row],[Total_Amount]]/(G383*(1-Table5[[#This Row],[Discount]]))</f>
        <v>3</v>
      </c>
      <c r="G383" s="5">
        <v>437.96</v>
      </c>
      <c r="H383">
        <v>0.27</v>
      </c>
      <c r="I383" t="s">
        <v>1354</v>
      </c>
      <c r="J383" s="5">
        <v>959.13239999999985</v>
      </c>
    </row>
    <row r="384" spans="1:10">
      <c r="A384" t="s">
        <v>1733</v>
      </c>
      <c r="B384" s="7">
        <v>45322</v>
      </c>
      <c r="C384" t="s">
        <v>478</v>
      </c>
      <c r="D384" t="s">
        <v>1141</v>
      </c>
      <c r="E384" t="s">
        <v>1294</v>
      </c>
      <c r="F384">
        <f>Table5[[#This Row],[Total_Amount]]/(G384*(1-Table5[[#This Row],[Discount]]))</f>
        <v>2</v>
      </c>
      <c r="G384" s="5">
        <v>56.91</v>
      </c>
      <c r="H384">
        <v>0.08</v>
      </c>
      <c r="I384" t="s">
        <v>1354</v>
      </c>
      <c r="J384" s="5">
        <v>104.7144</v>
      </c>
    </row>
    <row r="385" spans="1:10">
      <c r="A385" t="s">
        <v>1734</v>
      </c>
      <c r="B385" s="7">
        <v>45266</v>
      </c>
      <c r="C385" t="s">
        <v>732</v>
      </c>
      <c r="D385" t="s">
        <v>1225</v>
      </c>
      <c r="E385" t="s">
        <v>1301</v>
      </c>
      <c r="F385">
        <f>Table5[[#This Row],[Total_Amount]]/(G385*(1-Table5[[#This Row],[Discount]]))</f>
        <v>1.0000000000000002</v>
      </c>
      <c r="G385" s="5">
        <v>141.79</v>
      </c>
      <c r="H385">
        <v>0.1</v>
      </c>
      <c r="I385" t="s">
        <v>1349</v>
      </c>
      <c r="J385" s="5">
        <v>127.611</v>
      </c>
    </row>
    <row r="386" spans="1:10">
      <c r="A386" t="s">
        <v>1735</v>
      </c>
      <c r="B386" s="7">
        <v>45302</v>
      </c>
      <c r="C386" t="s">
        <v>1028</v>
      </c>
      <c r="D386" t="s">
        <v>1090</v>
      </c>
      <c r="E386" t="s">
        <v>1326</v>
      </c>
      <c r="F386">
        <f>Table5[[#This Row],[Total_Amount]]/(G386*(1-Table5[[#This Row],[Discount]]))</f>
        <v>4.0000000000000009</v>
      </c>
      <c r="G386" s="5">
        <v>355.14</v>
      </c>
      <c r="H386">
        <v>0.16</v>
      </c>
      <c r="I386" t="s">
        <v>1354</v>
      </c>
      <c r="J386" s="5">
        <v>1193.2704000000001</v>
      </c>
    </row>
    <row r="387" spans="1:10">
      <c r="A387" t="s">
        <v>1736</v>
      </c>
      <c r="B387" s="7">
        <v>45907</v>
      </c>
      <c r="C387" t="s">
        <v>484</v>
      </c>
      <c r="D387" t="s">
        <v>1149</v>
      </c>
      <c r="E387" t="s">
        <v>1301</v>
      </c>
      <c r="F387">
        <f>Table5[[#This Row],[Total_Amount]]/(G387*(1-Table5[[#This Row],[Discount]]))</f>
        <v>4</v>
      </c>
      <c r="G387" s="5">
        <v>960.38</v>
      </c>
      <c r="H387">
        <v>0.15</v>
      </c>
      <c r="I387" t="s">
        <v>1354</v>
      </c>
      <c r="J387" s="5">
        <v>3265.2919999999999</v>
      </c>
    </row>
    <row r="388" spans="1:10">
      <c r="A388" t="s">
        <v>1737</v>
      </c>
      <c r="B388" s="7">
        <v>45433</v>
      </c>
      <c r="C388" t="s">
        <v>903</v>
      </c>
      <c r="D388" t="s">
        <v>1211</v>
      </c>
      <c r="E388" t="s">
        <v>1329</v>
      </c>
      <c r="F388">
        <f>Table5[[#This Row],[Total_Amount]]/(G388*(1-Table5[[#This Row],[Discount]]))</f>
        <v>3</v>
      </c>
      <c r="G388" s="5">
        <v>847.21</v>
      </c>
      <c r="H388">
        <v>0.06</v>
      </c>
      <c r="I388" t="s">
        <v>1351</v>
      </c>
      <c r="J388" s="5">
        <v>2389.1322</v>
      </c>
    </row>
    <row r="389" spans="1:10">
      <c r="A389" t="s">
        <v>1738</v>
      </c>
      <c r="B389" s="7">
        <v>45892</v>
      </c>
      <c r="C389" t="s">
        <v>180</v>
      </c>
      <c r="D389" t="s">
        <v>1233</v>
      </c>
      <c r="E389" t="s">
        <v>1314</v>
      </c>
      <c r="F389">
        <f>Table5[[#This Row],[Total_Amount]]/(G389*(1-Table5[[#This Row],[Discount]]))</f>
        <v>4</v>
      </c>
      <c r="G389" s="5">
        <v>773.81</v>
      </c>
      <c r="H389">
        <v>0.08</v>
      </c>
      <c r="I389" t="s">
        <v>1354</v>
      </c>
      <c r="J389" s="5">
        <v>2847.6208000000001</v>
      </c>
    </row>
    <row r="390" spans="1:10">
      <c r="A390" t="s">
        <v>1739</v>
      </c>
      <c r="B390" s="7">
        <v>45780</v>
      </c>
      <c r="C390" t="s">
        <v>8</v>
      </c>
      <c r="D390" t="s">
        <v>1199</v>
      </c>
      <c r="E390" t="s">
        <v>1329</v>
      </c>
      <c r="F390">
        <f>Table5[[#This Row],[Total_Amount]]/(G390*(1-Table5[[#This Row],[Discount]]))</f>
        <v>1</v>
      </c>
      <c r="G390" s="5">
        <v>664.71</v>
      </c>
      <c r="H390">
        <v>0.1</v>
      </c>
      <c r="I390" t="s">
        <v>1351</v>
      </c>
      <c r="J390" s="5">
        <v>598.23900000000003</v>
      </c>
    </row>
    <row r="391" spans="1:10">
      <c r="A391" t="s">
        <v>1740</v>
      </c>
      <c r="B391" s="7">
        <v>45233</v>
      </c>
      <c r="C391" t="s">
        <v>758</v>
      </c>
      <c r="D391" t="s">
        <v>1147</v>
      </c>
      <c r="E391" t="s">
        <v>1304</v>
      </c>
      <c r="F391">
        <f>Table5[[#This Row],[Total_Amount]]/(G391*(1-Table5[[#This Row],[Discount]]))</f>
        <v>4.0000000000000009</v>
      </c>
      <c r="G391" s="5">
        <v>482.06</v>
      </c>
      <c r="H391">
        <v>7.0000000000000007E-2</v>
      </c>
      <c r="I391" t="s">
        <v>1351</v>
      </c>
      <c r="J391" s="5">
        <v>1793.2632000000001</v>
      </c>
    </row>
    <row r="392" spans="1:10">
      <c r="A392" t="s">
        <v>1741</v>
      </c>
      <c r="B392" s="7">
        <v>45742</v>
      </c>
      <c r="C392" t="s">
        <v>234</v>
      </c>
      <c r="D392" t="s">
        <v>1187</v>
      </c>
      <c r="E392" t="s">
        <v>1291</v>
      </c>
      <c r="F392">
        <f>Table5[[#This Row],[Total_Amount]]/(G392*(1-Table5[[#This Row],[Discount]]))</f>
        <v>4</v>
      </c>
      <c r="G392" s="5">
        <v>995.55</v>
      </c>
      <c r="H392">
        <v>0.19</v>
      </c>
      <c r="I392" t="s">
        <v>1351</v>
      </c>
      <c r="J392" s="5">
        <v>3225.5819999999999</v>
      </c>
    </row>
    <row r="393" spans="1:10">
      <c r="A393" t="s">
        <v>1742</v>
      </c>
      <c r="B393" s="7">
        <v>45478</v>
      </c>
      <c r="C393" t="s">
        <v>343</v>
      </c>
      <c r="D393" t="s">
        <v>1259</v>
      </c>
      <c r="E393" t="s">
        <v>1322</v>
      </c>
      <c r="F393">
        <f>Table5[[#This Row],[Total_Amount]]/(G393*(1-Table5[[#This Row],[Discount]]))</f>
        <v>2</v>
      </c>
      <c r="G393" s="5">
        <v>153.84</v>
      </c>
      <c r="H393">
        <v>0.27</v>
      </c>
      <c r="I393" t="s">
        <v>1351</v>
      </c>
      <c r="J393" s="5">
        <v>224.60640000000001</v>
      </c>
    </row>
    <row r="394" spans="1:10">
      <c r="A394" t="s">
        <v>1743</v>
      </c>
      <c r="B394" s="7">
        <v>45789</v>
      </c>
      <c r="C394" t="s">
        <v>367</v>
      </c>
      <c r="D394" t="s">
        <v>1229</v>
      </c>
      <c r="E394" t="s">
        <v>1301</v>
      </c>
      <c r="F394">
        <f>Table5[[#This Row],[Total_Amount]]/(G394*(1-Table5[[#This Row],[Discount]]))</f>
        <v>2.9999999999999996</v>
      </c>
      <c r="G394" s="5">
        <v>362.11</v>
      </c>
      <c r="H394">
        <v>0.23</v>
      </c>
      <c r="I394" t="s">
        <v>1354</v>
      </c>
      <c r="J394" s="5">
        <v>836.47409999999991</v>
      </c>
    </row>
    <row r="395" spans="1:10">
      <c r="A395" t="s">
        <v>1744</v>
      </c>
      <c r="B395" s="7">
        <v>45561</v>
      </c>
      <c r="C395" t="s">
        <v>1006</v>
      </c>
      <c r="D395" t="s">
        <v>1159</v>
      </c>
      <c r="E395" t="s">
        <v>1307</v>
      </c>
      <c r="F395">
        <f>Table5[[#This Row],[Total_Amount]]/(G395*(1-Table5[[#This Row],[Discount]]))</f>
        <v>3</v>
      </c>
      <c r="G395" s="5">
        <v>112.26</v>
      </c>
      <c r="H395">
        <v>0.11</v>
      </c>
      <c r="I395" t="s">
        <v>1349</v>
      </c>
      <c r="J395" s="5">
        <v>299.73419999999999</v>
      </c>
    </row>
    <row r="396" spans="1:10">
      <c r="A396" t="s">
        <v>1745</v>
      </c>
      <c r="B396" s="7">
        <v>45378</v>
      </c>
      <c r="C396" t="s">
        <v>468</v>
      </c>
      <c r="D396" t="s">
        <v>1261</v>
      </c>
      <c r="E396" t="s">
        <v>1338</v>
      </c>
      <c r="F396">
        <f>Table5[[#This Row],[Total_Amount]]/(G396*(1-Table5[[#This Row],[Discount]]))</f>
        <v>2</v>
      </c>
      <c r="G396" s="5">
        <v>962.81</v>
      </c>
      <c r="H396">
        <v>0.06</v>
      </c>
      <c r="I396" t="s">
        <v>1354</v>
      </c>
      <c r="J396" s="5">
        <v>1810.0827999999999</v>
      </c>
    </row>
    <row r="397" spans="1:10">
      <c r="A397" t="s">
        <v>1746</v>
      </c>
      <c r="B397" s="7">
        <v>45308</v>
      </c>
      <c r="C397" t="s">
        <v>488</v>
      </c>
      <c r="D397" t="s">
        <v>1115</v>
      </c>
      <c r="E397" t="s">
        <v>1277</v>
      </c>
      <c r="F397">
        <f>Table5[[#This Row],[Total_Amount]]/(G397*(1-Table5[[#This Row],[Discount]]))</f>
        <v>4</v>
      </c>
      <c r="G397" s="5">
        <v>276.23</v>
      </c>
      <c r="H397">
        <v>0.12</v>
      </c>
      <c r="I397" t="s">
        <v>1349</v>
      </c>
      <c r="J397" s="5">
        <v>972.32960000000003</v>
      </c>
    </row>
    <row r="398" spans="1:10">
      <c r="A398" t="s">
        <v>1747</v>
      </c>
      <c r="B398" s="7">
        <v>45407</v>
      </c>
      <c r="C398" t="s">
        <v>56</v>
      </c>
      <c r="D398" t="s">
        <v>1109</v>
      </c>
      <c r="E398" t="s">
        <v>1324</v>
      </c>
      <c r="F398">
        <f>Table5[[#This Row],[Total_Amount]]/(G398*(1-Table5[[#This Row],[Discount]]))</f>
        <v>3</v>
      </c>
      <c r="G398" s="5">
        <v>991.37</v>
      </c>
      <c r="H398">
        <v>0.1</v>
      </c>
      <c r="I398" t="s">
        <v>1351</v>
      </c>
      <c r="J398" s="5">
        <v>2676.6990000000001</v>
      </c>
    </row>
    <row r="399" spans="1:10">
      <c r="A399" t="s">
        <v>1748</v>
      </c>
      <c r="B399" s="7">
        <v>45929</v>
      </c>
      <c r="C399" t="s">
        <v>397</v>
      </c>
      <c r="D399" t="s">
        <v>1115</v>
      </c>
      <c r="E399" t="s">
        <v>1322</v>
      </c>
      <c r="F399">
        <f>Table5[[#This Row],[Total_Amount]]/(G399*(1-Table5[[#This Row],[Discount]]))</f>
        <v>3</v>
      </c>
      <c r="G399" s="5">
        <v>977.47</v>
      </c>
      <c r="H399">
        <v>0.05</v>
      </c>
      <c r="I399" t="s">
        <v>1349</v>
      </c>
      <c r="J399" s="5">
        <v>2785.7894999999999</v>
      </c>
    </row>
    <row r="400" spans="1:10">
      <c r="A400" t="s">
        <v>1749</v>
      </c>
      <c r="B400" s="7">
        <v>45844</v>
      </c>
      <c r="C400" t="s">
        <v>474</v>
      </c>
      <c r="D400" t="s">
        <v>1261</v>
      </c>
      <c r="E400" t="s">
        <v>1319</v>
      </c>
      <c r="F400">
        <f>Table5[[#This Row],[Total_Amount]]/(G400*(1-Table5[[#This Row],[Discount]]))</f>
        <v>2</v>
      </c>
      <c r="G400" s="5">
        <v>308.7</v>
      </c>
      <c r="H400">
        <v>0.2</v>
      </c>
      <c r="I400" t="s">
        <v>1351</v>
      </c>
      <c r="J400" s="5">
        <v>493.92</v>
      </c>
    </row>
    <row r="401" spans="1:10">
      <c r="A401" t="s">
        <v>1750</v>
      </c>
      <c r="B401" s="7">
        <v>45579</v>
      </c>
      <c r="C401" t="s">
        <v>111</v>
      </c>
      <c r="D401" t="s">
        <v>1082</v>
      </c>
      <c r="E401" t="s">
        <v>1329</v>
      </c>
      <c r="F401">
        <f>Table5[[#This Row],[Total_Amount]]/(G401*(1-Table5[[#This Row],[Discount]]))</f>
        <v>1.9999999999999996</v>
      </c>
      <c r="G401" s="5">
        <v>733.87</v>
      </c>
      <c r="H401">
        <v>0.1</v>
      </c>
      <c r="I401" t="s">
        <v>1351</v>
      </c>
      <c r="J401" s="5">
        <v>1320.9659999999999</v>
      </c>
    </row>
    <row r="402" spans="1:10">
      <c r="A402" t="s">
        <v>1751</v>
      </c>
      <c r="B402" s="7">
        <v>45227</v>
      </c>
      <c r="C402" t="s">
        <v>248</v>
      </c>
      <c r="D402" t="s">
        <v>1111</v>
      </c>
      <c r="E402" t="s">
        <v>1329</v>
      </c>
      <c r="F402">
        <f>Table5[[#This Row],[Total_Amount]]/(G402*(1-Table5[[#This Row],[Discount]]))</f>
        <v>2</v>
      </c>
      <c r="G402" s="5">
        <v>22.47</v>
      </c>
      <c r="H402">
        <v>0.22</v>
      </c>
      <c r="I402" t="s">
        <v>1351</v>
      </c>
      <c r="J402" s="5">
        <v>35.053199999999997</v>
      </c>
    </row>
    <row r="403" spans="1:10">
      <c r="A403" t="s">
        <v>1752</v>
      </c>
      <c r="B403" s="7">
        <v>45380</v>
      </c>
      <c r="C403" t="s">
        <v>760</v>
      </c>
      <c r="D403" t="s">
        <v>1187</v>
      </c>
      <c r="E403" t="s">
        <v>1322</v>
      </c>
      <c r="F403">
        <f>Table5[[#This Row],[Total_Amount]]/(G403*(1-Table5[[#This Row],[Discount]]))</f>
        <v>4</v>
      </c>
      <c r="G403" s="5">
        <v>651.36</v>
      </c>
      <c r="H403">
        <v>0.13</v>
      </c>
      <c r="I403" t="s">
        <v>1349</v>
      </c>
      <c r="J403" s="5">
        <v>2266.7328000000002</v>
      </c>
    </row>
    <row r="404" spans="1:10">
      <c r="A404" t="s">
        <v>1753</v>
      </c>
      <c r="B404" s="7">
        <v>45817</v>
      </c>
      <c r="C404" t="s">
        <v>656</v>
      </c>
      <c r="D404" t="s">
        <v>1101</v>
      </c>
      <c r="E404" t="s">
        <v>1314</v>
      </c>
      <c r="F404">
        <f>Table5[[#This Row],[Total_Amount]]/(G404*(1-Table5[[#This Row],[Discount]]))</f>
        <v>1</v>
      </c>
      <c r="G404" s="5">
        <v>753.39</v>
      </c>
      <c r="H404">
        <v>0.04</v>
      </c>
      <c r="I404" t="s">
        <v>1354</v>
      </c>
      <c r="J404" s="5">
        <v>723.25439999999992</v>
      </c>
    </row>
    <row r="405" spans="1:10">
      <c r="A405" t="s">
        <v>1754</v>
      </c>
      <c r="B405" s="7">
        <v>45576</v>
      </c>
      <c r="C405" t="s">
        <v>464</v>
      </c>
      <c r="D405" t="s">
        <v>1215</v>
      </c>
      <c r="E405" t="s">
        <v>1319</v>
      </c>
      <c r="F405">
        <f>Table5[[#This Row],[Total_Amount]]/(G405*(1-Table5[[#This Row],[Discount]]))</f>
        <v>4</v>
      </c>
      <c r="G405" s="5">
        <v>849.17</v>
      </c>
      <c r="H405">
        <v>0.12</v>
      </c>
      <c r="I405" t="s">
        <v>1354</v>
      </c>
      <c r="J405" s="5">
        <v>2989.0783999999999</v>
      </c>
    </row>
    <row r="406" spans="1:10">
      <c r="A406" t="s">
        <v>1755</v>
      </c>
      <c r="B406" s="7">
        <v>45495</v>
      </c>
      <c r="C406" t="s">
        <v>821</v>
      </c>
      <c r="D406" t="s">
        <v>1113</v>
      </c>
      <c r="E406" t="s">
        <v>1277</v>
      </c>
      <c r="F406">
        <f>Table5[[#This Row],[Total_Amount]]/(G406*(1-Table5[[#This Row],[Discount]]))</f>
        <v>3.9999999999999996</v>
      </c>
      <c r="G406" s="5">
        <v>585.45000000000005</v>
      </c>
      <c r="H406">
        <v>0.25</v>
      </c>
      <c r="I406" t="s">
        <v>1354</v>
      </c>
      <c r="J406" s="5">
        <v>1756.35</v>
      </c>
    </row>
    <row r="407" spans="1:10">
      <c r="A407" t="s">
        <v>1756</v>
      </c>
      <c r="B407" s="7">
        <v>45628</v>
      </c>
      <c r="C407" t="s">
        <v>1014</v>
      </c>
      <c r="D407" t="s">
        <v>1223</v>
      </c>
      <c r="E407" t="s">
        <v>1329</v>
      </c>
      <c r="F407">
        <f>Table5[[#This Row],[Total_Amount]]/(G407*(1-Table5[[#This Row],[Discount]]))</f>
        <v>1</v>
      </c>
      <c r="G407" s="5">
        <v>745.15</v>
      </c>
      <c r="H407">
        <v>0.25</v>
      </c>
      <c r="I407" t="s">
        <v>1354</v>
      </c>
      <c r="J407" s="5">
        <v>558.86249999999995</v>
      </c>
    </row>
    <row r="408" spans="1:10">
      <c r="A408" t="s">
        <v>1757</v>
      </c>
      <c r="B408" s="7">
        <v>45244</v>
      </c>
      <c r="C408" t="s">
        <v>142</v>
      </c>
      <c r="D408" t="s">
        <v>1271</v>
      </c>
      <c r="E408" t="s">
        <v>1286</v>
      </c>
      <c r="F408">
        <f>Table5[[#This Row],[Total_Amount]]/(G408*(1-Table5[[#This Row],[Discount]]))</f>
        <v>1</v>
      </c>
      <c r="G408" s="5">
        <v>848.69</v>
      </c>
      <c r="H408">
        <v>0.04</v>
      </c>
      <c r="I408" t="s">
        <v>1354</v>
      </c>
      <c r="J408" s="5">
        <v>814.74239999999998</v>
      </c>
    </row>
    <row r="409" spans="1:10">
      <c r="A409" t="s">
        <v>1758</v>
      </c>
      <c r="B409" s="7">
        <v>45336</v>
      </c>
      <c r="C409" t="s">
        <v>889</v>
      </c>
      <c r="D409" t="s">
        <v>1213</v>
      </c>
      <c r="E409" t="s">
        <v>1324</v>
      </c>
      <c r="F409">
        <f>Table5[[#This Row],[Total_Amount]]/(G409*(1-Table5[[#This Row],[Discount]]))</f>
        <v>2</v>
      </c>
      <c r="G409" s="5">
        <v>247.67</v>
      </c>
      <c r="H409">
        <v>0.1</v>
      </c>
      <c r="I409" t="s">
        <v>1351</v>
      </c>
      <c r="J409" s="5">
        <v>445.80599999999998</v>
      </c>
    </row>
    <row r="410" spans="1:10">
      <c r="A410" t="s">
        <v>1759</v>
      </c>
      <c r="B410" s="7">
        <v>45465</v>
      </c>
      <c r="C410" t="s">
        <v>115</v>
      </c>
      <c r="D410" t="s">
        <v>1221</v>
      </c>
      <c r="E410" t="s">
        <v>1291</v>
      </c>
      <c r="F410">
        <f>Table5[[#This Row],[Total_Amount]]/(G410*(1-Table5[[#This Row],[Discount]]))</f>
        <v>3</v>
      </c>
      <c r="G410" s="5">
        <v>220.51</v>
      </c>
      <c r="H410">
        <v>0.02</v>
      </c>
      <c r="I410" t="s">
        <v>1351</v>
      </c>
      <c r="J410" s="5">
        <v>648.29939999999999</v>
      </c>
    </row>
    <row r="411" spans="1:10">
      <c r="A411" t="s">
        <v>1760</v>
      </c>
      <c r="B411" s="7">
        <v>45837</v>
      </c>
      <c r="C411" t="s">
        <v>718</v>
      </c>
      <c r="D411" t="s">
        <v>1103</v>
      </c>
      <c r="E411" t="s">
        <v>1329</v>
      </c>
      <c r="F411">
        <f>Table5[[#This Row],[Total_Amount]]/(G411*(1-Table5[[#This Row],[Discount]]))</f>
        <v>4</v>
      </c>
      <c r="G411" s="5">
        <v>370.63</v>
      </c>
      <c r="H411">
        <v>0.08</v>
      </c>
      <c r="I411" t="s">
        <v>1349</v>
      </c>
      <c r="J411" s="5">
        <v>1363.9184</v>
      </c>
    </row>
    <row r="412" spans="1:10">
      <c r="A412" t="s">
        <v>1761</v>
      </c>
      <c r="B412" s="7">
        <v>45706</v>
      </c>
      <c r="C412" t="s">
        <v>845</v>
      </c>
      <c r="D412" t="s">
        <v>1131</v>
      </c>
      <c r="E412" t="s">
        <v>1338</v>
      </c>
      <c r="F412">
        <f>Table5[[#This Row],[Total_Amount]]/(G412*(1-Table5[[#This Row],[Discount]]))</f>
        <v>4</v>
      </c>
      <c r="G412" s="5">
        <v>349.84</v>
      </c>
      <c r="H412">
        <v>0.11</v>
      </c>
      <c r="I412" t="s">
        <v>1349</v>
      </c>
      <c r="J412" s="5">
        <v>1245.4304</v>
      </c>
    </row>
    <row r="413" spans="1:10">
      <c r="A413" t="s">
        <v>1762</v>
      </c>
      <c r="B413" s="7">
        <v>45823</v>
      </c>
      <c r="C413" t="s">
        <v>126</v>
      </c>
      <c r="D413" t="s">
        <v>1151</v>
      </c>
      <c r="E413" t="s">
        <v>1319</v>
      </c>
      <c r="F413">
        <f>Table5[[#This Row],[Total_Amount]]/(G413*(1-Table5[[#This Row],[Discount]]))</f>
        <v>1</v>
      </c>
      <c r="G413" s="5">
        <v>770.87</v>
      </c>
      <c r="H413">
        <v>0.1</v>
      </c>
      <c r="I413" t="s">
        <v>1354</v>
      </c>
      <c r="J413" s="5">
        <v>693.78300000000002</v>
      </c>
    </row>
    <row r="414" spans="1:10">
      <c r="A414" t="s">
        <v>1763</v>
      </c>
      <c r="B414" s="7">
        <v>45518</v>
      </c>
      <c r="C414" t="s">
        <v>1020</v>
      </c>
      <c r="D414" t="s">
        <v>1271</v>
      </c>
      <c r="E414" t="s">
        <v>1332</v>
      </c>
      <c r="F414">
        <f>Table5[[#This Row],[Total_Amount]]/(G414*(1-Table5[[#This Row],[Discount]]))</f>
        <v>3.0000000000000004</v>
      </c>
      <c r="G414" s="5">
        <v>507.33</v>
      </c>
      <c r="H414">
        <v>0.06</v>
      </c>
      <c r="I414" t="s">
        <v>1351</v>
      </c>
      <c r="J414" s="5">
        <v>1430.6705999999999</v>
      </c>
    </row>
    <row r="415" spans="1:10">
      <c r="A415" t="s">
        <v>1764</v>
      </c>
      <c r="B415" s="7">
        <v>45863</v>
      </c>
      <c r="C415" t="s">
        <v>432</v>
      </c>
      <c r="D415" t="s">
        <v>1205</v>
      </c>
      <c r="E415" t="s">
        <v>1311</v>
      </c>
      <c r="F415">
        <f>Table5[[#This Row],[Total_Amount]]/(G415*(1-Table5[[#This Row],[Discount]]))</f>
        <v>1</v>
      </c>
      <c r="G415" s="5">
        <v>87.78</v>
      </c>
      <c r="H415">
        <v>0.06</v>
      </c>
      <c r="I415" t="s">
        <v>1349</v>
      </c>
      <c r="J415" s="5">
        <v>82.513199999999998</v>
      </c>
    </row>
    <row r="416" spans="1:10">
      <c r="A416" t="s">
        <v>1765</v>
      </c>
      <c r="B416" s="7">
        <v>45666</v>
      </c>
      <c r="C416" t="s">
        <v>30</v>
      </c>
      <c r="D416" t="s">
        <v>1259</v>
      </c>
      <c r="E416" t="s">
        <v>1294</v>
      </c>
      <c r="F416">
        <f>Table5[[#This Row],[Total_Amount]]/(G416*(1-Table5[[#This Row],[Discount]]))</f>
        <v>2</v>
      </c>
      <c r="G416" s="5">
        <v>772.24</v>
      </c>
      <c r="H416">
        <v>0.22</v>
      </c>
      <c r="I416" t="s">
        <v>1349</v>
      </c>
      <c r="J416" s="5">
        <v>1204.6944000000001</v>
      </c>
    </row>
    <row r="417" spans="1:10">
      <c r="A417" t="s">
        <v>1766</v>
      </c>
      <c r="B417" s="7">
        <v>45813</v>
      </c>
      <c r="C417" t="s">
        <v>135</v>
      </c>
      <c r="D417" t="s">
        <v>1213</v>
      </c>
      <c r="E417" t="s">
        <v>1324</v>
      </c>
      <c r="F417">
        <f>Table5[[#This Row],[Total_Amount]]/(G417*(1-Table5[[#This Row],[Discount]]))</f>
        <v>1</v>
      </c>
      <c r="G417" s="5">
        <v>108.27</v>
      </c>
      <c r="H417">
        <v>0.1</v>
      </c>
      <c r="I417" t="s">
        <v>1354</v>
      </c>
      <c r="J417" s="5">
        <v>97.442999999999998</v>
      </c>
    </row>
    <row r="418" spans="1:10">
      <c r="A418" t="s">
        <v>1767</v>
      </c>
      <c r="B418" s="7">
        <v>45633</v>
      </c>
      <c r="C418" t="s">
        <v>758</v>
      </c>
      <c r="D418" t="s">
        <v>1149</v>
      </c>
      <c r="E418" t="s">
        <v>1332</v>
      </c>
      <c r="F418">
        <f>Table5[[#This Row],[Total_Amount]]/(G418*(1-Table5[[#This Row],[Discount]]))</f>
        <v>2</v>
      </c>
      <c r="G418" s="5">
        <v>839.24</v>
      </c>
      <c r="H418">
        <v>0.21</v>
      </c>
      <c r="I418" t="s">
        <v>1351</v>
      </c>
      <c r="J418" s="5">
        <v>1325.9992</v>
      </c>
    </row>
    <row r="419" spans="1:10">
      <c r="A419" t="s">
        <v>1768</v>
      </c>
      <c r="B419" s="7">
        <v>45331</v>
      </c>
      <c r="C419" t="s">
        <v>829</v>
      </c>
      <c r="D419" t="s">
        <v>1189</v>
      </c>
      <c r="E419" t="s">
        <v>1314</v>
      </c>
      <c r="F419">
        <f>Table5[[#This Row],[Total_Amount]]/(G419*(1-Table5[[#This Row],[Discount]]))</f>
        <v>2</v>
      </c>
      <c r="G419" s="5">
        <v>466.27</v>
      </c>
      <c r="H419">
        <v>0.11</v>
      </c>
      <c r="I419" t="s">
        <v>1351</v>
      </c>
      <c r="J419" s="5">
        <v>829.9606</v>
      </c>
    </row>
    <row r="420" spans="1:10">
      <c r="A420" t="s">
        <v>1769</v>
      </c>
      <c r="B420" s="7">
        <v>45942</v>
      </c>
      <c r="C420" t="s">
        <v>859</v>
      </c>
      <c r="D420" t="s">
        <v>1197</v>
      </c>
      <c r="E420" t="s">
        <v>1324</v>
      </c>
      <c r="F420">
        <f>Table5[[#This Row],[Total_Amount]]/(G420*(1-Table5[[#This Row],[Discount]]))</f>
        <v>3</v>
      </c>
      <c r="G420" s="5">
        <v>969.83</v>
      </c>
      <c r="H420">
        <v>0.02</v>
      </c>
      <c r="I420" t="s">
        <v>1349</v>
      </c>
      <c r="J420" s="5">
        <v>2851.3002000000001</v>
      </c>
    </row>
    <row r="421" spans="1:10">
      <c r="A421" t="s">
        <v>1770</v>
      </c>
      <c r="B421" s="7">
        <v>45824</v>
      </c>
      <c r="C421" t="s">
        <v>897</v>
      </c>
      <c r="D421" t="s">
        <v>1255</v>
      </c>
      <c r="E421" t="s">
        <v>1338</v>
      </c>
      <c r="F421">
        <f>Table5[[#This Row],[Total_Amount]]/(G421*(1-Table5[[#This Row],[Discount]]))</f>
        <v>2</v>
      </c>
      <c r="G421" s="5">
        <v>782.11</v>
      </c>
      <c r="H421">
        <v>0.17</v>
      </c>
      <c r="I421" t="s">
        <v>1351</v>
      </c>
      <c r="J421" s="5">
        <v>1298.3026</v>
      </c>
    </row>
    <row r="422" spans="1:10">
      <c r="A422" t="s">
        <v>1771</v>
      </c>
      <c r="B422" s="7">
        <v>45921</v>
      </c>
      <c r="C422" t="s">
        <v>965</v>
      </c>
      <c r="D422" t="s">
        <v>1153</v>
      </c>
      <c r="E422" t="s">
        <v>1317</v>
      </c>
      <c r="F422">
        <f>Table5[[#This Row],[Total_Amount]]/(G422*(1-Table5[[#This Row],[Discount]]))</f>
        <v>2.0000000000000004</v>
      </c>
      <c r="G422" s="5">
        <v>74.63</v>
      </c>
      <c r="H422">
        <v>0.01</v>
      </c>
      <c r="I422" t="s">
        <v>1351</v>
      </c>
      <c r="J422" s="5">
        <v>147.76740000000001</v>
      </c>
    </row>
    <row r="423" spans="1:10">
      <c r="A423" t="s">
        <v>1772</v>
      </c>
      <c r="B423" s="7">
        <v>45909</v>
      </c>
      <c r="C423" t="s">
        <v>120</v>
      </c>
      <c r="D423" t="s">
        <v>1243</v>
      </c>
      <c r="E423" t="s">
        <v>1301</v>
      </c>
      <c r="F423">
        <f>Table5[[#This Row],[Total_Amount]]/(G423*(1-Table5[[#This Row],[Discount]]))</f>
        <v>3.0000000000000004</v>
      </c>
      <c r="G423" s="5">
        <v>522.78</v>
      </c>
      <c r="H423">
        <v>0.25</v>
      </c>
      <c r="I423" t="s">
        <v>1351</v>
      </c>
      <c r="J423" s="5">
        <v>1176.2550000000001</v>
      </c>
    </row>
    <row r="424" spans="1:10">
      <c r="A424" t="s">
        <v>1773</v>
      </c>
      <c r="B424" s="7">
        <v>45853</v>
      </c>
      <c r="C424" t="s">
        <v>740</v>
      </c>
      <c r="D424" t="s">
        <v>1099</v>
      </c>
      <c r="E424" t="s">
        <v>1326</v>
      </c>
      <c r="F424">
        <f>Table5[[#This Row],[Total_Amount]]/(G424*(1-Table5[[#This Row],[Discount]]))</f>
        <v>1</v>
      </c>
      <c r="G424" s="5">
        <v>206.45</v>
      </c>
      <c r="H424">
        <v>0.15</v>
      </c>
      <c r="I424" t="s">
        <v>1351</v>
      </c>
      <c r="J424" s="5">
        <v>175.48249999999999</v>
      </c>
    </row>
    <row r="425" spans="1:10">
      <c r="A425" t="s">
        <v>1774</v>
      </c>
      <c r="B425" s="7">
        <v>45580</v>
      </c>
      <c r="C425" t="s">
        <v>351</v>
      </c>
      <c r="D425" t="s">
        <v>1211</v>
      </c>
      <c r="E425" t="s">
        <v>1298</v>
      </c>
      <c r="F425">
        <f>Table5[[#This Row],[Total_Amount]]/(G425*(1-Table5[[#This Row],[Discount]]))</f>
        <v>1</v>
      </c>
      <c r="G425" s="5">
        <v>815.53</v>
      </c>
      <c r="H425">
        <v>0.3</v>
      </c>
      <c r="I425" t="s">
        <v>1351</v>
      </c>
      <c r="J425" s="5">
        <v>570.87099999999998</v>
      </c>
    </row>
    <row r="426" spans="1:10">
      <c r="A426" t="s">
        <v>1775</v>
      </c>
      <c r="B426" s="7">
        <v>45220</v>
      </c>
      <c r="C426" t="s">
        <v>111</v>
      </c>
      <c r="D426" t="s">
        <v>1231</v>
      </c>
      <c r="E426" t="s">
        <v>1322</v>
      </c>
      <c r="F426">
        <f>Table5[[#This Row],[Total_Amount]]/(G426*(1-Table5[[#This Row],[Discount]]))</f>
        <v>1</v>
      </c>
      <c r="G426" s="5">
        <v>823.61</v>
      </c>
      <c r="H426">
        <v>0.28000000000000003</v>
      </c>
      <c r="I426" t="s">
        <v>1354</v>
      </c>
      <c r="J426" s="5">
        <v>592.99919999999997</v>
      </c>
    </row>
    <row r="427" spans="1:10">
      <c r="A427" t="s">
        <v>1776</v>
      </c>
      <c r="B427" s="7">
        <v>45807</v>
      </c>
      <c r="C427" t="s">
        <v>1018</v>
      </c>
      <c r="D427" t="s">
        <v>1247</v>
      </c>
      <c r="E427" t="s">
        <v>1311</v>
      </c>
      <c r="F427">
        <f>Table5[[#This Row],[Total_Amount]]/(G427*(1-Table5[[#This Row],[Discount]]))</f>
        <v>2</v>
      </c>
      <c r="G427" s="5">
        <v>209.96</v>
      </c>
      <c r="H427">
        <v>0</v>
      </c>
      <c r="I427" t="s">
        <v>1349</v>
      </c>
      <c r="J427" s="5">
        <v>419.92</v>
      </c>
    </row>
    <row r="428" spans="1:10">
      <c r="A428" t="s">
        <v>1777</v>
      </c>
      <c r="B428" s="7">
        <v>45462</v>
      </c>
      <c r="C428" t="s">
        <v>411</v>
      </c>
      <c r="D428" t="s">
        <v>1068</v>
      </c>
      <c r="E428" t="s">
        <v>1329</v>
      </c>
      <c r="F428">
        <f>Table5[[#This Row],[Total_Amount]]/(G428*(1-Table5[[#This Row],[Discount]]))</f>
        <v>4.0000000000000009</v>
      </c>
      <c r="G428" s="5">
        <v>897.93</v>
      </c>
      <c r="H428">
        <v>0.05</v>
      </c>
      <c r="I428" t="s">
        <v>1354</v>
      </c>
      <c r="J428" s="5">
        <v>3412.134</v>
      </c>
    </row>
    <row r="429" spans="1:10">
      <c r="A429" t="s">
        <v>1778</v>
      </c>
      <c r="B429" s="7">
        <v>45646</v>
      </c>
      <c r="C429" t="s">
        <v>424</v>
      </c>
      <c r="D429" t="s">
        <v>1199</v>
      </c>
      <c r="E429" t="s">
        <v>1277</v>
      </c>
      <c r="F429">
        <f>Table5[[#This Row],[Total_Amount]]/(G429*(1-Table5[[#This Row],[Discount]]))</f>
        <v>4</v>
      </c>
      <c r="G429" s="5">
        <v>925.95</v>
      </c>
      <c r="H429">
        <v>0.16</v>
      </c>
      <c r="I429" t="s">
        <v>1354</v>
      </c>
      <c r="J429" s="5">
        <v>3111.192</v>
      </c>
    </row>
    <row r="430" spans="1:10">
      <c r="A430" t="s">
        <v>1779</v>
      </c>
      <c r="B430" s="7">
        <v>45520</v>
      </c>
      <c r="C430" t="s">
        <v>222</v>
      </c>
      <c r="D430" t="s">
        <v>1175</v>
      </c>
      <c r="E430" t="s">
        <v>1301</v>
      </c>
      <c r="F430">
        <f>Table5[[#This Row],[Total_Amount]]/(G430*(1-Table5[[#This Row],[Discount]]))</f>
        <v>2</v>
      </c>
      <c r="G430" s="5">
        <v>573.09</v>
      </c>
      <c r="H430">
        <v>0.03</v>
      </c>
      <c r="I430" t="s">
        <v>1354</v>
      </c>
      <c r="J430" s="5">
        <v>1111.7945999999999</v>
      </c>
    </row>
    <row r="431" spans="1:10">
      <c r="A431" t="s">
        <v>1780</v>
      </c>
      <c r="B431" s="7">
        <v>45731</v>
      </c>
      <c r="C431" t="s">
        <v>428</v>
      </c>
      <c r="D431" t="s">
        <v>1085</v>
      </c>
      <c r="E431" t="s">
        <v>1294</v>
      </c>
      <c r="F431">
        <f>Table5[[#This Row],[Total_Amount]]/(G431*(1-Table5[[#This Row],[Discount]]))</f>
        <v>4</v>
      </c>
      <c r="G431" s="5">
        <v>149.83000000000001</v>
      </c>
      <c r="H431">
        <v>0.02</v>
      </c>
      <c r="I431" t="s">
        <v>1349</v>
      </c>
      <c r="J431" s="5">
        <v>587.33360000000005</v>
      </c>
    </row>
    <row r="432" spans="1:10">
      <c r="A432" t="s">
        <v>1781</v>
      </c>
      <c r="B432" s="7">
        <v>45445</v>
      </c>
      <c r="C432" t="s">
        <v>13</v>
      </c>
      <c r="D432" t="s">
        <v>1175</v>
      </c>
      <c r="E432" t="s">
        <v>1324</v>
      </c>
      <c r="F432">
        <f>Table5[[#This Row],[Total_Amount]]/(G432*(1-Table5[[#This Row],[Discount]]))</f>
        <v>3</v>
      </c>
      <c r="G432" s="5">
        <v>287.70999999999998</v>
      </c>
      <c r="H432">
        <v>0.03</v>
      </c>
      <c r="I432" t="s">
        <v>1354</v>
      </c>
      <c r="J432" s="5">
        <v>837.23609999999985</v>
      </c>
    </row>
    <row r="433" spans="1:10">
      <c r="A433" t="s">
        <v>1782</v>
      </c>
      <c r="B433" s="7">
        <v>45860</v>
      </c>
      <c r="C433" t="s">
        <v>246</v>
      </c>
      <c r="D433" t="s">
        <v>1207</v>
      </c>
      <c r="E433" t="s">
        <v>1301</v>
      </c>
      <c r="F433">
        <f>Table5[[#This Row],[Total_Amount]]/(G433*(1-Table5[[#This Row],[Discount]]))</f>
        <v>2.0000000000000004</v>
      </c>
      <c r="G433" s="5">
        <v>849.8</v>
      </c>
      <c r="H433">
        <v>0.06</v>
      </c>
      <c r="I433" t="s">
        <v>1354</v>
      </c>
      <c r="J433" s="5">
        <v>1597.624</v>
      </c>
    </row>
    <row r="434" spans="1:10">
      <c r="A434" t="s">
        <v>1783</v>
      </c>
      <c r="B434" s="7">
        <v>45725</v>
      </c>
      <c r="C434" t="s">
        <v>59</v>
      </c>
      <c r="D434" t="s">
        <v>1155</v>
      </c>
      <c r="E434" t="s">
        <v>1291</v>
      </c>
      <c r="F434">
        <f>Table5[[#This Row],[Total_Amount]]/(G434*(1-Table5[[#This Row],[Discount]]))</f>
        <v>3.0000000000000004</v>
      </c>
      <c r="G434" s="5">
        <v>482.58</v>
      </c>
      <c r="H434">
        <v>0.28000000000000003</v>
      </c>
      <c r="I434" t="s">
        <v>1351</v>
      </c>
      <c r="J434" s="5">
        <v>1042.3728000000001</v>
      </c>
    </row>
    <row r="435" spans="1:10">
      <c r="A435" t="s">
        <v>1784</v>
      </c>
      <c r="B435" s="7">
        <v>45699</v>
      </c>
      <c r="C435" t="s">
        <v>288</v>
      </c>
      <c r="D435" t="s">
        <v>1191</v>
      </c>
      <c r="E435" t="s">
        <v>1286</v>
      </c>
      <c r="F435">
        <f>Table5[[#This Row],[Total_Amount]]/(G435*(1-Table5[[#This Row],[Discount]]))</f>
        <v>2</v>
      </c>
      <c r="G435" s="5">
        <v>64.7</v>
      </c>
      <c r="H435">
        <v>0</v>
      </c>
      <c r="I435" t="s">
        <v>1349</v>
      </c>
      <c r="J435" s="5">
        <v>129.4</v>
      </c>
    </row>
    <row r="436" spans="1:10">
      <c r="A436" t="s">
        <v>1785</v>
      </c>
      <c r="B436" s="7">
        <v>45266</v>
      </c>
      <c r="C436" t="s">
        <v>357</v>
      </c>
      <c r="D436" t="s">
        <v>1080</v>
      </c>
      <c r="E436" t="s">
        <v>1298</v>
      </c>
      <c r="F436">
        <f>Table5[[#This Row],[Total_Amount]]/(G436*(1-Table5[[#This Row],[Discount]]))</f>
        <v>3</v>
      </c>
      <c r="G436" s="5">
        <v>589.83000000000004</v>
      </c>
      <c r="H436">
        <v>0.26</v>
      </c>
      <c r="I436" t="s">
        <v>1349</v>
      </c>
      <c r="J436" s="5">
        <v>1309.4226000000001</v>
      </c>
    </row>
    <row r="437" spans="1:10">
      <c r="A437" t="s">
        <v>1786</v>
      </c>
      <c r="B437" s="7">
        <v>45889</v>
      </c>
      <c r="C437" t="s">
        <v>640</v>
      </c>
      <c r="D437" t="s">
        <v>1076</v>
      </c>
      <c r="E437" t="s">
        <v>1311</v>
      </c>
      <c r="F437">
        <f>Table5[[#This Row],[Total_Amount]]/(G437*(1-Table5[[#This Row],[Discount]]))</f>
        <v>4.0000000000000009</v>
      </c>
      <c r="G437" s="5">
        <v>758.49</v>
      </c>
      <c r="H437">
        <v>0.16</v>
      </c>
      <c r="I437" t="s">
        <v>1354</v>
      </c>
      <c r="J437" s="5">
        <v>2548.5264000000002</v>
      </c>
    </row>
    <row r="438" spans="1:10">
      <c r="A438" t="s">
        <v>1787</v>
      </c>
      <c r="B438" s="7">
        <v>45555</v>
      </c>
      <c r="C438" t="s">
        <v>150</v>
      </c>
      <c r="D438" t="s">
        <v>1147</v>
      </c>
      <c r="E438" t="s">
        <v>1319</v>
      </c>
      <c r="F438">
        <f>Table5[[#This Row],[Total_Amount]]/(G438*(1-Table5[[#This Row],[Discount]]))</f>
        <v>4</v>
      </c>
      <c r="G438" s="5">
        <v>747.56</v>
      </c>
      <c r="H438">
        <v>0.09</v>
      </c>
      <c r="I438" t="s">
        <v>1354</v>
      </c>
      <c r="J438" s="5">
        <v>2721.1183999999998</v>
      </c>
    </row>
    <row r="439" spans="1:10">
      <c r="A439" t="s">
        <v>1788</v>
      </c>
      <c r="B439" s="7">
        <v>45813</v>
      </c>
      <c r="C439" t="s">
        <v>569</v>
      </c>
      <c r="D439" t="s">
        <v>1153</v>
      </c>
      <c r="E439" t="s">
        <v>1332</v>
      </c>
      <c r="F439">
        <f>Table5[[#This Row],[Total_Amount]]/(G439*(1-Table5[[#This Row],[Discount]]))</f>
        <v>3</v>
      </c>
      <c r="G439" s="5">
        <v>551.22</v>
      </c>
      <c r="H439">
        <v>0.12</v>
      </c>
      <c r="I439" t="s">
        <v>1351</v>
      </c>
      <c r="J439" s="5">
        <v>1455.2208000000001</v>
      </c>
    </row>
    <row r="440" spans="1:10">
      <c r="A440" t="s">
        <v>1789</v>
      </c>
      <c r="B440" s="7">
        <v>45811</v>
      </c>
      <c r="C440" t="s">
        <v>379</v>
      </c>
      <c r="D440" t="s">
        <v>1211</v>
      </c>
      <c r="E440" t="s">
        <v>1324</v>
      </c>
      <c r="F440">
        <f>Table5[[#This Row],[Total_Amount]]/(G440*(1-Table5[[#This Row],[Discount]]))</f>
        <v>2</v>
      </c>
      <c r="G440" s="5">
        <v>527.05999999999995</v>
      </c>
      <c r="H440">
        <v>0.17</v>
      </c>
      <c r="I440" t="s">
        <v>1351</v>
      </c>
      <c r="J440" s="5">
        <v>874.91959999999983</v>
      </c>
    </row>
    <row r="441" spans="1:10">
      <c r="A441" t="s">
        <v>1790</v>
      </c>
      <c r="B441" s="7">
        <v>45670</v>
      </c>
      <c r="C441" t="s">
        <v>254</v>
      </c>
      <c r="D441" t="s">
        <v>1197</v>
      </c>
      <c r="E441" t="s">
        <v>1298</v>
      </c>
      <c r="F441">
        <f>Table5[[#This Row],[Total_Amount]]/(G441*(1-Table5[[#This Row],[Discount]]))</f>
        <v>4</v>
      </c>
      <c r="G441" s="5">
        <v>875.41</v>
      </c>
      <c r="H441">
        <v>0.27</v>
      </c>
      <c r="I441" t="s">
        <v>1349</v>
      </c>
      <c r="J441" s="5">
        <v>2556.1972000000001</v>
      </c>
    </row>
    <row r="442" spans="1:10">
      <c r="A442" t="s">
        <v>1791</v>
      </c>
      <c r="B442" s="7">
        <v>45736</v>
      </c>
      <c r="C442" t="s">
        <v>33</v>
      </c>
      <c r="D442" t="s">
        <v>1243</v>
      </c>
      <c r="E442" t="s">
        <v>1277</v>
      </c>
      <c r="F442">
        <f>Table5[[#This Row],[Total_Amount]]/(G442*(1-Table5[[#This Row],[Discount]]))</f>
        <v>2</v>
      </c>
      <c r="G442" s="5">
        <v>226.43</v>
      </c>
      <c r="H442">
        <v>0.03</v>
      </c>
      <c r="I442" t="s">
        <v>1349</v>
      </c>
      <c r="J442" s="5">
        <v>439.27420000000001</v>
      </c>
    </row>
    <row r="443" spans="1:10">
      <c r="A443" t="s">
        <v>1792</v>
      </c>
      <c r="B443" s="7">
        <v>45480</v>
      </c>
      <c r="C443" t="s">
        <v>107</v>
      </c>
      <c r="D443" t="s">
        <v>1231</v>
      </c>
      <c r="E443" t="s">
        <v>1298</v>
      </c>
      <c r="F443">
        <f>Table5[[#This Row],[Total_Amount]]/(G443*(1-Table5[[#This Row],[Discount]]))</f>
        <v>2</v>
      </c>
      <c r="G443" s="5">
        <v>285.39</v>
      </c>
      <c r="H443">
        <v>0.1</v>
      </c>
      <c r="I443" t="s">
        <v>1349</v>
      </c>
      <c r="J443" s="5">
        <v>513.702</v>
      </c>
    </row>
    <row r="444" spans="1:10">
      <c r="A444" t="s">
        <v>1793</v>
      </c>
      <c r="B444" s="7">
        <v>45929</v>
      </c>
      <c r="C444" t="s">
        <v>732</v>
      </c>
      <c r="D444" t="s">
        <v>1095</v>
      </c>
      <c r="E444" t="s">
        <v>1326</v>
      </c>
      <c r="F444">
        <f>Table5[[#This Row],[Total_Amount]]/(G444*(1-Table5[[#This Row],[Discount]]))</f>
        <v>2</v>
      </c>
      <c r="G444" s="5">
        <v>298.01</v>
      </c>
      <c r="H444">
        <v>0.05</v>
      </c>
      <c r="I444" t="s">
        <v>1349</v>
      </c>
      <c r="J444" s="5">
        <v>566.21899999999994</v>
      </c>
    </row>
    <row r="445" spans="1:10">
      <c r="A445" t="s">
        <v>1794</v>
      </c>
      <c r="B445" s="7">
        <v>45626</v>
      </c>
      <c r="C445" t="s">
        <v>379</v>
      </c>
      <c r="D445" t="s">
        <v>1153</v>
      </c>
      <c r="E445" t="s">
        <v>1294</v>
      </c>
      <c r="F445">
        <f>Table5[[#This Row],[Total_Amount]]/(G445*(1-Table5[[#This Row],[Discount]]))</f>
        <v>4</v>
      </c>
      <c r="G445" s="5">
        <v>753.49</v>
      </c>
      <c r="H445">
        <v>0.26</v>
      </c>
      <c r="I445" t="s">
        <v>1354</v>
      </c>
      <c r="J445" s="5">
        <v>2230.3303999999998</v>
      </c>
    </row>
    <row r="446" spans="1:10">
      <c r="A446" t="s">
        <v>1795</v>
      </c>
      <c r="B446" s="7">
        <v>45460</v>
      </c>
      <c r="C446" t="s">
        <v>1037</v>
      </c>
      <c r="D446" t="s">
        <v>1229</v>
      </c>
      <c r="E446" t="s">
        <v>1319</v>
      </c>
      <c r="F446">
        <f>Table5[[#This Row],[Total_Amount]]/(G446*(1-Table5[[#This Row],[Discount]]))</f>
        <v>2.0000000000000004</v>
      </c>
      <c r="G446" s="5">
        <v>130.38999999999999</v>
      </c>
      <c r="H446">
        <v>0.17</v>
      </c>
      <c r="I446" t="s">
        <v>1351</v>
      </c>
      <c r="J446" s="5">
        <v>216.44739999999999</v>
      </c>
    </row>
    <row r="447" spans="1:10">
      <c r="A447" t="s">
        <v>1796</v>
      </c>
      <c r="B447" s="7">
        <v>45709</v>
      </c>
      <c r="C447" t="s">
        <v>754</v>
      </c>
      <c r="D447" t="s">
        <v>1117</v>
      </c>
      <c r="E447" t="s">
        <v>1311</v>
      </c>
      <c r="F447">
        <f>Table5[[#This Row],[Total_Amount]]/(G447*(1-Table5[[#This Row],[Discount]]))</f>
        <v>4</v>
      </c>
      <c r="G447" s="5">
        <v>164.02</v>
      </c>
      <c r="H447">
        <v>0.01</v>
      </c>
      <c r="I447" t="s">
        <v>1351</v>
      </c>
      <c r="J447" s="5">
        <v>649.51920000000007</v>
      </c>
    </row>
    <row r="448" spans="1:10">
      <c r="A448" t="s">
        <v>1797</v>
      </c>
      <c r="B448" s="7">
        <v>45551</v>
      </c>
      <c r="C448" t="s">
        <v>389</v>
      </c>
      <c r="D448" t="s">
        <v>1131</v>
      </c>
      <c r="E448" t="s">
        <v>1294</v>
      </c>
      <c r="F448">
        <f>Table5[[#This Row],[Total_Amount]]/(G448*(1-Table5[[#This Row],[Discount]]))</f>
        <v>2</v>
      </c>
      <c r="G448" s="5">
        <v>527.51</v>
      </c>
      <c r="H448">
        <v>0.18</v>
      </c>
      <c r="I448" t="s">
        <v>1351</v>
      </c>
      <c r="J448" s="5">
        <v>865.1164</v>
      </c>
    </row>
    <row r="449" spans="1:10">
      <c r="A449" t="s">
        <v>1798</v>
      </c>
      <c r="B449" s="7">
        <v>45939</v>
      </c>
      <c r="C449" t="s">
        <v>569</v>
      </c>
      <c r="D449" t="s">
        <v>1187</v>
      </c>
      <c r="E449" t="s">
        <v>1322</v>
      </c>
      <c r="F449">
        <f>Table5[[#This Row],[Total_Amount]]/(G449*(1-Table5[[#This Row],[Discount]]))</f>
        <v>3.0000000000000004</v>
      </c>
      <c r="G449" s="5">
        <v>628.17999999999995</v>
      </c>
      <c r="H449">
        <v>0.26</v>
      </c>
      <c r="I449" t="s">
        <v>1349</v>
      </c>
      <c r="J449" s="5">
        <v>1394.5596</v>
      </c>
    </row>
    <row r="450" spans="1:10">
      <c r="A450" t="s">
        <v>1799</v>
      </c>
      <c r="B450" s="7">
        <v>45553</v>
      </c>
      <c r="C450" t="s">
        <v>602</v>
      </c>
      <c r="D450" t="s">
        <v>1185</v>
      </c>
      <c r="E450" t="s">
        <v>1291</v>
      </c>
      <c r="F450">
        <f>Table5[[#This Row],[Total_Amount]]/(G450*(1-Table5[[#This Row],[Discount]]))</f>
        <v>1</v>
      </c>
      <c r="G450" s="5">
        <v>862.31</v>
      </c>
      <c r="H450">
        <v>0.06</v>
      </c>
      <c r="I450" t="s">
        <v>1349</v>
      </c>
      <c r="J450" s="5">
        <v>810.57139999999993</v>
      </c>
    </row>
    <row r="451" spans="1:10">
      <c r="A451" t="s">
        <v>1800</v>
      </c>
      <c r="B451" s="7">
        <v>45806</v>
      </c>
      <c r="C451" t="s">
        <v>192</v>
      </c>
      <c r="D451" t="s">
        <v>1239</v>
      </c>
      <c r="E451" t="s">
        <v>1324</v>
      </c>
      <c r="F451">
        <f>Table5[[#This Row],[Total_Amount]]/(G451*(1-Table5[[#This Row],[Discount]]))</f>
        <v>2</v>
      </c>
      <c r="G451" s="5">
        <v>541.39</v>
      </c>
      <c r="H451">
        <v>0.03</v>
      </c>
      <c r="I451" t="s">
        <v>1354</v>
      </c>
      <c r="J451" s="5">
        <v>1050.2965999999999</v>
      </c>
    </row>
    <row r="452" spans="1:10">
      <c r="A452" t="s">
        <v>1801</v>
      </c>
      <c r="B452" s="7">
        <v>45811</v>
      </c>
      <c r="C452" t="s">
        <v>1016</v>
      </c>
      <c r="D452" t="s">
        <v>1225</v>
      </c>
      <c r="E452" t="s">
        <v>1329</v>
      </c>
      <c r="F452">
        <f>Table5[[#This Row],[Total_Amount]]/(G452*(1-Table5[[#This Row],[Discount]]))</f>
        <v>2.9999999999999991</v>
      </c>
      <c r="G452" s="5">
        <v>761.8</v>
      </c>
      <c r="H452">
        <v>0.06</v>
      </c>
      <c r="I452" t="s">
        <v>1354</v>
      </c>
      <c r="J452" s="5">
        <v>2148.2759999999989</v>
      </c>
    </row>
    <row r="453" spans="1:10">
      <c r="A453" t="s">
        <v>1802</v>
      </c>
      <c r="B453" s="7">
        <v>45508</v>
      </c>
      <c r="C453" t="s">
        <v>907</v>
      </c>
      <c r="D453" t="s">
        <v>1171</v>
      </c>
      <c r="E453" t="s">
        <v>1286</v>
      </c>
      <c r="F453">
        <f>Table5[[#This Row],[Total_Amount]]/(G453*(1-Table5[[#This Row],[Discount]]))</f>
        <v>4</v>
      </c>
      <c r="G453" s="5">
        <v>829.36</v>
      </c>
      <c r="H453">
        <v>0.11</v>
      </c>
      <c r="I453" t="s">
        <v>1351</v>
      </c>
      <c r="J453" s="5">
        <v>2952.5216</v>
      </c>
    </row>
    <row r="454" spans="1:10">
      <c r="A454" t="s">
        <v>1803</v>
      </c>
      <c r="B454" s="7">
        <v>45460</v>
      </c>
      <c r="C454" t="s">
        <v>871</v>
      </c>
      <c r="D454" t="s">
        <v>1119</v>
      </c>
      <c r="E454" t="s">
        <v>1329</v>
      </c>
      <c r="F454">
        <f>Table5[[#This Row],[Total_Amount]]/(G454*(1-Table5[[#This Row],[Discount]]))</f>
        <v>2</v>
      </c>
      <c r="G454" s="5">
        <v>425.06</v>
      </c>
      <c r="H454">
        <v>0.09</v>
      </c>
      <c r="I454" t="s">
        <v>1351</v>
      </c>
      <c r="J454" s="5">
        <v>773.60919999999999</v>
      </c>
    </row>
    <row r="455" spans="1:10">
      <c r="A455" t="s">
        <v>1804</v>
      </c>
      <c r="B455" s="7">
        <v>45311</v>
      </c>
      <c r="C455" t="s">
        <v>315</v>
      </c>
      <c r="D455" t="s">
        <v>1183</v>
      </c>
      <c r="E455" t="s">
        <v>1277</v>
      </c>
      <c r="F455">
        <f>Table5[[#This Row],[Total_Amount]]/(G455*(1-Table5[[#This Row],[Discount]]))</f>
        <v>2</v>
      </c>
      <c r="G455" s="5">
        <v>911.14</v>
      </c>
      <c r="H455">
        <v>0.1</v>
      </c>
      <c r="I455" t="s">
        <v>1349</v>
      </c>
      <c r="J455" s="5">
        <v>1640.0519999999999</v>
      </c>
    </row>
    <row r="456" spans="1:10">
      <c r="A456" t="s">
        <v>1805</v>
      </c>
      <c r="B456" s="7">
        <v>45906</v>
      </c>
      <c r="C456" t="s">
        <v>222</v>
      </c>
      <c r="D456" t="s">
        <v>1209</v>
      </c>
      <c r="E456" t="s">
        <v>1307</v>
      </c>
      <c r="F456">
        <f>Table5[[#This Row],[Total_Amount]]/(G456*(1-Table5[[#This Row],[Discount]]))</f>
        <v>3</v>
      </c>
      <c r="G456" s="5">
        <v>811.96</v>
      </c>
      <c r="H456">
        <v>0.28999999999999998</v>
      </c>
      <c r="I456" t="s">
        <v>1349</v>
      </c>
      <c r="J456" s="5">
        <v>1729.4748</v>
      </c>
    </row>
    <row r="457" spans="1:10">
      <c r="A457" t="s">
        <v>1806</v>
      </c>
      <c r="B457" s="7">
        <v>45380</v>
      </c>
      <c r="C457" t="s">
        <v>610</v>
      </c>
      <c r="D457" t="s">
        <v>1135</v>
      </c>
      <c r="E457" t="s">
        <v>1314</v>
      </c>
      <c r="F457">
        <f>Table5[[#This Row],[Total_Amount]]/(G457*(1-Table5[[#This Row],[Discount]]))</f>
        <v>2</v>
      </c>
      <c r="G457" s="5">
        <v>780.05</v>
      </c>
      <c r="H457">
        <v>0.12</v>
      </c>
      <c r="I457" t="s">
        <v>1354</v>
      </c>
      <c r="J457" s="5">
        <v>1372.8879999999999</v>
      </c>
    </row>
    <row r="458" spans="1:10">
      <c r="A458" t="s">
        <v>1807</v>
      </c>
      <c r="B458" s="7">
        <v>45527</v>
      </c>
      <c r="C458" t="s">
        <v>492</v>
      </c>
      <c r="D458" t="s">
        <v>1137</v>
      </c>
      <c r="E458" t="s">
        <v>1311</v>
      </c>
      <c r="F458">
        <f>Table5[[#This Row],[Total_Amount]]/(G458*(1-Table5[[#This Row],[Discount]]))</f>
        <v>4</v>
      </c>
      <c r="G458" s="5">
        <v>315.95</v>
      </c>
      <c r="H458">
        <v>0.19</v>
      </c>
      <c r="I458" t="s">
        <v>1354</v>
      </c>
      <c r="J458" s="5">
        <v>1023.678</v>
      </c>
    </row>
    <row r="459" spans="1:10">
      <c r="A459" t="s">
        <v>1808</v>
      </c>
      <c r="B459" s="7">
        <v>45796</v>
      </c>
      <c r="C459" t="s">
        <v>521</v>
      </c>
      <c r="D459" t="s">
        <v>1177</v>
      </c>
      <c r="E459" t="s">
        <v>1311</v>
      </c>
      <c r="F459">
        <f>Table5[[#This Row],[Total_Amount]]/(G459*(1-Table5[[#This Row],[Discount]]))</f>
        <v>2</v>
      </c>
      <c r="G459" s="5">
        <v>810.17</v>
      </c>
      <c r="H459">
        <v>0.27</v>
      </c>
      <c r="I459" t="s">
        <v>1349</v>
      </c>
      <c r="J459" s="5">
        <v>1182.8481999999999</v>
      </c>
    </row>
    <row r="460" spans="1:10">
      <c r="A460" t="s">
        <v>1809</v>
      </c>
      <c r="B460" s="7">
        <v>45389</v>
      </c>
      <c r="C460" t="s">
        <v>472</v>
      </c>
      <c r="D460" t="s">
        <v>1241</v>
      </c>
      <c r="E460" t="s">
        <v>1294</v>
      </c>
      <c r="F460">
        <f>Table5[[#This Row],[Total_Amount]]/(G460*(1-Table5[[#This Row],[Discount]]))</f>
        <v>3</v>
      </c>
      <c r="G460" s="5">
        <v>505.01</v>
      </c>
      <c r="H460">
        <v>0.02</v>
      </c>
      <c r="I460" t="s">
        <v>1351</v>
      </c>
      <c r="J460" s="5">
        <v>1484.7293999999999</v>
      </c>
    </row>
    <row r="461" spans="1:10">
      <c r="A461" t="s">
        <v>1810</v>
      </c>
      <c r="B461" s="7">
        <v>45315</v>
      </c>
      <c r="C461" t="s">
        <v>996</v>
      </c>
      <c r="D461" t="s">
        <v>1217</v>
      </c>
      <c r="E461" t="s">
        <v>1332</v>
      </c>
      <c r="F461">
        <f>Table5[[#This Row],[Total_Amount]]/(G461*(1-Table5[[#This Row],[Discount]]))</f>
        <v>2</v>
      </c>
      <c r="G461" s="5">
        <v>736.75</v>
      </c>
      <c r="H461">
        <v>0.18</v>
      </c>
      <c r="I461" t="s">
        <v>1349</v>
      </c>
      <c r="J461" s="5">
        <v>1208.27</v>
      </c>
    </row>
    <row r="462" spans="1:10">
      <c r="A462" t="s">
        <v>1811</v>
      </c>
      <c r="B462" s="7">
        <v>45311</v>
      </c>
      <c r="C462" t="s">
        <v>87</v>
      </c>
      <c r="D462" t="s">
        <v>1227</v>
      </c>
      <c r="E462" t="s">
        <v>1311</v>
      </c>
      <c r="F462">
        <f>Table5[[#This Row],[Total_Amount]]/(G462*(1-Table5[[#This Row],[Discount]]))</f>
        <v>4.0000000000000009</v>
      </c>
      <c r="G462" s="5">
        <v>700.31</v>
      </c>
      <c r="H462">
        <v>0.2</v>
      </c>
      <c r="I462" t="s">
        <v>1351</v>
      </c>
      <c r="J462" s="5">
        <v>2240.9920000000002</v>
      </c>
    </row>
    <row r="463" spans="1:10">
      <c r="A463" t="s">
        <v>1812</v>
      </c>
      <c r="B463" s="7">
        <v>45270</v>
      </c>
      <c r="C463" t="s">
        <v>319</v>
      </c>
      <c r="D463" t="s">
        <v>1255</v>
      </c>
      <c r="E463" t="s">
        <v>1317</v>
      </c>
      <c r="F463">
        <f>Table5[[#This Row],[Total_Amount]]/(G463*(1-Table5[[#This Row],[Discount]]))</f>
        <v>4</v>
      </c>
      <c r="G463" s="5">
        <v>202.46</v>
      </c>
      <c r="H463">
        <v>0.24</v>
      </c>
      <c r="I463" t="s">
        <v>1349</v>
      </c>
      <c r="J463" s="5">
        <v>615.47840000000008</v>
      </c>
    </row>
    <row r="464" spans="1:10">
      <c r="A464" t="s">
        <v>1813</v>
      </c>
      <c r="B464" s="7">
        <v>45279</v>
      </c>
      <c r="C464" t="s">
        <v>594</v>
      </c>
      <c r="D464" t="s">
        <v>1247</v>
      </c>
      <c r="E464" t="s">
        <v>1282</v>
      </c>
      <c r="F464">
        <f>Table5[[#This Row],[Total_Amount]]/(G464*(1-Table5[[#This Row],[Discount]]))</f>
        <v>2</v>
      </c>
      <c r="G464" s="5">
        <v>291.83999999999997</v>
      </c>
      <c r="H464">
        <v>0.25</v>
      </c>
      <c r="I464" t="s">
        <v>1351</v>
      </c>
      <c r="J464" s="5">
        <v>437.76</v>
      </c>
    </row>
    <row r="465" spans="1:10">
      <c r="A465" t="s">
        <v>1814</v>
      </c>
      <c r="B465" s="7">
        <v>45252</v>
      </c>
      <c r="C465" t="s">
        <v>387</v>
      </c>
      <c r="D465" t="s">
        <v>1267</v>
      </c>
      <c r="E465" t="s">
        <v>1298</v>
      </c>
      <c r="F465">
        <f>Table5[[#This Row],[Total_Amount]]/(G465*(1-Table5[[#This Row],[Discount]]))</f>
        <v>2</v>
      </c>
      <c r="G465" s="5">
        <v>261.48</v>
      </c>
      <c r="H465">
        <v>0.17</v>
      </c>
      <c r="I465" t="s">
        <v>1349</v>
      </c>
      <c r="J465" s="5">
        <v>434.05680000000001</v>
      </c>
    </row>
    <row r="466" spans="1:10">
      <c r="A466" t="s">
        <v>1815</v>
      </c>
      <c r="B466" s="7">
        <v>45938</v>
      </c>
      <c r="C466" t="s">
        <v>664</v>
      </c>
      <c r="D466" t="s">
        <v>1145</v>
      </c>
      <c r="E466" t="s">
        <v>1324</v>
      </c>
      <c r="F466">
        <f>Table5[[#This Row],[Total_Amount]]/(G466*(1-Table5[[#This Row],[Discount]]))</f>
        <v>1</v>
      </c>
      <c r="G466" s="5">
        <v>850.83</v>
      </c>
      <c r="H466">
        <v>0.28000000000000003</v>
      </c>
      <c r="I466" t="s">
        <v>1351</v>
      </c>
      <c r="J466" s="5">
        <v>612.59760000000006</v>
      </c>
    </row>
    <row r="467" spans="1:10">
      <c r="A467" t="s">
        <v>1816</v>
      </c>
      <c r="B467" s="7">
        <v>45711</v>
      </c>
      <c r="C467" t="s">
        <v>873</v>
      </c>
      <c r="D467" t="s">
        <v>1165</v>
      </c>
      <c r="E467" t="s">
        <v>1311</v>
      </c>
      <c r="F467">
        <f>Table5[[#This Row],[Total_Amount]]/(G467*(1-Table5[[#This Row],[Discount]]))</f>
        <v>1</v>
      </c>
      <c r="G467" s="5">
        <v>83.83</v>
      </c>
      <c r="H467">
        <v>0.05</v>
      </c>
      <c r="I467" t="s">
        <v>1349</v>
      </c>
      <c r="J467" s="5">
        <v>79.638499999999993</v>
      </c>
    </row>
    <row r="468" spans="1:10">
      <c r="A468" t="s">
        <v>1817</v>
      </c>
      <c r="B468" s="7">
        <v>45713</v>
      </c>
      <c r="C468" t="s">
        <v>30</v>
      </c>
      <c r="D468" t="s">
        <v>1249</v>
      </c>
      <c r="E468" t="s">
        <v>1329</v>
      </c>
      <c r="F468">
        <f>Table5[[#This Row],[Total_Amount]]/(G468*(1-Table5[[#This Row],[Discount]]))</f>
        <v>3</v>
      </c>
      <c r="G468" s="5">
        <v>649.95000000000005</v>
      </c>
      <c r="H468">
        <v>0.28000000000000003</v>
      </c>
      <c r="I468" t="s">
        <v>1354</v>
      </c>
      <c r="J468" s="5">
        <v>1403.8920000000001</v>
      </c>
    </row>
    <row r="469" spans="1:10">
      <c r="A469" t="s">
        <v>1818</v>
      </c>
      <c r="B469" s="7">
        <v>45565</v>
      </c>
      <c r="C469" t="s">
        <v>795</v>
      </c>
      <c r="D469" t="s">
        <v>1219</v>
      </c>
      <c r="E469" t="s">
        <v>1301</v>
      </c>
      <c r="F469">
        <f>Table5[[#This Row],[Total_Amount]]/(G469*(1-Table5[[#This Row],[Discount]]))</f>
        <v>3.9999999999999996</v>
      </c>
      <c r="G469" s="5">
        <v>934.96</v>
      </c>
      <c r="H469">
        <v>0.18</v>
      </c>
      <c r="I469" t="s">
        <v>1351</v>
      </c>
      <c r="J469" s="5">
        <v>3066.6687999999999</v>
      </c>
    </row>
    <row r="470" spans="1:10">
      <c r="A470" t="s">
        <v>1819</v>
      </c>
      <c r="B470" s="7">
        <v>45279</v>
      </c>
      <c r="C470" t="s">
        <v>474</v>
      </c>
      <c r="D470" t="s">
        <v>1107</v>
      </c>
      <c r="E470" t="s">
        <v>1324</v>
      </c>
      <c r="F470">
        <f>Table5[[#This Row],[Total_Amount]]/(G470*(1-Table5[[#This Row],[Discount]]))</f>
        <v>1</v>
      </c>
      <c r="G470" s="5">
        <v>880.89</v>
      </c>
      <c r="H470">
        <v>0.13</v>
      </c>
      <c r="I470" t="s">
        <v>1354</v>
      </c>
      <c r="J470" s="5">
        <v>766.37429999999995</v>
      </c>
    </row>
    <row r="471" spans="1:10">
      <c r="A471" t="s">
        <v>1820</v>
      </c>
      <c r="B471" s="7">
        <v>45614</v>
      </c>
      <c r="C471" t="s">
        <v>1016</v>
      </c>
      <c r="D471" t="s">
        <v>1269</v>
      </c>
      <c r="E471" t="s">
        <v>1307</v>
      </c>
      <c r="F471">
        <f>Table5[[#This Row],[Total_Amount]]/(G471*(1-Table5[[#This Row],[Discount]]))</f>
        <v>3.9999999999999991</v>
      </c>
      <c r="G471" s="5">
        <v>610.6</v>
      </c>
      <c r="H471">
        <v>0.1</v>
      </c>
      <c r="I471" t="s">
        <v>1351</v>
      </c>
      <c r="J471" s="5">
        <v>2198.16</v>
      </c>
    </row>
    <row r="472" spans="1:10">
      <c r="A472" t="s">
        <v>1821</v>
      </c>
      <c r="B472" s="7">
        <v>45912</v>
      </c>
      <c r="C472" t="s">
        <v>202</v>
      </c>
      <c r="D472" t="s">
        <v>1129</v>
      </c>
      <c r="E472" t="s">
        <v>1335</v>
      </c>
      <c r="F472">
        <f>Table5[[#This Row],[Total_Amount]]/(G472*(1-Table5[[#This Row],[Discount]]))</f>
        <v>1</v>
      </c>
      <c r="G472" s="5">
        <v>514.19000000000005</v>
      </c>
      <c r="H472">
        <v>0.2</v>
      </c>
      <c r="I472" t="s">
        <v>1349</v>
      </c>
      <c r="J472" s="5">
        <v>411.35200000000009</v>
      </c>
    </row>
    <row r="473" spans="1:10">
      <c r="A473" t="s">
        <v>1822</v>
      </c>
      <c r="B473" s="7">
        <v>45688</v>
      </c>
      <c r="C473" t="s">
        <v>861</v>
      </c>
      <c r="D473" t="s">
        <v>1147</v>
      </c>
      <c r="E473" t="s">
        <v>1322</v>
      </c>
      <c r="F473">
        <f>Table5[[#This Row],[Total_Amount]]/(G473*(1-Table5[[#This Row],[Discount]]))</f>
        <v>1.0000000000000002</v>
      </c>
      <c r="G473" s="5">
        <v>546.20000000000005</v>
      </c>
      <c r="H473">
        <v>0.22</v>
      </c>
      <c r="I473" t="s">
        <v>1351</v>
      </c>
      <c r="J473" s="5">
        <v>426.03600000000012</v>
      </c>
    </row>
    <row r="474" spans="1:10">
      <c r="A474" t="s">
        <v>1823</v>
      </c>
      <c r="B474" s="7">
        <v>45591</v>
      </c>
      <c r="C474" t="s">
        <v>456</v>
      </c>
      <c r="D474" t="s">
        <v>1147</v>
      </c>
      <c r="E474" t="s">
        <v>1277</v>
      </c>
      <c r="F474">
        <f>Table5[[#This Row],[Total_Amount]]/(G474*(1-Table5[[#This Row],[Discount]]))</f>
        <v>3.0000000000000004</v>
      </c>
      <c r="G474" s="5">
        <v>416.01</v>
      </c>
      <c r="H474">
        <v>0.02</v>
      </c>
      <c r="I474" t="s">
        <v>1349</v>
      </c>
      <c r="J474" s="5">
        <v>1223.0694000000001</v>
      </c>
    </row>
    <row r="475" spans="1:10">
      <c r="A475" t="s">
        <v>1824</v>
      </c>
      <c r="B475" s="7">
        <v>45864</v>
      </c>
      <c r="C475" t="s">
        <v>831</v>
      </c>
      <c r="D475" t="s">
        <v>1221</v>
      </c>
      <c r="E475" t="s">
        <v>1314</v>
      </c>
      <c r="F475">
        <f>Table5[[#This Row],[Total_Amount]]/(G475*(1-Table5[[#This Row],[Discount]]))</f>
        <v>0.99999999999999989</v>
      </c>
      <c r="G475" s="5">
        <v>30.94</v>
      </c>
      <c r="H475">
        <v>0.21</v>
      </c>
      <c r="I475" t="s">
        <v>1354</v>
      </c>
      <c r="J475" s="5">
        <v>24.442599999999999</v>
      </c>
    </row>
    <row r="476" spans="1:10">
      <c r="A476" t="s">
        <v>1825</v>
      </c>
      <c r="B476" s="7">
        <v>45875</v>
      </c>
      <c r="C476" t="s">
        <v>462</v>
      </c>
      <c r="D476" t="s">
        <v>1189</v>
      </c>
      <c r="E476" t="s">
        <v>1329</v>
      </c>
      <c r="F476">
        <f>Table5[[#This Row],[Total_Amount]]/(G476*(1-Table5[[#This Row],[Discount]]))</f>
        <v>2.9999999999999996</v>
      </c>
      <c r="G476" s="5">
        <v>666.39</v>
      </c>
      <c r="H476">
        <v>0.21</v>
      </c>
      <c r="I476" t="s">
        <v>1354</v>
      </c>
      <c r="J476" s="5">
        <v>1579.3443</v>
      </c>
    </row>
    <row r="477" spans="1:10">
      <c r="A477" t="s">
        <v>1826</v>
      </c>
      <c r="B477" s="7">
        <v>45797</v>
      </c>
      <c r="C477" t="s">
        <v>393</v>
      </c>
      <c r="D477" t="s">
        <v>1235</v>
      </c>
      <c r="E477" t="s">
        <v>1314</v>
      </c>
      <c r="F477">
        <f>Table5[[#This Row],[Total_Amount]]/(G477*(1-Table5[[#This Row],[Discount]]))</f>
        <v>2</v>
      </c>
      <c r="G477" s="5">
        <v>145.26</v>
      </c>
      <c r="H477">
        <v>0.19</v>
      </c>
      <c r="I477" t="s">
        <v>1351</v>
      </c>
      <c r="J477" s="5">
        <v>235.3212</v>
      </c>
    </row>
    <row r="478" spans="1:10">
      <c r="A478" t="s">
        <v>1827</v>
      </c>
      <c r="B478" s="7">
        <v>45364</v>
      </c>
      <c r="C478" t="s">
        <v>296</v>
      </c>
      <c r="D478" t="s">
        <v>1255</v>
      </c>
      <c r="E478" t="s">
        <v>1298</v>
      </c>
      <c r="F478">
        <f>Table5[[#This Row],[Total_Amount]]/(G478*(1-Table5[[#This Row],[Discount]]))</f>
        <v>4</v>
      </c>
      <c r="G478" s="5">
        <v>940.77</v>
      </c>
      <c r="H478">
        <v>0.24</v>
      </c>
      <c r="I478" t="s">
        <v>1354</v>
      </c>
      <c r="J478" s="5">
        <v>2859.9407999999999</v>
      </c>
    </row>
    <row r="479" spans="1:10">
      <c r="A479" t="s">
        <v>1828</v>
      </c>
      <c r="B479" s="7">
        <v>45700</v>
      </c>
      <c r="C479" t="s">
        <v>1000</v>
      </c>
      <c r="D479" t="s">
        <v>1165</v>
      </c>
      <c r="E479" t="s">
        <v>1332</v>
      </c>
      <c r="F479">
        <f>Table5[[#This Row],[Total_Amount]]/(G479*(1-Table5[[#This Row],[Discount]]))</f>
        <v>1</v>
      </c>
      <c r="G479" s="5">
        <v>708.88</v>
      </c>
      <c r="H479">
        <v>0.09</v>
      </c>
      <c r="I479" t="s">
        <v>1349</v>
      </c>
      <c r="J479" s="5">
        <v>645.08080000000007</v>
      </c>
    </row>
    <row r="480" spans="1:10">
      <c r="A480" t="s">
        <v>1829</v>
      </c>
      <c r="B480" s="7">
        <v>45924</v>
      </c>
      <c r="C480" t="s">
        <v>678</v>
      </c>
      <c r="D480" t="s">
        <v>1133</v>
      </c>
      <c r="E480" t="s">
        <v>1286</v>
      </c>
      <c r="F480">
        <f>Table5[[#This Row],[Total_Amount]]/(G480*(1-Table5[[#This Row],[Discount]]))</f>
        <v>1</v>
      </c>
      <c r="G480" s="5">
        <v>790.73</v>
      </c>
      <c r="H480">
        <v>0.24</v>
      </c>
      <c r="I480" t="s">
        <v>1351</v>
      </c>
      <c r="J480" s="5">
        <v>600.95479999999998</v>
      </c>
    </row>
    <row r="481" spans="1:10">
      <c r="A481" t="s">
        <v>1830</v>
      </c>
      <c r="B481" s="7">
        <v>45574</v>
      </c>
      <c r="C481" t="s">
        <v>961</v>
      </c>
      <c r="D481" t="s">
        <v>1103</v>
      </c>
      <c r="E481" t="s">
        <v>1311</v>
      </c>
      <c r="F481">
        <f>Table5[[#This Row],[Total_Amount]]/(G481*(1-Table5[[#This Row],[Discount]]))</f>
        <v>3</v>
      </c>
      <c r="G481" s="5">
        <v>635.13</v>
      </c>
      <c r="H481">
        <v>0.09</v>
      </c>
      <c r="I481" t="s">
        <v>1351</v>
      </c>
      <c r="J481" s="5">
        <v>1733.9049</v>
      </c>
    </row>
    <row r="482" spans="1:10">
      <c r="A482" t="s">
        <v>1831</v>
      </c>
      <c r="B482" s="7">
        <v>45233</v>
      </c>
      <c r="C482" t="s">
        <v>596</v>
      </c>
      <c r="D482" t="s">
        <v>1259</v>
      </c>
      <c r="E482" t="s">
        <v>1324</v>
      </c>
      <c r="F482">
        <f>Table5[[#This Row],[Total_Amount]]/(G482*(1-Table5[[#This Row],[Discount]]))</f>
        <v>1</v>
      </c>
      <c r="G482" s="5">
        <v>744.88</v>
      </c>
      <c r="H482">
        <v>0.15</v>
      </c>
      <c r="I482" t="s">
        <v>1354</v>
      </c>
      <c r="J482" s="5">
        <v>633.14800000000002</v>
      </c>
    </row>
    <row r="483" spans="1:10">
      <c r="A483" t="s">
        <v>1832</v>
      </c>
      <c r="B483" s="7">
        <v>45745</v>
      </c>
      <c r="C483" t="s">
        <v>428</v>
      </c>
      <c r="D483" t="s">
        <v>1129</v>
      </c>
      <c r="E483" t="s">
        <v>1282</v>
      </c>
      <c r="F483">
        <f>Table5[[#This Row],[Total_Amount]]/(G483*(1-Table5[[#This Row],[Discount]]))</f>
        <v>3</v>
      </c>
      <c r="G483" s="5">
        <v>205.34</v>
      </c>
      <c r="H483">
        <v>0.25</v>
      </c>
      <c r="I483" t="s">
        <v>1349</v>
      </c>
      <c r="J483" s="5">
        <v>462.01499999999999</v>
      </c>
    </row>
    <row r="484" spans="1:10">
      <c r="A484" t="s">
        <v>1833</v>
      </c>
      <c r="B484" s="7">
        <v>45851</v>
      </c>
      <c r="C484" t="s">
        <v>901</v>
      </c>
      <c r="D484" t="s">
        <v>1131</v>
      </c>
      <c r="E484" t="s">
        <v>1307</v>
      </c>
      <c r="F484">
        <f>Table5[[#This Row],[Total_Amount]]/(G484*(1-Table5[[#This Row],[Discount]]))</f>
        <v>2</v>
      </c>
      <c r="G484" s="5">
        <v>756.8</v>
      </c>
      <c r="H484">
        <v>0.15</v>
      </c>
      <c r="I484" t="s">
        <v>1349</v>
      </c>
      <c r="J484" s="5">
        <v>1286.56</v>
      </c>
    </row>
    <row r="485" spans="1:10">
      <c r="A485" t="s">
        <v>1834</v>
      </c>
      <c r="B485" s="7">
        <v>45308</v>
      </c>
      <c r="C485" t="s">
        <v>129</v>
      </c>
      <c r="D485" t="s">
        <v>1115</v>
      </c>
      <c r="E485" t="s">
        <v>1314</v>
      </c>
      <c r="F485">
        <f>Table5[[#This Row],[Total_Amount]]/(G485*(1-Table5[[#This Row],[Discount]]))</f>
        <v>1</v>
      </c>
      <c r="G485" s="5">
        <v>771.73</v>
      </c>
      <c r="H485">
        <v>0.2</v>
      </c>
      <c r="I485" t="s">
        <v>1349</v>
      </c>
      <c r="J485" s="5">
        <v>617.38400000000001</v>
      </c>
    </row>
    <row r="486" spans="1:10">
      <c r="A486" t="s">
        <v>1835</v>
      </c>
      <c r="B486" s="7">
        <v>45639</v>
      </c>
      <c r="C486" t="s">
        <v>1020</v>
      </c>
      <c r="D486" t="s">
        <v>1205</v>
      </c>
      <c r="E486" t="s">
        <v>1332</v>
      </c>
      <c r="F486">
        <f>Table5[[#This Row],[Total_Amount]]/(G486*(1-Table5[[#This Row],[Discount]]))</f>
        <v>1.0000000000000002</v>
      </c>
      <c r="G486" s="5">
        <v>440.19</v>
      </c>
      <c r="H486">
        <v>0.03</v>
      </c>
      <c r="I486" t="s">
        <v>1351</v>
      </c>
      <c r="J486" s="5">
        <v>426.98430000000002</v>
      </c>
    </row>
    <row r="487" spans="1:10">
      <c r="A487" t="s">
        <v>1836</v>
      </c>
      <c r="B487" s="7">
        <v>45919</v>
      </c>
      <c r="C487" t="s">
        <v>135</v>
      </c>
      <c r="D487" t="s">
        <v>1078</v>
      </c>
      <c r="E487" t="s">
        <v>1286</v>
      </c>
      <c r="F487">
        <f>Table5[[#This Row],[Total_Amount]]/(G487*(1-Table5[[#This Row],[Discount]]))</f>
        <v>2</v>
      </c>
      <c r="G487" s="5">
        <v>409</v>
      </c>
      <c r="H487">
        <v>0.17</v>
      </c>
      <c r="I487" t="s">
        <v>1349</v>
      </c>
      <c r="J487" s="5">
        <v>678.93999999999994</v>
      </c>
    </row>
    <row r="488" spans="1:10">
      <c r="A488" t="s">
        <v>1837</v>
      </c>
      <c r="B488" s="7">
        <v>45333</v>
      </c>
      <c r="C488" t="s">
        <v>750</v>
      </c>
      <c r="D488" t="s">
        <v>1149</v>
      </c>
      <c r="E488" t="s">
        <v>1338</v>
      </c>
      <c r="F488">
        <f>Table5[[#This Row],[Total_Amount]]/(G488*(1-Table5[[#This Row],[Discount]]))</f>
        <v>3</v>
      </c>
      <c r="G488" s="5">
        <v>134.58000000000001</v>
      </c>
      <c r="H488">
        <v>0.04</v>
      </c>
      <c r="I488" t="s">
        <v>1354</v>
      </c>
      <c r="J488" s="5">
        <v>387.59039999999999</v>
      </c>
    </row>
    <row r="489" spans="1:10">
      <c r="A489" t="s">
        <v>1838</v>
      </c>
      <c r="B489" s="7">
        <v>45811</v>
      </c>
      <c r="C489" t="s">
        <v>760</v>
      </c>
      <c r="D489" t="s">
        <v>1151</v>
      </c>
      <c r="E489" t="s">
        <v>1304</v>
      </c>
      <c r="F489">
        <f>Table5[[#This Row],[Total_Amount]]/(G489*(1-Table5[[#This Row],[Discount]]))</f>
        <v>4</v>
      </c>
      <c r="G489" s="5">
        <v>284.44</v>
      </c>
      <c r="H489">
        <v>0.02</v>
      </c>
      <c r="I489" t="s">
        <v>1349</v>
      </c>
      <c r="J489" s="5">
        <v>1115.0047999999999</v>
      </c>
    </row>
    <row r="490" spans="1:10">
      <c r="A490" t="s">
        <v>1839</v>
      </c>
      <c r="B490" s="7">
        <v>45726</v>
      </c>
      <c r="C490" t="s">
        <v>873</v>
      </c>
      <c r="D490" t="s">
        <v>1219</v>
      </c>
      <c r="E490" t="s">
        <v>1322</v>
      </c>
      <c r="F490">
        <f>Table5[[#This Row],[Total_Amount]]/(G490*(1-Table5[[#This Row],[Discount]]))</f>
        <v>4</v>
      </c>
      <c r="G490" s="5">
        <v>922.69</v>
      </c>
      <c r="H490">
        <v>0.16</v>
      </c>
      <c r="I490" t="s">
        <v>1349</v>
      </c>
      <c r="J490" s="5">
        <v>3100.2384000000002</v>
      </c>
    </row>
    <row r="491" spans="1:10">
      <c r="A491" t="s">
        <v>1840</v>
      </c>
      <c r="B491" s="7">
        <v>45644</v>
      </c>
      <c r="C491" t="s">
        <v>614</v>
      </c>
      <c r="D491" t="s">
        <v>1145</v>
      </c>
      <c r="E491" t="s">
        <v>1301</v>
      </c>
      <c r="F491">
        <f>Table5[[#This Row],[Total_Amount]]/(G491*(1-Table5[[#This Row],[Discount]]))</f>
        <v>2</v>
      </c>
      <c r="G491" s="5">
        <v>992.55</v>
      </c>
      <c r="H491">
        <v>0.28000000000000003</v>
      </c>
      <c r="I491" t="s">
        <v>1349</v>
      </c>
      <c r="J491" s="5">
        <v>1429.2719999999999</v>
      </c>
    </row>
    <row r="492" spans="1:10">
      <c r="A492" t="s">
        <v>1841</v>
      </c>
      <c r="B492" s="7">
        <v>45371</v>
      </c>
      <c r="C492" t="s">
        <v>899</v>
      </c>
      <c r="D492" t="s">
        <v>1251</v>
      </c>
      <c r="E492" t="s">
        <v>1335</v>
      </c>
      <c r="F492">
        <f>Table5[[#This Row],[Total_Amount]]/(G492*(1-Table5[[#This Row],[Discount]]))</f>
        <v>1</v>
      </c>
      <c r="G492" s="5">
        <v>170.43</v>
      </c>
      <c r="H492">
        <v>0.03</v>
      </c>
      <c r="I492" t="s">
        <v>1349</v>
      </c>
      <c r="J492" s="5">
        <v>165.31710000000001</v>
      </c>
    </row>
    <row r="493" spans="1:10">
      <c r="A493" t="s">
        <v>1842</v>
      </c>
      <c r="B493" s="7">
        <v>45462</v>
      </c>
      <c r="C493" t="s">
        <v>509</v>
      </c>
      <c r="D493" t="s">
        <v>1217</v>
      </c>
      <c r="E493" t="s">
        <v>1286</v>
      </c>
      <c r="F493">
        <f>Table5[[#This Row],[Total_Amount]]/(G493*(1-Table5[[#This Row],[Discount]]))</f>
        <v>3.0000000000000004</v>
      </c>
      <c r="G493" s="5">
        <v>480.51</v>
      </c>
      <c r="H493">
        <v>0.03</v>
      </c>
      <c r="I493" t="s">
        <v>1349</v>
      </c>
      <c r="J493" s="5">
        <v>1398.2841000000001</v>
      </c>
    </row>
    <row r="494" spans="1:10">
      <c r="A494" t="s">
        <v>1843</v>
      </c>
      <c r="B494" s="7">
        <v>45632</v>
      </c>
      <c r="C494" t="s">
        <v>373</v>
      </c>
      <c r="D494" t="s">
        <v>1171</v>
      </c>
      <c r="E494" t="s">
        <v>1304</v>
      </c>
      <c r="F494">
        <f>Table5[[#This Row],[Total_Amount]]/(G494*(1-Table5[[#This Row],[Discount]]))</f>
        <v>2</v>
      </c>
      <c r="G494" s="5">
        <v>955.66</v>
      </c>
      <c r="H494">
        <v>0.28999999999999998</v>
      </c>
      <c r="I494" t="s">
        <v>1354</v>
      </c>
      <c r="J494" s="5">
        <v>1357.0372</v>
      </c>
    </row>
    <row r="495" spans="1:10">
      <c r="A495" t="s">
        <v>1844</v>
      </c>
      <c r="B495" s="7">
        <v>45863</v>
      </c>
      <c r="C495" t="s">
        <v>965</v>
      </c>
      <c r="D495" t="s">
        <v>1217</v>
      </c>
      <c r="E495" t="s">
        <v>1277</v>
      </c>
      <c r="F495">
        <f>Table5[[#This Row],[Total_Amount]]/(G495*(1-Table5[[#This Row],[Discount]]))</f>
        <v>2</v>
      </c>
      <c r="G495" s="5">
        <v>488.02</v>
      </c>
      <c r="H495">
        <v>0.27</v>
      </c>
      <c r="I495" t="s">
        <v>1351</v>
      </c>
      <c r="J495" s="5">
        <v>712.50919999999996</v>
      </c>
    </row>
    <row r="496" spans="1:10">
      <c r="A496" t="s">
        <v>1845</v>
      </c>
      <c r="B496" s="7">
        <v>45501</v>
      </c>
      <c r="C496" t="s">
        <v>543</v>
      </c>
      <c r="D496" t="s">
        <v>1109</v>
      </c>
      <c r="E496" t="s">
        <v>1277</v>
      </c>
      <c r="F496">
        <f>Table5[[#This Row],[Total_Amount]]/(G496*(1-Table5[[#This Row],[Discount]]))</f>
        <v>1</v>
      </c>
      <c r="G496" s="5">
        <v>917.17</v>
      </c>
      <c r="H496">
        <v>0.13</v>
      </c>
      <c r="I496" t="s">
        <v>1354</v>
      </c>
      <c r="J496" s="5">
        <v>797.93790000000001</v>
      </c>
    </row>
    <row r="497" spans="1:10">
      <c r="A497" t="s">
        <v>1846</v>
      </c>
      <c r="B497" s="7">
        <v>45568</v>
      </c>
      <c r="C497" t="s">
        <v>712</v>
      </c>
      <c r="D497" t="s">
        <v>1087</v>
      </c>
      <c r="E497" t="s">
        <v>1298</v>
      </c>
      <c r="F497">
        <f>Table5[[#This Row],[Total_Amount]]/(G497*(1-Table5[[#This Row],[Discount]]))</f>
        <v>2</v>
      </c>
      <c r="G497" s="5">
        <v>406.46</v>
      </c>
      <c r="H497">
        <v>0.3</v>
      </c>
      <c r="I497" t="s">
        <v>1351</v>
      </c>
      <c r="J497" s="5">
        <v>569.04399999999998</v>
      </c>
    </row>
    <row r="498" spans="1:10">
      <c r="A498" t="s">
        <v>1847</v>
      </c>
      <c r="B498" s="7">
        <v>45238</v>
      </c>
      <c r="C498" t="s">
        <v>527</v>
      </c>
      <c r="D498" t="s">
        <v>1263</v>
      </c>
      <c r="E498" t="s">
        <v>1277</v>
      </c>
      <c r="F498">
        <f>Table5[[#This Row],[Total_Amount]]/(G498*(1-Table5[[#This Row],[Discount]]))</f>
        <v>2</v>
      </c>
      <c r="G498" s="5">
        <v>264.39</v>
      </c>
      <c r="H498">
        <v>0.11</v>
      </c>
      <c r="I498" t="s">
        <v>1354</v>
      </c>
      <c r="J498" s="5">
        <v>470.61419999999998</v>
      </c>
    </row>
    <row r="499" spans="1:10">
      <c r="A499" t="s">
        <v>1848</v>
      </c>
      <c r="B499" s="7">
        <v>45754</v>
      </c>
      <c r="C499" t="s">
        <v>444</v>
      </c>
      <c r="D499" t="s">
        <v>1209</v>
      </c>
      <c r="E499" t="s">
        <v>1329</v>
      </c>
      <c r="F499">
        <f>Table5[[#This Row],[Total_Amount]]/(G499*(1-Table5[[#This Row],[Discount]]))</f>
        <v>1</v>
      </c>
      <c r="G499" s="5">
        <v>414.97</v>
      </c>
      <c r="H499">
        <v>0.22</v>
      </c>
      <c r="I499" t="s">
        <v>1351</v>
      </c>
      <c r="J499" s="5">
        <v>323.67660000000001</v>
      </c>
    </row>
    <row r="500" spans="1:10">
      <c r="A500" t="s">
        <v>1849</v>
      </c>
      <c r="B500" s="7">
        <v>45280</v>
      </c>
      <c r="C500" t="s">
        <v>353</v>
      </c>
      <c r="D500" t="s">
        <v>1123</v>
      </c>
      <c r="E500" t="s">
        <v>1319</v>
      </c>
      <c r="F500">
        <f>Table5[[#This Row],[Total_Amount]]/(G500*(1-Table5[[#This Row],[Discount]]))</f>
        <v>2</v>
      </c>
      <c r="G500" s="5">
        <v>583.51</v>
      </c>
      <c r="H500">
        <v>0.2</v>
      </c>
      <c r="I500" t="s">
        <v>1354</v>
      </c>
      <c r="J500" s="5">
        <v>933.61599999999999</v>
      </c>
    </row>
    <row r="501" spans="1:10">
      <c r="A501" t="s">
        <v>1850</v>
      </c>
      <c r="B501" s="7">
        <v>45911</v>
      </c>
      <c r="C501" t="s">
        <v>44</v>
      </c>
      <c r="D501" t="s">
        <v>1135</v>
      </c>
      <c r="E501" t="s">
        <v>1332</v>
      </c>
      <c r="F501">
        <f>Table5[[#This Row],[Total_Amount]]/(G501*(1-Table5[[#This Row],[Discount]]))</f>
        <v>1</v>
      </c>
      <c r="G501" s="5">
        <v>659.27</v>
      </c>
      <c r="H501">
        <v>0.15</v>
      </c>
      <c r="I501" t="s">
        <v>1351</v>
      </c>
      <c r="J501" s="5">
        <v>560.37950000000001</v>
      </c>
    </row>
    <row r="502" spans="1:10">
      <c r="A502" t="s">
        <v>1851</v>
      </c>
      <c r="B502" s="7">
        <v>45627</v>
      </c>
      <c r="C502" t="s">
        <v>953</v>
      </c>
      <c r="D502" t="s">
        <v>1074</v>
      </c>
      <c r="E502" t="s">
        <v>1294</v>
      </c>
      <c r="F502">
        <f>Table5[[#This Row],[Total_Amount]]/(G502*(1-Table5[[#This Row],[Discount]]))</f>
        <v>4</v>
      </c>
      <c r="G502" s="5">
        <v>106.66</v>
      </c>
      <c r="H502">
        <v>0.2</v>
      </c>
      <c r="I502" t="s">
        <v>1354</v>
      </c>
      <c r="J502" s="5">
        <v>341.31200000000001</v>
      </c>
    </row>
    <row r="503" spans="1:10">
      <c r="A503" t="s">
        <v>1852</v>
      </c>
      <c r="B503" s="7">
        <v>45617</v>
      </c>
      <c r="C503" t="s">
        <v>387</v>
      </c>
      <c r="D503" t="s">
        <v>1093</v>
      </c>
      <c r="E503" t="s">
        <v>1298</v>
      </c>
      <c r="F503">
        <f>Table5[[#This Row],[Total_Amount]]/(G503*(1-Table5[[#This Row],[Discount]]))</f>
        <v>4</v>
      </c>
      <c r="G503" s="5">
        <v>168.55</v>
      </c>
      <c r="H503">
        <v>0.15</v>
      </c>
      <c r="I503" t="s">
        <v>1351</v>
      </c>
      <c r="J503" s="5">
        <v>573.07000000000005</v>
      </c>
    </row>
    <row r="504" spans="1:10">
      <c r="A504" t="s">
        <v>1853</v>
      </c>
      <c r="B504" s="7">
        <v>45899</v>
      </c>
      <c r="C504" t="s">
        <v>1037</v>
      </c>
      <c r="D504" t="s">
        <v>1161</v>
      </c>
      <c r="E504" t="s">
        <v>1286</v>
      </c>
      <c r="F504">
        <f>Table5[[#This Row],[Total_Amount]]/(G504*(1-Table5[[#This Row],[Discount]]))</f>
        <v>1.0000000000000002</v>
      </c>
      <c r="G504" s="5">
        <v>230.53</v>
      </c>
      <c r="H504">
        <v>0.06</v>
      </c>
      <c r="I504" t="s">
        <v>1354</v>
      </c>
      <c r="J504" s="5">
        <v>216.69820000000001</v>
      </c>
    </row>
    <row r="505" spans="1:10">
      <c r="A505" t="s">
        <v>1854</v>
      </c>
      <c r="B505" s="7">
        <v>45889</v>
      </c>
      <c r="C505" t="s">
        <v>33</v>
      </c>
      <c r="D505" t="s">
        <v>1181</v>
      </c>
      <c r="E505" t="s">
        <v>1282</v>
      </c>
      <c r="F505">
        <f>Table5[[#This Row],[Total_Amount]]/(G505*(1-Table5[[#This Row],[Discount]]))</f>
        <v>2</v>
      </c>
      <c r="G505" s="5">
        <v>355.41</v>
      </c>
      <c r="H505">
        <v>0.13</v>
      </c>
      <c r="I505" t="s">
        <v>1354</v>
      </c>
      <c r="J505" s="5">
        <v>618.41340000000002</v>
      </c>
    </row>
    <row r="506" spans="1:10">
      <c r="A506" t="s">
        <v>1855</v>
      </c>
      <c r="B506" s="7">
        <v>45943</v>
      </c>
      <c r="C506" t="s">
        <v>395</v>
      </c>
      <c r="D506" t="s">
        <v>1167</v>
      </c>
      <c r="E506" t="s">
        <v>1286</v>
      </c>
      <c r="F506">
        <f>Table5[[#This Row],[Total_Amount]]/(G506*(1-Table5[[#This Row],[Discount]]))</f>
        <v>2.9999999999999996</v>
      </c>
      <c r="G506" s="5">
        <v>843.44</v>
      </c>
      <c r="H506">
        <v>0.22</v>
      </c>
      <c r="I506" t="s">
        <v>1349</v>
      </c>
      <c r="J506" s="5">
        <v>1973.6496</v>
      </c>
    </row>
    <row r="507" spans="1:10">
      <c r="A507" t="s">
        <v>1856</v>
      </c>
      <c r="B507" s="7">
        <v>45306</v>
      </c>
      <c r="C507" t="s">
        <v>387</v>
      </c>
      <c r="D507" t="s">
        <v>1263</v>
      </c>
      <c r="E507" t="s">
        <v>1282</v>
      </c>
      <c r="F507">
        <f>Table5[[#This Row],[Total_Amount]]/(G507*(1-Table5[[#This Row],[Discount]]))</f>
        <v>1</v>
      </c>
      <c r="G507" s="5">
        <v>301.60000000000002</v>
      </c>
      <c r="H507">
        <v>0.27</v>
      </c>
      <c r="I507" t="s">
        <v>1349</v>
      </c>
      <c r="J507" s="5">
        <v>220.16800000000001</v>
      </c>
    </row>
    <row r="508" spans="1:10">
      <c r="A508" t="s">
        <v>1857</v>
      </c>
      <c r="B508" s="7">
        <v>45772</v>
      </c>
      <c r="C508" t="s">
        <v>123</v>
      </c>
      <c r="D508" t="s">
        <v>1251</v>
      </c>
      <c r="E508" t="s">
        <v>1286</v>
      </c>
      <c r="F508">
        <f>Table5[[#This Row],[Total_Amount]]/(G508*(1-Table5[[#This Row],[Discount]]))</f>
        <v>3</v>
      </c>
      <c r="G508" s="5">
        <v>21.59</v>
      </c>
      <c r="H508">
        <v>0.16</v>
      </c>
      <c r="I508" t="s">
        <v>1354</v>
      </c>
      <c r="J508" s="5">
        <v>54.406799999999997</v>
      </c>
    </row>
    <row r="509" spans="1:10">
      <c r="A509" t="s">
        <v>1858</v>
      </c>
      <c r="B509" s="7">
        <v>45346</v>
      </c>
      <c r="C509" t="s">
        <v>486</v>
      </c>
      <c r="D509" t="s">
        <v>1099</v>
      </c>
      <c r="E509" t="s">
        <v>1286</v>
      </c>
      <c r="F509">
        <f>Table5[[#This Row],[Total_Amount]]/(G509*(1-Table5[[#This Row],[Discount]]))</f>
        <v>3.9999999999999991</v>
      </c>
      <c r="G509" s="5">
        <v>284.24</v>
      </c>
      <c r="H509">
        <v>0.09</v>
      </c>
      <c r="I509" t="s">
        <v>1349</v>
      </c>
      <c r="J509" s="5">
        <v>1034.6335999999999</v>
      </c>
    </row>
    <row r="510" spans="1:10">
      <c r="A510" t="s">
        <v>1859</v>
      </c>
      <c r="B510" s="7">
        <v>45656</v>
      </c>
      <c r="C510" t="s">
        <v>799</v>
      </c>
      <c r="D510" t="s">
        <v>1080</v>
      </c>
      <c r="E510" t="s">
        <v>1311</v>
      </c>
      <c r="F510">
        <f>Table5[[#This Row],[Total_Amount]]/(G510*(1-Table5[[#This Row],[Discount]]))</f>
        <v>1</v>
      </c>
      <c r="G510" s="5">
        <v>191.6</v>
      </c>
      <c r="H510">
        <v>0.27</v>
      </c>
      <c r="I510" t="s">
        <v>1351</v>
      </c>
      <c r="J510" s="5">
        <v>139.86799999999999</v>
      </c>
    </row>
    <row r="511" spans="1:10">
      <c r="A511" t="s">
        <v>1860</v>
      </c>
      <c r="B511" s="7">
        <v>45762</v>
      </c>
      <c r="C511" t="s">
        <v>686</v>
      </c>
      <c r="D511" t="s">
        <v>1229</v>
      </c>
      <c r="E511" t="s">
        <v>1319</v>
      </c>
      <c r="F511">
        <f>Table5[[#This Row],[Total_Amount]]/(G511*(1-Table5[[#This Row],[Discount]]))</f>
        <v>2</v>
      </c>
      <c r="G511" s="5">
        <v>616.97</v>
      </c>
      <c r="H511">
        <v>0.22</v>
      </c>
      <c r="I511" t="s">
        <v>1349</v>
      </c>
      <c r="J511" s="5">
        <v>962.47320000000002</v>
      </c>
    </row>
    <row r="512" spans="1:10">
      <c r="A512" t="s">
        <v>1861</v>
      </c>
      <c r="B512" s="7">
        <v>45580</v>
      </c>
      <c r="C512" t="s">
        <v>397</v>
      </c>
      <c r="D512" t="s">
        <v>1129</v>
      </c>
      <c r="E512" t="s">
        <v>1314</v>
      </c>
      <c r="F512">
        <f>Table5[[#This Row],[Total_Amount]]/(G512*(1-Table5[[#This Row],[Discount]]))</f>
        <v>2.9999999999999996</v>
      </c>
      <c r="G512" s="5">
        <v>125.68</v>
      </c>
      <c r="H512">
        <v>0.26</v>
      </c>
      <c r="I512" t="s">
        <v>1354</v>
      </c>
      <c r="J512" s="5">
        <v>279.00959999999998</v>
      </c>
    </row>
    <row r="513" spans="1:10">
      <c r="A513" t="s">
        <v>1862</v>
      </c>
      <c r="B513" s="7">
        <v>45676</v>
      </c>
      <c r="C513" t="s">
        <v>768</v>
      </c>
      <c r="D513" t="s">
        <v>1159</v>
      </c>
      <c r="E513" t="s">
        <v>1294</v>
      </c>
      <c r="F513">
        <f>Table5[[#This Row],[Total_Amount]]/(G513*(1-Table5[[#This Row],[Discount]]))</f>
        <v>3</v>
      </c>
      <c r="G513" s="5">
        <v>307.48</v>
      </c>
      <c r="H513">
        <v>0.24</v>
      </c>
      <c r="I513" t="s">
        <v>1349</v>
      </c>
      <c r="J513" s="5">
        <v>701.0544000000001</v>
      </c>
    </row>
    <row r="514" spans="1:10">
      <c r="A514" t="s">
        <v>1863</v>
      </c>
      <c r="B514" s="7">
        <v>45495</v>
      </c>
      <c r="C514" t="s">
        <v>660</v>
      </c>
      <c r="D514" t="s">
        <v>1074</v>
      </c>
      <c r="E514" t="s">
        <v>1338</v>
      </c>
      <c r="F514">
        <f>Table5[[#This Row],[Total_Amount]]/(G514*(1-Table5[[#This Row],[Discount]]))</f>
        <v>0.99999999999999989</v>
      </c>
      <c r="G514" s="5">
        <v>505.23</v>
      </c>
      <c r="H514">
        <v>0.11</v>
      </c>
      <c r="I514" t="s">
        <v>1349</v>
      </c>
      <c r="J514" s="5">
        <v>449.65469999999999</v>
      </c>
    </row>
    <row r="515" spans="1:10">
      <c r="A515" t="s">
        <v>1864</v>
      </c>
      <c r="B515" s="7">
        <v>45735</v>
      </c>
      <c r="C515" t="s">
        <v>793</v>
      </c>
      <c r="D515" t="s">
        <v>1163</v>
      </c>
      <c r="E515" t="s">
        <v>1329</v>
      </c>
      <c r="F515">
        <f>Table5[[#This Row],[Total_Amount]]/(G515*(1-Table5[[#This Row],[Discount]]))</f>
        <v>1</v>
      </c>
      <c r="G515" s="5">
        <v>853.12</v>
      </c>
      <c r="H515">
        <v>0.19</v>
      </c>
      <c r="I515" t="s">
        <v>1354</v>
      </c>
      <c r="J515" s="5">
        <v>691.02719999999999</v>
      </c>
    </row>
    <row r="516" spans="1:10">
      <c r="A516" t="s">
        <v>1865</v>
      </c>
      <c r="B516" s="7">
        <v>45312</v>
      </c>
      <c r="C516" t="s">
        <v>319</v>
      </c>
      <c r="D516" t="s">
        <v>1068</v>
      </c>
      <c r="E516" t="s">
        <v>1304</v>
      </c>
      <c r="F516">
        <f>Table5[[#This Row],[Total_Amount]]/(G516*(1-Table5[[#This Row],[Discount]]))</f>
        <v>4</v>
      </c>
      <c r="G516" s="5">
        <v>191.65</v>
      </c>
      <c r="H516">
        <v>0.19</v>
      </c>
      <c r="I516" t="s">
        <v>1351</v>
      </c>
      <c r="J516" s="5">
        <v>620.94600000000003</v>
      </c>
    </row>
    <row r="517" spans="1:10">
      <c r="A517" t="s">
        <v>1866</v>
      </c>
      <c r="B517" s="7">
        <v>45286</v>
      </c>
      <c r="C517" t="s">
        <v>381</v>
      </c>
      <c r="D517" t="s">
        <v>1167</v>
      </c>
      <c r="E517" t="s">
        <v>1291</v>
      </c>
      <c r="F517">
        <f>Table5[[#This Row],[Total_Amount]]/(G517*(1-Table5[[#This Row],[Discount]]))</f>
        <v>1</v>
      </c>
      <c r="G517" s="5">
        <v>169.69</v>
      </c>
      <c r="H517">
        <v>0.22</v>
      </c>
      <c r="I517" t="s">
        <v>1349</v>
      </c>
      <c r="J517" s="5">
        <v>132.35820000000001</v>
      </c>
    </row>
    <row r="518" spans="1:10">
      <c r="A518" t="s">
        <v>1867</v>
      </c>
      <c r="B518" s="7">
        <v>45372</v>
      </c>
      <c r="C518" t="s">
        <v>411</v>
      </c>
      <c r="D518" t="s">
        <v>1197</v>
      </c>
      <c r="E518" t="s">
        <v>1324</v>
      </c>
      <c r="F518">
        <f>Table5[[#This Row],[Total_Amount]]/(G518*(1-Table5[[#This Row],[Discount]]))</f>
        <v>1</v>
      </c>
      <c r="G518" s="5">
        <v>145.43</v>
      </c>
      <c r="H518">
        <v>0.08</v>
      </c>
      <c r="I518" t="s">
        <v>1349</v>
      </c>
      <c r="J518" s="5">
        <v>133.79560000000001</v>
      </c>
    </row>
    <row r="519" spans="1:10">
      <c r="A519" t="s">
        <v>1868</v>
      </c>
      <c r="B519" s="7">
        <v>45633</v>
      </c>
      <c r="C519" t="s">
        <v>222</v>
      </c>
      <c r="D519" t="s">
        <v>1259</v>
      </c>
      <c r="E519" t="s">
        <v>1319</v>
      </c>
      <c r="F519">
        <f>Table5[[#This Row],[Total_Amount]]/(G519*(1-Table5[[#This Row],[Discount]]))</f>
        <v>4</v>
      </c>
      <c r="G519" s="5">
        <v>828.35</v>
      </c>
      <c r="H519">
        <v>0.17</v>
      </c>
      <c r="I519" t="s">
        <v>1349</v>
      </c>
      <c r="J519" s="5">
        <v>2750.1219999999998</v>
      </c>
    </row>
    <row r="520" spans="1:10">
      <c r="A520" t="s">
        <v>1869</v>
      </c>
      <c r="B520" s="7">
        <v>45598</v>
      </c>
      <c r="C520" t="s">
        <v>787</v>
      </c>
      <c r="D520" t="s">
        <v>1263</v>
      </c>
      <c r="E520" t="s">
        <v>1304</v>
      </c>
      <c r="F520">
        <f>Table5[[#This Row],[Total_Amount]]/(G520*(1-Table5[[#This Row],[Discount]]))</f>
        <v>2.9999999999999996</v>
      </c>
      <c r="G520" s="5">
        <v>268.76</v>
      </c>
      <c r="H520">
        <v>0.01</v>
      </c>
      <c r="I520" t="s">
        <v>1351</v>
      </c>
      <c r="J520" s="5">
        <v>798.21719999999993</v>
      </c>
    </row>
    <row r="521" spans="1:10">
      <c r="A521" t="s">
        <v>1870</v>
      </c>
      <c r="B521" s="7">
        <v>45495</v>
      </c>
      <c r="C521" t="s">
        <v>529</v>
      </c>
      <c r="D521" t="s">
        <v>1249</v>
      </c>
      <c r="E521" t="s">
        <v>1277</v>
      </c>
      <c r="F521">
        <f>Table5[[#This Row],[Total_Amount]]/(G521*(1-Table5[[#This Row],[Discount]]))</f>
        <v>4.0000000000000009</v>
      </c>
      <c r="G521" s="5">
        <v>370.09</v>
      </c>
      <c r="H521">
        <v>0.22</v>
      </c>
      <c r="I521" t="s">
        <v>1354</v>
      </c>
      <c r="J521" s="5">
        <v>1154.6808000000001</v>
      </c>
    </row>
    <row r="522" spans="1:10">
      <c r="A522" t="s">
        <v>1871</v>
      </c>
      <c r="B522" s="7">
        <v>45229</v>
      </c>
      <c r="C522" t="s">
        <v>569</v>
      </c>
      <c r="D522" t="s">
        <v>1229</v>
      </c>
      <c r="E522" t="s">
        <v>1301</v>
      </c>
      <c r="F522">
        <f>Table5[[#This Row],[Total_Amount]]/(G522*(1-Table5[[#This Row],[Discount]]))</f>
        <v>3</v>
      </c>
      <c r="G522" s="5">
        <v>679.22</v>
      </c>
      <c r="H522">
        <v>0.11</v>
      </c>
      <c r="I522" t="s">
        <v>1351</v>
      </c>
      <c r="J522" s="5">
        <v>1813.5174</v>
      </c>
    </row>
    <row r="523" spans="1:10">
      <c r="A523" t="s">
        <v>1872</v>
      </c>
      <c r="B523" s="7">
        <v>45433</v>
      </c>
      <c r="C523" t="s">
        <v>809</v>
      </c>
      <c r="D523" t="s">
        <v>1219</v>
      </c>
      <c r="E523" t="s">
        <v>1277</v>
      </c>
      <c r="F523">
        <f>Table5[[#This Row],[Total_Amount]]/(G523*(1-Table5[[#This Row],[Discount]]))</f>
        <v>2.9999999999999996</v>
      </c>
      <c r="G523" s="5">
        <v>780.69</v>
      </c>
      <c r="H523">
        <v>0.1</v>
      </c>
      <c r="I523" t="s">
        <v>1354</v>
      </c>
      <c r="J523" s="5">
        <v>2107.8629999999998</v>
      </c>
    </row>
    <row r="524" spans="1:10">
      <c r="A524" t="s">
        <v>1873</v>
      </c>
      <c r="B524" s="7">
        <v>45766</v>
      </c>
      <c r="C524" t="s">
        <v>585</v>
      </c>
      <c r="D524" t="s">
        <v>1157</v>
      </c>
      <c r="E524" t="s">
        <v>1286</v>
      </c>
      <c r="F524">
        <f>Table5[[#This Row],[Total_Amount]]/(G524*(1-Table5[[#This Row],[Discount]]))</f>
        <v>2</v>
      </c>
      <c r="G524" s="5">
        <v>42.97</v>
      </c>
      <c r="H524">
        <v>0.18</v>
      </c>
      <c r="I524" t="s">
        <v>1351</v>
      </c>
      <c r="J524" s="5">
        <v>70.470799999999997</v>
      </c>
    </row>
    <row r="525" spans="1:10">
      <c r="A525" t="s">
        <v>1874</v>
      </c>
      <c r="B525" s="7">
        <v>45639</v>
      </c>
      <c r="C525" t="s">
        <v>636</v>
      </c>
      <c r="D525" t="s">
        <v>1237</v>
      </c>
      <c r="E525" t="s">
        <v>1277</v>
      </c>
      <c r="F525">
        <f>Table5[[#This Row],[Total_Amount]]/(G525*(1-Table5[[#This Row],[Discount]]))</f>
        <v>4.0000000000000009</v>
      </c>
      <c r="G525" s="5">
        <v>854.37</v>
      </c>
      <c r="H525">
        <v>7.0000000000000007E-2</v>
      </c>
      <c r="I525" t="s">
        <v>1351</v>
      </c>
      <c r="J525" s="5">
        <v>3178.2564000000002</v>
      </c>
    </row>
    <row r="526" spans="1:10">
      <c r="A526" t="s">
        <v>1875</v>
      </c>
      <c r="B526" s="7">
        <v>45774</v>
      </c>
      <c r="C526" t="s">
        <v>258</v>
      </c>
      <c r="D526" t="s">
        <v>1121</v>
      </c>
      <c r="E526" t="s">
        <v>1329</v>
      </c>
      <c r="F526">
        <f>Table5[[#This Row],[Total_Amount]]/(G526*(1-Table5[[#This Row],[Discount]]))</f>
        <v>2</v>
      </c>
      <c r="G526" s="5">
        <v>409.52</v>
      </c>
      <c r="H526">
        <v>0.06</v>
      </c>
      <c r="I526" t="s">
        <v>1354</v>
      </c>
      <c r="J526" s="5">
        <v>769.8975999999999</v>
      </c>
    </row>
    <row r="527" spans="1:10">
      <c r="A527" t="s">
        <v>1876</v>
      </c>
      <c r="B527" s="7">
        <v>45569</v>
      </c>
      <c r="C527" t="s">
        <v>389</v>
      </c>
      <c r="D527" t="s">
        <v>1221</v>
      </c>
      <c r="E527" t="s">
        <v>1314</v>
      </c>
      <c r="F527">
        <f>Table5[[#This Row],[Total_Amount]]/(G527*(1-Table5[[#This Row],[Discount]]))</f>
        <v>2</v>
      </c>
      <c r="G527" s="5">
        <v>407.46</v>
      </c>
      <c r="H527">
        <v>0.21</v>
      </c>
      <c r="I527" t="s">
        <v>1349</v>
      </c>
      <c r="J527" s="5">
        <v>643.78679999999997</v>
      </c>
    </row>
    <row r="528" spans="1:10">
      <c r="A528" t="s">
        <v>1877</v>
      </c>
      <c r="B528" s="7">
        <v>45856</v>
      </c>
      <c r="C528" t="s">
        <v>519</v>
      </c>
      <c r="D528" t="s">
        <v>1078</v>
      </c>
      <c r="E528" t="s">
        <v>1307</v>
      </c>
      <c r="F528">
        <f>Table5[[#This Row],[Total_Amount]]/(G528*(1-Table5[[#This Row],[Discount]]))</f>
        <v>1</v>
      </c>
      <c r="G528" s="5">
        <v>728.84</v>
      </c>
      <c r="H528">
        <v>0.28000000000000003</v>
      </c>
      <c r="I528" t="s">
        <v>1351</v>
      </c>
      <c r="J528" s="5">
        <v>524.76480000000004</v>
      </c>
    </row>
    <row r="529" spans="1:10">
      <c r="A529" t="s">
        <v>1878</v>
      </c>
      <c r="B529" s="7">
        <v>45362</v>
      </c>
      <c r="C529" t="s">
        <v>969</v>
      </c>
      <c r="D529" t="s">
        <v>1229</v>
      </c>
      <c r="E529" t="s">
        <v>1301</v>
      </c>
      <c r="F529">
        <f>Table5[[#This Row],[Total_Amount]]/(G529*(1-Table5[[#This Row],[Discount]]))</f>
        <v>3.9999999999999996</v>
      </c>
      <c r="G529" s="5">
        <v>467.24</v>
      </c>
      <c r="H529">
        <v>0.08</v>
      </c>
      <c r="I529" t="s">
        <v>1351</v>
      </c>
      <c r="J529" s="5">
        <v>1719.4431999999999</v>
      </c>
    </row>
    <row r="530" spans="1:10">
      <c r="A530" t="s">
        <v>1879</v>
      </c>
      <c r="B530" s="7">
        <v>45457</v>
      </c>
      <c r="C530" t="s">
        <v>242</v>
      </c>
      <c r="D530" t="s">
        <v>1093</v>
      </c>
      <c r="E530" t="s">
        <v>1317</v>
      </c>
      <c r="F530">
        <f>Table5[[#This Row],[Total_Amount]]/(G530*(1-Table5[[#This Row],[Discount]]))</f>
        <v>0.99999999999999989</v>
      </c>
      <c r="G530" s="5">
        <v>57.94</v>
      </c>
      <c r="H530">
        <v>0.13</v>
      </c>
      <c r="I530" t="s">
        <v>1351</v>
      </c>
      <c r="J530" s="5">
        <v>50.407799999999988</v>
      </c>
    </row>
    <row r="531" spans="1:10">
      <c r="A531" t="s">
        <v>1880</v>
      </c>
      <c r="B531" s="7">
        <v>45338</v>
      </c>
      <c r="C531" t="s">
        <v>752</v>
      </c>
      <c r="D531" t="s">
        <v>1171</v>
      </c>
      <c r="E531" t="s">
        <v>1332</v>
      </c>
      <c r="F531">
        <f>Table5[[#This Row],[Total_Amount]]/(G531*(1-Table5[[#This Row],[Discount]]))</f>
        <v>1</v>
      </c>
      <c r="G531" s="5">
        <v>540.1</v>
      </c>
      <c r="H531">
        <v>0.22</v>
      </c>
      <c r="I531" t="s">
        <v>1349</v>
      </c>
      <c r="J531" s="5">
        <v>421.27800000000002</v>
      </c>
    </row>
    <row r="532" spans="1:10">
      <c r="A532" t="s">
        <v>1881</v>
      </c>
      <c r="B532" s="7">
        <v>45552</v>
      </c>
      <c r="C532" t="s">
        <v>206</v>
      </c>
      <c r="D532" t="s">
        <v>1087</v>
      </c>
      <c r="E532" t="s">
        <v>1338</v>
      </c>
      <c r="F532">
        <f>Table5[[#This Row],[Total_Amount]]/(G532*(1-Table5[[#This Row],[Discount]]))</f>
        <v>4</v>
      </c>
      <c r="G532" s="5">
        <v>816.28</v>
      </c>
      <c r="H532">
        <v>0.15</v>
      </c>
      <c r="I532" t="s">
        <v>1354</v>
      </c>
      <c r="J532" s="5">
        <v>2775.3519999999999</v>
      </c>
    </row>
    <row r="533" spans="1:10">
      <c r="A533" t="s">
        <v>1882</v>
      </c>
      <c r="B533" s="7">
        <v>45895</v>
      </c>
      <c r="C533" t="s">
        <v>418</v>
      </c>
      <c r="D533" t="s">
        <v>1157</v>
      </c>
      <c r="E533" t="s">
        <v>1307</v>
      </c>
      <c r="F533">
        <f>Table5[[#This Row],[Total_Amount]]/(G533*(1-Table5[[#This Row],[Discount]]))</f>
        <v>4</v>
      </c>
      <c r="G533" s="5">
        <v>727.49</v>
      </c>
      <c r="H533">
        <v>0.11</v>
      </c>
      <c r="I533" t="s">
        <v>1349</v>
      </c>
      <c r="J533" s="5">
        <v>2589.8643999999999</v>
      </c>
    </row>
    <row r="534" spans="1:10">
      <c r="A534" t="s">
        <v>1883</v>
      </c>
      <c r="B534" s="7">
        <v>45447</v>
      </c>
      <c r="C534" t="s">
        <v>403</v>
      </c>
      <c r="D534" t="s">
        <v>1245</v>
      </c>
      <c r="E534" t="s">
        <v>1322</v>
      </c>
      <c r="F534">
        <f>Table5[[#This Row],[Total_Amount]]/(G534*(1-Table5[[#This Row],[Discount]]))</f>
        <v>4</v>
      </c>
      <c r="G534" s="5">
        <v>817.92</v>
      </c>
      <c r="H534">
        <v>0.21</v>
      </c>
      <c r="I534" t="s">
        <v>1349</v>
      </c>
      <c r="J534" s="5">
        <v>2584.6271999999999</v>
      </c>
    </row>
    <row r="535" spans="1:10">
      <c r="A535" t="s">
        <v>1884</v>
      </c>
      <c r="B535" s="7">
        <v>45578</v>
      </c>
      <c r="C535" t="s">
        <v>714</v>
      </c>
      <c r="D535" t="s">
        <v>1149</v>
      </c>
      <c r="E535" t="s">
        <v>1304</v>
      </c>
      <c r="F535">
        <f>Table5[[#This Row],[Total_Amount]]/(G535*(1-Table5[[#This Row],[Discount]]))</f>
        <v>2</v>
      </c>
      <c r="G535" s="5">
        <v>358.45</v>
      </c>
      <c r="H535">
        <v>7.0000000000000007E-2</v>
      </c>
      <c r="I535" t="s">
        <v>1354</v>
      </c>
      <c r="J535" s="5">
        <v>666.71699999999998</v>
      </c>
    </row>
    <row r="536" spans="1:10">
      <c r="A536" t="s">
        <v>1885</v>
      </c>
      <c r="B536" s="7">
        <v>45697</v>
      </c>
      <c r="C536" t="s">
        <v>464</v>
      </c>
      <c r="D536" t="s">
        <v>1247</v>
      </c>
      <c r="E536" t="s">
        <v>1311</v>
      </c>
      <c r="F536">
        <f>Table5[[#This Row],[Total_Amount]]/(G536*(1-Table5[[#This Row],[Discount]]))</f>
        <v>1</v>
      </c>
      <c r="G536" s="5">
        <v>972.06</v>
      </c>
      <c r="H536">
        <v>0.3</v>
      </c>
      <c r="I536" t="s">
        <v>1354</v>
      </c>
      <c r="J536" s="5">
        <v>680.44199999999989</v>
      </c>
    </row>
    <row r="537" spans="1:10">
      <c r="A537" t="s">
        <v>1886</v>
      </c>
      <c r="B537" s="7">
        <v>45281</v>
      </c>
      <c r="C537" t="s">
        <v>99</v>
      </c>
      <c r="D537" t="s">
        <v>1105</v>
      </c>
      <c r="E537" t="s">
        <v>1277</v>
      </c>
      <c r="F537">
        <f>Table5[[#This Row],[Total_Amount]]/(G537*(1-Table5[[#This Row],[Discount]]))</f>
        <v>1</v>
      </c>
      <c r="G537" s="5">
        <v>791.36</v>
      </c>
      <c r="H537">
        <v>0.06</v>
      </c>
      <c r="I537" t="s">
        <v>1351</v>
      </c>
      <c r="J537" s="5">
        <v>743.87839999999994</v>
      </c>
    </row>
    <row r="538" spans="1:10">
      <c r="A538" t="s">
        <v>1887</v>
      </c>
      <c r="B538" s="7">
        <v>45855</v>
      </c>
      <c r="C538" t="s">
        <v>692</v>
      </c>
      <c r="D538" t="s">
        <v>1201</v>
      </c>
      <c r="E538" t="s">
        <v>1298</v>
      </c>
      <c r="F538">
        <f>Table5[[#This Row],[Total_Amount]]/(G538*(1-Table5[[#This Row],[Discount]]))</f>
        <v>4</v>
      </c>
      <c r="G538" s="5">
        <v>839.65</v>
      </c>
      <c r="H538">
        <v>0.26</v>
      </c>
      <c r="I538" t="s">
        <v>1354</v>
      </c>
      <c r="J538" s="5">
        <v>2485.364</v>
      </c>
    </row>
    <row r="539" spans="1:10">
      <c r="A539" t="s">
        <v>1888</v>
      </c>
      <c r="B539" s="7">
        <v>45793</v>
      </c>
      <c r="C539" t="s">
        <v>573</v>
      </c>
      <c r="D539" t="s">
        <v>1217</v>
      </c>
      <c r="E539" t="s">
        <v>1286</v>
      </c>
      <c r="F539">
        <f>Table5[[#This Row],[Total_Amount]]/(G539*(1-Table5[[#This Row],[Discount]]))</f>
        <v>2</v>
      </c>
      <c r="G539" s="5">
        <v>245.52</v>
      </c>
      <c r="H539">
        <v>0.11</v>
      </c>
      <c r="I539" t="s">
        <v>1354</v>
      </c>
      <c r="J539" s="5">
        <v>437.0256</v>
      </c>
    </row>
    <row r="540" spans="1:10">
      <c r="A540" t="s">
        <v>1889</v>
      </c>
      <c r="B540" s="7">
        <v>45881</v>
      </c>
      <c r="C540" t="s">
        <v>839</v>
      </c>
      <c r="D540" t="s">
        <v>1237</v>
      </c>
      <c r="E540" t="s">
        <v>1307</v>
      </c>
      <c r="F540">
        <f>Table5[[#This Row],[Total_Amount]]/(G540*(1-Table5[[#This Row],[Discount]]))</f>
        <v>3.0000000000000004</v>
      </c>
      <c r="G540" s="5">
        <v>787.91</v>
      </c>
      <c r="H540">
        <v>0.06</v>
      </c>
      <c r="I540" t="s">
        <v>1351</v>
      </c>
      <c r="J540" s="5">
        <v>2221.9061999999999</v>
      </c>
    </row>
    <row r="541" spans="1:10">
      <c r="A541" t="s">
        <v>1890</v>
      </c>
      <c r="B541" s="7">
        <v>45890</v>
      </c>
      <c r="C541" t="s">
        <v>150</v>
      </c>
      <c r="D541" t="s">
        <v>1223</v>
      </c>
      <c r="E541" t="s">
        <v>1294</v>
      </c>
      <c r="F541">
        <f>Table5[[#This Row],[Total_Amount]]/(G541*(1-Table5[[#This Row],[Discount]]))</f>
        <v>2</v>
      </c>
      <c r="G541" s="5">
        <v>709.17</v>
      </c>
      <c r="H541">
        <v>0.22</v>
      </c>
      <c r="I541" t="s">
        <v>1349</v>
      </c>
      <c r="J541" s="5">
        <v>1106.3052</v>
      </c>
    </row>
    <row r="542" spans="1:10">
      <c r="A542" t="s">
        <v>1891</v>
      </c>
      <c r="B542" s="7">
        <v>45251</v>
      </c>
      <c r="C542" t="s">
        <v>533</v>
      </c>
      <c r="D542" t="s">
        <v>1255</v>
      </c>
      <c r="E542" t="s">
        <v>1304</v>
      </c>
      <c r="F542">
        <f>Table5[[#This Row],[Total_Amount]]/(G542*(1-Table5[[#This Row],[Discount]]))</f>
        <v>2</v>
      </c>
      <c r="G542" s="5">
        <v>533.91999999999996</v>
      </c>
      <c r="H542">
        <v>0.13</v>
      </c>
      <c r="I542" t="s">
        <v>1349</v>
      </c>
      <c r="J542" s="5">
        <v>929.02079999999989</v>
      </c>
    </row>
    <row r="543" spans="1:10">
      <c r="A543" t="s">
        <v>1892</v>
      </c>
      <c r="B543" s="7">
        <v>45695</v>
      </c>
      <c r="C543" t="s">
        <v>1045</v>
      </c>
      <c r="D543" t="s">
        <v>1157</v>
      </c>
      <c r="E543" t="s">
        <v>1277</v>
      </c>
      <c r="F543">
        <f>Table5[[#This Row],[Total_Amount]]/(G543*(1-Table5[[#This Row],[Discount]]))</f>
        <v>1</v>
      </c>
      <c r="G543" s="5">
        <v>878.84</v>
      </c>
      <c r="H543">
        <v>0.28000000000000003</v>
      </c>
      <c r="I543" t="s">
        <v>1354</v>
      </c>
      <c r="J543" s="5">
        <v>632.76480000000004</v>
      </c>
    </row>
    <row r="544" spans="1:10">
      <c r="A544" t="s">
        <v>1893</v>
      </c>
      <c r="B544" s="7">
        <v>45287</v>
      </c>
      <c r="C544" t="s">
        <v>470</v>
      </c>
      <c r="D544" t="s">
        <v>1161</v>
      </c>
      <c r="E544" t="s">
        <v>1329</v>
      </c>
      <c r="F544">
        <f>Table5[[#This Row],[Total_Amount]]/(G544*(1-Table5[[#This Row],[Discount]]))</f>
        <v>1</v>
      </c>
      <c r="G544" s="5">
        <v>442.36</v>
      </c>
      <c r="H544">
        <v>0.14000000000000001</v>
      </c>
      <c r="I544" t="s">
        <v>1349</v>
      </c>
      <c r="J544" s="5">
        <v>380.42959999999999</v>
      </c>
    </row>
    <row r="545" spans="1:10">
      <c r="A545" t="s">
        <v>1894</v>
      </c>
      <c r="B545" s="7">
        <v>45711</v>
      </c>
      <c r="C545" t="s">
        <v>730</v>
      </c>
      <c r="D545" t="s">
        <v>1143</v>
      </c>
      <c r="E545" t="s">
        <v>1301</v>
      </c>
      <c r="F545">
        <f>Table5[[#This Row],[Total_Amount]]/(G545*(1-Table5[[#This Row],[Discount]]))</f>
        <v>1</v>
      </c>
      <c r="G545" s="5">
        <v>763.34</v>
      </c>
      <c r="H545">
        <v>0.11</v>
      </c>
      <c r="I545" t="s">
        <v>1354</v>
      </c>
      <c r="J545" s="5">
        <v>679.37260000000003</v>
      </c>
    </row>
    <row r="546" spans="1:10">
      <c r="A546" t="s">
        <v>1895</v>
      </c>
      <c r="B546" s="7">
        <v>45842</v>
      </c>
      <c r="C546" t="s">
        <v>393</v>
      </c>
      <c r="D546" t="s">
        <v>1191</v>
      </c>
      <c r="E546" t="s">
        <v>1335</v>
      </c>
      <c r="F546">
        <f>Table5[[#This Row],[Total_Amount]]/(G546*(1-Table5[[#This Row],[Discount]]))</f>
        <v>3</v>
      </c>
      <c r="G546" s="5">
        <v>178.22</v>
      </c>
      <c r="H546">
        <v>0.15</v>
      </c>
      <c r="I546" t="s">
        <v>1354</v>
      </c>
      <c r="J546" s="5">
        <v>454.46100000000001</v>
      </c>
    </row>
    <row r="547" spans="1:10">
      <c r="A547" t="s">
        <v>1896</v>
      </c>
      <c r="B547" s="7">
        <v>45255</v>
      </c>
      <c r="C547" t="s">
        <v>265</v>
      </c>
      <c r="D547" t="s">
        <v>1125</v>
      </c>
      <c r="E547" t="s">
        <v>1282</v>
      </c>
      <c r="F547">
        <f>Table5[[#This Row],[Total_Amount]]/(G547*(1-Table5[[#This Row],[Discount]]))</f>
        <v>4</v>
      </c>
      <c r="G547" s="5">
        <v>90.32</v>
      </c>
      <c r="H547">
        <v>0.08</v>
      </c>
      <c r="I547" t="s">
        <v>1351</v>
      </c>
      <c r="J547" s="5">
        <v>332.37759999999997</v>
      </c>
    </row>
    <row r="548" spans="1:10">
      <c r="A548" t="s">
        <v>1897</v>
      </c>
      <c r="B548" s="7">
        <v>45695</v>
      </c>
      <c r="C548" t="s">
        <v>819</v>
      </c>
      <c r="D548" t="s">
        <v>1093</v>
      </c>
      <c r="E548" t="s">
        <v>1301</v>
      </c>
      <c r="F548">
        <f>Table5[[#This Row],[Total_Amount]]/(G548*(1-Table5[[#This Row],[Discount]]))</f>
        <v>3</v>
      </c>
      <c r="G548" s="5">
        <v>370.93</v>
      </c>
      <c r="H548">
        <v>0</v>
      </c>
      <c r="I548" t="s">
        <v>1349</v>
      </c>
      <c r="J548" s="5">
        <v>1112.79</v>
      </c>
    </row>
    <row r="549" spans="1:10">
      <c r="A549" t="s">
        <v>1898</v>
      </c>
      <c r="B549" s="7">
        <v>45281</v>
      </c>
      <c r="C549" t="s">
        <v>133</v>
      </c>
      <c r="D549" t="s">
        <v>1119</v>
      </c>
      <c r="E549" t="s">
        <v>1326</v>
      </c>
      <c r="F549">
        <f>Table5[[#This Row],[Total_Amount]]/(G549*(1-Table5[[#This Row],[Discount]]))</f>
        <v>1</v>
      </c>
      <c r="G549" s="5">
        <v>352.43</v>
      </c>
      <c r="H549">
        <v>0.14000000000000001</v>
      </c>
      <c r="I549" t="s">
        <v>1351</v>
      </c>
      <c r="J549" s="5">
        <v>303.08980000000003</v>
      </c>
    </row>
    <row r="550" spans="1:10">
      <c r="A550" t="s">
        <v>1899</v>
      </c>
      <c r="B550" s="7">
        <v>45295</v>
      </c>
      <c r="C550" t="s">
        <v>306</v>
      </c>
      <c r="D550" t="s">
        <v>1097</v>
      </c>
      <c r="E550" t="s">
        <v>1326</v>
      </c>
      <c r="F550">
        <f>Table5[[#This Row],[Total_Amount]]/(G550*(1-Table5[[#This Row],[Discount]]))</f>
        <v>2</v>
      </c>
      <c r="G550" s="5">
        <v>562.97</v>
      </c>
      <c r="H550">
        <v>0.2</v>
      </c>
      <c r="I550" t="s">
        <v>1349</v>
      </c>
      <c r="J550" s="5">
        <v>900.75200000000007</v>
      </c>
    </row>
    <row r="551" spans="1:10">
      <c r="A551" t="s">
        <v>1900</v>
      </c>
      <c r="B551" s="7">
        <v>45260</v>
      </c>
      <c r="C551" t="s">
        <v>375</v>
      </c>
      <c r="D551" t="s">
        <v>1183</v>
      </c>
      <c r="E551" t="s">
        <v>1304</v>
      </c>
      <c r="F551">
        <f>Table5[[#This Row],[Total_Amount]]/(G551*(1-Table5[[#This Row],[Discount]]))</f>
        <v>1</v>
      </c>
      <c r="G551" s="5">
        <v>522.85</v>
      </c>
      <c r="H551">
        <v>0.12</v>
      </c>
      <c r="I551" t="s">
        <v>1351</v>
      </c>
      <c r="J551" s="5">
        <v>460.108</v>
      </c>
    </row>
    <row r="552" spans="1:10">
      <c r="A552" t="s">
        <v>1901</v>
      </c>
      <c r="B552" s="7">
        <v>45851</v>
      </c>
      <c r="C552" t="s">
        <v>762</v>
      </c>
      <c r="D552" t="s">
        <v>1115</v>
      </c>
      <c r="E552" t="s">
        <v>1329</v>
      </c>
      <c r="F552">
        <f>Table5[[#This Row],[Total_Amount]]/(G552*(1-Table5[[#This Row],[Discount]]))</f>
        <v>4.0000000000000009</v>
      </c>
      <c r="G552" s="5">
        <v>714.89</v>
      </c>
      <c r="H552">
        <v>0.15</v>
      </c>
      <c r="I552" t="s">
        <v>1349</v>
      </c>
      <c r="J552" s="5">
        <v>2430.6260000000002</v>
      </c>
    </row>
    <row r="553" spans="1:10">
      <c r="A553" t="s">
        <v>1902</v>
      </c>
      <c r="B553" s="7">
        <v>45222</v>
      </c>
      <c r="C553" t="s">
        <v>436</v>
      </c>
      <c r="D553" t="s">
        <v>1159</v>
      </c>
      <c r="E553" t="s">
        <v>1286</v>
      </c>
      <c r="F553">
        <f>Table5[[#This Row],[Total_Amount]]/(G553*(1-Table5[[#This Row],[Discount]]))</f>
        <v>3.0000000000000009</v>
      </c>
      <c r="G553" s="5">
        <v>137.77000000000001</v>
      </c>
      <c r="H553">
        <v>0.26</v>
      </c>
      <c r="I553" t="s">
        <v>1351</v>
      </c>
      <c r="J553" s="5">
        <v>305.84940000000012</v>
      </c>
    </row>
    <row r="554" spans="1:10">
      <c r="A554" t="s">
        <v>1903</v>
      </c>
      <c r="B554" s="7">
        <v>45940</v>
      </c>
      <c r="C554" t="s">
        <v>87</v>
      </c>
      <c r="D554" t="s">
        <v>1257</v>
      </c>
      <c r="E554" t="s">
        <v>1317</v>
      </c>
      <c r="F554">
        <f>Table5[[#This Row],[Total_Amount]]/(G554*(1-Table5[[#This Row],[Discount]]))</f>
        <v>3</v>
      </c>
      <c r="G554" s="5">
        <v>862.18</v>
      </c>
      <c r="H554">
        <v>0.22</v>
      </c>
      <c r="I554" t="s">
        <v>1351</v>
      </c>
      <c r="J554" s="5">
        <v>2017.5011999999999</v>
      </c>
    </row>
    <row r="555" spans="1:10">
      <c r="A555" t="s">
        <v>1904</v>
      </c>
      <c r="B555" s="7">
        <v>45822</v>
      </c>
      <c r="C555" t="s">
        <v>159</v>
      </c>
      <c r="D555" t="s">
        <v>1149</v>
      </c>
      <c r="E555" t="s">
        <v>1324</v>
      </c>
      <c r="F555">
        <f>Table5[[#This Row],[Total_Amount]]/(G555*(1-Table5[[#This Row],[Discount]]))</f>
        <v>2</v>
      </c>
      <c r="G555" s="5">
        <v>833.64</v>
      </c>
      <c r="H555">
        <v>0.24</v>
      </c>
      <c r="I555" t="s">
        <v>1351</v>
      </c>
      <c r="J555" s="5">
        <v>1267.1328000000001</v>
      </c>
    </row>
    <row r="556" spans="1:10">
      <c r="A556" t="s">
        <v>1905</v>
      </c>
      <c r="B556" s="7">
        <v>45752</v>
      </c>
      <c r="C556" t="s">
        <v>604</v>
      </c>
      <c r="D556" t="s">
        <v>1111</v>
      </c>
      <c r="E556" t="s">
        <v>1326</v>
      </c>
      <c r="F556">
        <f>Table5[[#This Row],[Total_Amount]]/(G556*(1-Table5[[#This Row],[Discount]]))</f>
        <v>3</v>
      </c>
      <c r="G556" s="5">
        <v>543.22</v>
      </c>
      <c r="H556">
        <v>0.05</v>
      </c>
      <c r="I556" t="s">
        <v>1354</v>
      </c>
      <c r="J556" s="5">
        <v>1548.1769999999999</v>
      </c>
    </row>
    <row r="557" spans="1:10">
      <c r="A557" t="s">
        <v>1906</v>
      </c>
      <c r="B557" s="7">
        <v>45677</v>
      </c>
      <c r="C557" t="s">
        <v>620</v>
      </c>
      <c r="D557" t="s">
        <v>1249</v>
      </c>
      <c r="E557" t="s">
        <v>1286</v>
      </c>
      <c r="F557">
        <f>Table5[[#This Row],[Total_Amount]]/(G557*(1-Table5[[#This Row],[Discount]]))</f>
        <v>3</v>
      </c>
      <c r="G557" s="5">
        <v>691.02</v>
      </c>
      <c r="H557">
        <v>0.12</v>
      </c>
      <c r="I557" t="s">
        <v>1354</v>
      </c>
      <c r="J557" s="5">
        <v>1824.2927999999999</v>
      </c>
    </row>
    <row r="558" spans="1:10">
      <c r="A558" t="s">
        <v>1907</v>
      </c>
      <c r="B558" s="7">
        <v>45253</v>
      </c>
      <c r="C558" t="s">
        <v>229</v>
      </c>
      <c r="D558" t="s">
        <v>1245</v>
      </c>
      <c r="E558" t="s">
        <v>1332</v>
      </c>
      <c r="F558">
        <f>Table5[[#This Row],[Total_Amount]]/(G558*(1-Table5[[#This Row],[Discount]]))</f>
        <v>3.9999999999999991</v>
      </c>
      <c r="G558" s="5">
        <v>338.73</v>
      </c>
      <c r="H558">
        <v>0.18</v>
      </c>
      <c r="I558" t="s">
        <v>1349</v>
      </c>
      <c r="J558" s="5">
        <v>1111.0344</v>
      </c>
    </row>
    <row r="559" spans="1:10">
      <c r="A559" t="s">
        <v>1908</v>
      </c>
      <c r="B559" s="7">
        <v>45389</v>
      </c>
      <c r="C559" t="s">
        <v>170</v>
      </c>
      <c r="D559" t="s">
        <v>1241</v>
      </c>
      <c r="E559" t="s">
        <v>1329</v>
      </c>
      <c r="F559">
        <f>Table5[[#This Row],[Total_Amount]]/(G559*(1-Table5[[#This Row],[Discount]]))</f>
        <v>3.0000000000000004</v>
      </c>
      <c r="G559" s="5">
        <v>366.08</v>
      </c>
      <c r="H559">
        <v>0.05</v>
      </c>
      <c r="I559" t="s">
        <v>1349</v>
      </c>
      <c r="J559" s="5">
        <v>1043.328</v>
      </c>
    </row>
    <row r="560" spans="1:10">
      <c r="A560" t="s">
        <v>1909</v>
      </c>
      <c r="B560" s="7">
        <v>45840</v>
      </c>
      <c r="C560" t="s">
        <v>269</v>
      </c>
      <c r="D560" t="s">
        <v>1099</v>
      </c>
      <c r="E560" t="s">
        <v>1322</v>
      </c>
      <c r="F560">
        <f>Table5[[#This Row],[Total_Amount]]/(G560*(1-Table5[[#This Row],[Discount]]))</f>
        <v>4</v>
      </c>
      <c r="G560" s="5">
        <v>539.48</v>
      </c>
      <c r="H560">
        <v>0.28000000000000003</v>
      </c>
      <c r="I560" t="s">
        <v>1354</v>
      </c>
      <c r="J560" s="5">
        <v>1553.7023999999999</v>
      </c>
    </row>
    <row r="561" spans="1:10">
      <c r="A561" t="s">
        <v>1910</v>
      </c>
      <c r="B561" s="7">
        <v>45256</v>
      </c>
      <c r="C561" t="s">
        <v>841</v>
      </c>
      <c r="D561" t="s">
        <v>1255</v>
      </c>
      <c r="E561" t="s">
        <v>1329</v>
      </c>
      <c r="F561">
        <f>Table5[[#This Row],[Total_Amount]]/(G561*(1-Table5[[#This Row],[Discount]]))</f>
        <v>1.0000000000000002</v>
      </c>
      <c r="G561" s="5">
        <v>499.59</v>
      </c>
      <c r="H561">
        <v>0.03</v>
      </c>
      <c r="I561" t="s">
        <v>1354</v>
      </c>
      <c r="J561" s="5">
        <v>484.60230000000001</v>
      </c>
    </row>
    <row r="562" spans="1:10">
      <c r="A562" t="s">
        <v>1911</v>
      </c>
      <c r="B562" s="7">
        <v>45326</v>
      </c>
      <c r="C562" t="s">
        <v>438</v>
      </c>
      <c r="D562" t="s">
        <v>1133</v>
      </c>
      <c r="E562" t="s">
        <v>1307</v>
      </c>
      <c r="F562">
        <f>Table5[[#This Row],[Total_Amount]]/(G562*(1-Table5[[#This Row],[Discount]]))</f>
        <v>3</v>
      </c>
      <c r="G562" s="5">
        <v>330.04</v>
      </c>
      <c r="H562">
        <v>0.2</v>
      </c>
      <c r="I562" t="s">
        <v>1349</v>
      </c>
      <c r="J562" s="5">
        <v>792.09600000000012</v>
      </c>
    </row>
    <row r="563" spans="1:10">
      <c r="A563" t="s">
        <v>1912</v>
      </c>
      <c r="B563" s="7">
        <v>45459</v>
      </c>
      <c r="C563" t="s">
        <v>426</v>
      </c>
      <c r="D563" t="s">
        <v>1095</v>
      </c>
      <c r="E563" t="s">
        <v>1332</v>
      </c>
      <c r="F563">
        <f>Table5[[#This Row],[Total_Amount]]/(G563*(1-Table5[[#This Row],[Discount]]))</f>
        <v>2.0000000000000004</v>
      </c>
      <c r="G563" s="5">
        <v>813.01</v>
      </c>
      <c r="H563">
        <v>0.06</v>
      </c>
      <c r="I563" t="s">
        <v>1351</v>
      </c>
      <c r="J563" s="5">
        <v>1528.4588000000001</v>
      </c>
    </row>
    <row r="564" spans="1:10">
      <c r="A564" t="s">
        <v>1913</v>
      </c>
      <c r="B564" s="7">
        <v>45715</v>
      </c>
      <c r="C564" t="s">
        <v>84</v>
      </c>
      <c r="D564" t="s">
        <v>1071</v>
      </c>
      <c r="E564" t="s">
        <v>1286</v>
      </c>
      <c r="F564">
        <f>Table5[[#This Row],[Total_Amount]]/(G564*(1-Table5[[#This Row],[Discount]]))</f>
        <v>4</v>
      </c>
      <c r="G564" s="5">
        <v>204.8</v>
      </c>
      <c r="H564">
        <v>0.03</v>
      </c>
      <c r="I564" t="s">
        <v>1351</v>
      </c>
      <c r="J564" s="5">
        <v>794.62400000000002</v>
      </c>
    </row>
    <row r="565" spans="1:10">
      <c r="A565" t="s">
        <v>1914</v>
      </c>
      <c r="B565" s="7">
        <v>45223</v>
      </c>
      <c r="C565" t="s">
        <v>44</v>
      </c>
      <c r="D565" t="s">
        <v>1076</v>
      </c>
      <c r="E565" t="s">
        <v>1291</v>
      </c>
      <c r="F565">
        <f>Table5[[#This Row],[Total_Amount]]/(G565*(1-Table5[[#This Row],[Discount]]))</f>
        <v>2.9999999999999996</v>
      </c>
      <c r="G565" s="5">
        <v>728.32</v>
      </c>
      <c r="H565">
        <v>0.01</v>
      </c>
      <c r="I565" t="s">
        <v>1349</v>
      </c>
      <c r="J565" s="5">
        <v>2163.1104</v>
      </c>
    </row>
    <row r="566" spans="1:10">
      <c r="A566" t="s">
        <v>1915</v>
      </c>
      <c r="B566" s="7">
        <v>45507</v>
      </c>
      <c r="C566" t="s">
        <v>967</v>
      </c>
      <c r="D566" t="s">
        <v>1191</v>
      </c>
      <c r="E566" t="s">
        <v>1304</v>
      </c>
      <c r="F566">
        <f>Table5[[#This Row],[Total_Amount]]/(G566*(1-Table5[[#This Row],[Discount]]))</f>
        <v>3</v>
      </c>
      <c r="G566" s="5">
        <v>836.4</v>
      </c>
      <c r="H566">
        <v>0</v>
      </c>
      <c r="I566" t="s">
        <v>1349</v>
      </c>
      <c r="J566" s="5">
        <v>2509.1999999999998</v>
      </c>
    </row>
    <row r="567" spans="1:10">
      <c r="A567" t="s">
        <v>1916</v>
      </c>
      <c r="B567" s="7">
        <v>45843</v>
      </c>
      <c r="C567" t="s">
        <v>359</v>
      </c>
      <c r="D567" t="s">
        <v>1253</v>
      </c>
      <c r="E567" t="s">
        <v>1319</v>
      </c>
      <c r="F567">
        <f>Table5[[#This Row],[Total_Amount]]/(G567*(1-Table5[[#This Row],[Discount]]))</f>
        <v>1</v>
      </c>
      <c r="G567" s="5">
        <v>780.16</v>
      </c>
      <c r="H567">
        <v>0.02</v>
      </c>
      <c r="I567" t="s">
        <v>1354</v>
      </c>
      <c r="J567" s="5">
        <v>764.55679999999995</v>
      </c>
    </row>
    <row r="568" spans="1:10">
      <c r="A568" t="s">
        <v>1917</v>
      </c>
      <c r="B568" s="7">
        <v>45804</v>
      </c>
      <c r="C568" t="s">
        <v>1002</v>
      </c>
      <c r="D568" t="s">
        <v>1165</v>
      </c>
      <c r="E568" t="s">
        <v>1322</v>
      </c>
      <c r="F568">
        <f>Table5[[#This Row],[Total_Amount]]/(G568*(1-Table5[[#This Row],[Discount]]))</f>
        <v>4</v>
      </c>
      <c r="G568" s="5">
        <v>354.12</v>
      </c>
      <c r="H568">
        <v>0.06</v>
      </c>
      <c r="I568" t="s">
        <v>1351</v>
      </c>
      <c r="J568" s="5">
        <v>1331.4911999999999</v>
      </c>
    </row>
    <row r="569" spans="1:10">
      <c r="A569" t="s">
        <v>1918</v>
      </c>
      <c r="B569" s="7">
        <v>45602</v>
      </c>
      <c r="C569" t="s">
        <v>967</v>
      </c>
      <c r="D569" t="s">
        <v>1199</v>
      </c>
      <c r="E569" t="s">
        <v>1286</v>
      </c>
      <c r="F569">
        <f>Table5[[#This Row],[Total_Amount]]/(G569*(1-Table5[[#This Row],[Discount]]))</f>
        <v>3.9999999999999996</v>
      </c>
      <c r="G569" s="5">
        <v>282.48</v>
      </c>
      <c r="H569">
        <v>0.11</v>
      </c>
      <c r="I569" t="s">
        <v>1351</v>
      </c>
      <c r="J569" s="5">
        <v>1005.6288</v>
      </c>
    </row>
    <row r="570" spans="1:10">
      <c r="A570" t="s">
        <v>1919</v>
      </c>
      <c r="B570" s="7">
        <v>45446</v>
      </c>
      <c r="C570" t="s">
        <v>720</v>
      </c>
      <c r="D570" t="s">
        <v>1113</v>
      </c>
      <c r="E570" t="s">
        <v>1301</v>
      </c>
      <c r="F570">
        <f>Table5[[#This Row],[Total_Amount]]/(G570*(1-Table5[[#This Row],[Discount]]))</f>
        <v>2.0000000000000004</v>
      </c>
      <c r="G570" s="5">
        <v>740.68</v>
      </c>
      <c r="H570">
        <v>0.02</v>
      </c>
      <c r="I570" t="s">
        <v>1351</v>
      </c>
      <c r="J570" s="5">
        <v>1451.7328</v>
      </c>
    </row>
    <row r="571" spans="1:10">
      <c r="A571" t="s">
        <v>1920</v>
      </c>
      <c r="B571" s="7">
        <v>45384</v>
      </c>
      <c r="C571" t="s">
        <v>269</v>
      </c>
      <c r="D571" t="s">
        <v>1185</v>
      </c>
      <c r="E571" t="s">
        <v>1311</v>
      </c>
      <c r="F571">
        <f>Table5[[#This Row],[Total_Amount]]/(G571*(1-Table5[[#This Row],[Discount]]))</f>
        <v>3</v>
      </c>
      <c r="G571" s="5">
        <v>600.58000000000004</v>
      </c>
      <c r="H571">
        <v>0.28999999999999998</v>
      </c>
      <c r="I571" t="s">
        <v>1354</v>
      </c>
      <c r="J571" s="5">
        <v>1279.2354</v>
      </c>
    </row>
    <row r="572" spans="1:10">
      <c r="A572" t="s">
        <v>1921</v>
      </c>
      <c r="B572" s="7">
        <v>45348</v>
      </c>
      <c r="C572" t="s">
        <v>984</v>
      </c>
      <c r="D572" t="s">
        <v>1203</v>
      </c>
      <c r="E572" t="s">
        <v>1291</v>
      </c>
      <c r="F572">
        <f>Table5[[#This Row],[Total_Amount]]/(G572*(1-Table5[[#This Row],[Discount]]))</f>
        <v>3</v>
      </c>
      <c r="G572" s="5">
        <v>345.58</v>
      </c>
      <c r="H572">
        <v>0.22</v>
      </c>
      <c r="I572" t="s">
        <v>1349</v>
      </c>
      <c r="J572" s="5">
        <v>808.65719999999999</v>
      </c>
    </row>
    <row r="573" spans="1:10">
      <c r="A573" t="s">
        <v>1922</v>
      </c>
      <c r="B573" s="7">
        <v>45688</v>
      </c>
      <c r="C573" t="s">
        <v>632</v>
      </c>
      <c r="D573" t="s">
        <v>1109</v>
      </c>
      <c r="E573" t="s">
        <v>1317</v>
      </c>
      <c r="F573">
        <f>Table5[[#This Row],[Total_Amount]]/(G573*(1-Table5[[#This Row],[Discount]]))</f>
        <v>1</v>
      </c>
      <c r="G573" s="5">
        <v>974.52</v>
      </c>
      <c r="H573">
        <v>0.01</v>
      </c>
      <c r="I573" t="s">
        <v>1351</v>
      </c>
      <c r="J573" s="5">
        <v>964.77480000000003</v>
      </c>
    </row>
    <row r="574" spans="1:10">
      <c r="A574" t="s">
        <v>1923</v>
      </c>
      <c r="B574" s="7">
        <v>45249</v>
      </c>
      <c r="C574" t="s">
        <v>118</v>
      </c>
      <c r="D574" t="s">
        <v>1107</v>
      </c>
      <c r="E574" t="s">
        <v>1282</v>
      </c>
      <c r="F574">
        <f>Table5[[#This Row],[Total_Amount]]/(G574*(1-Table5[[#This Row],[Discount]]))</f>
        <v>3</v>
      </c>
      <c r="G574" s="5">
        <v>282.33</v>
      </c>
      <c r="H574">
        <v>7.0000000000000007E-2</v>
      </c>
      <c r="I574" t="s">
        <v>1349</v>
      </c>
      <c r="J574" s="5">
        <v>787.70069999999998</v>
      </c>
    </row>
    <row r="575" spans="1:10">
      <c r="A575" t="s">
        <v>1924</v>
      </c>
      <c r="B575" s="7">
        <v>45726</v>
      </c>
      <c r="C575" t="s">
        <v>827</v>
      </c>
      <c r="D575" t="s">
        <v>1225</v>
      </c>
      <c r="E575" t="s">
        <v>1338</v>
      </c>
      <c r="F575">
        <f>Table5[[#This Row],[Total_Amount]]/(G575*(1-Table5[[#This Row],[Discount]]))</f>
        <v>4</v>
      </c>
      <c r="G575" s="5">
        <v>158.46</v>
      </c>
      <c r="H575">
        <v>0.09</v>
      </c>
      <c r="I575" t="s">
        <v>1351</v>
      </c>
      <c r="J575" s="5">
        <v>576.7944</v>
      </c>
    </row>
    <row r="576" spans="1:10">
      <c r="A576" t="s">
        <v>1925</v>
      </c>
      <c r="B576" s="7">
        <v>45283</v>
      </c>
      <c r="C576" t="s">
        <v>750</v>
      </c>
      <c r="D576" t="s">
        <v>1183</v>
      </c>
      <c r="E576" t="s">
        <v>1304</v>
      </c>
      <c r="F576">
        <f>Table5[[#This Row],[Total_Amount]]/(G576*(1-Table5[[#This Row],[Discount]]))</f>
        <v>2.0000000000000004</v>
      </c>
      <c r="G576" s="5">
        <v>778.56</v>
      </c>
      <c r="H576">
        <v>0.11</v>
      </c>
      <c r="I576" t="s">
        <v>1354</v>
      </c>
      <c r="J576" s="5">
        <v>1385.8368</v>
      </c>
    </row>
    <row r="577" spans="1:10">
      <c r="A577" t="s">
        <v>1926</v>
      </c>
      <c r="B577" s="7">
        <v>45353</v>
      </c>
      <c r="C577" t="s">
        <v>537</v>
      </c>
      <c r="D577" t="s">
        <v>1173</v>
      </c>
      <c r="E577" t="s">
        <v>1338</v>
      </c>
      <c r="F577">
        <f>Table5[[#This Row],[Total_Amount]]/(G577*(1-Table5[[#This Row],[Discount]]))</f>
        <v>4</v>
      </c>
      <c r="G577" s="5">
        <v>280.16000000000003</v>
      </c>
      <c r="H577">
        <v>0.18</v>
      </c>
      <c r="I577" t="s">
        <v>1354</v>
      </c>
      <c r="J577" s="5">
        <v>918.92480000000012</v>
      </c>
    </row>
    <row r="578" spans="1:10">
      <c r="A578" t="s">
        <v>1927</v>
      </c>
      <c r="B578" s="7">
        <v>45592</v>
      </c>
      <c r="C578" t="s">
        <v>638</v>
      </c>
      <c r="D578" t="s">
        <v>1215</v>
      </c>
      <c r="E578" t="s">
        <v>1322</v>
      </c>
      <c r="F578">
        <f>Table5[[#This Row],[Total_Amount]]/(G578*(1-Table5[[#This Row],[Discount]]))</f>
        <v>2</v>
      </c>
      <c r="G578" s="5">
        <v>649.54999999999995</v>
      </c>
      <c r="H578">
        <v>0.28999999999999998</v>
      </c>
      <c r="I578" t="s">
        <v>1351</v>
      </c>
      <c r="J578" s="5">
        <v>922.36099999999988</v>
      </c>
    </row>
    <row r="579" spans="1:10">
      <c r="A579" t="s">
        <v>1928</v>
      </c>
      <c r="B579" s="7">
        <v>45360</v>
      </c>
      <c r="C579" t="s">
        <v>33</v>
      </c>
      <c r="D579" t="s">
        <v>1249</v>
      </c>
      <c r="E579" t="s">
        <v>1286</v>
      </c>
      <c r="F579">
        <f>Table5[[#This Row],[Total_Amount]]/(G579*(1-Table5[[#This Row],[Discount]]))</f>
        <v>2</v>
      </c>
      <c r="G579" s="5">
        <v>994.32</v>
      </c>
      <c r="H579">
        <v>0.27</v>
      </c>
      <c r="I579" t="s">
        <v>1351</v>
      </c>
      <c r="J579" s="5">
        <v>1451.7072000000001</v>
      </c>
    </row>
    <row r="580" spans="1:10">
      <c r="A580" t="s">
        <v>1929</v>
      </c>
      <c r="B580" s="7">
        <v>45649</v>
      </c>
      <c r="C580" t="s">
        <v>509</v>
      </c>
      <c r="D580" t="s">
        <v>1235</v>
      </c>
      <c r="E580" t="s">
        <v>1319</v>
      </c>
      <c r="F580">
        <f>Table5[[#This Row],[Total_Amount]]/(G580*(1-Table5[[#This Row],[Discount]]))</f>
        <v>1</v>
      </c>
      <c r="G580" s="5">
        <v>64.94</v>
      </c>
      <c r="H580">
        <v>0.21</v>
      </c>
      <c r="I580" t="s">
        <v>1351</v>
      </c>
      <c r="J580" s="5">
        <v>51.302599999999998</v>
      </c>
    </row>
    <row r="581" spans="1:10">
      <c r="A581" t="s">
        <v>1930</v>
      </c>
      <c r="B581" s="7">
        <v>45709</v>
      </c>
      <c r="C581" t="s">
        <v>333</v>
      </c>
      <c r="D581" t="s">
        <v>1151</v>
      </c>
      <c r="E581" t="s">
        <v>1304</v>
      </c>
      <c r="F581">
        <f>Table5[[#This Row],[Total_Amount]]/(G581*(1-Table5[[#This Row],[Discount]]))</f>
        <v>2</v>
      </c>
      <c r="G581" s="5">
        <v>507.66</v>
      </c>
      <c r="H581">
        <v>0</v>
      </c>
      <c r="I581" t="s">
        <v>1354</v>
      </c>
      <c r="J581" s="5">
        <v>1015.32</v>
      </c>
    </row>
    <row r="582" spans="1:10">
      <c r="A582" t="s">
        <v>1931</v>
      </c>
      <c r="B582" s="7">
        <v>45273</v>
      </c>
      <c r="C582" t="s">
        <v>547</v>
      </c>
      <c r="D582" t="s">
        <v>1235</v>
      </c>
      <c r="E582" t="s">
        <v>1294</v>
      </c>
      <c r="F582">
        <f>Table5[[#This Row],[Total_Amount]]/(G582*(1-Table5[[#This Row],[Discount]]))</f>
        <v>4</v>
      </c>
      <c r="G582" s="5">
        <v>968.27</v>
      </c>
      <c r="H582">
        <v>0.03</v>
      </c>
      <c r="I582" t="s">
        <v>1351</v>
      </c>
      <c r="J582" s="5">
        <v>3756.8876</v>
      </c>
    </row>
    <row r="583" spans="1:10">
      <c r="A583" t="s">
        <v>1932</v>
      </c>
      <c r="B583" s="7">
        <v>45250</v>
      </c>
      <c r="C583" t="s">
        <v>61</v>
      </c>
      <c r="D583" t="s">
        <v>1249</v>
      </c>
      <c r="E583" t="s">
        <v>1298</v>
      </c>
      <c r="F583">
        <f>Table5[[#This Row],[Total_Amount]]/(G583*(1-Table5[[#This Row],[Discount]]))</f>
        <v>4</v>
      </c>
      <c r="G583" s="5">
        <v>510.33</v>
      </c>
      <c r="H583">
        <v>0.2</v>
      </c>
      <c r="I583" t="s">
        <v>1351</v>
      </c>
      <c r="J583" s="5">
        <v>1633.056</v>
      </c>
    </row>
    <row r="584" spans="1:10">
      <c r="A584" t="s">
        <v>1933</v>
      </c>
      <c r="B584" s="7">
        <v>45539</v>
      </c>
      <c r="C584" t="s">
        <v>44</v>
      </c>
      <c r="D584" t="s">
        <v>1161</v>
      </c>
      <c r="E584" t="s">
        <v>1338</v>
      </c>
      <c r="F584">
        <f>Table5[[#This Row],[Total_Amount]]/(G584*(1-Table5[[#This Row],[Discount]]))</f>
        <v>2</v>
      </c>
      <c r="G584" s="5">
        <v>156.72999999999999</v>
      </c>
      <c r="H584">
        <v>0.18</v>
      </c>
      <c r="I584" t="s">
        <v>1354</v>
      </c>
      <c r="J584" s="5">
        <v>257.03719999999998</v>
      </c>
    </row>
    <row r="585" spans="1:10">
      <c r="A585" t="s">
        <v>1934</v>
      </c>
      <c r="B585" s="7">
        <v>45810</v>
      </c>
      <c r="C585" t="s">
        <v>345</v>
      </c>
      <c r="D585" t="s">
        <v>1271</v>
      </c>
      <c r="E585" t="s">
        <v>1314</v>
      </c>
      <c r="F585">
        <f>Table5[[#This Row],[Total_Amount]]/(G585*(1-Table5[[#This Row],[Discount]]))</f>
        <v>3</v>
      </c>
      <c r="G585" s="5">
        <v>53.83</v>
      </c>
      <c r="H585">
        <v>0.24</v>
      </c>
      <c r="I585" t="s">
        <v>1349</v>
      </c>
      <c r="J585" s="5">
        <v>122.7324</v>
      </c>
    </row>
    <row r="586" spans="1:10">
      <c r="A586" t="s">
        <v>1935</v>
      </c>
      <c r="B586" s="7">
        <v>45350</v>
      </c>
      <c r="C586" t="s">
        <v>817</v>
      </c>
      <c r="D586" t="s">
        <v>1229</v>
      </c>
      <c r="E586" t="s">
        <v>1294</v>
      </c>
      <c r="F586">
        <f>Table5[[#This Row],[Total_Amount]]/(G586*(1-Table5[[#This Row],[Discount]]))</f>
        <v>1</v>
      </c>
      <c r="G586" s="5">
        <v>34.71</v>
      </c>
      <c r="H586">
        <v>0.1</v>
      </c>
      <c r="I586" t="s">
        <v>1354</v>
      </c>
      <c r="J586" s="5">
        <v>31.239000000000001</v>
      </c>
    </row>
    <row r="587" spans="1:10">
      <c r="A587" t="s">
        <v>1936</v>
      </c>
      <c r="B587" s="7">
        <v>45633</v>
      </c>
      <c r="C587" t="s">
        <v>521</v>
      </c>
      <c r="D587" t="s">
        <v>1227</v>
      </c>
      <c r="E587" t="s">
        <v>1282</v>
      </c>
      <c r="F587">
        <f>Table5[[#This Row],[Total_Amount]]/(G587*(1-Table5[[#This Row],[Discount]]))</f>
        <v>2</v>
      </c>
      <c r="G587" s="5">
        <v>829.15</v>
      </c>
      <c r="H587">
        <v>0.11</v>
      </c>
      <c r="I587" t="s">
        <v>1351</v>
      </c>
      <c r="J587" s="5">
        <v>1475.8869999999999</v>
      </c>
    </row>
    <row r="588" spans="1:10">
      <c r="A588" t="s">
        <v>1937</v>
      </c>
      <c r="B588" s="7">
        <v>45798</v>
      </c>
      <c r="C588" t="s">
        <v>591</v>
      </c>
      <c r="D588" t="s">
        <v>1269</v>
      </c>
      <c r="E588" t="s">
        <v>1291</v>
      </c>
      <c r="F588">
        <f>Table5[[#This Row],[Total_Amount]]/(G588*(1-Table5[[#This Row],[Discount]]))</f>
        <v>2</v>
      </c>
      <c r="G588" s="5">
        <v>481.86</v>
      </c>
      <c r="H588">
        <v>0.1</v>
      </c>
      <c r="I588" t="s">
        <v>1354</v>
      </c>
      <c r="J588" s="5">
        <v>867.34800000000007</v>
      </c>
    </row>
    <row r="589" spans="1:10">
      <c r="A589" t="s">
        <v>1938</v>
      </c>
      <c r="B589" s="7">
        <v>45354</v>
      </c>
      <c r="C589" t="s">
        <v>355</v>
      </c>
      <c r="D589" t="s">
        <v>1177</v>
      </c>
      <c r="E589" t="s">
        <v>1304</v>
      </c>
      <c r="F589">
        <f>Table5[[#This Row],[Total_Amount]]/(G589*(1-Table5[[#This Row],[Discount]]))</f>
        <v>4</v>
      </c>
      <c r="G589" s="5">
        <v>915.17</v>
      </c>
      <c r="H589">
        <v>0.19</v>
      </c>
      <c r="I589" t="s">
        <v>1354</v>
      </c>
      <c r="J589" s="5">
        <v>2965.1507999999999</v>
      </c>
    </row>
    <row r="590" spans="1:10">
      <c r="A590" t="s">
        <v>1939</v>
      </c>
      <c r="B590" s="7">
        <v>45357</v>
      </c>
      <c r="C590" t="s">
        <v>490</v>
      </c>
      <c r="D590" t="s">
        <v>1215</v>
      </c>
      <c r="E590" t="s">
        <v>1335</v>
      </c>
      <c r="F590">
        <f>Table5[[#This Row],[Total_Amount]]/(G590*(1-Table5[[#This Row],[Discount]]))</f>
        <v>1.0000000000000002</v>
      </c>
      <c r="G590" s="5">
        <v>250.95</v>
      </c>
      <c r="H590">
        <v>0.03</v>
      </c>
      <c r="I590" t="s">
        <v>1351</v>
      </c>
      <c r="J590" s="5">
        <v>243.42150000000001</v>
      </c>
    </row>
    <row r="591" spans="1:10">
      <c r="A591" t="s">
        <v>1940</v>
      </c>
      <c r="B591" s="7">
        <v>45257</v>
      </c>
      <c r="C591" t="s">
        <v>714</v>
      </c>
      <c r="D591" t="s">
        <v>1265</v>
      </c>
      <c r="E591" t="s">
        <v>1298</v>
      </c>
      <c r="F591">
        <f>Table5[[#This Row],[Total_Amount]]/(G591*(1-Table5[[#This Row],[Discount]]))</f>
        <v>3</v>
      </c>
      <c r="G591" s="5">
        <v>882.84</v>
      </c>
      <c r="H591">
        <v>0.1</v>
      </c>
      <c r="I591" t="s">
        <v>1349</v>
      </c>
      <c r="J591" s="5">
        <v>2383.6680000000001</v>
      </c>
    </row>
    <row r="592" spans="1:10">
      <c r="A592" t="s">
        <v>1941</v>
      </c>
      <c r="B592" s="7">
        <v>45702</v>
      </c>
      <c r="C592" t="s">
        <v>337</v>
      </c>
      <c r="D592" t="s">
        <v>1111</v>
      </c>
      <c r="E592" t="s">
        <v>1335</v>
      </c>
      <c r="F592">
        <f>Table5[[#This Row],[Total_Amount]]/(G592*(1-Table5[[#This Row],[Discount]]))</f>
        <v>4</v>
      </c>
      <c r="G592" s="5">
        <v>573.37</v>
      </c>
      <c r="H592">
        <v>0.04</v>
      </c>
      <c r="I592" t="s">
        <v>1354</v>
      </c>
      <c r="J592" s="5">
        <v>2201.7408</v>
      </c>
    </row>
    <row r="593" spans="1:10">
      <c r="A593" t="s">
        <v>1942</v>
      </c>
      <c r="B593" s="7">
        <v>45318</v>
      </c>
      <c r="C593" t="s">
        <v>162</v>
      </c>
      <c r="D593" t="s">
        <v>1137</v>
      </c>
      <c r="E593" t="s">
        <v>1319</v>
      </c>
      <c r="F593">
        <f>Table5[[#This Row],[Total_Amount]]/(G593*(1-Table5[[#This Row],[Discount]]))</f>
        <v>3</v>
      </c>
      <c r="G593" s="5">
        <v>622.72</v>
      </c>
      <c r="H593">
        <v>0.04</v>
      </c>
      <c r="I593" t="s">
        <v>1349</v>
      </c>
      <c r="J593" s="5">
        <v>1793.4336000000001</v>
      </c>
    </row>
    <row r="594" spans="1:10">
      <c r="A594" t="s">
        <v>1943</v>
      </c>
      <c r="B594" s="7">
        <v>45943</v>
      </c>
      <c r="C594" t="s">
        <v>839</v>
      </c>
      <c r="D594" t="s">
        <v>1257</v>
      </c>
      <c r="E594" t="s">
        <v>1332</v>
      </c>
      <c r="F594">
        <f>Table5[[#This Row],[Total_Amount]]/(G594*(1-Table5[[#This Row],[Discount]]))</f>
        <v>3.0000000000000004</v>
      </c>
      <c r="G594" s="5">
        <v>259.74</v>
      </c>
      <c r="H594">
        <v>0.24</v>
      </c>
      <c r="I594" t="s">
        <v>1349</v>
      </c>
      <c r="J594" s="5">
        <v>592.20720000000006</v>
      </c>
    </row>
    <row r="595" spans="1:10">
      <c r="A595" t="s">
        <v>1944</v>
      </c>
      <c r="B595" s="7">
        <v>45769</v>
      </c>
      <c r="C595" t="s">
        <v>152</v>
      </c>
      <c r="D595" t="s">
        <v>1129</v>
      </c>
      <c r="E595" t="s">
        <v>1322</v>
      </c>
      <c r="F595">
        <f>Table5[[#This Row],[Total_Amount]]/(G595*(1-Table5[[#This Row],[Discount]]))</f>
        <v>4</v>
      </c>
      <c r="G595" s="5">
        <v>951.09</v>
      </c>
      <c r="H595">
        <v>0.14000000000000001</v>
      </c>
      <c r="I595" t="s">
        <v>1354</v>
      </c>
      <c r="J595" s="5">
        <v>3271.7496000000001</v>
      </c>
    </row>
    <row r="596" spans="1:10">
      <c r="A596" t="s">
        <v>1945</v>
      </c>
      <c r="B596" s="7">
        <v>45765</v>
      </c>
      <c r="C596" t="s">
        <v>460</v>
      </c>
      <c r="D596" t="s">
        <v>1271</v>
      </c>
      <c r="E596" t="s">
        <v>1286</v>
      </c>
      <c r="F596">
        <f>Table5[[#This Row],[Total_Amount]]/(G596*(1-Table5[[#This Row],[Discount]]))</f>
        <v>1.0000000000000002</v>
      </c>
      <c r="G596" s="5">
        <v>71.709999999999994</v>
      </c>
      <c r="H596">
        <v>0.23</v>
      </c>
      <c r="I596" t="s">
        <v>1354</v>
      </c>
      <c r="J596" s="5">
        <v>55.216700000000003</v>
      </c>
    </row>
    <row r="597" spans="1:10">
      <c r="A597" t="s">
        <v>1946</v>
      </c>
      <c r="B597" s="7">
        <v>45891</v>
      </c>
      <c r="C597" t="s">
        <v>407</v>
      </c>
      <c r="D597" t="s">
        <v>1113</v>
      </c>
      <c r="E597" t="s">
        <v>1304</v>
      </c>
      <c r="F597">
        <f>Table5[[#This Row],[Total_Amount]]/(G597*(1-Table5[[#This Row],[Discount]]))</f>
        <v>3.9999999999999996</v>
      </c>
      <c r="G597" s="5">
        <v>894.93</v>
      </c>
      <c r="H597">
        <v>0.05</v>
      </c>
      <c r="I597" t="s">
        <v>1354</v>
      </c>
      <c r="J597" s="5">
        <v>3400.733999999999</v>
      </c>
    </row>
    <row r="598" spans="1:10">
      <c r="A598" t="s">
        <v>1947</v>
      </c>
      <c r="B598" s="7">
        <v>45842</v>
      </c>
      <c r="C598" t="s">
        <v>466</v>
      </c>
      <c r="D598" t="s">
        <v>1229</v>
      </c>
      <c r="E598" t="s">
        <v>1307</v>
      </c>
      <c r="F598">
        <f>Table5[[#This Row],[Total_Amount]]/(G598*(1-Table5[[#This Row],[Discount]]))</f>
        <v>4</v>
      </c>
      <c r="G598" s="5">
        <v>870.18</v>
      </c>
      <c r="H598">
        <v>0.13</v>
      </c>
      <c r="I598" t="s">
        <v>1354</v>
      </c>
      <c r="J598" s="5">
        <v>3028.2264</v>
      </c>
    </row>
    <row r="599" spans="1:10">
      <c r="A599" t="s">
        <v>1948</v>
      </c>
      <c r="B599" s="7">
        <v>45382</v>
      </c>
      <c r="C599" t="s">
        <v>620</v>
      </c>
      <c r="D599" t="s">
        <v>1201</v>
      </c>
      <c r="E599" t="s">
        <v>1286</v>
      </c>
      <c r="F599">
        <f>Table5[[#This Row],[Total_Amount]]/(G599*(1-Table5[[#This Row],[Discount]]))</f>
        <v>2</v>
      </c>
      <c r="G599" s="5">
        <v>552.72</v>
      </c>
      <c r="H599">
        <v>0.06</v>
      </c>
      <c r="I599" t="s">
        <v>1351</v>
      </c>
      <c r="J599" s="5">
        <v>1039.1135999999999</v>
      </c>
    </row>
    <row r="600" spans="1:10">
      <c r="A600" t="s">
        <v>1949</v>
      </c>
      <c r="B600" s="7">
        <v>45236</v>
      </c>
      <c r="C600" t="s">
        <v>555</v>
      </c>
      <c r="D600" t="s">
        <v>1151</v>
      </c>
      <c r="E600" t="s">
        <v>1307</v>
      </c>
      <c r="F600">
        <f>Table5[[#This Row],[Total_Amount]]/(G600*(1-Table5[[#This Row],[Discount]]))</f>
        <v>3</v>
      </c>
      <c r="G600" s="5">
        <v>700.43</v>
      </c>
      <c r="H600">
        <v>0.01</v>
      </c>
      <c r="I600" t="s">
        <v>1354</v>
      </c>
      <c r="J600" s="5">
        <v>2080.2770999999998</v>
      </c>
    </row>
    <row r="601" spans="1:10">
      <c r="A601" t="s">
        <v>1950</v>
      </c>
      <c r="B601" s="7">
        <v>45806</v>
      </c>
      <c r="C601" t="s">
        <v>742</v>
      </c>
      <c r="D601" t="s">
        <v>1090</v>
      </c>
      <c r="E601" t="s">
        <v>1286</v>
      </c>
      <c r="F601">
        <f>Table5[[#This Row],[Total_Amount]]/(G601*(1-Table5[[#This Row],[Discount]]))</f>
        <v>2</v>
      </c>
      <c r="G601" s="5">
        <v>823.03</v>
      </c>
      <c r="H601">
        <v>0.18</v>
      </c>
      <c r="I601" t="s">
        <v>1351</v>
      </c>
      <c r="J601" s="5">
        <v>1349.7692</v>
      </c>
    </row>
    <row r="602" spans="1:10">
      <c r="A602" t="s">
        <v>1951</v>
      </c>
      <c r="B602" s="7">
        <v>45401</v>
      </c>
      <c r="C602" t="s">
        <v>573</v>
      </c>
      <c r="D602" t="s">
        <v>1257</v>
      </c>
      <c r="E602" t="s">
        <v>1301</v>
      </c>
      <c r="F602">
        <f>Table5[[#This Row],[Total_Amount]]/(G602*(1-Table5[[#This Row],[Discount]]))</f>
        <v>1</v>
      </c>
      <c r="G602" s="5">
        <v>117.37</v>
      </c>
      <c r="H602">
        <v>0.21</v>
      </c>
      <c r="I602" t="s">
        <v>1349</v>
      </c>
      <c r="J602" s="5">
        <v>92.722300000000004</v>
      </c>
    </row>
    <row r="603" spans="1:10">
      <c r="A603" t="s">
        <v>1952</v>
      </c>
      <c r="B603" s="7">
        <v>45716</v>
      </c>
      <c r="C603" t="s">
        <v>267</v>
      </c>
      <c r="D603" t="s">
        <v>1185</v>
      </c>
      <c r="E603" t="s">
        <v>1282</v>
      </c>
      <c r="F603">
        <f>Table5[[#This Row],[Total_Amount]]/(G603*(1-Table5[[#This Row],[Discount]]))</f>
        <v>4</v>
      </c>
      <c r="G603" s="5">
        <v>165.37</v>
      </c>
      <c r="H603">
        <v>0.28999999999999998</v>
      </c>
      <c r="I603" t="s">
        <v>1349</v>
      </c>
      <c r="J603" s="5">
        <v>469.6508</v>
      </c>
    </row>
    <row r="604" spans="1:10">
      <c r="A604" t="s">
        <v>1953</v>
      </c>
      <c r="B604" s="7">
        <v>45718</v>
      </c>
      <c r="C604" t="s">
        <v>819</v>
      </c>
      <c r="D604" t="s">
        <v>1082</v>
      </c>
      <c r="E604" t="s">
        <v>1314</v>
      </c>
      <c r="F604">
        <f>Table5[[#This Row],[Total_Amount]]/(G604*(1-Table5[[#This Row],[Discount]]))</f>
        <v>3</v>
      </c>
      <c r="G604" s="5">
        <v>483.06</v>
      </c>
      <c r="H604">
        <v>0.05</v>
      </c>
      <c r="I604" t="s">
        <v>1349</v>
      </c>
      <c r="J604" s="5">
        <v>1376.721</v>
      </c>
    </row>
    <row r="605" spans="1:10">
      <c r="A605" t="s">
        <v>1954</v>
      </c>
      <c r="B605" s="7">
        <v>45379</v>
      </c>
      <c r="C605" t="s">
        <v>650</v>
      </c>
      <c r="D605" t="s">
        <v>1235</v>
      </c>
      <c r="E605" t="s">
        <v>1304</v>
      </c>
      <c r="F605">
        <f>Table5[[#This Row],[Total_Amount]]/(G605*(1-Table5[[#This Row],[Discount]]))</f>
        <v>4</v>
      </c>
      <c r="G605" s="5">
        <v>262.05</v>
      </c>
      <c r="H605">
        <v>0.24</v>
      </c>
      <c r="I605" t="s">
        <v>1351</v>
      </c>
      <c r="J605" s="5">
        <v>796.63200000000006</v>
      </c>
    </row>
    <row r="606" spans="1:10">
      <c r="A606" t="s">
        <v>1955</v>
      </c>
      <c r="B606" s="7">
        <v>45635</v>
      </c>
      <c r="C606" t="s">
        <v>988</v>
      </c>
      <c r="D606" t="s">
        <v>1101</v>
      </c>
      <c r="E606" t="s">
        <v>1324</v>
      </c>
      <c r="F606">
        <f>Table5[[#This Row],[Total_Amount]]/(G606*(1-Table5[[#This Row],[Discount]]))</f>
        <v>3</v>
      </c>
      <c r="G606" s="5">
        <v>970.89</v>
      </c>
      <c r="H606">
        <v>0.11</v>
      </c>
      <c r="I606" t="s">
        <v>1354</v>
      </c>
      <c r="J606" s="5">
        <v>2592.2763</v>
      </c>
    </row>
    <row r="607" spans="1:10">
      <c r="A607" t="s">
        <v>1956</v>
      </c>
      <c r="B607" s="7">
        <v>45222</v>
      </c>
      <c r="C607" t="s">
        <v>494</v>
      </c>
      <c r="D607" t="s">
        <v>1217</v>
      </c>
      <c r="E607" t="s">
        <v>1277</v>
      </c>
      <c r="F607">
        <f>Table5[[#This Row],[Total_Amount]]/(G607*(1-Table5[[#This Row],[Discount]]))</f>
        <v>1</v>
      </c>
      <c r="G607" s="5">
        <v>61.11</v>
      </c>
      <c r="H607">
        <v>0.1</v>
      </c>
      <c r="I607" t="s">
        <v>1351</v>
      </c>
      <c r="J607" s="5">
        <v>54.999000000000002</v>
      </c>
    </row>
    <row r="608" spans="1:10">
      <c r="A608" t="s">
        <v>1957</v>
      </c>
      <c r="B608" s="7">
        <v>45555</v>
      </c>
      <c r="C608" t="s">
        <v>92</v>
      </c>
      <c r="D608" t="s">
        <v>1127</v>
      </c>
      <c r="E608" t="s">
        <v>1307</v>
      </c>
      <c r="F608">
        <f>Table5[[#This Row],[Total_Amount]]/(G608*(1-Table5[[#This Row],[Discount]]))</f>
        <v>3</v>
      </c>
      <c r="G608" s="5">
        <v>827.88</v>
      </c>
      <c r="H608">
        <v>0.19</v>
      </c>
      <c r="I608" t="s">
        <v>1351</v>
      </c>
      <c r="J608" s="5">
        <v>2011.7483999999999</v>
      </c>
    </row>
    <row r="609" spans="1:10">
      <c r="A609" t="s">
        <v>1958</v>
      </c>
      <c r="B609" s="7">
        <v>45583</v>
      </c>
      <c r="C609" t="s">
        <v>923</v>
      </c>
      <c r="D609" t="s">
        <v>1247</v>
      </c>
      <c r="E609" t="s">
        <v>1322</v>
      </c>
      <c r="F609">
        <f>Table5[[#This Row],[Total_Amount]]/(G609*(1-Table5[[#This Row],[Discount]]))</f>
        <v>2.9999999999999996</v>
      </c>
      <c r="G609" s="5">
        <v>926.85</v>
      </c>
      <c r="H609">
        <v>0.18</v>
      </c>
      <c r="I609" t="s">
        <v>1354</v>
      </c>
      <c r="J609" s="5">
        <v>2280.0509999999999</v>
      </c>
    </row>
    <row r="610" spans="1:10">
      <c r="A610" t="s">
        <v>1959</v>
      </c>
      <c r="B610" s="7">
        <v>45662</v>
      </c>
      <c r="C610" t="s">
        <v>698</v>
      </c>
      <c r="D610" t="s">
        <v>1093</v>
      </c>
      <c r="E610" t="s">
        <v>1324</v>
      </c>
      <c r="F610">
        <f>Table5[[#This Row],[Total_Amount]]/(G610*(1-Table5[[#This Row],[Discount]]))</f>
        <v>1</v>
      </c>
      <c r="G610" s="5">
        <v>874.59</v>
      </c>
      <c r="H610">
        <v>0.28999999999999998</v>
      </c>
      <c r="I610" t="s">
        <v>1351</v>
      </c>
      <c r="J610" s="5">
        <v>620.95889999999997</v>
      </c>
    </row>
    <row r="611" spans="1:10">
      <c r="A611" t="s">
        <v>1960</v>
      </c>
      <c r="B611" s="7">
        <v>45921</v>
      </c>
      <c r="C611" t="s">
        <v>1002</v>
      </c>
      <c r="D611" t="s">
        <v>1103</v>
      </c>
      <c r="E611" t="s">
        <v>1282</v>
      </c>
      <c r="F611">
        <f>Table5[[#This Row],[Total_Amount]]/(G611*(1-Table5[[#This Row],[Discount]]))</f>
        <v>4</v>
      </c>
      <c r="G611" s="5">
        <v>479.11</v>
      </c>
      <c r="H611">
        <v>0.24</v>
      </c>
      <c r="I611" t="s">
        <v>1351</v>
      </c>
      <c r="J611" s="5">
        <v>1456.4944</v>
      </c>
    </row>
    <row r="612" spans="1:10">
      <c r="A612" t="s">
        <v>1961</v>
      </c>
      <c r="B612" s="7">
        <v>45490</v>
      </c>
      <c r="C612" t="s">
        <v>488</v>
      </c>
      <c r="D612" t="s">
        <v>1137</v>
      </c>
      <c r="E612" t="s">
        <v>1332</v>
      </c>
      <c r="F612">
        <f>Table5[[#This Row],[Total_Amount]]/(G612*(1-Table5[[#This Row],[Discount]]))</f>
        <v>3</v>
      </c>
      <c r="G612" s="5">
        <v>182.91</v>
      </c>
      <c r="H612">
        <v>0.28999999999999998</v>
      </c>
      <c r="I612" t="s">
        <v>1349</v>
      </c>
      <c r="J612" s="5">
        <v>389.59829999999999</v>
      </c>
    </row>
    <row r="613" spans="1:10">
      <c r="A613" t="s">
        <v>1962</v>
      </c>
      <c r="B613" s="7">
        <v>45652</v>
      </c>
      <c r="C613" t="s">
        <v>608</v>
      </c>
      <c r="D613" t="s">
        <v>1141</v>
      </c>
      <c r="E613" t="s">
        <v>1298</v>
      </c>
      <c r="F613">
        <f>Table5[[#This Row],[Total_Amount]]/(G613*(1-Table5[[#This Row],[Discount]]))</f>
        <v>4.0000000000000009</v>
      </c>
      <c r="G613" s="5">
        <v>745.51</v>
      </c>
      <c r="H613">
        <v>0.05</v>
      </c>
      <c r="I613" t="s">
        <v>1349</v>
      </c>
      <c r="J613" s="5">
        <v>2832.9380000000001</v>
      </c>
    </row>
    <row r="614" spans="1:10">
      <c r="A614" t="s">
        <v>1963</v>
      </c>
      <c r="B614" s="7">
        <v>45598</v>
      </c>
      <c r="C614" t="s">
        <v>1024</v>
      </c>
      <c r="D614" t="s">
        <v>1249</v>
      </c>
      <c r="E614" t="s">
        <v>1326</v>
      </c>
      <c r="F614">
        <f>Table5[[#This Row],[Total_Amount]]/(G614*(1-Table5[[#This Row],[Discount]]))</f>
        <v>3.0000000000000004</v>
      </c>
      <c r="G614" s="5">
        <v>920.61</v>
      </c>
      <c r="H614">
        <v>0.04</v>
      </c>
      <c r="I614" t="s">
        <v>1349</v>
      </c>
      <c r="J614" s="5">
        <v>2651.3568</v>
      </c>
    </row>
    <row r="615" spans="1:10">
      <c r="A615" t="s">
        <v>1964</v>
      </c>
      <c r="B615" s="7">
        <v>45772</v>
      </c>
      <c r="C615" t="s">
        <v>913</v>
      </c>
      <c r="D615" t="s">
        <v>1223</v>
      </c>
      <c r="E615" t="s">
        <v>1314</v>
      </c>
      <c r="F615">
        <f>Table5[[#This Row],[Total_Amount]]/(G615*(1-Table5[[#This Row],[Discount]]))</f>
        <v>4.0000000000000009</v>
      </c>
      <c r="G615" s="5">
        <v>659.03</v>
      </c>
      <c r="H615">
        <v>0.15</v>
      </c>
      <c r="I615" t="s">
        <v>1349</v>
      </c>
      <c r="J615" s="5">
        <v>2240.7020000000002</v>
      </c>
    </row>
    <row r="616" spans="1:10">
      <c r="A616" t="s">
        <v>1965</v>
      </c>
      <c r="B616" s="7">
        <v>45338</v>
      </c>
      <c r="C616" t="s">
        <v>1043</v>
      </c>
      <c r="D616" t="s">
        <v>1090</v>
      </c>
      <c r="E616" t="s">
        <v>1286</v>
      </c>
      <c r="F616">
        <f>Table5[[#This Row],[Total_Amount]]/(G616*(1-Table5[[#This Row],[Discount]]))</f>
        <v>0.99999999999999978</v>
      </c>
      <c r="G616" s="5">
        <v>312.91000000000003</v>
      </c>
      <c r="H616">
        <v>0.12</v>
      </c>
      <c r="I616" t="s">
        <v>1351</v>
      </c>
      <c r="J616" s="5">
        <v>275.36079999999998</v>
      </c>
    </row>
    <row r="617" spans="1:10">
      <c r="A617" t="s">
        <v>1966</v>
      </c>
      <c r="B617" s="7">
        <v>45524</v>
      </c>
      <c r="C617" t="s">
        <v>519</v>
      </c>
      <c r="D617" t="s">
        <v>1097</v>
      </c>
      <c r="E617" t="s">
        <v>1335</v>
      </c>
      <c r="F617">
        <f>Table5[[#This Row],[Total_Amount]]/(G617*(1-Table5[[#This Row],[Discount]]))</f>
        <v>4</v>
      </c>
      <c r="G617" s="5">
        <v>705.64</v>
      </c>
      <c r="H617">
        <v>0.11</v>
      </c>
      <c r="I617" t="s">
        <v>1351</v>
      </c>
      <c r="J617" s="5">
        <v>2512.0783999999999</v>
      </c>
    </row>
    <row r="618" spans="1:10">
      <c r="A618" t="s">
        <v>1967</v>
      </c>
      <c r="B618" s="7">
        <v>45497</v>
      </c>
      <c r="C618" t="s">
        <v>349</v>
      </c>
      <c r="D618" t="s">
        <v>1090</v>
      </c>
      <c r="E618" t="s">
        <v>1314</v>
      </c>
      <c r="F618">
        <f>Table5[[#This Row],[Total_Amount]]/(G618*(1-Table5[[#This Row],[Discount]]))</f>
        <v>3.9999999999999991</v>
      </c>
      <c r="G618" s="5">
        <v>386.41</v>
      </c>
      <c r="H618">
        <v>0.13</v>
      </c>
      <c r="I618" t="s">
        <v>1354</v>
      </c>
      <c r="J618" s="5">
        <v>1344.7067999999999</v>
      </c>
    </row>
    <row r="619" spans="1:10">
      <c r="A619" t="s">
        <v>1968</v>
      </c>
      <c r="B619" s="7">
        <v>45534</v>
      </c>
      <c r="C619" t="s">
        <v>92</v>
      </c>
      <c r="D619" t="s">
        <v>1261</v>
      </c>
      <c r="E619" t="s">
        <v>1317</v>
      </c>
      <c r="F619">
        <f>Table5[[#This Row],[Total_Amount]]/(G619*(1-Table5[[#This Row],[Discount]]))</f>
        <v>3</v>
      </c>
      <c r="G619" s="5">
        <v>265.89</v>
      </c>
      <c r="H619">
        <v>0.08</v>
      </c>
      <c r="I619" t="s">
        <v>1354</v>
      </c>
      <c r="J619" s="5">
        <v>733.85640000000001</v>
      </c>
    </row>
    <row r="620" spans="1:10">
      <c r="A620" t="s">
        <v>1969</v>
      </c>
      <c r="B620" s="7">
        <v>45925</v>
      </c>
      <c r="C620" t="s">
        <v>202</v>
      </c>
      <c r="D620" t="s">
        <v>1133</v>
      </c>
      <c r="E620" t="s">
        <v>1329</v>
      </c>
      <c r="F620">
        <f>Table5[[#This Row],[Total_Amount]]/(G620*(1-Table5[[#This Row],[Discount]]))</f>
        <v>1.0000000000000002</v>
      </c>
      <c r="G620" s="5">
        <v>703.16</v>
      </c>
      <c r="H620">
        <v>0.28999999999999998</v>
      </c>
      <c r="I620" t="s">
        <v>1349</v>
      </c>
      <c r="J620" s="5">
        <v>499.24360000000001</v>
      </c>
    </row>
    <row r="621" spans="1:10">
      <c r="A621" t="s">
        <v>1970</v>
      </c>
      <c r="B621" s="7">
        <v>45765</v>
      </c>
      <c r="C621" t="s">
        <v>1004</v>
      </c>
      <c r="D621" t="s">
        <v>1267</v>
      </c>
      <c r="E621" t="s">
        <v>1322</v>
      </c>
      <c r="F621">
        <f>Table5[[#This Row],[Total_Amount]]/(G621*(1-Table5[[#This Row],[Discount]]))</f>
        <v>2</v>
      </c>
      <c r="G621" s="5">
        <v>394.5</v>
      </c>
      <c r="H621">
        <v>0.28999999999999998</v>
      </c>
      <c r="I621" t="s">
        <v>1354</v>
      </c>
      <c r="J621" s="5">
        <v>560.18999999999994</v>
      </c>
    </row>
    <row r="622" spans="1:10">
      <c r="A622" t="s">
        <v>1971</v>
      </c>
      <c r="B622" s="7">
        <v>45882</v>
      </c>
      <c r="C622" t="s">
        <v>294</v>
      </c>
      <c r="D622" t="s">
        <v>1267</v>
      </c>
      <c r="E622" t="s">
        <v>1304</v>
      </c>
      <c r="F622">
        <f>Table5[[#This Row],[Total_Amount]]/(G622*(1-Table5[[#This Row],[Discount]]))</f>
        <v>3</v>
      </c>
      <c r="G622" s="5">
        <v>411.25</v>
      </c>
      <c r="H622">
        <v>0.05</v>
      </c>
      <c r="I622" t="s">
        <v>1349</v>
      </c>
      <c r="J622" s="5">
        <v>1172.0625</v>
      </c>
    </row>
    <row r="623" spans="1:10">
      <c r="A623" t="s">
        <v>1972</v>
      </c>
      <c r="B623" s="7">
        <v>45923</v>
      </c>
      <c r="C623" t="s">
        <v>770</v>
      </c>
      <c r="D623" t="s">
        <v>1169</v>
      </c>
      <c r="E623" t="s">
        <v>1286</v>
      </c>
      <c r="F623">
        <f>Table5[[#This Row],[Total_Amount]]/(G623*(1-Table5[[#This Row],[Discount]]))</f>
        <v>4</v>
      </c>
      <c r="G623" s="5">
        <v>395.45</v>
      </c>
      <c r="H623">
        <v>0.01</v>
      </c>
      <c r="I623" t="s">
        <v>1349</v>
      </c>
      <c r="J623" s="5">
        <v>1565.982</v>
      </c>
    </row>
    <row r="624" spans="1:10">
      <c r="A624" t="s">
        <v>1973</v>
      </c>
      <c r="B624" s="7">
        <v>45421</v>
      </c>
      <c r="C624" t="s">
        <v>109</v>
      </c>
      <c r="D624" t="s">
        <v>1253</v>
      </c>
      <c r="E624" t="s">
        <v>1298</v>
      </c>
      <c r="F624">
        <f>Table5[[#This Row],[Total_Amount]]/(G624*(1-Table5[[#This Row],[Discount]]))</f>
        <v>2</v>
      </c>
      <c r="G624" s="5">
        <v>678.98</v>
      </c>
      <c r="H624">
        <v>0.23</v>
      </c>
      <c r="I624" t="s">
        <v>1349</v>
      </c>
      <c r="J624" s="5">
        <v>1045.6292000000001</v>
      </c>
    </row>
    <row r="625" spans="1:10">
      <c r="A625" t="s">
        <v>1974</v>
      </c>
      <c r="B625" s="7">
        <v>45608</v>
      </c>
      <c r="C625" t="s">
        <v>194</v>
      </c>
      <c r="D625" t="s">
        <v>1127</v>
      </c>
      <c r="E625" t="s">
        <v>1324</v>
      </c>
      <c r="F625">
        <f>Table5[[#This Row],[Total_Amount]]/(G625*(1-Table5[[#This Row],[Discount]]))</f>
        <v>4</v>
      </c>
      <c r="G625" s="5">
        <v>757.71</v>
      </c>
      <c r="H625">
        <v>0.26</v>
      </c>
      <c r="I625" t="s">
        <v>1354</v>
      </c>
      <c r="J625" s="5">
        <v>2242.8216000000002</v>
      </c>
    </row>
    <row r="626" spans="1:10">
      <c r="A626" t="s">
        <v>1975</v>
      </c>
      <c r="B626" s="7">
        <v>45644</v>
      </c>
      <c r="C626" t="s">
        <v>164</v>
      </c>
      <c r="D626" t="s">
        <v>1261</v>
      </c>
      <c r="E626" t="s">
        <v>1294</v>
      </c>
      <c r="F626">
        <f>Table5[[#This Row],[Total_Amount]]/(G626*(1-Table5[[#This Row],[Discount]]))</f>
        <v>1</v>
      </c>
      <c r="G626" s="5">
        <v>647.86</v>
      </c>
      <c r="H626">
        <v>0.05</v>
      </c>
      <c r="I626" t="s">
        <v>1354</v>
      </c>
      <c r="J626" s="5">
        <v>615.46699999999998</v>
      </c>
    </row>
    <row r="627" spans="1:10">
      <c r="A627" t="s">
        <v>1976</v>
      </c>
      <c r="B627" s="7">
        <v>45517</v>
      </c>
      <c r="C627" t="s">
        <v>331</v>
      </c>
      <c r="D627" t="s">
        <v>1097</v>
      </c>
      <c r="E627" t="s">
        <v>1301</v>
      </c>
      <c r="F627">
        <f>Table5[[#This Row],[Total_Amount]]/(G627*(1-Table5[[#This Row],[Discount]]))</f>
        <v>2</v>
      </c>
      <c r="G627" s="5">
        <v>179.64</v>
      </c>
      <c r="H627">
        <v>0.1</v>
      </c>
      <c r="I627" t="s">
        <v>1351</v>
      </c>
      <c r="J627" s="5">
        <v>323.35199999999998</v>
      </c>
    </row>
    <row r="628" spans="1:10">
      <c r="A628" t="s">
        <v>1977</v>
      </c>
      <c r="B628" s="7">
        <v>45545</v>
      </c>
      <c r="C628" t="s">
        <v>855</v>
      </c>
      <c r="D628" t="s">
        <v>1197</v>
      </c>
      <c r="E628" t="s">
        <v>1294</v>
      </c>
      <c r="F628">
        <f>Table5[[#This Row],[Total_Amount]]/(G628*(1-Table5[[#This Row],[Discount]]))</f>
        <v>2.9999999999999996</v>
      </c>
      <c r="G628" s="5">
        <v>392.65</v>
      </c>
      <c r="H628">
        <v>0.17</v>
      </c>
      <c r="I628" t="s">
        <v>1351</v>
      </c>
      <c r="J628" s="5">
        <v>977.69849999999985</v>
      </c>
    </row>
    <row r="629" spans="1:10">
      <c r="A629" t="s">
        <v>1978</v>
      </c>
      <c r="B629" s="7">
        <v>45547</v>
      </c>
      <c r="C629" t="s">
        <v>413</v>
      </c>
      <c r="D629" t="s">
        <v>1255</v>
      </c>
      <c r="E629" t="s">
        <v>1329</v>
      </c>
      <c r="F629">
        <f>Table5[[#This Row],[Total_Amount]]/(G629*(1-Table5[[#This Row],[Discount]]))</f>
        <v>4</v>
      </c>
      <c r="G629" s="5">
        <v>969.55</v>
      </c>
      <c r="H629">
        <v>0.09</v>
      </c>
      <c r="I629" t="s">
        <v>1354</v>
      </c>
      <c r="J629" s="5">
        <v>3529.1619999999998</v>
      </c>
    </row>
    <row r="630" spans="1:10">
      <c r="A630" t="s">
        <v>1979</v>
      </c>
      <c r="B630" s="7">
        <v>45433</v>
      </c>
      <c r="C630" t="s">
        <v>986</v>
      </c>
      <c r="D630" t="s">
        <v>1221</v>
      </c>
      <c r="E630" t="s">
        <v>1319</v>
      </c>
      <c r="F630">
        <f>Table5[[#This Row],[Total_Amount]]/(G630*(1-Table5[[#This Row],[Discount]]))</f>
        <v>2.9999999999999996</v>
      </c>
      <c r="G630" s="5">
        <v>322.94</v>
      </c>
      <c r="H630">
        <v>0.01</v>
      </c>
      <c r="I630" t="s">
        <v>1349</v>
      </c>
      <c r="J630" s="5">
        <v>959.13179999999988</v>
      </c>
    </row>
    <row r="631" spans="1:10">
      <c r="A631" t="s">
        <v>1980</v>
      </c>
      <c r="B631" s="7">
        <v>45792</v>
      </c>
      <c r="C631" t="s">
        <v>787</v>
      </c>
      <c r="D631" t="s">
        <v>1239</v>
      </c>
      <c r="E631" t="s">
        <v>1277</v>
      </c>
      <c r="F631">
        <f>Table5[[#This Row],[Total_Amount]]/(G631*(1-Table5[[#This Row],[Discount]]))</f>
        <v>1</v>
      </c>
      <c r="G631" s="5">
        <v>92.83</v>
      </c>
      <c r="H631">
        <v>0.26</v>
      </c>
      <c r="I631" t="s">
        <v>1351</v>
      </c>
      <c r="J631" s="5">
        <v>68.694199999999995</v>
      </c>
    </row>
    <row r="632" spans="1:10">
      <c r="A632" t="s">
        <v>1981</v>
      </c>
      <c r="B632" s="7">
        <v>45804</v>
      </c>
      <c r="C632" t="s">
        <v>903</v>
      </c>
      <c r="D632" t="s">
        <v>1087</v>
      </c>
      <c r="E632" t="s">
        <v>1291</v>
      </c>
      <c r="F632">
        <f>Table5[[#This Row],[Total_Amount]]/(G632*(1-Table5[[#This Row],[Discount]]))</f>
        <v>4</v>
      </c>
      <c r="G632" s="5">
        <v>432.29</v>
      </c>
      <c r="H632">
        <v>0.16</v>
      </c>
      <c r="I632" t="s">
        <v>1354</v>
      </c>
      <c r="J632" s="5">
        <v>1452.4944</v>
      </c>
    </row>
    <row r="633" spans="1:10">
      <c r="A633" t="s">
        <v>1982</v>
      </c>
      <c r="B633" s="7">
        <v>45311</v>
      </c>
      <c r="C633" t="s">
        <v>214</v>
      </c>
      <c r="D633" t="s">
        <v>1151</v>
      </c>
      <c r="E633" t="s">
        <v>1322</v>
      </c>
      <c r="F633">
        <f>Table5[[#This Row],[Total_Amount]]/(G633*(1-Table5[[#This Row],[Discount]]))</f>
        <v>2</v>
      </c>
      <c r="G633" s="5">
        <v>925.78</v>
      </c>
      <c r="H633">
        <v>0.14000000000000001</v>
      </c>
      <c r="I633" t="s">
        <v>1354</v>
      </c>
      <c r="J633" s="5">
        <v>1592.3416</v>
      </c>
    </row>
    <row r="634" spans="1:10">
      <c r="A634" t="s">
        <v>1983</v>
      </c>
      <c r="B634" s="7">
        <v>45605</v>
      </c>
      <c r="C634" t="s">
        <v>1016</v>
      </c>
      <c r="D634" t="s">
        <v>1123</v>
      </c>
      <c r="E634" t="s">
        <v>1317</v>
      </c>
      <c r="F634">
        <f>Table5[[#This Row],[Total_Amount]]/(G634*(1-Table5[[#This Row],[Discount]]))</f>
        <v>1.9999999999999998</v>
      </c>
      <c r="G634" s="5">
        <v>151.47</v>
      </c>
      <c r="H634">
        <v>0.21</v>
      </c>
      <c r="I634" t="s">
        <v>1351</v>
      </c>
      <c r="J634" s="5">
        <v>239.32259999999999</v>
      </c>
    </row>
    <row r="635" spans="1:10">
      <c r="A635" t="s">
        <v>1984</v>
      </c>
      <c r="B635" s="7">
        <v>45338</v>
      </c>
      <c r="C635" t="s">
        <v>961</v>
      </c>
      <c r="D635" t="s">
        <v>1239</v>
      </c>
      <c r="E635" t="s">
        <v>1314</v>
      </c>
      <c r="F635">
        <f>Table5[[#This Row],[Total_Amount]]/(G635*(1-Table5[[#This Row],[Discount]]))</f>
        <v>1</v>
      </c>
      <c r="G635" s="5">
        <v>343.05</v>
      </c>
      <c r="H635">
        <v>0.28000000000000003</v>
      </c>
      <c r="I635" t="s">
        <v>1351</v>
      </c>
      <c r="J635" s="5">
        <v>246.99600000000001</v>
      </c>
    </row>
    <row r="636" spans="1:10">
      <c r="A636" t="s">
        <v>1985</v>
      </c>
      <c r="B636" s="7">
        <v>45642</v>
      </c>
      <c r="C636" t="s">
        <v>180</v>
      </c>
      <c r="D636" t="s">
        <v>1107</v>
      </c>
      <c r="E636" t="s">
        <v>1294</v>
      </c>
      <c r="F636">
        <f>Table5[[#This Row],[Total_Amount]]/(G636*(1-Table5[[#This Row],[Discount]]))</f>
        <v>1</v>
      </c>
      <c r="G636" s="5">
        <v>373.06</v>
      </c>
      <c r="H636">
        <v>0.11</v>
      </c>
      <c r="I636" t="s">
        <v>1351</v>
      </c>
      <c r="J636" s="5">
        <v>332.02339999999998</v>
      </c>
    </row>
    <row r="637" spans="1:10">
      <c r="A637" t="s">
        <v>1986</v>
      </c>
      <c r="B637" s="7">
        <v>45693</v>
      </c>
      <c r="C637" t="s">
        <v>885</v>
      </c>
      <c r="D637" t="s">
        <v>1109</v>
      </c>
      <c r="E637" t="s">
        <v>1326</v>
      </c>
      <c r="F637">
        <f>Table5[[#This Row],[Total_Amount]]/(G637*(1-Table5[[#This Row],[Discount]]))</f>
        <v>1</v>
      </c>
      <c r="G637" s="5">
        <v>124.98</v>
      </c>
      <c r="H637">
        <v>7.0000000000000007E-2</v>
      </c>
      <c r="I637" t="s">
        <v>1354</v>
      </c>
      <c r="J637" s="5">
        <v>116.23139999999999</v>
      </c>
    </row>
    <row r="638" spans="1:10">
      <c r="A638" t="s">
        <v>1987</v>
      </c>
      <c r="B638" s="7">
        <v>45763</v>
      </c>
      <c r="C638" t="s">
        <v>608</v>
      </c>
      <c r="D638" t="s">
        <v>1219</v>
      </c>
      <c r="E638" t="s">
        <v>1338</v>
      </c>
      <c r="F638">
        <f>Table5[[#This Row],[Total_Amount]]/(G638*(1-Table5[[#This Row],[Discount]]))</f>
        <v>4</v>
      </c>
      <c r="G638" s="5">
        <v>221.49</v>
      </c>
      <c r="H638">
        <v>0.26</v>
      </c>
      <c r="I638" t="s">
        <v>1351</v>
      </c>
      <c r="J638" s="5">
        <v>655.61040000000003</v>
      </c>
    </row>
    <row r="639" spans="1:10">
      <c r="A639" t="s">
        <v>1988</v>
      </c>
      <c r="B639" s="7">
        <v>45572</v>
      </c>
      <c r="C639" t="s">
        <v>401</v>
      </c>
      <c r="D639" t="s">
        <v>1119</v>
      </c>
      <c r="E639" t="s">
        <v>1326</v>
      </c>
      <c r="F639">
        <f>Table5[[#This Row],[Total_Amount]]/(G639*(1-Table5[[#This Row],[Discount]]))</f>
        <v>1</v>
      </c>
      <c r="G639" s="5">
        <v>563.32000000000005</v>
      </c>
      <c r="H639">
        <v>0.01</v>
      </c>
      <c r="I639" t="s">
        <v>1351</v>
      </c>
      <c r="J639" s="5">
        <v>557.68680000000006</v>
      </c>
    </row>
    <row r="640" spans="1:10">
      <c r="A640" t="s">
        <v>1989</v>
      </c>
      <c r="B640" s="7">
        <v>45338</v>
      </c>
      <c r="C640" t="s">
        <v>843</v>
      </c>
      <c r="D640" t="s">
        <v>1095</v>
      </c>
      <c r="E640" t="s">
        <v>1277</v>
      </c>
      <c r="F640">
        <f>Table5[[#This Row],[Total_Amount]]/(G640*(1-Table5[[#This Row],[Discount]]))</f>
        <v>1</v>
      </c>
      <c r="G640" s="5">
        <v>362.93</v>
      </c>
      <c r="H640">
        <v>0.27</v>
      </c>
      <c r="I640" t="s">
        <v>1349</v>
      </c>
      <c r="J640" s="5">
        <v>264.93889999999999</v>
      </c>
    </row>
    <row r="641" spans="1:10">
      <c r="A641" t="s">
        <v>1990</v>
      </c>
      <c r="B641" s="7">
        <v>45373</v>
      </c>
      <c r="C641" t="s">
        <v>736</v>
      </c>
      <c r="D641" t="s">
        <v>1095</v>
      </c>
      <c r="E641" t="s">
        <v>1326</v>
      </c>
      <c r="F641">
        <f>Table5[[#This Row],[Total_Amount]]/(G641*(1-Table5[[#This Row],[Discount]]))</f>
        <v>3.9999999999999991</v>
      </c>
      <c r="G641" s="5">
        <v>369.22</v>
      </c>
      <c r="H641">
        <v>0.18</v>
      </c>
      <c r="I641" t="s">
        <v>1354</v>
      </c>
      <c r="J641" s="5">
        <v>1211.0416</v>
      </c>
    </row>
    <row r="642" spans="1:10">
      <c r="A642" t="s">
        <v>1991</v>
      </c>
      <c r="B642" s="7">
        <v>45590</v>
      </c>
      <c r="C642" t="s">
        <v>883</v>
      </c>
      <c r="D642" t="s">
        <v>1265</v>
      </c>
      <c r="E642" t="s">
        <v>1324</v>
      </c>
      <c r="F642">
        <f>Table5[[#This Row],[Total_Amount]]/(G642*(1-Table5[[#This Row],[Discount]]))</f>
        <v>3</v>
      </c>
      <c r="G642" s="5">
        <v>950.83</v>
      </c>
      <c r="H642">
        <v>0.06</v>
      </c>
      <c r="I642" t="s">
        <v>1351</v>
      </c>
      <c r="J642" s="5">
        <v>2681.3406</v>
      </c>
    </row>
    <row r="643" spans="1:10">
      <c r="A643" t="s">
        <v>1992</v>
      </c>
      <c r="B643" s="7">
        <v>45365</v>
      </c>
      <c r="C643" t="s">
        <v>347</v>
      </c>
      <c r="D643" t="s">
        <v>1147</v>
      </c>
      <c r="E643" t="s">
        <v>1322</v>
      </c>
      <c r="F643">
        <f>Table5[[#This Row],[Total_Amount]]/(G643*(1-Table5[[#This Row],[Discount]]))</f>
        <v>3</v>
      </c>
      <c r="G643" s="5">
        <v>338.79</v>
      </c>
      <c r="H643">
        <v>0.01</v>
      </c>
      <c r="I643" t="s">
        <v>1349</v>
      </c>
      <c r="J643" s="5">
        <v>1006.2063000000001</v>
      </c>
    </row>
    <row r="644" spans="1:10">
      <c r="A644" t="s">
        <v>1993</v>
      </c>
      <c r="B644" s="7">
        <v>45711</v>
      </c>
      <c r="C644" t="s">
        <v>353</v>
      </c>
      <c r="D644" t="s">
        <v>1253</v>
      </c>
      <c r="E644" t="s">
        <v>1282</v>
      </c>
      <c r="F644">
        <f>Table5[[#This Row],[Total_Amount]]/(G644*(1-Table5[[#This Row],[Discount]]))</f>
        <v>3</v>
      </c>
      <c r="G644" s="5">
        <v>853.32</v>
      </c>
      <c r="H644">
        <v>7.0000000000000007E-2</v>
      </c>
      <c r="I644" t="s">
        <v>1354</v>
      </c>
      <c r="J644" s="5">
        <v>2380.7628</v>
      </c>
    </row>
    <row r="645" spans="1:10">
      <c r="A645" t="s">
        <v>1994</v>
      </c>
      <c r="B645" s="7">
        <v>45586</v>
      </c>
      <c r="C645" t="s">
        <v>359</v>
      </c>
      <c r="D645" t="s">
        <v>1225</v>
      </c>
      <c r="E645" t="s">
        <v>1301</v>
      </c>
      <c r="F645">
        <f>Table5[[#This Row],[Total_Amount]]/(G645*(1-Table5[[#This Row],[Discount]]))</f>
        <v>3</v>
      </c>
      <c r="G645" s="5">
        <v>89.78</v>
      </c>
      <c r="H645">
        <v>0.2</v>
      </c>
      <c r="I645" t="s">
        <v>1354</v>
      </c>
      <c r="J645" s="5">
        <v>215.47200000000001</v>
      </c>
    </row>
    <row r="646" spans="1:10">
      <c r="A646" t="s">
        <v>1995</v>
      </c>
      <c r="B646" s="7">
        <v>45334</v>
      </c>
      <c r="C646" t="s">
        <v>444</v>
      </c>
      <c r="D646" t="s">
        <v>1183</v>
      </c>
      <c r="E646" t="s">
        <v>1282</v>
      </c>
      <c r="F646">
        <f>Table5[[#This Row],[Total_Amount]]/(G646*(1-Table5[[#This Row],[Discount]]))</f>
        <v>1</v>
      </c>
      <c r="G646" s="5">
        <v>172.04</v>
      </c>
      <c r="H646">
        <v>0.04</v>
      </c>
      <c r="I646" t="s">
        <v>1351</v>
      </c>
      <c r="J646" s="5">
        <v>165.1584</v>
      </c>
    </row>
    <row r="647" spans="1:10">
      <c r="A647" t="s">
        <v>1996</v>
      </c>
      <c r="B647" s="7">
        <v>45333</v>
      </c>
      <c r="C647" t="s">
        <v>996</v>
      </c>
      <c r="D647" t="s">
        <v>1181</v>
      </c>
      <c r="E647" t="s">
        <v>1282</v>
      </c>
      <c r="F647">
        <f>Table5[[#This Row],[Total_Amount]]/(G647*(1-Table5[[#This Row],[Discount]]))</f>
        <v>1.0000000000000002</v>
      </c>
      <c r="G647" s="5">
        <v>389.2</v>
      </c>
      <c r="H647">
        <v>0.05</v>
      </c>
      <c r="I647" t="s">
        <v>1349</v>
      </c>
      <c r="J647" s="5">
        <v>369.74</v>
      </c>
    </row>
    <row r="648" spans="1:10">
      <c r="A648" t="s">
        <v>1997</v>
      </c>
      <c r="B648" s="7">
        <v>45778</v>
      </c>
      <c r="C648" t="s">
        <v>984</v>
      </c>
      <c r="D648" t="s">
        <v>1227</v>
      </c>
      <c r="E648" t="s">
        <v>1322</v>
      </c>
      <c r="F648">
        <f>Table5[[#This Row],[Total_Amount]]/(G648*(1-Table5[[#This Row],[Discount]]))</f>
        <v>3</v>
      </c>
      <c r="G648" s="5">
        <v>865.96</v>
      </c>
      <c r="H648">
        <v>0.12</v>
      </c>
      <c r="I648" t="s">
        <v>1351</v>
      </c>
      <c r="J648" s="5">
        <v>2286.1343999999999</v>
      </c>
    </row>
    <row r="649" spans="1:10">
      <c r="A649" t="s">
        <v>1998</v>
      </c>
      <c r="B649" s="7">
        <v>45592</v>
      </c>
      <c r="C649" t="s">
        <v>399</v>
      </c>
      <c r="D649" t="s">
        <v>1111</v>
      </c>
      <c r="E649" t="s">
        <v>1282</v>
      </c>
      <c r="F649">
        <f>Table5[[#This Row],[Total_Amount]]/(G649*(1-Table5[[#This Row],[Discount]]))</f>
        <v>2.9999999999999996</v>
      </c>
      <c r="G649" s="5">
        <v>79.95</v>
      </c>
      <c r="H649">
        <v>0.2</v>
      </c>
      <c r="I649" t="s">
        <v>1354</v>
      </c>
      <c r="J649" s="5">
        <v>191.88</v>
      </c>
    </row>
    <row r="650" spans="1:10">
      <c r="A650" t="s">
        <v>1999</v>
      </c>
      <c r="B650" s="7">
        <v>45259</v>
      </c>
      <c r="C650" t="s">
        <v>825</v>
      </c>
      <c r="D650" t="s">
        <v>1125</v>
      </c>
      <c r="E650" t="s">
        <v>1304</v>
      </c>
      <c r="F650">
        <f>Table5[[#This Row],[Total_Amount]]/(G650*(1-Table5[[#This Row],[Discount]]))</f>
        <v>1</v>
      </c>
      <c r="G650" s="5">
        <v>566.5</v>
      </c>
      <c r="H650">
        <v>0.25</v>
      </c>
      <c r="I650" t="s">
        <v>1354</v>
      </c>
      <c r="J650" s="5">
        <v>424.875</v>
      </c>
    </row>
    <row r="651" spans="1:10">
      <c r="A651" t="s">
        <v>2000</v>
      </c>
      <c r="B651" s="7">
        <v>45801</v>
      </c>
      <c r="C651" t="s">
        <v>867</v>
      </c>
      <c r="D651" t="s">
        <v>1115</v>
      </c>
      <c r="E651" t="s">
        <v>1277</v>
      </c>
      <c r="F651">
        <f>Table5[[#This Row],[Total_Amount]]/(G651*(1-Table5[[#This Row],[Discount]]))</f>
        <v>2</v>
      </c>
      <c r="G651" s="5">
        <v>347.95</v>
      </c>
      <c r="H651">
        <v>0.13</v>
      </c>
      <c r="I651" t="s">
        <v>1354</v>
      </c>
      <c r="J651" s="5">
        <v>605.43299999999999</v>
      </c>
    </row>
    <row r="652" spans="1:10">
      <c r="A652" t="s">
        <v>2001</v>
      </c>
      <c r="B652" s="7">
        <v>45347</v>
      </c>
      <c r="C652" t="s">
        <v>480</v>
      </c>
      <c r="D652" t="s">
        <v>1189</v>
      </c>
      <c r="E652" t="s">
        <v>1291</v>
      </c>
      <c r="F652">
        <f>Table5[[#This Row],[Total_Amount]]/(G652*(1-Table5[[#This Row],[Discount]]))</f>
        <v>2</v>
      </c>
      <c r="G652" s="5">
        <v>250.83</v>
      </c>
      <c r="H652">
        <v>0.15</v>
      </c>
      <c r="I652" t="s">
        <v>1351</v>
      </c>
      <c r="J652" s="5">
        <v>426.411</v>
      </c>
    </row>
    <row r="653" spans="1:10">
      <c r="A653" t="s">
        <v>2002</v>
      </c>
      <c r="B653" s="7">
        <v>45721</v>
      </c>
      <c r="C653" t="s">
        <v>359</v>
      </c>
      <c r="D653" t="s">
        <v>1215</v>
      </c>
      <c r="E653" t="s">
        <v>1282</v>
      </c>
      <c r="F653">
        <f>Table5[[#This Row],[Total_Amount]]/(G653*(1-Table5[[#This Row],[Discount]]))</f>
        <v>1</v>
      </c>
      <c r="G653" s="5">
        <v>888.05</v>
      </c>
      <c r="H653">
        <v>0.2</v>
      </c>
      <c r="I653" t="s">
        <v>1351</v>
      </c>
      <c r="J653" s="5">
        <v>710.44</v>
      </c>
    </row>
    <row r="654" spans="1:10">
      <c r="A654" t="s">
        <v>2003</v>
      </c>
      <c r="B654" s="7">
        <v>45531</v>
      </c>
      <c r="C654" t="s">
        <v>30</v>
      </c>
      <c r="D654" t="s">
        <v>1151</v>
      </c>
      <c r="E654" t="s">
        <v>1335</v>
      </c>
      <c r="F654">
        <f>Table5[[#This Row],[Total_Amount]]/(G654*(1-Table5[[#This Row],[Discount]]))</f>
        <v>2</v>
      </c>
      <c r="G654" s="5">
        <v>673.02</v>
      </c>
      <c r="H654">
        <v>0.11</v>
      </c>
      <c r="I654" t="s">
        <v>1351</v>
      </c>
      <c r="J654" s="5">
        <v>1197.9756</v>
      </c>
    </row>
    <row r="655" spans="1:10">
      <c r="A655" t="s">
        <v>2004</v>
      </c>
      <c r="B655" s="7">
        <v>45332</v>
      </c>
      <c r="C655" t="s">
        <v>943</v>
      </c>
      <c r="D655" t="s">
        <v>1201</v>
      </c>
      <c r="E655" t="s">
        <v>1291</v>
      </c>
      <c r="F655">
        <f>Table5[[#This Row],[Total_Amount]]/(G655*(1-Table5[[#This Row],[Discount]]))</f>
        <v>2</v>
      </c>
      <c r="G655" s="5">
        <v>492.62</v>
      </c>
      <c r="H655">
        <v>0.26</v>
      </c>
      <c r="I655" t="s">
        <v>1354</v>
      </c>
      <c r="J655" s="5">
        <v>729.07759999999996</v>
      </c>
    </row>
    <row r="656" spans="1:10">
      <c r="A656" t="s">
        <v>2005</v>
      </c>
      <c r="B656" s="7">
        <v>45344</v>
      </c>
      <c r="C656" t="s">
        <v>815</v>
      </c>
      <c r="D656" t="s">
        <v>1243</v>
      </c>
      <c r="E656" t="s">
        <v>1291</v>
      </c>
      <c r="F656">
        <f>Table5[[#This Row],[Total_Amount]]/(G656*(1-Table5[[#This Row],[Discount]]))</f>
        <v>4</v>
      </c>
      <c r="G656" s="5">
        <v>986.93</v>
      </c>
      <c r="H656">
        <v>0.01</v>
      </c>
      <c r="I656" t="s">
        <v>1349</v>
      </c>
      <c r="J656" s="5">
        <v>3908.2428</v>
      </c>
    </row>
    <row r="657" spans="1:10">
      <c r="A657" t="s">
        <v>2006</v>
      </c>
      <c r="B657" s="7">
        <v>45388</v>
      </c>
      <c r="C657" t="s">
        <v>1020</v>
      </c>
      <c r="D657" t="s">
        <v>1117</v>
      </c>
      <c r="E657" t="s">
        <v>1319</v>
      </c>
      <c r="F657">
        <f>Table5[[#This Row],[Total_Amount]]/(G657*(1-Table5[[#This Row],[Discount]]))</f>
        <v>4</v>
      </c>
      <c r="G657" s="5">
        <v>411.68</v>
      </c>
      <c r="H657">
        <v>0.06</v>
      </c>
      <c r="I657" t="s">
        <v>1351</v>
      </c>
      <c r="J657" s="5">
        <v>1547.9168</v>
      </c>
    </row>
    <row r="658" spans="1:10">
      <c r="A658" t="s">
        <v>2007</v>
      </c>
      <c r="B658" s="7">
        <v>45397</v>
      </c>
      <c r="C658" t="s">
        <v>500</v>
      </c>
      <c r="D658" t="s">
        <v>1145</v>
      </c>
      <c r="E658" t="s">
        <v>1332</v>
      </c>
      <c r="F658">
        <f>Table5[[#This Row],[Total_Amount]]/(G658*(1-Table5[[#This Row],[Discount]]))</f>
        <v>2.0000000000000004</v>
      </c>
      <c r="G658" s="5">
        <v>637.55999999999995</v>
      </c>
      <c r="H658">
        <v>0.05</v>
      </c>
      <c r="I658" t="s">
        <v>1354</v>
      </c>
      <c r="J658" s="5">
        <v>1211.364</v>
      </c>
    </row>
    <row r="659" spans="1:10">
      <c r="A659" t="s">
        <v>2008</v>
      </c>
      <c r="B659" s="7">
        <v>45633</v>
      </c>
      <c r="C659" t="s">
        <v>53</v>
      </c>
      <c r="D659" t="s">
        <v>1099</v>
      </c>
      <c r="E659" t="s">
        <v>1291</v>
      </c>
      <c r="F659">
        <f>Table5[[#This Row],[Total_Amount]]/(G659*(1-Table5[[#This Row],[Discount]]))</f>
        <v>3</v>
      </c>
      <c r="G659" s="5">
        <v>706.87</v>
      </c>
      <c r="H659">
        <v>0.27</v>
      </c>
      <c r="I659" t="s">
        <v>1349</v>
      </c>
      <c r="J659" s="5">
        <v>1548.0453</v>
      </c>
    </row>
    <row r="660" spans="1:10">
      <c r="A660" t="s">
        <v>2009</v>
      </c>
      <c r="B660" s="7">
        <v>45629</v>
      </c>
      <c r="C660" t="s">
        <v>155</v>
      </c>
      <c r="D660" t="s">
        <v>1103</v>
      </c>
      <c r="E660" t="s">
        <v>1301</v>
      </c>
      <c r="F660">
        <f>Table5[[#This Row],[Total_Amount]]/(G660*(1-Table5[[#This Row],[Discount]]))</f>
        <v>2</v>
      </c>
      <c r="G660" s="5">
        <v>884.48</v>
      </c>
      <c r="H660">
        <v>0</v>
      </c>
      <c r="I660" t="s">
        <v>1354</v>
      </c>
      <c r="J660" s="5">
        <v>1768.96</v>
      </c>
    </row>
    <row r="661" spans="1:10">
      <c r="A661" t="s">
        <v>2010</v>
      </c>
      <c r="B661" s="7">
        <v>45291</v>
      </c>
      <c r="C661" t="s">
        <v>135</v>
      </c>
      <c r="D661" t="s">
        <v>1257</v>
      </c>
      <c r="E661" t="s">
        <v>1294</v>
      </c>
      <c r="F661">
        <f>Table5[[#This Row],[Total_Amount]]/(G661*(1-Table5[[#This Row],[Discount]]))</f>
        <v>3</v>
      </c>
      <c r="G661" s="5">
        <v>718.23</v>
      </c>
      <c r="H661">
        <v>0.19</v>
      </c>
      <c r="I661" t="s">
        <v>1351</v>
      </c>
      <c r="J661" s="5">
        <v>1745.2989</v>
      </c>
    </row>
    <row r="662" spans="1:10">
      <c r="A662" t="s">
        <v>2011</v>
      </c>
      <c r="B662" s="7">
        <v>45914</v>
      </c>
      <c r="C662" t="s">
        <v>422</v>
      </c>
      <c r="D662" t="s">
        <v>1253</v>
      </c>
      <c r="E662" t="s">
        <v>1335</v>
      </c>
      <c r="F662">
        <f>Table5[[#This Row],[Total_Amount]]/(G662*(1-Table5[[#This Row],[Discount]]))</f>
        <v>3.0000000000000004</v>
      </c>
      <c r="G662" s="5">
        <v>107.44</v>
      </c>
      <c r="H662">
        <v>0.27</v>
      </c>
      <c r="I662" t="s">
        <v>1351</v>
      </c>
      <c r="J662" s="5">
        <v>235.2936</v>
      </c>
    </row>
    <row r="663" spans="1:10">
      <c r="A663" t="s">
        <v>2012</v>
      </c>
      <c r="B663" s="7">
        <v>45673</v>
      </c>
      <c r="C663" t="s">
        <v>157</v>
      </c>
      <c r="D663" t="s">
        <v>1165</v>
      </c>
      <c r="E663" t="s">
        <v>1291</v>
      </c>
      <c r="F663">
        <f>Table5[[#This Row],[Total_Amount]]/(G663*(1-Table5[[#This Row],[Discount]]))</f>
        <v>4</v>
      </c>
      <c r="G663" s="5">
        <v>608.97</v>
      </c>
      <c r="H663">
        <v>0.14000000000000001</v>
      </c>
      <c r="I663" t="s">
        <v>1354</v>
      </c>
      <c r="J663" s="5">
        <v>2094.8568</v>
      </c>
    </row>
    <row r="664" spans="1:10">
      <c r="A664" t="s">
        <v>2013</v>
      </c>
      <c r="B664" s="7">
        <v>45689</v>
      </c>
      <c r="C664" t="s">
        <v>771</v>
      </c>
      <c r="D664" t="s">
        <v>1195</v>
      </c>
      <c r="E664" t="s">
        <v>1301</v>
      </c>
      <c r="F664">
        <f>Table5[[#This Row],[Total_Amount]]/(G664*(1-Table5[[#This Row],[Discount]]))</f>
        <v>2.9999999999999996</v>
      </c>
      <c r="G664" s="5">
        <v>260.45999999999998</v>
      </c>
      <c r="H664">
        <v>0.09</v>
      </c>
      <c r="I664" t="s">
        <v>1349</v>
      </c>
      <c r="J664" s="5">
        <v>711.05579999999986</v>
      </c>
    </row>
    <row r="665" spans="1:10">
      <c r="A665" t="s">
        <v>2014</v>
      </c>
      <c r="B665" s="7">
        <v>45646</v>
      </c>
      <c r="C665" t="s">
        <v>306</v>
      </c>
      <c r="D665" t="s">
        <v>1117</v>
      </c>
      <c r="E665" t="s">
        <v>1301</v>
      </c>
      <c r="F665">
        <f>Table5[[#This Row],[Total_Amount]]/(G665*(1-Table5[[#This Row],[Discount]]))</f>
        <v>1</v>
      </c>
      <c r="G665" s="5">
        <v>747.03</v>
      </c>
      <c r="H665">
        <v>0.01</v>
      </c>
      <c r="I665" t="s">
        <v>1349</v>
      </c>
      <c r="J665" s="5">
        <v>739.55970000000002</v>
      </c>
    </row>
    <row r="666" spans="1:10">
      <c r="A666" t="s">
        <v>2015</v>
      </c>
      <c r="B666" s="7">
        <v>45475</v>
      </c>
      <c r="C666" t="s">
        <v>871</v>
      </c>
      <c r="D666" t="s">
        <v>1105</v>
      </c>
      <c r="E666" t="s">
        <v>1307</v>
      </c>
      <c r="F666">
        <f>Table5[[#This Row],[Total_Amount]]/(G666*(1-Table5[[#This Row],[Discount]]))</f>
        <v>4</v>
      </c>
      <c r="G666" s="5">
        <v>700.88</v>
      </c>
      <c r="H666">
        <v>0.23</v>
      </c>
      <c r="I666" t="s">
        <v>1351</v>
      </c>
      <c r="J666" s="5">
        <v>2158.7103999999999</v>
      </c>
    </row>
    <row r="667" spans="1:10">
      <c r="A667" t="s">
        <v>2016</v>
      </c>
      <c r="B667" s="7">
        <v>45781</v>
      </c>
      <c r="C667" t="s">
        <v>138</v>
      </c>
      <c r="D667" t="s">
        <v>1263</v>
      </c>
      <c r="E667" t="s">
        <v>1324</v>
      </c>
      <c r="F667">
        <f>Table5[[#This Row],[Total_Amount]]/(G667*(1-Table5[[#This Row],[Discount]]))</f>
        <v>4</v>
      </c>
      <c r="G667" s="5">
        <v>20.09</v>
      </c>
      <c r="H667">
        <v>0.16</v>
      </c>
      <c r="I667" t="s">
        <v>1351</v>
      </c>
      <c r="J667" s="5">
        <v>67.502399999999994</v>
      </c>
    </row>
    <row r="668" spans="1:10">
      <c r="A668" t="s">
        <v>2017</v>
      </c>
      <c r="B668" s="7">
        <v>45654</v>
      </c>
      <c r="C668" t="s">
        <v>170</v>
      </c>
      <c r="D668" t="s">
        <v>1147</v>
      </c>
      <c r="E668" t="s">
        <v>1317</v>
      </c>
      <c r="F668">
        <f>Table5[[#This Row],[Total_Amount]]/(G668*(1-Table5[[#This Row],[Discount]]))</f>
        <v>3</v>
      </c>
      <c r="G668" s="5">
        <v>917.64</v>
      </c>
      <c r="H668">
        <v>0.24</v>
      </c>
      <c r="I668" t="s">
        <v>1351</v>
      </c>
      <c r="J668" s="5">
        <v>2092.2192</v>
      </c>
    </row>
    <row r="669" spans="1:10">
      <c r="A669" t="s">
        <v>2018</v>
      </c>
      <c r="B669" s="7">
        <v>45594</v>
      </c>
      <c r="C669" t="s">
        <v>145</v>
      </c>
      <c r="D669" t="s">
        <v>1115</v>
      </c>
      <c r="E669" t="s">
        <v>1277</v>
      </c>
      <c r="F669">
        <f>Table5[[#This Row],[Total_Amount]]/(G669*(1-Table5[[#This Row],[Discount]]))</f>
        <v>0.99999999999999989</v>
      </c>
      <c r="G669" s="5">
        <v>242.08</v>
      </c>
      <c r="H669">
        <v>0.18</v>
      </c>
      <c r="I669" t="s">
        <v>1351</v>
      </c>
      <c r="J669" s="5">
        <v>198.50559999999999</v>
      </c>
    </row>
    <row r="670" spans="1:10">
      <c r="A670" t="s">
        <v>2019</v>
      </c>
      <c r="B670" s="7">
        <v>45581</v>
      </c>
      <c r="C670" t="s">
        <v>159</v>
      </c>
      <c r="D670" t="s">
        <v>1199</v>
      </c>
      <c r="E670" t="s">
        <v>1304</v>
      </c>
      <c r="F670">
        <f>Table5[[#This Row],[Total_Amount]]/(G670*(1-Table5[[#This Row],[Discount]]))</f>
        <v>1.0000000000000002</v>
      </c>
      <c r="G670" s="5">
        <v>536.67999999999995</v>
      </c>
      <c r="H670">
        <v>0.27</v>
      </c>
      <c r="I670" t="s">
        <v>1349</v>
      </c>
      <c r="J670" s="5">
        <v>391.77640000000002</v>
      </c>
    </row>
    <row r="671" spans="1:10">
      <c r="A671" t="s">
        <v>2020</v>
      </c>
      <c r="B671" s="7">
        <v>45748</v>
      </c>
      <c r="C671" t="s">
        <v>246</v>
      </c>
      <c r="D671" t="s">
        <v>1131</v>
      </c>
      <c r="E671" t="s">
        <v>1294</v>
      </c>
      <c r="F671">
        <f>Table5[[#This Row],[Total_Amount]]/(G671*(1-Table5[[#This Row],[Discount]]))</f>
        <v>2</v>
      </c>
      <c r="G671" s="5">
        <v>145.18</v>
      </c>
      <c r="H671">
        <v>0.26</v>
      </c>
      <c r="I671" t="s">
        <v>1351</v>
      </c>
      <c r="J671" s="5">
        <v>214.8664</v>
      </c>
    </row>
    <row r="672" spans="1:10">
      <c r="A672" t="s">
        <v>2021</v>
      </c>
      <c r="B672" s="7">
        <v>45369</v>
      </c>
      <c r="C672" t="s">
        <v>505</v>
      </c>
      <c r="D672" t="s">
        <v>1207</v>
      </c>
      <c r="E672" t="s">
        <v>1294</v>
      </c>
      <c r="F672">
        <f>Table5[[#This Row],[Total_Amount]]/(G672*(1-Table5[[#This Row],[Discount]]))</f>
        <v>2</v>
      </c>
      <c r="G672" s="5">
        <v>132.77000000000001</v>
      </c>
      <c r="H672">
        <v>0.13</v>
      </c>
      <c r="I672" t="s">
        <v>1354</v>
      </c>
      <c r="J672" s="5">
        <v>231.0198</v>
      </c>
    </row>
    <row r="673" spans="1:10">
      <c r="A673" t="s">
        <v>2022</v>
      </c>
      <c r="B673" s="7">
        <v>45701</v>
      </c>
      <c r="C673" t="s">
        <v>50</v>
      </c>
      <c r="D673" t="s">
        <v>1155</v>
      </c>
      <c r="E673" t="s">
        <v>1311</v>
      </c>
      <c r="F673">
        <f>Table5[[#This Row],[Total_Amount]]/(G673*(1-Table5[[#This Row],[Discount]]))</f>
        <v>4</v>
      </c>
      <c r="G673" s="5">
        <v>682.11</v>
      </c>
      <c r="H673">
        <v>0.14000000000000001</v>
      </c>
      <c r="I673" t="s">
        <v>1349</v>
      </c>
      <c r="J673" s="5">
        <v>2346.4584</v>
      </c>
    </row>
    <row r="674" spans="1:10">
      <c r="A674" t="s">
        <v>2023</v>
      </c>
      <c r="B674" s="7">
        <v>45510</v>
      </c>
      <c r="C674" t="s">
        <v>1033</v>
      </c>
      <c r="D674" t="s">
        <v>1153</v>
      </c>
      <c r="E674" t="s">
        <v>1332</v>
      </c>
      <c r="F674">
        <f>Table5[[#This Row],[Total_Amount]]/(G674*(1-Table5[[#This Row],[Discount]]))</f>
        <v>4</v>
      </c>
      <c r="G674" s="5">
        <v>502.95</v>
      </c>
      <c r="H674">
        <v>0.14000000000000001</v>
      </c>
      <c r="I674" t="s">
        <v>1354</v>
      </c>
      <c r="J674" s="5">
        <v>1730.1479999999999</v>
      </c>
    </row>
    <row r="675" spans="1:10">
      <c r="A675" t="s">
        <v>2024</v>
      </c>
      <c r="B675" s="7">
        <v>45538</v>
      </c>
      <c r="C675" t="s">
        <v>531</v>
      </c>
      <c r="D675" t="s">
        <v>1147</v>
      </c>
      <c r="E675" t="s">
        <v>1329</v>
      </c>
      <c r="F675">
        <f>Table5[[#This Row],[Total_Amount]]/(G675*(1-Table5[[#This Row],[Discount]]))</f>
        <v>2</v>
      </c>
      <c r="G675" s="5">
        <v>472.08</v>
      </c>
      <c r="H675">
        <v>7.0000000000000007E-2</v>
      </c>
      <c r="I675" t="s">
        <v>1349</v>
      </c>
      <c r="J675" s="5">
        <v>878.0687999999999</v>
      </c>
    </row>
    <row r="676" spans="1:10">
      <c r="A676" t="s">
        <v>2025</v>
      </c>
      <c r="B676" s="7">
        <v>45665</v>
      </c>
      <c r="C676" t="s">
        <v>1008</v>
      </c>
      <c r="D676" t="s">
        <v>1187</v>
      </c>
      <c r="E676" t="s">
        <v>1332</v>
      </c>
      <c r="F676">
        <f>Table5[[#This Row],[Total_Amount]]/(G676*(1-Table5[[#This Row],[Discount]]))</f>
        <v>2</v>
      </c>
      <c r="G676" s="5">
        <v>218.11</v>
      </c>
      <c r="H676">
        <v>0.02</v>
      </c>
      <c r="I676" t="s">
        <v>1354</v>
      </c>
      <c r="J676" s="5">
        <v>427.49560000000002</v>
      </c>
    </row>
    <row r="677" spans="1:10">
      <c r="A677" t="s">
        <v>2026</v>
      </c>
      <c r="B677" s="7">
        <v>45859</v>
      </c>
      <c r="C677" t="s">
        <v>159</v>
      </c>
      <c r="D677" t="s">
        <v>1071</v>
      </c>
      <c r="E677" t="s">
        <v>1301</v>
      </c>
      <c r="F677">
        <f>Table5[[#This Row],[Total_Amount]]/(G677*(1-Table5[[#This Row],[Discount]]))</f>
        <v>4</v>
      </c>
      <c r="G677" s="5">
        <v>845.58</v>
      </c>
      <c r="H677">
        <v>0.06</v>
      </c>
      <c r="I677" t="s">
        <v>1351</v>
      </c>
      <c r="J677" s="5">
        <v>3179.3807999999999</v>
      </c>
    </row>
    <row r="678" spans="1:10">
      <c r="A678" t="s">
        <v>2027</v>
      </c>
      <c r="B678" s="7">
        <v>45255</v>
      </c>
      <c r="C678" t="s">
        <v>317</v>
      </c>
      <c r="D678" t="s">
        <v>1233</v>
      </c>
      <c r="E678" t="s">
        <v>1286</v>
      </c>
      <c r="F678">
        <f>Table5[[#This Row],[Total_Amount]]/(G678*(1-Table5[[#This Row],[Discount]]))</f>
        <v>2</v>
      </c>
      <c r="G678" s="5">
        <v>111.28</v>
      </c>
      <c r="H678">
        <v>0.14000000000000001</v>
      </c>
      <c r="I678" t="s">
        <v>1349</v>
      </c>
      <c r="J678" s="5">
        <v>191.4016</v>
      </c>
    </row>
    <row r="679" spans="1:10">
      <c r="A679" t="s">
        <v>2028</v>
      </c>
      <c r="B679" s="7">
        <v>45842</v>
      </c>
      <c r="C679" t="s">
        <v>415</v>
      </c>
      <c r="D679" t="s">
        <v>1191</v>
      </c>
      <c r="E679" t="s">
        <v>1324</v>
      </c>
      <c r="F679">
        <f>Table5[[#This Row],[Total_Amount]]/(G679*(1-Table5[[#This Row],[Discount]]))</f>
        <v>2</v>
      </c>
      <c r="G679" s="5">
        <v>37.21</v>
      </c>
      <c r="H679">
        <v>0.19</v>
      </c>
      <c r="I679" t="s">
        <v>1349</v>
      </c>
      <c r="J679" s="5">
        <v>60.280200000000008</v>
      </c>
    </row>
    <row r="680" spans="1:10">
      <c r="A680" t="s">
        <v>2029</v>
      </c>
      <c r="B680" s="7">
        <v>45220</v>
      </c>
      <c r="C680" t="s">
        <v>897</v>
      </c>
      <c r="D680" t="s">
        <v>1197</v>
      </c>
      <c r="E680" t="s">
        <v>1322</v>
      </c>
      <c r="F680">
        <f>Table5[[#This Row],[Total_Amount]]/(G680*(1-Table5[[#This Row],[Discount]]))</f>
        <v>1</v>
      </c>
      <c r="G680" s="5">
        <v>331.73</v>
      </c>
      <c r="H680">
        <v>0.04</v>
      </c>
      <c r="I680" t="s">
        <v>1349</v>
      </c>
      <c r="J680" s="5">
        <v>318.46080000000001</v>
      </c>
    </row>
    <row r="681" spans="1:10">
      <c r="A681" t="s">
        <v>2030</v>
      </c>
      <c r="B681" s="7">
        <v>45273</v>
      </c>
      <c r="C681" t="s">
        <v>791</v>
      </c>
      <c r="D681" t="s">
        <v>1213</v>
      </c>
      <c r="E681" t="s">
        <v>1319</v>
      </c>
      <c r="F681">
        <f>Table5[[#This Row],[Total_Amount]]/(G681*(1-Table5[[#This Row],[Discount]]))</f>
        <v>3</v>
      </c>
      <c r="G681" s="5">
        <v>306.70999999999998</v>
      </c>
      <c r="H681">
        <v>0.09</v>
      </c>
      <c r="I681" t="s">
        <v>1351</v>
      </c>
      <c r="J681" s="5">
        <v>837.31829999999991</v>
      </c>
    </row>
    <row r="682" spans="1:10">
      <c r="A682" t="s">
        <v>2031</v>
      </c>
      <c r="B682" s="7">
        <v>45456</v>
      </c>
      <c r="C682" t="s">
        <v>604</v>
      </c>
      <c r="D682" t="s">
        <v>1123</v>
      </c>
      <c r="E682" t="s">
        <v>1301</v>
      </c>
      <c r="F682">
        <f>Table5[[#This Row],[Total_Amount]]/(G682*(1-Table5[[#This Row],[Discount]]))</f>
        <v>4</v>
      </c>
      <c r="G682" s="5">
        <v>484.92</v>
      </c>
      <c r="H682">
        <v>0.28000000000000003</v>
      </c>
      <c r="I682" t="s">
        <v>1351</v>
      </c>
      <c r="J682" s="5">
        <v>1396.5696</v>
      </c>
    </row>
    <row r="683" spans="1:10">
      <c r="A683" t="s">
        <v>2032</v>
      </c>
      <c r="B683" s="7">
        <v>45292</v>
      </c>
      <c r="C683" t="s">
        <v>126</v>
      </c>
      <c r="D683" t="s">
        <v>1173</v>
      </c>
      <c r="E683" t="s">
        <v>1298</v>
      </c>
      <c r="F683">
        <f>Table5[[#This Row],[Total_Amount]]/(G683*(1-Table5[[#This Row],[Discount]]))</f>
        <v>2</v>
      </c>
      <c r="G683" s="5">
        <v>42.04</v>
      </c>
      <c r="H683">
        <v>7.0000000000000007E-2</v>
      </c>
      <c r="I683" t="s">
        <v>1349</v>
      </c>
      <c r="J683" s="5">
        <v>78.194399999999987</v>
      </c>
    </row>
    <row r="684" spans="1:10">
      <c r="A684" t="s">
        <v>2033</v>
      </c>
      <c r="B684" s="7">
        <v>45278</v>
      </c>
      <c r="C684" t="s">
        <v>626</v>
      </c>
      <c r="D684" t="s">
        <v>1183</v>
      </c>
      <c r="E684" t="s">
        <v>1301</v>
      </c>
      <c r="F684">
        <f>Table5[[#This Row],[Total_Amount]]/(G684*(1-Table5[[#This Row],[Discount]]))</f>
        <v>3</v>
      </c>
      <c r="G684" s="5">
        <v>599.48</v>
      </c>
      <c r="H684">
        <v>0.22</v>
      </c>
      <c r="I684" t="s">
        <v>1351</v>
      </c>
      <c r="J684" s="5">
        <v>1402.7832000000001</v>
      </c>
    </row>
    <row r="685" spans="1:10">
      <c r="A685" t="s">
        <v>2034</v>
      </c>
      <c r="B685" s="7">
        <v>45232</v>
      </c>
      <c r="C685" t="s">
        <v>777</v>
      </c>
      <c r="D685" t="s">
        <v>1107</v>
      </c>
      <c r="E685" t="s">
        <v>1282</v>
      </c>
      <c r="F685">
        <f>Table5[[#This Row],[Total_Amount]]/(G685*(1-Table5[[#This Row],[Discount]]))</f>
        <v>3</v>
      </c>
      <c r="G685" s="5">
        <v>401.42</v>
      </c>
      <c r="H685">
        <v>0.01</v>
      </c>
      <c r="I685" t="s">
        <v>1354</v>
      </c>
      <c r="J685" s="5">
        <v>1192.2174</v>
      </c>
    </row>
    <row r="686" spans="1:10">
      <c r="A686" t="s">
        <v>2035</v>
      </c>
      <c r="B686" s="7">
        <v>45907</v>
      </c>
      <c r="C686" t="s">
        <v>446</v>
      </c>
      <c r="D686" t="s">
        <v>1165</v>
      </c>
      <c r="E686" t="s">
        <v>1307</v>
      </c>
      <c r="F686">
        <f>Table5[[#This Row],[Total_Amount]]/(G686*(1-Table5[[#This Row],[Discount]]))</f>
        <v>4</v>
      </c>
      <c r="G686" s="5">
        <v>442.54</v>
      </c>
      <c r="H686">
        <v>0.06</v>
      </c>
      <c r="I686" t="s">
        <v>1349</v>
      </c>
      <c r="J686" s="5">
        <v>1663.9503999999999</v>
      </c>
    </row>
    <row r="687" spans="1:10">
      <c r="A687" t="s">
        <v>2036</v>
      </c>
      <c r="B687" s="7">
        <v>45270</v>
      </c>
      <c r="C687" t="s">
        <v>975</v>
      </c>
      <c r="D687" t="s">
        <v>1249</v>
      </c>
      <c r="E687" t="s">
        <v>1322</v>
      </c>
      <c r="F687">
        <f>Table5[[#This Row],[Total_Amount]]/(G687*(1-Table5[[#This Row],[Discount]]))</f>
        <v>4</v>
      </c>
      <c r="G687" s="5">
        <v>451.41</v>
      </c>
      <c r="H687">
        <v>0.06</v>
      </c>
      <c r="I687" t="s">
        <v>1351</v>
      </c>
      <c r="J687" s="5">
        <v>1697.3016</v>
      </c>
    </row>
    <row r="688" spans="1:10">
      <c r="A688" t="s">
        <v>2037</v>
      </c>
      <c r="B688" s="7">
        <v>45942</v>
      </c>
      <c r="C688" t="s">
        <v>594</v>
      </c>
      <c r="D688" t="s">
        <v>1255</v>
      </c>
      <c r="E688" t="s">
        <v>1311</v>
      </c>
      <c r="F688">
        <f>Table5[[#This Row],[Total_Amount]]/(G688*(1-Table5[[#This Row],[Discount]]))</f>
        <v>4</v>
      </c>
      <c r="G688" s="5">
        <v>547.21</v>
      </c>
      <c r="H688">
        <v>0.25</v>
      </c>
      <c r="I688" t="s">
        <v>1349</v>
      </c>
      <c r="J688" s="5">
        <v>1641.63</v>
      </c>
    </row>
    <row r="689" spans="1:10">
      <c r="A689" t="s">
        <v>2038</v>
      </c>
      <c r="B689" s="7">
        <v>45750</v>
      </c>
      <c r="C689" t="s">
        <v>468</v>
      </c>
      <c r="D689" t="s">
        <v>1247</v>
      </c>
      <c r="E689" t="s">
        <v>1294</v>
      </c>
      <c r="F689">
        <f>Table5[[#This Row],[Total_Amount]]/(G689*(1-Table5[[#This Row],[Discount]]))</f>
        <v>1</v>
      </c>
      <c r="G689" s="5">
        <v>979.28</v>
      </c>
      <c r="H689">
        <v>0.2</v>
      </c>
      <c r="I689" t="s">
        <v>1351</v>
      </c>
      <c r="J689" s="5">
        <v>783.42399999999998</v>
      </c>
    </row>
    <row r="690" spans="1:10">
      <c r="A690" t="s">
        <v>2039</v>
      </c>
      <c r="B690" s="7">
        <v>45300</v>
      </c>
      <c r="C690" t="s">
        <v>990</v>
      </c>
      <c r="D690" t="s">
        <v>1185</v>
      </c>
      <c r="E690" t="s">
        <v>1304</v>
      </c>
      <c r="F690">
        <f>Table5[[#This Row],[Total_Amount]]/(G690*(1-Table5[[#This Row],[Discount]]))</f>
        <v>4.0000000000000009</v>
      </c>
      <c r="G690" s="5">
        <v>263.58999999999997</v>
      </c>
      <c r="H690">
        <v>0.04</v>
      </c>
      <c r="I690" t="s">
        <v>1349</v>
      </c>
      <c r="J690" s="5">
        <v>1012.1856</v>
      </c>
    </row>
    <row r="691" spans="1:10">
      <c r="A691" t="s">
        <v>2040</v>
      </c>
      <c r="B691" s="7">
        <v>45876</v>
      </c>
      <c r="C691" t="s">
        <v>18</v>
      </c>
      <c r="D691" t="s">
        <v>1181</v>
      </c>
      <c r="E691" t="s">
        <v>1298</v>
      </c>
      <c r="F691">
        <f>Table5[[#This Row],[Total_Amount]]/(G691*(1-Table5[[#This Row],[Discount]]))</f>
        <v>1</v>
      </c>
      <c r="G691" s="5">
        <v>692.75</v>
      </c>
      <c r="H691">
        <v>0.11</v>
      </c>
      <c r="I691" t="s">
        <v>1354</v>
      </c>
      <c r="J691" s="5">
        <v>616.54750000000001</v>
      </c>
    </row>
    <row r="692" spans="1:10">
      <c r="A692" t="s">
        <v>2041</v>
      </c>
      <c r="B692" s="7">
        <v>45301</v>
      </c>
      <c r="C692" t="s">
        <v>387</v>
      </c>
      <c r="D692" t="s">
        <v>1199</v>
      </c>
      <c r="E692" t="s">
        <v>1291</v>
      </c>
      <c r="F692">
        <f>Table5[[#This Row],[Total_Amount]]/(G692*(1-Table5[[#This Row],[Discount]]))</f>
        <v>3</v>
      </c>
      <c r="G692" s="5">
        <v>142.83000000000001</v>
      </c>
      <c r="H692">
        <v>0.01</v>
      </c>
      <c r="I692" t="s">
        <v>1349</v>
      </c>
      <c r="J692" s="5">
        <v>424.20510000000002</v>
      </c>
    </row>
    <row r="693" spans="1:10">
      <c r="A693" t="s">
        <v>2042</v>
      </c>
      <c r="B693" s="7">
        <v>45857</v>
      </c>
      <c r="C693" t="s">
        <v>308</v>
      </c>
      <c r="D693" t="s">
        <v>1117</v>
      </c>
      <c r="E693" t="s">
        <v>1286</v>
      </c>
      <c r="F693">
        <f>Table5[[#This Row],[Total_Amount]]/(G693*(1-Table5[[#This Row],[Discount]]))</f>
        <v>2</v>
      </c>
      <c r="G693" s="5">
        <v>419.25</v>
      </c>
      <c r="H693">
        <v>0.17</v>
      </c>
      <c r="I693" t="s">
        <v>1351</v>
      </c>
      <c r="J693" s="5">
        <v>695.95499999999993</v>
      </c>
    </row>
    <row r="694" spans="1:10">
      <c r="A694" t="s">
        <v>2043</v>
      </c>
      <c r="B694" s="7">
        <v>45650</v>
      </c>
      <c r="C694" t="s">
        <v>543</v>
      </c>
      <c r="D694" t="s">
        <v>1125</v>
      </c>
      <c r="E694" t="s">
        <v>1338</v>
      </c>
      <c r="F694">
        <f>Table5[[#This Row],[Total_Amount]]/(G694*(1-Table5[[#This Row],[Discount]]))</f>
        <v>2</v>
      </c>
      <c r="G694" s="5">
        <v>800.84</v>
      </c>
      <c r="H694">
        <v>0.27</v>
      </c>
      <c r="I694" t="s">
        <v>1354</v>
      </c>
      <c r="J694" s="5">
        <v>1169.2264</v>
      </c>
    </row>
    <row r="695" spans="1:10">
      <c r="A695" t="s">
        <v>2044</v>
      </c>
      <c r="B695" s="7">
        <v>45520</v>
      </c>
      <c r="C695" t="s">
        <v>13</v>
      </c>
      <c r="D695" t="s">
        <v>1169</v>
      </c>
      <c r="E695" t="s">
        <v>1286</v>
      </c>
      <c r="F695">
        <f>Table5[[#This Row],[Total_Amount]]/(G695*(1-Table5[[#This Row],[Discount]]))</f>
        <v>0.99999999999999978</v>
      </c>
      <c r="G695" s="5">
        <v>301.24</v>
      </c>
      <c r="H695">
        <v>0.11</v>
      </c>
      <c r="I695" t="s">
        <v>1351</v>
      </c>
      <c r="J695" s="5">
        <v>268.10359999999997</v>
      </c>
    </row>
    <row r="696" spans="1:10">
      <c r="A696" t="s">
        <v>2045</v>
      </c>
      <c r="B696" s="7">
        <v>45497</v>
      </c>
      <c r="C696" t="s">
        <v>640</v>
      </c>
      <c r="D696" t="s">
        <v>1243</v>
      </c>
      <c r="E696" t="s">
        <v>1298</v>
      </c>
      <c r="F696">
        <f>Table5[[#This Row],[Total_Amount]]/(G696*(1-Table5[[#This Row],[Discount]]))</f>
        <v>2</v>
      </c>
      <c r="G696" s="5">
        <v>701.49</v>
      </c>
      <c r="H696">
        <v>0.09</v>
      </c>
      <c r="I696" t="s">
        <v>1351</v>
      </c>
      <c r="J696" s="5">
        <v>1276.7118</v>
      </c>
    </row>
    <row r="697" spans="1:10">
      <c r="A697" t="s">
        <v>2046</v>
      </c>
      <c r="B697" s="7">
        <v>45615</v>
      </c>
      <c r="C697" t="s">
        <v>766</v>
      </c>
      <c r="D697" t="s">
        <v>1125</v>
      </c>
      <c r="E697" t="s">
        <v>1314</v>
      </c>
      <c r="F697">
        <f>Table5[[#This Row],[Total_Amount]]/(G697*(1-Table5[[#This Row],[Discount]]))</f>
        <v>4</v>
      </c>
      <c r="G697" s="5">
        <v>413.48</v>
      </c>
      <c r="H697">
        <v>0.02</v>
      </c>
      <c r="I697" t="s">
        <v>1351</v>
      </c>
      <c r="J697" s="5">
        <v>1620.8416</v>
      </c>
    </row>
    <row r="698" spans="1:10">
      <c r="A698" t="s">
        <v>2047</v>
      </c>
      <c r="B698" s="7">
        <v>45365</v>
      </c>
      <c r="C698" t="s">
        <v>456</v>
      </c>
      <c r="D698" t="s">
        <v>1087</v>
      </c>
      <c r="E698" t="s">
        <v>1282</v>
      </c>
      <c r="F698">
        <f>Table5[[#This Row],[Total_Amount]]/(G698*(1-Table5[[#This Row],[Discount]]))</f>
        <v>4</v>
      </c>
      <c r="G698" s="5">
        <v>167.83</v>
      </c>
      <c r="H698">
        <v>0.15</v>
      </c>
      <c r="I698" t="s">
        <v>1349</v>
      </c>
      <c r="J698" s="5">
        <v>570.62200000000007</v>
      </c>
    </row>
    <row r="699" spans="1:10">
      <c r="A699" t="s">
        <v>2048</v>
      </c>
      <c r="B699" s="7">
        <v>45832</v>
      </c>
      <c r="C699" t="s">
        <v>339</v>
      </c>
      <c r="D699" t="s">
        <v>1103</v>
      </c>
      <c r="E699" t="s">
        <v>1335</v>
      </c>
      <c r="F699">
        <f>Table5[[#This Row],[Total_Amount]]/(G699*(1-Table5[[#This Row],[Discount]]))</f>
        <v>2</v>
      </c>
      <c r="G699" s="5">
        <v>669.12</v>
      </c>
      <c r="H699">
        <v>0.22</v>
      </c>
      <c r="I699" t="s">
        <v>1349</v>
      </c>
      <c r="J699" s="5">
        <v>1043.8271999999999</v>
      </c>
    </row>
    <row r="700" spans="1:10">
      <c r="A700" t="s">
        <v>2049</v>
      </c>
      <c r="B700" s="7">
        <v>45530</v>
      </c>
      <c r="C700" t="s">
        <v>115</v>
      </c>
      <c r="D700" t="s">
        <v>1147</v>
      </c>
      <c r="E700" t="s">
        <v>1304</v>
      </c>
      <c r="F700">
        <f>Table5[[#This Row],[Total_Amount]]/(G700*(1-Table5[[#This Row],[Discount]]))</f>
        <v>3</v>
      </c>
      <c r="G700" s="5">
        <v>346.77</v>
      </c>
      <c r="H700">
        <v>0.18</v>
      </c>
      <c r="I700" t="s">
        <v>1351</v>
      </c>
      <c r="J700" s="5">
        <v>853.05420000000004</v>
      </c>
    </row>
    <row r="701" spans="1:10">
      <c r="A701" t="s">
        <v>2050</v>
      </c>
      <c r="B701" s="7">
        <v>45939</v>
      </c>
      <c r="C701" t="s">
        <v>164</v>
      </c>
      <c r="D701" t="s">
        <v>1119</v>
      </c>
      <c r="E701" t="s">
        <v>1338</v>
      </c>
      <c r="F701">
        <f>Table5[[#This Row],[Total_Amount]]/(G701*(1-Table5[[#This Row],[Discount]]))</f>
        <v>2.9999999999999996</v>
      </c>
      <c r="G701" s="5">
        <v>648.33000000000004</v>
      </c>
      <c r="H701">
        <v>0.2</v>
      </c>
      <c r="I701" t="s">
        <v>1354</v>
      </c>
      <c r="J701" s="5">
        <v>1555.992</v>
      </c>
    </row>
    <row r="702" spans="1:10">
      <c r="A702" t="s">
        <v>2051</v>
      </c>
      <c r="B702" s="7">
        <v>45401</v>
      </c>
      <c r="C702" t="s">
        <v>634</v>
      </c>
      <c r="D702" t="s">
        <v>1082</v>
      </c>
      <c r="E702" t="s">
        <v>1286</v>
      </c>
      <c r="F702">
        <f>Table5[[#This Row],[Total_Amount]]/(G702*(1-Table5[[#This Row],[Discount]]))</f>
        <v>4</v>
      </c>
      <c r="G702" s="5">
        <v>254.94</v>
      </c>
      <c r="H702">
        <v>0.06</v>
      </c>
      <c r="I702" t="s">
        <v>1351</v>
      </c>
      <c r="J702" s="5">
        <v>958.57439999999997</v>
      </c>
    </row>
    <row r="703" spans="1:10">
      <c r="A703" t="s">
        <v>2052</v>
      </c>
      <c r="B703" s="7">
        <v>45420</v>
      </c>
      <c r="C703" t="s">
        <v>740</v>
      </c>
      <c r="D703" t="s">
        <v>1235</v>
      </c>
      <c r="E703" t="s">
        <v>1294</v>
      </c>
      <c r="F703">
        <f>Table5[[#This Row],[Total_Amount]]/(G703*(1-Table5[[#This Row],[Discount]]))</f>
        <v>1</v>
      </c>
      <c r="G703" s="5">
        <v>445.5</v>
      </c>
      <c r="H703">
        <v>0.28000000000000003</v>
      </c>
      <c r="I703" t="s">
        <v>1349</v>
      </c>
      <c r="J703" s="5">
        <v>320.76</v>
      </c>
    </row>
    <row r="704" spans="1:10">
      <c r="A704" t="s">
        <v>2053</v>
      </c>
      <c r="B704" s="7">
        <v>45459</v>
      </c>
      <c r="C704" t="s">
        <v>505</v>
      </c>
      <c r="D704" t="s">
        <v>1253</v>
      </c>
      <c r="E704" t="s">
        <v>1294</v>
      </c>
      <c r="F704">
        <f>Table5[[#This Row],[Total_Amount]]/(G704*(1-Table5[[#This Row],[Discount]]))</f>
        <v>1</v>
      </c>
      <c r="G704" s="5">
        <v>900.94</v>
      </c>
      <c r="H704">
        <v>0.1</v>
      </c>
      <c r="I704" t="s">
        <v>1349</v>
      </c>
      <c r="J704" s="5">
        <v>810.84600000000012</v>
      </c>
    </row>
    <row r="705" spans="1:10">
      <c r="A705" t="s">
        <v>2054</v>
      </c>
      <c r="B705" s="7">
        <v>45429</v>
      </c>
      <c r="C705" t="s">
        <v>454</v>
      </c>
      <c r="D705" t="s">
        <v>1103</v>
      </c>
      <c r="E705" t="s">
        <v>1329</v>
      </c>
      <c r="F705">
        <f>Table5[[#This Row],[Total_Amount]]/(G705*(1-Table5[[#This Row],[Discount]]))</f>
        <v>2.9999999999999996</v>
      </c>
      <c r="G705" s="5">
        <v>262.69</v>
      </c>
      <c r="H705">
        <v>0.04</v>
      </c>
      <c r="I705" t="s">
        <v>1351</v>
      </c>
      <c r="J705" s="5">
        <v>756.54719999999986</v>
      </c>
    </row>
    <row r="706" spans="1:10">
      <c r="A706" t="s">
        <v>2055</v>
      </c>
      <c r="B706" s="7">
        <v>45386</v>
      </c>
      <c r="C706" t="s">
        <v>1026</v>
      </c>
      <c r="D706" t="s">
        <v>1209</v>
      </c>
      <c r="E706" t="s">
        <v>1286</v>
      </c>
      <c r="F706">
        <f>Table5[[#This Row],[Total_Amount]]/(G706*(1-Table5[[#This Row],[Discount]]))</f>
        <v>2.9999999999999996</v>
      </c>
      <c r="G706" s="5">
        <v>212.72</v>
      </c>
      <c r="H706">
        <v>0.22</v>
      </c>
      <c r="I706" t="s">
        <v>1351</v>
      </c>
      <c r="J706" s="5">
        <v>497.76479999999998</v>
      </c>
    </row>
    <row r="707" spans="1:10">
      <c r="A707" t="s">
        <v>2056</v>
      </c>
      <c r="B707" s="7">
        <v>45803</v>
      </c>
      <c r="C707" t="s">
        <v>363</v>
      </c>
      <c r="D707" t="s">
        <v>1121</v>
      </c>
      <c r="E707" t="s">
        <v>1335</v>
      </c>
      <c r="F707">
        <f>Table5[[#This Row],[Total_Amount]]/(G707*(1-Table5[[#This Row],[Discount]]))</f>
        <v>4</v>
      </c>
      <c r="G707" s="5">
        <v>757.9</v>
      </c>
      <c r="H707">
        <v>0.22</v>
      </c>
      <c r="I707" t="s">
        <v>1351</v>
      </c>
      <c r="J707" s="5">
        <v>2364.6480000000001</v>
      </c>
    </row>
    <row r="708" spans="1:10">
      <c r="A708" t="s">
        <v>2057</v>
      </c>
      <c r="B708" s="7">
        <v>45346</v>
      </c>
      <c r="C708" t="s">
        <v>61</v>
      </c>
      <c r="D708" t="s">
        <v>1233</v>
      </c>
      <c r="E708" t="s">
        <v>1332</v>
      </c>
      <c r="F708">
        <f>Table5[[#This Row],[Total_Amount]]/(G708*(1-Table5[[#This Row],[Discount]]))</f>
        <v>1</v>
      </c>
      <c r="G708" s="5">
        <v>846.04</v>
      </c>
      <c r="H708">
        <v>0.08</v>
      </c>
      <c r="I708" t="s">
        <v>1351</v>
      </c>
      <c r="J708" s="5">
        <v>778.35680000000002</v>
      </c>
    </row>
    <row r="709" spans="1:10">
      <c r="A709" t="s">
        <v>2058</v>
      </c>
      <c r="B709" s="7">
        <v>45267</v>
      </c>
      <c r="C709" t="s">
        <v>379</v>
      </c>
      <c r="D709" t="s">
        <v>1149</v>
      </c>
      <c r="E709" t="s">
        <v>1304</v>
      </c>
      <c r="F709">
        <f>Table5[[#This Row],[Total_Amount]]/(G709*(1-Table5[[#This Row],[Discount]]))</f>
        <v>3</v>
      </c>
      <c r="G709" s="5">
        <v>179.7</v>
      </c>
      <c r="H709">
        <v>0.17</v>
      </c>
      <c r="I709" t="s">
        <v>1354</v>
      </c>
      <c r="J709" s="5">
        <v>447.45299999999992</v>
      </c>
    </row>
    <row r="710" spans="1:10">
      <c r="A710" t="s">
        <v>2059</v>
      </c>
      <c r="B710" s="7">
        <v>45572</v>
      </c>
      <c r="C710" t="s">
        <v>955</v>
      </c>
      <c r="D710" t="s">
        <v>1135</v>
      </c>
      <c r="E710" t="s">
        <v>1294</v>
      </c>
      <c r="F710">
        <f>Table5[[#This Row],[Total_Amount]]/(G710*(1-Table5[[#This Row],[Discount]]))</f>
        <v>4</v>
      </c>
      <c r="G710" s="5">
        <v>681.08</v>
      </c>
      <c r="H710">
        <v>0</v>
      </c>
      <c r="I710" t="s">
        <v>1351</v>
      </c>
      <c r="J710" s="5">
        <v>2724.32</v>
      </c>
    </row>
    <row r="711" spans="1:10">
      <c r="A711" t="s">
        <v>2060</v>
      </c>
      <c r="B711" s="7">
        <v>45252</v>
      </c>
      <c r="C711" t="s">
        <v>869</v>
      </c>
      <c r="D711" t="s">
        <v>1078</v>
      </c>
      <c r="E711" t="s">
        <v>1304</v>
      </c>
      <c r="F711">
        <f>Table5[[#This Row],[Total_Amount]]/(G711*(1-Table5[[#This Row],[Discount]]))</f>
        <v>4</v>
      </c>
      <c r="G711" s="5">
        <v>723.44</v>
      </c>
      <c r="H711">
        <v>0.14000000000000001</v>
      </c>
      <c r="I711" t="s">
        <v>1351</v>
      </c>
      <c r="J711" s="5">
        <v>2488.6336000000001</v>
      </c>
    </row>
    <row r="712" spans="1:10">
      <c r="A712" t="s">
        <v>2061</v>
      </c>
      <c r="B712" s="7">
        <v>45939</v>
      </c>
      <c r="C712" t="s">
        <v>313</v>
      </c>
      <c r="D712" t="s">
        <v>1135</v>
      </c>
      <c r="E712" t="s">
        <v>1324</v>
      </c>
      <c r="F712">
        <f>Table5[[#This Row],[Total_Amount]]/(G712*(1-Table5[[#This Row],[Discount]]))</f>
        <v>4</v>
      </c>
      <c r="G712" s="5">
        <v>471.89</v>
      </c>
      <c r="H712">
        <v>0.12</v>
      </c>
      <c r="I712" t="s">
        <v>1354</v>
      </c>
      <c r="J712" s="5">
        <v>1661.0527999999999</v>
      </c>
    </row>
    <row r="713" spans="1:10">
      <c r="A713" t="s">
        <v>2062</v>
      </c>
      <c r="B713" s="7">
        <v>45559</v>
      </c>
      <c r="C713" t="s">
        <v>795</v>
      </c>
      <c r="D713" t="s">
        <v>1215</v>
      </c>
      <c r="E713" t="s">
        <v>1332</v>
      </c>
      <c r="F713">
        <f>Table5[[#This Row],[Total_Amount]]/(G713*(1-Table5[[#This Row],[Discount]]))</f>
        <v>1</v>
      </c>
      <c r="G713" s="5">
        <v>613.17999999999995</v>
      </c>
      <c r="H713">
        <v>0.14000000000000001</v>
      </c>
      <c r="I713" t="s">
        <v>1354</v>
      </c>
      <c r="J713" s="5">
        <v>527.33479999999997</v>
      </c>
    </row>
    <row r="714" spans="1:10">
      <c r="A714" t="s">
        <v>2063</v>
      </c>
      <c r="B714" s="7">
        <v>45229</v>
      </c>
      <c r="C714" t="s">
        <v>145</v>
      </c>
      <c r="D714" t="s">
        <v>1159</v>
      </c>
      <c r="E714" t="s">
        <v>1294</v>
      </c>
      <c r="F714">
        <f>Table5[[#This Row],[Total_Amount]]/(G714*(1-Table5[[#This Row],[Discount]]))</f>
        <v>1.0000000000000002</v>
      </c>
      <c r="G714" s="5">
        <v>651.30999999999995</v>
      </c>
      <c r="H714">
        <v>0.24</v>
      </c>
      <c r="I714" t="s">
        <v>1351</v>
      </c>
      <c r="J714" s="5">
        <v>494.99560000000002</v>
      </c>
    </row>
    <row r="715" spans="1:10">
      <c r="A715" t="s">
        <v>2064</v>
      </c>
      <c r="B715" s="7">
        <v>45333</v>
      </c>
      <c r="C715" t="s">
        <v>79</v>
      </c>
      <c r="D715" t="s">
        <v>1076</v>
      </c>
      <c r="E715" t="s">
        <v>1301</v>
      </c>
      <c r="F715">
        <f>Table5[[#This Row],[Total_Amount]]/(G715*(1-Table5[[#This Row],[Discount]]))</f>
        <v>2</v>
      </c>
      <c r="G715" s="5">
        <v>635.14</v>
      </c>
      <c r="H715">
        <v>0.1</v>
      </c>
      <c r="I715" t="s">
        <v>1354</v>
      </c>
      <c r="J715" s="5">
        <v>1143.252</v>
      </c>
    </row>
    <row r="716" spans="1:10">
      <c r="A716" t="s">
        <v>2065</v>
      </c>
      <c r="B716" s="7">
        <v>45752</v>
      </c>
      <c r="C716" t="s">
        <v>823</v>
      </c>
      <c r="D716" t="s">
        <v>1269</v>
      </c>
      <c r="E716" t="s">
        <v>1324</v>
      </c>
      <c r="F716">
        <f>Table5[[#This Row],[Total_Amount]]/(G716*(1-Table5[[#This Row],[Discount]]))</f>
        <v>4</v>
      </c>
      <c r="G716" s="5">
        <v>912.61</v>
      </c>
      <c r="H716">
        <v>0.14000000000000001</v>
      </c>
      <c r="I716" t="s">
        <v>1349</v>
      </c>
      <c r="J716" s="5">
        <v>3139.3784000000001</v>
      </c>
    </row>
    <row r="717" spans="1:10">
      <c r="A717" t="s">
        <v>2066</v>
      </c>
      <c r="B717" s="7">
        <v>45795</v>
      </c>
      <c r="C717" t="s">
        <v>612</v>
      </c>
      <c r="D717" t="s">
        <v>1167</v>
      </c>
      <c r="E717" t="s">
        <v>1304</v>
      </c>
      <c r="F717">
        <f>Table5[[#This Row],[Total_Amount]]/(G717*(1-Table5[[#This Row],[Discount]]))</f>
        <v>3</v>
      </c>
      <c r="G717" s="5">
        <v>79.77</v>
      </c>
      <c r="H717">
        <v>0.09</v>
      </c>
      <c r="I717" t="s">
        <v>1349</v>
      </c>
      <c r="J717" s="5">
        <v>217.77209999999999</v>
      </c>
    </row>
    <row r="718" spans="1:10">
      <c r="A718" t="s">
        <v>2067</v>
      </c>
      <c r="B718" s="7">
        <v>45755</v>
      </c>
      <c r="C718" t="s">
        <v>618</v>
      </c>
      <c r="D718" t="s">
        <v>1261</v>
      </c>
      <c r="E718" t="s">
        <v>1326</v>
      </c>
      <c r="F718">
        <f>Table5[[#This Row],[Total_Amount]]/(G718*(1-Table5[[#This Row],[Discount]]))</f>
        <v>4</v>
      </c>
      <c r="G718" s="5">
        <v>603.52</v>
      </c>
      <c r="H718">
        <v>0.25</v>
      </c>
      <c r="I718" t="s">
        <v>1349</v>
      </c>
      <c r="J718" s="5">
        <v>1810.56</v>
      </c>
    </row>
    <row r="719" spans="1:10">
      <c r="A719" t="s">
        <v>2068</v>
      </c>
      <c r="B719" s="7">
        <v>45625</v>
      </c>
      <c r="C719" t="s">
        <v>206</v>
      </c>
      <c r="D719" t="s">
        <v>1227</v>
      </c>
      <c r="E719" t="s">
        <v>1319</v>
      </c>
      <c r="F719">
        <f>Table5[[#This Row],[Total_Amount]]/(G719*(1-Table5[[#This Row],[Discount]]))</f>
        <v>4</v>
      </c>
      <c r="G719" s="5">
        <v>453.12</v>
      </c>
      <c r="H719">
        <v>0.23</v>
      </c>
      <c r="I719" t="s">
        <v>1354</v>
      </c>
      <c r="J719" s="5">
        <v>1395.6096</v>
      </c>
    </row>
    <row r="720" spans="1:10">
      <c r="A720" t="s">
        <v>2069</v>
      </c>
      <c r="B720" s="7">
        <v>45656</v>
      </c>
      <c r="C720" t="s">
        <v>1055</v>
      </c>
      <c r="D720" t="s">
        <v>1139</v>
      </c>
      <c r="E720" t="s">
        <v>1311</v>
      </c>
      <c r="F720">
        <f>Table5[[#This Row],[Total_Amount]]/(G720*(1-Table5[[#This Row],[Discount]]))</f>
        <v>2</v>
      </c>
      <c r="G720" s="5">
        <v>974.35</v>
      </c>
      <c r="H720">
        <v>0.15</v>
      </c>
      <c r="I720" t="s">
        <v>1349</v>
      </c>
      <c r="J720" s="5">
        <v>1656.395</v>
      </c>
    </row>
    <row r="721" spans="1:10">
      <c r="A721" t="s">
        <v>2070</v>
      </c>
      <c r="B721" s="7">
        <v>45824</v>
      </c>
      <c r="C721" t="s">
        <v>1014</v>
      </c>
      <c r="D721" t="s">
        <v>1263</v>
      </c>
      <c r="E721" t="s">
        <v>1332</v>
      </c>
      <c r="F721">
        <f>Table5[[#This Row],[Total_Amount]]/(G721*(1-Table5[[#This Row],[Discount]]))</f>
        <v>4</v>
      </c>
      <c r="G721" s="5">
        <v>52.35</v>
      </c>
      <c r="H721">
        <v>0.23</v>
      </c>
      <c r="I721" t="s">
        <v>1354</v>
      </c>
      <c r="J721" s="5">
        <v>161.238</v>
      </c>
    </row>
    <row r="722" spans="1:10">
      <c r="A722" t="s">
        <v>2071</v>
      </c>
      <c r="B722" s="7">
        <v>45824</v>
      </c>
      <c r="C722" t="s">
        <v>803</v>
      </c>
      <c r="D722" t="s">
        <v>1203</v>
      </c>
      <c r="E722" t="s">
        <v>1332</v>
      </c>
      <c r="F722">
        <f>Table5[[#This Row],[Total_Amount]]/(G722*(1-Table5[[#This Row],[Discount]]))</f>
        <v>3</v>
      </c>
      <c r="G722" s="5">
        <v>681.58</v>
      </c>
      <c r="H722">
        <v>0.23</v>
      </c>
      <c r="I722" t="s">
        <v>1349</v>
      </c>
      <c r="J722" s="5">
        <v>1574.4498000000001</v>
      </c>
    </row>
    <row r="723" spans="1:10">
      <c r="A723" t="s">
        <v>2072</v>
      </c>
      <c r="B723" s="7">
        <v>45384</v>
      </c>
      <c r="C723" t="s">
        <v>415</v>
      </c>
      <c r="D723" t="s">
        <v>1239</v>
      </c>
      <c r="E723" t="s">
        <v>1326</v>
      </c>
      <c r="F723">
        <f>Table5[[#This Row],[Total_Amount]]/(G723*(1-Table5[[#This Row],[Discount]]))</f>
        <v>3</v>
      </c>
      <c r="G723" s="5">
        <v>71.23</v>
      </c>
      <c r="H723">
        <v>0.03</v>
      </c>
      <c r="I723" t="s">
        <v>1349</v>
      </c>
      <c r="J723" s="5">
        <v>207.27930000000001</v>
      </c>
    </row>
    <row r="724" spans="1:10">
      <c r="A724" t="s">
        <v>2073</v>
      </c>
      <c r="B724" s="7">
        <v>45379</v>
      </c>
      <c r="C724" t="s">
        <v>545</v>
      </c>
      <c r="D724" t="s">
        <v>1103</v>
      </c>
      <c r="E724" t="s">
        <v>1324</v>
      </c>
      <c r="F724">
        <f>Table5[[#This Row],[Total_Amount]]/(G724*(1-Table5[[#This Row],[Discount]]))</f>
        <v>1</v>
      </c>
      <c r="G724" s="5">
        <v>31.36</v>
      </c>
      <c r="H724">
        <v>0.21</v>
      </c>
      <c r="I724" t="s">
        <v>1354</v>
      </c>
      <c r="J724" s="5">
        <v>24.7744</v>
      </c>
    </row>
    <row r="725" spans="1:10">
      <c r="A725" t="s">
        <v>2074</v>
      </c>
      <c r="B725" s="7">
        <v>45674</v>
      </c>
      <c r="C725" t="s">
        <v>746</v>
      </c>
      <c r="D725" t="s">
        <v>1155</v>
      </c>
      <c r="E725" t="s">
        <v>1322</v>
      </c>
      <c r="F725">
        <f>Table5[[#This Row],[Total_Amount]]/(G725*(1-Table5[[#This Row],[Discount]]))</f>
        <v>2</v>
      </c>
      <c r="G725" s="5">
        <v>555.54999999999995</v>
      </c>
      <c r="H725">
        <v>0.14000000000000001</v>
      </c>
      <c r="I725" t="s">
        <v>1349</v>
      </c>
      <c r="J725" s="5">
        <v>955.54599999999994</v>
      </c>
    </row>
    <row r="726" spans="1:10">
      <c r="A726" t="s">
        <v>2075</v>
      </c>
      <c r="B726" s="7">
        <v>45760</v>
      </c>
      <c r="C726" t="s">
        <v>565</v>
      </c>
      <c r="D726" t="s">
        <v>1205</v>
      </c>
      <c r="E726" t="s">
        <v>1329</v>
      </c>
      <c r="F726">
        <f>Table5[[#This Row],[Total_Amount]]/(G726*(1-Table5[[#This Row],[Discount]]))</f>
        <v>4</v>
      </c>
      <c r="G726" s="5">
        <v>805.99</v>
      </c>
      <c r="H726">
        <v>0.06</v>
      </c>
      <c r="I726" t="s">
        <v>1349</v>
      </c>
      <c r="J726" s="5">
        <v>3030.5223999999998</v>
      </c>
    </row>
    <row r="727" spans="1:10">
      <c r="A727" t="s">
        <v>2076</v>
      </c>
      <c r="B727" s="7">
        <v>45474</v>
      </c>
      <c r="C727" t="s">
        <v>839</v>
      </c>
      <c r="D727" t="s">
        <v>1215</v>
      </c>
      <c r="E727" t="s">
        <v>1282</v>
      </c>
      <c r="F727">
        <f>Table5[[#This Row],[Total_Amount]]/(G727*(1-Table5[[#This Row],[Discount]]))</f>
        <v>1</v>
      </c>
      <c r="G727" s="5">
        <v>506.55</v>
      </c>
      <c r="H727">
        <v>0.28000000000000003</v>
      </c>
      <c r="I727" t="s">
        <v>1349</v>
      </c>
      <c r="J727" s="5">
        <v>364.71600000000001</v>
      </c>
    </row>
    <row r="728" spans="1:10">
      <c r="A728" t="s">
        <v>2077</v>
      </c>
      <c r="B728" s="7">
        <v>45640</v>
      </c>
      <c r="C728" t="s">
        <v>321</v>
      </c>
      <c r="D728" t="s">
        <v>1155</v>
      </c>
      <c r="E728" t="s">
        <v>1317</v>
      </c>
      <c r="F728">
        <f>Table5[[#This Row],[Total_Amount]]/(G728*(1-Table5[[#This Row],[Discount]]))</f>
        <v>3.0000000000000004</v>
      </c>
      <c r="G728" s="5">
        <v>28.69</v>
      </c>
      <c r="H728">
        <v>0.02</v>
      </c>
      <c r="I728" t="s">
        <v>1349</v>
      </c>
      <c r="J728" s="5">
        <v>84.348600000000005</v>
      </c>
    </row>
    <row r="729" spans="1:10">
      <c r="A729" t="s">
        <v>2078</v>
      </c>
      <c r="B729" s="7">
        <v>45253</v>
      </c>
      <c r="C729" t="s">
        <v>837</v>
      </c>
      <c r="D729" t="s">
        <v>1225</v>
      </c>
      <c r="E729" t="s">
        <v>1294</v>
      </c>
      <c r="F729">
        <f>Table5[[#This Row],[Total_Amount]]/(G729*(1-Table5[[#This Row],[Discount]]))</f>
        <v>1</v>
      </c>
      <c r="G729" s="5">
        <v>106.07</v>
      </c>
      <c r="H729">
        <v>0.23</v>
      </c>
      <c r="I729" t="s">
        <v>1354</v>
      </c>
      <c r="J729" s="5">
        <v>81.673900000000003</v>
      </c>
    </row>
    <row r="730" spans="1:10">
      <c r="A730" t="s">
        <v>2079</v>
      </c>
      <c r="B730" s="7">
        <v>45225</v>
      </c>
      <c r="C730" t="s">
        <v>583</v>
      </c>
      <c r="D730" t="s">
        <v>1255</v>
      </c>
      <c r="E730" t="s">
        <v>1277</v>
      </c>
      <c r="F730">
        <f>Table5[[#This Row],[Total_Amount]]/(G730*(1-Table5[[#This Row],[Discount]]))</f>
        <v>4.0000000000000009</v>
      </c>
      <c r="G730" s="5">
        <v>289.77</v>
      </c>
      <c r="H730">
        <v>0.06</v>
      </c>
      <c r="I730" t="s">
        <v>1351</v>
      </c>
      <c r="J730" s="5">
        <v>1089.5352</v>
      </c>
    </row>
    <row r="731" spans="1:10">
      <c r="A731" t="s">
        <v>2080</v>
      </c>
      <c r="B731" s="7">
        <v>45263</v>
      </c>
      <c r="C731" t="s">
        <v>373</v>
      </c>
      <c r="D731" t="s">
        <v>1239</v>
      </c>
      <c r="E731" t="s">
        <v>1335</v>
      </c>
      <c r="F731">
        <f>Table5[[#This Row],[Total_Amount]]/(G731*(1-Table5[[#This Row],[Discount]]))</f>
        <v>2</v>
      </c>
      <c r="G731" s="5">
        <v>354.26</v>
      </c>
      <c r="H731">
        <v>0.01</v>
      </c>
      <c r="I731" t="s">
        <v>1354</v>
      </c>
      <c r="J731" s="5">
        <v>701.4348</v>
      </c>
    </row>
    <row r="732" spans="1:10">
      <c r="A732" t="s">
        <v>2081</v>
      </c>
      <c r="B732" s="7">
        <v>45554</v>
      </c>
      <c r="C732" t="s">
        <v>833</v>
      </c>
      <c r="D732" t="s">
        <v>1209</v>
      </c>
      <c r="E732" t="s">
        <v>1324</v>
      </c>
      <c r="F732">
        <f>Table5[[#This Row],[Total_Amount]]/(G732*(1-Table5[[#This Row],[Discount]]))</f>
        <v>1</v>
      </c>
      <c r="G732" s="5">
        <v>522.72</v>
      </c>
      <c r="H732">
        <v>0.25</v>
      </c>
      <c r="I732" t="s">
        <v>1351</v>
      </c>
      <c r="J732" s="5">
        <v>392.04</v>
      </c>
    </row>
    <row r="733" spans="1:10">
      <c r="A733" t="s">
        <v>2082</v>
      </c>
      <c r="B733" s="7">
        <v>45569</v>
      </c>
      <c r="C733" t="s">
        <v>159</v>
      </c>
      <c r="D733" t="s">
        <v>1080</v>
      </c>
      <c r="E733" t="s">
        <v>1311</v>
      </c>
      <c r="F733">
        <f>Table5[[#This Row],[Total_Amount]]/(G733*(1-Table5[[#This Row],[Discount]]))</f>
        <v>3</v>
      </c>
      <c r="G733" s="5">
        <v>966.02</v>
      </c>
      <c r="H733">
        <v>0.03</v>
      </c>
      <c r="I733" t="s">
        <v>1354</v>
      </c>
      <c r="J733" s="5">
        <v>2811.1181999999999</v>
      </c>
    </row>
    <row r="734" spans="1:10">
      <c r="A734" t="s">
        <v>2083</v>
      </c>
      <c r="B734" s="7">
        <v>45217</v>
      </c>
      <c r="C734" t="s">
        <v>511</v>
      </c>
      <c r="D734" t="s">
        <v>1173</v>
      </c>
      <c r="E734" t="s">
        <v>1332</v>
      </c>
      <c r="F734">
        <f>Table5[[#This Row],[Total_Amount]]/(G734*(1-Table5[[#This Row],[Discount]]))</f>
        <v>1</v>
      </c>
      <c r="G734" s="5">
        <v>498.61</v>
      </c>
      <c r="H734">
        <v>0.04</v>
      </c>
      <c r="I734" t="s">
        <v>1351</v>
      </c>
      <c r="J734" s="5">
        <v>478.66559999999998</v>
      </c>
    </row>
    <row r="735" spans="1:10">
      <c r="A735" t="s">
        <v>2084</v>
      </c>
      <c r="B735" s="7">
        <v>45783</v>
      </c>
      <c r="C735" t="s">
        <v>724</v>
      </c>
      <c r="D735" t="s">
        <v>1157</v>
      </c>
      <c r="E735" t="s">
        <v>1301</v>
      </c>
      <c r="F735">
        <f>Table5[[#This Row],[Total_Amount]]/(G735*(1-Table5[[#This Row],[Discount]]))</f>
        <v>4</v>
      </c>
      <c r="G735" s="5">
        <v>758.27</v>
      </c>
      <c r="H735">
        <v>0.05</v>
      </c>
      <c r="I735" t="s">
        <v>1351</v>
      </c>
      <c r="J735" s="5">
        <v>2881.4259999999999</v>
      </c>
    </row>
    <row r="736" spans="1:10">
      <c r="A736" t="s">
        <v>2085</v>
      </c>
      <c r="B736" s="7">
        <v>45371</v>
      </c>
      <c r="C736" t="s">
        <v>458</v>
      </c>
      <c r="D736" t="s">
        <v>1076</v>
      </c>
      <c r="E736" t="s">
        <v>1286</v>
      </c>
      <c r="F736">
        <f>Table5[[#This Row],[Total_Amount]]/(G736*(1-Table5[[#This Row],[Discount]]))</f>
        <v>2</v>
      </c>
      <c r="G736" s="5">
        <v>371.03</v>
      </c>
      <c r="H736">
        <v>0.23</v>
      </c>
      <c r="I736" t="s">
        <v>1351</v>
      </c>
      <c r="J736" s="5">
        <v>571.38619999999992</v>
      </c>
    </row>
    <row r="737" spans="1:10">
      <c r="A737" t="s">
        <v>2086</v>
      </c>
      <c r="B737" s="7">
        <v>45453</v>
      </c>
      <c r="C737" t="s">
        <v>773</v>
      </c>
      <c r="D737" t="s">
        <v>1255</v>
      </c>
      <c r="E737" t="s">
        <v>1332</v>
      </c>
      <c r="F737">
        <f>Table5[[#This Row],[Total_Amount]]/(G737*(1-Table5[[#This Row],[Discount]]))</f>
        <v>1.0000000000000002</v>
      </c>
      <c r="G737" s="5">
        <v>230.32</v>
      </c>
      <c r="H737">
        <v>0.05</v>
      </c>
      <c r="I737" t="s">
        <v>1354</v>
      </c>
      <c r="J737" s="5">
        <v>218.804</v>
      </c>
    </row>
    <row r="738" spans="1:10">
      <c r="A738" t="s">
        <v>2087</v>
      </c>
      <c r="B738" s="7">
        <v>45526</v>
      </c>
      <c r="C738" t="s">
        <v>748</v>
      </c>
      <c r="D738" t="s">
        <v>1195</v>
      </c>
      <c r="E738" t="s">
        <v>1301</v>
      </c>
      <c r="F738">
        <f>Table5[[#This Row],[Total_Amount]]/(G738*(1-Table5[[#This Row],[Discount]]))</f>
        <v>2</v>
      </c>
      <c r="G738" s="5">
        <v>985.43</v>
      </c>
      <c r="H738">
        <v>0.28000000000000003</v>
      </c>
      <c r="I738" t="s">
        <v>1354</v>
      </c>
      <c r="J738" s="5">
        <v>1419.0192</v>
      </c>
    </row>
    <row r="739" spans="1:10">
      <c r="A739" t="s">
        <v>2088</v>
      </c>
      <c r="B739" s="7">
        <v>45756</v>
      </c>
      <c r="C739" t="s">
        <v>907</v>
      </c>
      <c r="D739" t="s">
        <v>1090</v>
      </c>
      <c r="E739" t="s">
        <v>1294</v>
      </c>
      <c r="F739">
        <f>Table5[[#This Row],[Total_Amount]]/(G739*(1-Table5[[#This Row],[Discount]]))</f>
        <v>2</v>
      </c>
      <c r="G739" s="5">
        <v>492.5</v>
      </c>
      <c r="H739">
        <v>0.3</v>
      </c>
      <c r="I739" t="s">
        <v>1351</v>
      </c>
      <c r="J739" s="5">
        <v>689.5</v>
      </c>
    </row>
    <row r="740" spans="1:10">
      <c r="A740" t="s">
        <v>2089</v>
      </c>
      <c r="B740" s="7">
        <v>45657</v>
      </c>
      <c r="C740" t="s">
        <v>791</v>
      </c>
      <c r="D740" t="s">
        <v>1165</v>
      </c>
      <c r="E740" t="s">
        <v>1317</v>
      </c>
      <c r="F740">
        <f>Table5[[#This Row],[Total_Amount]]/(G740*(1-Table5[[#This Row],[Discount]]))</f>
        <v>2</v>
      </c>
      <c r="G740" s="5">
        <v>213.69</v>
      </c>
      <c r="H740">
        <v>0.28000000000000003</v>
      </c>
      <c r="I740" t="s">
        <v>1351</v>
      </c>
      <c r="J740" s="5">
        <v>307.71359999999999</v>
      </c>
    </row>
    <row r="741" spans="1:10">
      <c r="A741" t="s">
        <v>2090</v>
      </c>
      <c r="B741" s="7">
        <v>45716</v>
      </c>
      <c r="C741" t="s">
        <v>178</v>
      </c>
      <c r="D741" t="s">
        <v>1113</v>
      </c>
      <c r="E741" t="s">
        <v>1307</v>
      </c>
      <c r="F741">
        <f>Table5[[#This Row],[Total_Amount]]/(G741*(1-Table5[[#This Row],[Discount]]))</f>
        <v>4</v>
      </c>
      <c r="G741" s="5">
        <v>618.83000000000004</v>
      </c>
      <c r="H741">
        <v>0.08</v>
      </c>
      <c r="I741" t="s">
        <v>1351</v>
      </c>
      <c r="J741" s="5">
        <v>2277.2944000000002</v>
      </c>
    </row>
    <row r="742" spans="1:10">
      <c r="A742" t="s">
        <v>2091</v>
      </c>
      <c r="B742" s="7">
        <v>45313</v>
      </c>
      <c r="C742" t="s">
        <v>244</v>
      </c>
      <c r="D742" t="s">
        <v>1191</v>
      </c>
      <c r="E742" t="s">
        <v>1317</v>
      </c>
      <c r="F742">
        <f>Table5[[#This Row],[Total_Amount]]/(G742*(1-Table5[[#This Row],[Discount]]))</f>
        <v>2.0000000000000004</v>
      </c>
      <c r="G742" s="5">
        <v>81.16</v>
      </c>
      <c r="H742">
        <v>0.16</v>
      </c>
      <c r="I742" t="s">
        <v>1351</v>
      </c>
      <c r="J742" s="5">
        <v>136.34880000000001</v>
      </c>
    </row>
    <row r="743" spans="1:10">
      <c r="A743" t="s">
        <v>2092</v>
      </c>
      <c r="B743" s="7">
        <v>45372</v>
      </c>
      <c r="C743" t="s">
        <v>18</v>
      </c>
      <c r="D743" t="s">
        <v>1245</v>
      </c>
      <c r="E743" t="s">
        <v>1311</v>
      </c>
      <c r="F743">
        <f>Table5[[#This Row],[Total_Amount]]/(G743*(1-Table5[[#This Row],[Discount]]))</f>
        <v>1</v>
      </c>
      <c r="G743" s="5">
        <v>431.69</v>
      </c>
      <c r="H743">
        <v>0.09</v>
      </c>
      <c r="I743" t="s">
        <v>1349</v>
      </c>
      <c r="J743" s="5">
        <v>392.83789999999999</v>
      </c>
    </row>
    <row r="744" spans="1:10">
      <c r="A744" t="s">
        <v>2093</v>
      </c>
      <c r="B744" s="7">
        <v>45648</v>
      </c>
      <c r="C744" t="s">
        <v>873</v>
      </c>
      <c r="D744" t="s">
        <v>1109</v>
      </c>
      <c r="E744" t="s">
        <v>1298</v>
      </c>
      <c r="F744">
        <f>Table5[[#This Row],[Total_Amount]]/(G744*(1-Table5[[#This Row],[Discount]]))</f>
        <v>3</v>
      </c>
      <c r="G744" s="5">
        <v>438.65</v>
      </c>
      <c r="H744">
        <v>0.28999999999999998</v>
      </c>
      <c r="I744" t="s">
        <v>1351</v>
      </c>
      <c r="J744" s="5">
        <v>934.32449999999983</v>
      </c>
    </row>
    <row r="745" spans="1:10">
      <c r="A745" t="s">
        <v>2094</v>
      </c>
      <c r="B745" s="7">
        <v>45384</v>
      </c>
      <c r="C745" t="s">
        <v>405</v>
      </c>
      <c r="D745" t="s">
        <v>1231</v>
      </c>
      <c r="E745" t="s">
        <v>1291</v>
      </c>
      <c r="F745">
        <f>Table5[[#This Row],[Total_Amount]]/(G745*(1-Table5[[#This Row],[Discount]]))</f>
        <v>2.9999999999999996</v>
      </c>
      <c r="G745" s="5">
        <v>339.41</v>
      </c>
      <c r="H745">
        <v>0.26</v>
      </c>
      <c r="I745" t="s">
        <v>1349</v>
      </c>
      <c r="J745" s="5">
        <v>753.49019999999996</v>
      </c>
    </row>
    <row r="746" spans="1:10">
      <c r="A746" t="s">
        <v>2095</v>
      </c>
      <c r="B746" s="7">
        <v>45687</v>
      </c>
      <c r="C746" t="s">
        <v>1002</v>
      </c>
      <c r="D746" t="s">
        <v>1231</v>
      </c>
      <c r="E746" t="s">
        <v>1311</v>
      </c>
      <c r="F746">
        <f>Table5[[#This Row],[Total_Amount]]/(G746*(1-Table5[[#This Row],[Discount]]))</f>
        <v>3.9999999999999991</v>
      </c>
      <c r="G746" s="5">
        <v>848.47</v>
      </c>
      <c r="H746">
        <v>0.21</v>
      </c>
      <c r="I746" t="s">
        <v>1354</v>
      </c>
      <c r="J746" s="5">
        <v>2681.1651999999999</v>
      </c>
    </row>
    <row r="747" spans="1:10">
      <c r="A747" t="s">
        <v>2096</v>
      </c>
      <c r="B747" s="7">
        <v>45747</v>
      </c>
      <c r="C747" t="s">
        <v>446</v>
      </c>
      <c r="D747" t="s">
        <v>1207</v>
      </c>
      <c r="E747" t="s">
        <v>1307</v>
      </c>
      <c r="F747">
        <f>Table5[[#This Row],[Total_Amount]]/(G747*(1-Table5[[#This Row],[Discount]]))</f>
        <v>1</v>
      </c>
      <c r="G747" s="5">
        <v>664.87</v>
      </c>
      <c r="H747">
        <v>0.08</v>
      </c>
      <c r="I747" t="s">
        <v>1351</v>
      </c>
      <c r="J747" s="5">
        <v>611.68040000000008</v>
      </c>
    </row>
    <row r="748" spans="1:10">
      <c r="A748" t="s">
        <v>2097</v>
      </c>
      <c r="B748" s="7">
        <v>45687</v>
      </c>
      <c r="C748" t="s">
        <v>256</v>
      </c>
      <c r="D748" t="s">
        <v>1121</v>
      </c>
      <c r="E748" t="s">
        <v>1304</v>
      </c>
      <c r="F748">
        <f>Table5[[#This Row],[Total_Amount]]/(G748*(1-Table5[[#This Row],[Discount]]))</f>
        <v>1</v>
      </c>
      <c r="G748" s="5">
        <v>412.11</v>
      </c>
      <c r="H748">
        <v>0.23</v>
      </c>
      <c r="I748" t="s">
        <v>1351</v>
      </c>
      <c r="J748" s="5">
        <v>317.32470000000001</v>
      </c>
    </row>
    <row r="749" spans="1:10">
      <c r="A749" t="s">
        <v>2098</v>
      </c>
      <c r="B749" s="7">
        <v>45916</v>
      </c>
      <c r="C749" t="s">
        <v>304</v>
      </c>
      <c r="D749" t="s">
        <v>1261</v>
      </c>
      <c r="E749" t="s">
        <v>1282</v>
      </c>
      <c r="F749">
        <f>Table5[[#This Row],[Total_Amount]]/(G749*(1-Table5[[#This Row],[Discount]]))</f>
        <v>1</v>
      </c>
      <c r="G749" s="5">
        <v>126.09</v>
      </c>
      <c r="H749">
        <v>0.05</v>
      </c>
      <c r="I749" t="s">
        <v>1354</v>
      </c>
      <c r="J749" s="5">
        <v>119.7855</v>
      </c>
    </row>
    <row r="750" spans="1:10">
      <c r="A750" t="s">
        <v>2099</v>
      </c>
      <c r="B750" s="7">
        <v>45917</v>
      </c>
      <c r="C750" t="s">
        <v>458</v>
      </c>
      <c r="D750" t="s">
        <v>1207</v>
      </c>
      <c r="E750" t="s">
        <v>1314</v>
      </c>
      <c r="F750">
        <f>Table5[[#This Row],[Total_Amount]]/(G750*(1-Table5[[#This Row],[Discount]]))</f>
        <v>4</v>
      </c>
      <c r="G750" s="5">
        <v>602.39</v>
      </c>
      <c r="H750">
        <v>0.19</v>
      </c>
      <c r="I750" t="s">
        <v>1354</v>
      </c>
      <c r="J750" s="5">
        <v>1951.7436</v>
      </c>
    </row>
    <row r="751" spans="1:10">
      <c r="A751" t="s">
        <v>2100</v>
      </c>
      <c r="B751" s="7">
        <v>45941</v>
      </c>
      <c r="C751" t="s">
        <v>714</v>
      </c>
      <c r="D751" t="s">
        <v>1237</v>
      </c>
      <c r="E751" t="s">
        <v>1291</v>
      </c>
      <c r="F751">
        <f>Table5[[#This Row],[Total_Amount]]/(G751*(1-Table5[[#This Row],[Discount]]))</f>
        <v>3</v>
      </c>
      <c r="G751" s="5">
        <v>447.69</v>
      </c>
      <c r="H751">
        <v>0.02</v>
      </c>
      <c r="I751" t="s">
        <v>1354</v>
      </c>
      <c r="J751" s="5">
        <v>1316.2085999999999</v>
      </c>
    </row>
    <row r="752" spans="1:10">
      <c r="A752" t="s">
        <v>2101</v>
      </c>
      <c r="B752" s="7">
        <v>45778</v>
      </c>
      <c r="C752" t="s">
        <v>559</v>
      </c>
      <c r="D752" t="s">
        <v>1141</v>
      </c>
      <c r="E752" t="s">
        <v>1291</v>
      </c>
      <c r="F752">
        <f>Table5[[#This Row],[Total_Amount]]/(G752*(1-Table5[[#This Row],[Discount]]))</f>
        <v>3</v>
      </c>
      <c r="G752" s="5">
        <v>35.159999999999997</v>
      </c>
      <c r="H752">
        <v>0.04</v>
      </c>
      <c r="I752" t="s">
        <v>1354</v>
      </c>
      <c r="J752" s="5">
        <v>101.2608</v>
      </c>
    </row>
    <row r="753" spans="1:10">
      <c r="A753" t="s">
        <v>2102</v>
      </c>
      <c r="B753" s="7">
        <v>45740</v>
      </c>
      <c r="C753" t="s">
        <v>724</v>
      </c>
      <c r="D753" t="s">
        <v>1217</v>
      </c>
      <c r="E753" t="s">
        <v>1317</v>
      </c>
      <c r="F753">
        <f>Table5[[#This Row],[Total_Amount]]/(G753*(1-Table5[[#This Row],[Discount]]))</f>
        <v>2</v>
      </c>
      <c r="G753" s="5">
        <v>838.59</v>
      </c>
      <c r="H753">
        <v>0.18</v>
      </c>
      <c r="I753" t="s">
        <v>1354</v>
      </c>
      <c r="J753" s="5">
        <v>1375.2876000000001</v>
      </c>
    </row>
    <row r="754" spans="1:10">
      <c r="A754" t="s">
        <v>2103</v>
      </c>
      <c r="B754" s="7">
        <v>45598</v>
      </c>
      <c r="C754" t="s">
        <v>234</v>
      </c>
      <c r="D754" t="s">
        <v>1191</v>
      </c>
      <c r="E754" t="s">
        <v>1301</v>
      </c>
      <c r="F754">
        <f>Table5[[#This Row],[Total_Amount]]/(G754*(1-Table5[[#This Row],[Discount]]))</f>
        <v>4</v>
      </c>
      <c r="G754" s="5">
        <v>867.94</v>
      </c>
      <c r="H754">
        <v>0.26</v>
      </c>
      <c r="I754" t="s">
        <v>1351</v>
      </c>
      <c r="J754" s="5">
        <v>2569.1024000000002</v>
      </c>
    </row>
    <row r="755" spans="1:10">
      <c r="A755" t="s">
        <v>2104</v>
      </c>
      <c r="B755" s="7">
        <v>45591</v>
      </c>
      <c r="C755" t="s">
        <v>454</v>
      </c>
      <c r="D755" t="s">
        <v>1151</v>
      </c>
      <c r="E755" t="s">
        <v>1332</v>
      </c>
      <c r="F755">
        <f>Table5[[#This Row],[Total_Amount]]/(G755*(1-Table5[[#This Row],[Discount]]))</f>
        <v>1.0000000000000002</v>
      </c>
      <c r="G755" s="5">
        <v>623.88</v>
      </c>
      <c r="H755">
        <v>0.25</v>
      </c>
      <c r="I755" t="s">
        <v>1349</v>
      </c>
      <c r="J755" s="5">
        <v>467.91</v>
      </c>
    </row>
    <row r="756" spans="1:10">
      <c r="A756" t="s">
        <v>2105</v>
      </c>
      <c r="B756" s="7">
        <v>45546</v>
      </c>
      <c r="C756" t="s">
        <v>415</v>
      </c>
      <c r="D756" t="s">
        <v>1157</v>
      </c>
      <c r="E756" t="s">
        <v>1324</v>
      </c>
      <c r="F756">
        <f>Table5[[#This Row],[Total_Amount]]/(G756*(1-Table5[[#This Row],[Discount]]))</f>
        <v>2</v>
      </c>
      <c r="G756" s="5">
        <v>567.95000000000005</v>
      </c>
      <c r="H756">
        <v>0.12</v>
      </c>
      <c r="I756" t="s">
        <v>1351</v>
      </c>
      <c r="J756" s="5">
        <v>999.5920000000001</v>
      </c>
    </row>
    <row r="757" spans="1:10">
      <c r="A757" t="s">
        <v>2106</v>
      </c>
      <c r="B757" s="7">
        <v>45483</v>
      </c>
      <c r="C757" t="s">
        <v>710</v>
      </c>
      <c r="D757" t="s">
        <v>1135</v>
      </c>
      <c r="E757" t="s">
        <v>1335</v>
      </c>
      <c r="F757">
        <f>Table5[[#This Row],[Total_Amount]]/(G757*(1-Table5[[#This Row],[Discount]]))</f>
        <v>1.9999999999999996</v>
      </c>
      <c r="G757" s="5">
        <v>671.69</v>
      </c>
      <c r="H757">
        <v>0.19</v>
      </c>
      <c r="I757" t="s">
        <v>1349</v>
      </c>
      <c r="J757" s="5">
        <v>1088.1378</v>
      </c>
    </row>
    <row r="758" spans="1:10">
      <c r="A758" t="s">
        <v>2107</v>
      </c>
      <c r="B758" s="7">
        <v>45786</v>
      </c>
      <c r="C758" t="s">
        <v>474</v>
      </c>
      <c r="D758" t="s">
        <v>1082</v>
      </c>
      <c r="E758" t="s">
        <v>1304</v>
      </c>
      <c r="F758">
        <f>Table5[[#This Row],[Total_Amount]]/(G758*(1-Table5[[#This Row],[Discount]]))</f>
        <v>2</v>
      </c>
      <c r="G758" s="5">
        <v>257.95999999999998</v>
      </c>
      <c r="H758">
        <v>0.21</v>
      </c>
      <c r="I758" t="s">
        <v>1351</v>
      </c>
      <c r="J758" s="5">
        <v>407.57679999999999</v>
      </c>
    </row>
    <row r="759" spans="1:10">
      <c r="A759" t="s">
        <v>2108</v>
      </c>
      <c r="B759" s="7">
        <v>45475</v>
      </c>
      <c r="C759" t="s">
        <v>470</v>
      </c>
      <c r="D759" t="s">
        <v>1269</v>
      </c>
      <c r="E759" t="s">
        <v>1338</v>
      </c>
      <c r="F759">
        <f>Table5[[#This Row],[Total_Amount]]/(G759*(1-Table5[[#This Row],[Discount]]))</f>
        <v>4</v>
      </c>
      <c r="G759" s="5">
        <v>281.48</v>
      </c>
      <c r="H759">
        <v>0.27</v>
      </c>
      <c r="I759" t="s">
        <v>1351</v>
      </c>
      <c r="J759" s="5">
        <v>821.92160000000001</v>
      </c>
    </row>
    <row r="760" spans="1:10">
      <c r="A760" t="s">
        <v>2109</v>
      </c>
      <c r="B760" s="7">
        <v>45470</v>
      </c>
      <c r="C760" t="s">
        <v>696</v>
      </c>
      <c r="D760" t="s">
        <v>1113</v>
      </c>
      <c r="E760" t="s">
        <v>1317</v>
      </c>
      <c r="F760">
        <f>Table5[[#This Row],[Total_Amount]]/(G760*(1-Table5[[#This Row],[Discount]]))</f>
        <v>1.0000000000000002</v>
      </c>
      <c r="G760" s="5">
        <v>202.13</v>
      </c>
      <c r="H760">
        <v>0.13</v>
      </c>
      <c r="I760" t="s">
        <v>1354</v>
      </c>
      <c r="J760" s="5">
        <v>175.85310000000001</v>
      </c>
    </row>
    <row r="761" spans="1:10">
      <c r="A761" t="s">
        <v>2110</v>
      </c>
      <c r="B761" s="7">
        <v>45243</v>
      </c>
      <c r="C761" t="s">
        <v>606</v>
      </c>
      <c r="D761" t="s">
        <v>1221</v>
      </c>
      <c r="E761" t="s">
        <v>1298</v>
      </c>
      <c r="F761">
        <f>Table5[[#This Row],[Total_Amount]]/(G761*(1-Table5[[#This Row],[Discount]]))</f>
        <v>0.99999999999999989</v>
      </c>
      <c r="G761" s="5">
        <v>370.66</v>
      </c>
      <c r="H761">
        <v>0.01</v>
      </c>
      <c r="I761" t="s">
        <v>1351</v>
      </c>
      <c r="J761" s="5">
        <v>366.95339999999999</v>
      </c>
    </row>
    <row r="762" spans="1:10">
      <c r="A762" t="s">
        <v>2111</v>
      </c>
      <c r="B762" s="7">
        <v>45341</v>
      </c>
      <c r="C762" t="s">
        <v>27</v>
      </c>
      <c r="D762" t="s">
        <v>1195</v>
      </c>
      <c r="E762" t="s">
        <v>1319</v>
      </c>
      <c r="F762">
        <f>Table5[[#This Row],[Total_Amount]]/(G762*(1-Table5[[#This Row],[Discount]]))</f>
        <v>4</v>
      </c>
      <c r="G762" s="5">
        <v>731.53</v>
      </c>
      <c r="H762">
        <v>0.12</v>
      </c>
      <c r="I762" t="s">
        <v>1349</v>
      </c>
      <c r="J762" s="5">
        <v>2574.9856</v>
      </c>
    </row>
    <row r="763" spans="1:10">
      <c r="A763" t="s">
        <v>2112</v>
      </c>
      <c r="B763" s="7">
        <v>45371</v>
      </c>
      <c r="C763" t="s">
        <v>391</v>
      </c>
      <c r="D763" t="s">
        <v>1229</v>
      </c>
      <c r="E763" t="s">
        <v>1282</v>
      </c>
      <c r="F763">
        <f>Table5[[#This Row],[Total_Amount]]/(G763*(1-Table5[[#This Row],[Discount]]))</f>
        <v>3.0000000000000004</v>
      </c>
      <c r="G763" s="5">
        <v>468.25</v>
      </c>
      <c r="H763">
        <v>7.0000000000000007E-2</v>
      </c>
      <c r="I763" t="s">
        <v>1351</v>
      </c>
      <c r="J763" s="5">
        <v>1306.4175</v>
      </c>
    </row>
    <row r="764" spans="1:10">
      <c r="A764" t="s">
        <v>2113</v>
      </c>
      <c r="B764" s="7">
        <v>45360</v>
      </c>
      <c r="C764" t="s">
        <v>13</v>
      </c>
      <c r="D764" t="s">
        <v>1207</v>
      </c>
      <c r="E764" t="s">
        <v>1277</v>
      </c>
      <c r="F764">
        <f>Table5[[#This Row],[Total_Amount]]/(G764*(1-Table5[[#This Row],[Discount]]))</f>
        <v>1</v>
      </c>
      <c r="G764" s="5">
        <v>928.72</v>
      </c>
      <c r="H764">
        <v>0.1</v>
      </c>
      <c r="I764" t="s">
        <v>1354</v>
      </c>
      <c r="J764" s="5">
        <v>835.84800000000007</v>
      </c>
    </row>
    <row r="765" spans="1:10">
      <c r="A765" t="s">
        <v>2114</v>
      </c>
      <c r="B765" s="7">
        <v>45499</v>
      </c>
      <c r="C765" t="s">
        <v>261</v>
      </c>
      <c r="D765" t="s">
        <v>1078</v>
      </c>
      <c r="E765" t="s">
        <v>1335</v>
      </c>
      <c r="F765">
        <f>Table5[[#This Row],[Total_Amount]]/(G765*(1-Table5[[#This Row],[Discount]]))</f>
        <v>3</v>
      </c>
      <c r="G765" s="5">
        <v>217.22</v>
      </c>
      <c r="H765">
        <v>0.06</v>
      </c>
      <c r="I765" t="s">
        <v>1351</v>
      </c>
      <c r="J765" s="5">
        <v>612.56039999999996</v>
      </c>
    </row>
    <row r="766" spans="1:10">
      <c r="A766" t="s">
        <v>2115</v>
      </c>
      <c r="B766" s="7">
        <v>45745</v>
      </c>
      <c r="C766" t="s">
        <v>873</v>
      </c>
      <c r="D766" t="s">
        <v>1121</v>
      </c>
      <c r="E766" t="s">
        <v>1291</v>
      </c>
      <c r="F766">
        <f>Table5[[#This Row],[Total_Amount]]/(G766*(1-Table5[[#This Row],[Discount]]))</f>
        <v>1.0000000000000002</v>
      </c>
      <c r="G766" s="5">
        <v>387.99</v>
      </c>
      <c r="H766">
        <v>0.3</v>
      </c>
      <c r="I766" t="s">
        <v>1349</v>
      </c>
      <c r="J766" s="5">
        <v>271.59300000000002</v>
      </c>
    </row>
    <row r="767" spans="1:10">
      <c r="A767" t="s">
        <v>2116</v>
      </c>
      <c r="B767" s="7">
        <v>45718</v>
      </c>
      <c r="C767" t="s">
        <v>1014</v>
      </c>
      <c r="D767" t="s">
        <v>1109</v>
      </c>
      <c r="E767" t="s">
        <v>1301</v>
      </c>
      <c r="F767">
        <f>Table5[[#This Row],[Total_Amount]]/(G767*(1-Table5[[#This Row],[Discount]]))</f>
        <v>4</v>
      </c>
      <c r="G767" s="5">
        <v>186.24</v>
      </c>
      <c r="H767">
        <v>0.23</v>
      </c>
      <c r="I767" t="s">
        <v>1349</v>
      </c>
      <c r="J767" s="5">
        <v>573.61920000000009</v>
      </c>
    </row>
    <row r="768" spans="1:10">
      <c r="A768" t="s">
        <v>2117</v>
      </c>
      <c r="B768" s="7">
        <v>45454</v>
      </c>
      <c r="C768" t="s">
        <v>656</v>
      </c>
      <c r="D768" t="s">
        <v>1153</v>
      </c>
      <c r="E768" t="s">
        <v>1307</v>
      </c>
      <c r="F768">
        <f>Table5[[#This Row],[Total_Amount]]/(G768*(1-Table5[[#This Row],[Discount]]))</f>
        <v>4</v>
      </c>
      <c r="G768" s="5">
        <v>609.05999999999995</v>
      </c>
      <c r="H768">
        <v>0.22</v>
      </c>
      <c r="I768" t="s">
        <v>1354</v>
      </c>
      <c r="J768" s="5">
        <v>1900.2672</v>
      </c>
    </row>
    <row r="769" spans="1:10">
      <c r="A769" t="s">
        <v>2118</v>
      </c>
      <c r="B769" s="7">
        <v>45434</v>
      </c>
      <c r="C769" t="s">
        <v>937</v>
      </c>
      <c r="D769" t="s">
        <v>1139</v>
      </c>
      <c r="E769" t="s">
        <v>1317</v>
      </c>
      <c r="F769">
        <f>Table5[[#This Row],[Total_Amount]]/(G769*(1-Table5[[#This Row],[Discount]]))</f>
        <v>1</v>
      </c>
      <c r="G769" s="5">
        <v>827.91</v>
      </c>
      <c r="H769">
        <v>0.21</v>
      </c>
      <c r="I769" t="s">
        <v>1351</v>
      </c>
      <c r="J769" s="5">
        <v>654.0489</v>
      </c>
    </row>
    <row r="770" spans="1:10">
      <c r="A770" t="s">
        <v>2119</v>
      </c>
      <c r="B770" s="7">
        <v>45486</v>
      </c>
      <c r="C770" t="s">
        <v>413</v>
      </c>
      <c r="D770" t="s">
        <v>1239</v>
      </c>
      <c r="E770" t="s">
        <v>1277</v>
      </c>
      <c r="F770">
        <f>Table5[[#This Row],[Total_Amount]]/(G770*(1-Table5[[#This Row],[Discount]]))</f>
        <v>1</v>
      </c>
      <c r="G770" s="5">
        <v>303.79000000000002</v>
      </c>
      <c r="H770">
        <v>0.24</v>
      </c>
      <c r="I770" t="s">
        <v>1351</v>
      </c>
      <c r="J770" s="5">
        <v>230.88040000000001</v>
      </c>
    </row>
    <row r="771" spans="1:10">
      <c r="A771" t="s">
        <v>2120</v>
      </c>
      <c r="B771" s="7">
        <v>45902</v>
      </c>
      <c r="C771" t="s">
        <v>267</v>
      </c>
      <c r="D771" t="s">
        <v>1147</v>
      </c>
      <c r="E771" t="s">
        <v>1301</v>
      </c>
      <c r="F771">
        <f>Table5[[#This Row],[Total_Amount]]/(G771*(1-Table5[[#This Row],[Discount]]))</f>
        <v>2</v>
      </c>
      <c r="G771" s="5">
        <v>365.91</v>
      </c>
      <c r="H771">
        <v>0.14000000000000001</v>
      </c>
      <c r="I771" t="s">
        <v>1354</v>
      </c>
      <c r="J771" s="5">
        <v>629.36520000000007</v>
      </c>
    </row>
    <row r="772" spans="1:10">
      <c r="A772" t="s">
        <v>2121</v>
      </c>
      <c r="B772" s="7">
        <v>45762</v>
      </c>
      <c r="C772" t="s">
        <v>188</v>
      </c>
      <c r="D772" t="s">
        <v>1123</v>
      </c>
      <c r="E772" t="s">
        <v>1332</v>
      </c>
      <c r="F772">
        <f>Table5[[#This Row],[Total_Amount]]/(G772*(1-Table5[[#This Row],[Discount]]))</f>
        <v>3</v>
      </c>
      <c r="G772" s="5">
        <v>852.72</v>
      </c>
      <c r="H772">
        <v>0.16</v>
      </c>
      <c r="I772" t="s">
        <v>1349</v>
      </c>
      <c r="J772" s="5">
        <v>2148.8544000000002</v>
      </c>
    </row>
    <row r="773" spans="1:10">
      <c r="A773" t="s">
        <v>2122</v>
      </c>
      <c r="B773" s="7">
        <v>45752</v>
      </c>
      <c r="C773" t="s">
        <v>557</v>
      </c>
      <c r="D773" t="s">
        <v>1093</v>
      </c>
      <c r="E773" t="s">
        <v>1294</v>
      </c>
      <c r="F773">
        <f>Table5[[#This Row],[Total_Amount]]/(G773*(1-Table5[[#This Row],[Discount]]))</f>
        <v>1</v>
      </c>
      <c r="G773" s="5">
        <v>768.25</v>
      </c>
      <c r="H773">
        <v>0.18</v>
      </c>
      <c r="I773" t="s">
        <v>1349</v>
      </c>
      <c r="J773" s="5">
        <v>629.96500000000003</v>
      </c>
    </row>
    <row r="774" spans="1:10">
      <c r="A774" t="s">
        <v>2123</v>
      </c>
      <c r="B774" s="7">
        <v>45254</v>
      </c>
      <c r="C774" t="s">
        <v>764</v>
      </c>
      <c r="D774" t="s">
        <v>1257</v>
      </c>
      <c r="E774" t="s">
        <v>1338</v>
      </c>
      <c r="F774">
        <f>Table5[[#This Row],[Total_Amount]]/(G774*(1-Table5[[#This Row],[Discount]]))</f>
        <v>2</v>
      </c>
      <c r="G774" s="5">
        <v>318.62</v>
      </c>
      <c r="H774">
        <v>0.02</v>
      </c>
      <c r="I774" t="s">
        <v>1354</v>
      </c>
      <c r="J774" s="5">
        <v>624.49519999999995</v>
      </c>
    </row>
    <row r="775" spans="1:10">
      <c r="A775" t="s">
        <v>2124</v>
      </c>
      <c r="B775" s="7">
        <v>45683</v>
      </c>
      <c r="C775" t="s">
        <v>140</v>
      </c>
      <c r="D775" t="s">
        <v>1225</v>
      </c>
      <c r="E775" t="s">
        <v>1286</v>
      </c>
      <c r="F775">
        <f>Table5[[#This Row],[Total_Amount]]/(G775*(1-Table5[[#This Row],[Discount]]))</f>
        <v>4</v>
      </c>
      <c r="G775" s="5">
        <v>402.11</v>
      </c>
      <c r="H775">
        <v>0.14000000000000001</v>
      </c>
      <c r="I775" t="s">
        <v>1351</v>
      </c>
      <c r="J775" s="5">
        <v>1383.2583999999999</v>
      </c>
    </row>
    <row r="776" spans="1:10">
      <c r="A776" t="s">
        <v>2125</v>
      </c>
      <c r="B776" s="7">
        <v>45804</v>
      </c>
      <c r="C776" t="s">
        <v>879</v>
      </c>
      <c r="D776" t="s">
        <v>1241</v>
      </c>
      <c r="E776" t="s">
        <v>1332</v>
      </c>
      <c r="F776">
        <f>Table5[[#This Row],[Total_Amount]]/(G776*(1-Table5[[#This Row],[Discount]]))</f>
        <v>3</v>
      </c>
      <c r="G776" s="5">
        <v>846.31</v>
      </c>
      <c r="H776">
        <v>0.18</v>
      </c>
      <c r="I776" t="s">
        <v>1354</v>
      </c>
      <c r="J776" s="5">
        <v>2081.9225999999999</v>
      </c>
    </row>
    <row r="777" spans="1:10">
      <c r="A777" t="s">
        <v>2126</v>
      </c>
      <c r="B777" s="7">
        <v>45821</v>
      </c>
      <c r="C777" t="s">
        <v>397</v>
      </c>
      <c r="D777" t="s">
        <v>1261</v>
      </c>
      <c r="E777" t="s">
        <v>1324</v>
      </c>
      <c r="F777">
        <f>Table5[[#This Row],[Total_Amount]]/(G777*(1-Table5[[#This Row],[Discount]]))</f>
        <v>1</v>
      </c>
      <c r="G777" s="5">
        <v>269.94</v>
      </c>
      <c r="H777">
        <v>7.0000000000000007E-2</v>
      </c>
      <c r="I777" t="s">
        <v>1354</v>
      </c>
      <c r="J777" s="5">
        <v>251.04419999999999</v>
      </c>
    </row>
    <row r="778" spans="1:10">
      <c r="A778" t="s">
        <v>2127</v>
      </c>
      <c r="B778" s="7">
        <v>45472</v>
      </c>
      <c r="C778" t="s">
        <v>545</v>
      </c>
      <c r="D778" t="s">
        <v>1113</v>
      </c>
      <c r="E778" t="s">
        <v>1294</v>
      </c>
      <c r="F778">
        <f>Table5[[#This Row],[Total_Amount]]/(G778*(1-Table5[[#This Row],[Discount]]))</f>
        <v>3</v>
      </c>
      <c r="G778" s="5">
        <v>909.25</v>
      </c>
      <c r="H778">
        <v>0.28999999999999998</v>
      </c>
      <c r="I778" t="s">
        <v>1354</v>
      </c>
      <c r="J778" s="5">
        <v>1936.7025000000001</v>
      </c>
    </row>
    <row r="779" spans="1:10">
      <c r="A779" t="s">
        <v>2128</v>
      </c>
      <c r="B779" s="7">
        <v>45331</v>
      </c>
      <c r="C779" t="s">
        <v>789</v>
      </c>
      <c r="D779" t="s">
        <v>1255</v>
      </c>
      <c r="E779" t="s">
        <v>1319</v>
      </c>
      <c r="F779">
        <f>Table5[[#This Row],[Total_Amount]]/(G779*(1-Table5[[#This Row],[Discount]]))</f>
        <v>2</v>
      </c>
      <c r="G779" s="5">
        <v>229.81</v>
      </c>
      <c r="H779">
        <v>0.21</v>
      </c>
      <c r="I779" t="s">
        <v>1354</v>
      </c>
      <c r="J779" s="5">
        <v>363.09980000000002</v>
      </c>
    </row>
    <row r="780" spans="1:10">
      <c r="A780" t="s">
        <v>2129</v>
      </c>
      <c r="B780" s="7">
        <v>45451</v>
      </c>
      <c r="C780" t="s">
        <v>111</v>
      </c>
      <c r="D780" t="s">
        <v>1229</v>
      </c>
      <c r="E780" t="s">
        <v>1326</v>
      </c>
      <c r="F780">
        <f>Table5[[#This Row],[Total_Amount]]/(G780*(1-Table5[[#This Row],[Discount]]))</f>
        <v>3.0000000000000004</v>
      </c>
      <c r="G780" s="5">
        <v>442.36</v>
      </c>
      <c r="H780">
        <v>0.06</v>
      </c>
      <c r="I780" t="s">
        <v>1351</v>
      </c>
      <c r="J780" s="5">
        <v>1247.4552000000001</v>
      </c>
    </row>
    <row r="781" spans="1:10">
      <c r="A781" t="s">
        <v>2130</v>
      </c>
      <c r="B781" s="7">
        <v>45386</v>
      </c>
      <c r="C781" t="s">
        <v>541</v>
      </c>
      <c r="D781" t="s">
        <v>1245</v>
      </c>
      <c r="E781" t="s">
        <v>1291</v>
      </c>
      <c r="F781">
        <f>Table5[[#This Row],[Total_Amount]]/(G781*(1-Table5[[#This Row],[Discount]]))</f>
        <v>3</v>
      </c>
      <c r="G781" s="5">
        <v>413.74</v>
      </c>
      <c r="H781">
        <v>0.01</v>
      </c>
      <c r="I781" t="s">
        <v>1349</v>
      </c>
      <c r="J781" s="5">
        <v>1228.8078</v>
      </c>
    </row>
    <row r="782" spans="1:10">
      <c r="A782" t="s">
        <v>2131</v>
      </c>
      <c r="B782" s="7">
        <v>45477</v>
      </c>
      <c r="C782" t="s">
        <v>1053</v>
      </c>
      <c r="D782" t="s">
        <v>1251</v>
      </c>
      <c r="E782" t="s">
        <v>1324</v>
      </c>
      <c r="F782">
        <f>Table5[[#This Row],[Total_Amount]]/(G782*(1-Table5[[#This Row],[Discount]]))</f>
        <v>3.9999999999999991</v>
      </c>
      <c r="G782" s="5">
        <v>79.75</v>
      </c>
      <c r="H782">
        <v>0.18</v>
      </c>
      <c r="I782" t="s">
        <v>1351</v>
      </c>
      <c r="J782" s="5">
        <v>261.58</v>
      </c>
    </row>
    <row r="783" spans="1:10">
      <c r="A783" t="s">
        <v>2132</v>
      </c>
      <c r="B783" s="7">
        <v>45433</v>
      </c>
      <c r="C783" t="s">
        <v>1051</v>
      </c>
      <c r="D783" t="s">
        <v>1153</v>
      </c>
      <c r="E783" t="s">
        <v>1319</v>
      </c>
      <c r="F783">
        <f>Table5[[#This Row],[Total_Amount]]/(G783*(1-Table5[[#This Row],[Discount]]))</f>
        <v>4</v>
      </c>
      <c r="G783" s="5">
        <v>95.06</v>
      </c>
      <c r="H783">
        <v>0.03</v>
      </c>
      <c r="I783" t="s">
        <v>1349</v>
      </c>
      <c r="J783" s="5">
        <v>368.83280000000002</v>
      </c>
    </row>
    <row r="784" spans="1:10">
      <c r="A784" t="s">
        <v>2133</v>
      </c>
      <c r="B784" s="7">
        <v>45759</v>
      </c>
      <c r="C784" t="s">
        <v>895</v>
      </c>
      <c r="D784" t="s">
        <v>1269</v>
      </c>
      <c r="E784" t="s">
        <v>1304</v>
      </c>
      <c r="F784">
        <f>Table5[[#This Row],[Total_Amount]]/(G784*(1-Table5[[#This Row],[Discount]]))</f>
        <v>4.0000000000000009</v>
      </c>
      <c r="G784" s="5">
        <v>107.08</v>
      </c>
      <c r="H784">
        <v>0.27</v>
      </c>
      <c r="I784" t="s">
        <v>1354</v>
      </c>
      <c r="J784" s="5">
        <v>312.67360000000002</v>
      </c>
    </row>
    <row r="785" spans="1:10">
      <c r="A785" t="s">
        <v>2134</v>
      </c>
      <c r="B785" s="7">
        <v>45794</v>
      </c>
      <c r="C785" t="s">
        <v>1010</v>
      </c>
      <c r="D785" t="s">
        <v>1271</v>
      </c>
      <c r="E785" t="s">
        <v>1335</v>
      </c>
      <c r="F785">
        <f>Table5[[#This Row],[Total_Amount]]/(G785*(1-Table5[[#This Row],[Discount]]))</f>
        <v>1</v>
      </c>
      <c r="G785" s="5">
        <v>873.18</v>
      </c>
      <c r="H785">
        <v>0.03</v>
      </c>
      <c r="I785" t="s">
        <v>1354</v>
      </c>
      <c r="J785" s="5">
        <v>846.98459999999989</v>
      </c>
    </row>
    <row r="786" spans="1:10">
      <c r="A786" t="s">
        <v>2135</v>
      </c>
      <c r="B786" s="7">
        <v>45764</v>
      </c>
      <c r="C786" t="s">
        <v>817</v>
      </c>
      <c r="D786" t="s">
        <v>1213</v>
      </c>
      <c r="E786" t="s">
        <v>1335</v>
      </c>
      <c r="F786">
        <f>Table5[[#This Row],[Total_Amount]]/(G786*(1-Table5[[#This Row],[Discount]]))</f>
        <v>1</v>
      </c>
      <c r="G786" s="5">
        <v>914.75</v>
      </c>
      <c r="H786">
        <v>0.1</v>
      </c>
      <c r="I786" t="s">
        <v>1354</v>
      </c>
      <c r="J786" s="5">
        <v>823.27499999999998</v>
      </c>
    </row>
    <row r="787" spans="1:10">
      <c r="A787" t="s">
        <v>2136</v>
      </c>
      <c r="B787" s="7">
        <v>45279</v>
      </c>
      <c r="C787" t="s">
        <v>140</v>
      </c>
      <c r="D787" t="s">
        <v>1219</v>
      </c>
      <c r="E787" t="s">
        <v>1322</v>
      </c>
      <c r="F787">
        <f>Table5[[#This Row],[Total_Amount]]/(G787*(1-Table5[[#This Row],[Discount]]))</f>
        <v>4</v>
      </c>
      <c r="G787" s="5">
        <v>457.33</v>
      </c>
      <c r="H787">
        <v>0.1</v>
      </c>
      <c r="I787" t="s">
        <v>1349</v>
      </c>
      <c r="J787" s="5">
        <v>1646.3879999999999</v>
      </c>
    </row>
    <row r="788" spans="1:10">
      <c r="A788" t="s">
        <v>2137</v>
      </c>
      <c r="B788" s="7">
        <v>45602</v>
      </c>
      <c r="C788" t="s">
        <v>648</v>
      </c>
      <c r="D788" t="s">
        <v>1271</v>
      </c>
      <c r="E788" t="s">
        <v>1291</v>
      </c>
      <c r="F788">
        <f>Table5[[#This Row],[Total_Amount]]/(G788*(1-Table5[[#This Row],[Discount]]))</f>
        <v>3</v>
      </c>
      <c r="G788" s="5">
        <v>761.88</v>
      </c>
      <c r="H788">
        <v>0.23</v>
      </c>
      <c r="I788" t="s">
        <v>1351</v>
      </c>
      <c r="J788" s="5">
        <v>1759.9428</v>
      </c>
    </row>
    <row r="789" spans="1:10">
      <c r="A789" t="s">
        <v>2138</v>
      </c>
      <c r="B789" s="7">
        <v>45793</v>
      </c>
      <c r="C789" t="s">
        <v>415</v>
      </c>
      <c r="D789" t="s">
        <v>1147</v>
      </c>
      <c r="E789" t="s">
        <v>1338</v>
      </c>
      <c r="F789">
        <f>Table5[[#This Row],[Total_Amount]]/(G789*(1-Table5[[#This Row],[Discount]]))</f>
        <v>4</v>
      </c>
      <c r="G789" s="5">
        <v>122.87</v>
      </c>
      <c r="H789">
        <v>0.13</v>
      </c>
      <c r="I789" t="s">
        <v>1349</v>
      </c>
      <c r="J789" s="5">
        <v>427.58760000000001</v>
      </c>
    </row>
    <row r="790" spans="1:10">
      <c r="A790" t="s">
        <v>2139</v>
      </c>
      <c r="B790" s="7">
        <v>45778</v>
      </c>
      <c r="C790" t="s">
        <v>1012</v>
      </c>
      <c r="D790" t="s">
        <v>1219</v>
      </c>
      <c r="E790" t="s">
        <v>1294</v>
      </c>
      <c r="F790">
        <f>Table5[[#This Row],[Total_Amount]]/(G790*(1-Table5[[#This Row],[Discount]]))</f>
        <v>4</v>
      </c>
      <c r="G790" s="5">
        <v>753</v>
      </c>
      <c r="H790">
        <v>0.28000000000000003</v>
      </c>
      <c r="I790" t="s">
        <v>1354</v>
      </c>
      <c r="J790" s="5">
        <v>2168.64</v>
      </c>
    </row>
    <row r="791" spans="1:10">
      <c r="A791" t="s">
        <v>2140</v>
      </c>
      <c r="B791" s="7">
        <v>45325</v>
      </c>
      <c r="C791" t="s">
        <v>803</v>
      </c>
      <c r="D791" t="s">
        <v>1080</v>
      </c>
      <c r="E791" t="s">
        <v>1298</v>
      </c>
      <c r="F791">
        <f>Table5[[#This Row],[Total_Amount]]/(G791*(1-Table5[[#This Row],[Discount]]))</f>
        <v>2</v>
      </c>
      <c r="G791" s="5">
        <v>788.05</v>
      </c>
      <c r="H791">
        <v>0.21</v>
      </c>
      <c r="I791" t="s">
        <v>1349</v>
      </c>
      <c r="J791" s="5">
        <v>1245.1189999999999</v>
      </c>
    </row>
    <row r="792" spans="1:10">
      <c r="A792" t="s">
        <v>2141</v>
      </c>
      <c r="B792" s="7">
        <v>45875</v>
      </c>
      <c r="C792" t="s">
        <v>986</v>
      </c>
      <c r="D792" t="s">
        <v>1237</v>
      </c>
      <c r="E792" t="s">
        <v>1314</v>
      </c>
      <c r="F792">
        <f>Table5[[#This Row],[Total_Amount]]/(G792*(1-Table5[[#This Row],[Discount]]))</f>
        <v>2.0000000000000004</v>
      </c>
      <c r="G792" s="5">
        <v>807.1</v>
      </c>
      <c r="H792">
        <v>0.28999999999999998</v>
      </c>
      <c r="I792" t="s">
        <v>1349</v>
      </c>
      <c r="J792" s="5">
        <v>1146.0820000000001</v>
      </c>
    </row>
    <row r="793" spans="1:10">
      <c r="A793" t="s">
        <v>2142</v>
      </c>
      <c r="B793" s="7">
        <v>45320</v>
      </c>
      <c r="C793" t="s">
        <v>329</v>
      </c>
      <c r="D793" t="s">
        <v>1087</v>
      </c>
      <c r="E793" t="s">
        <v>1282</v>
      </c>
      <c r="F793">
        <f>Table5[[#This Row],[Total_Amount]]/(G793*(1-Table5[[#This Row],[Discount]]))</f>
        <v>2</v>
      </c>
      <c r="G793" s="5">
        <v>443.09</v>
      </c>
      <c r="H793">
        <v>0.02</v>
      </c>
      <c r="I793" t="s">
        <v>1351</v>
      </c>
      <c r="J793" s="5">
        <v>868.45639999999992</v>
      </c>
    </row>
    <row r="794" spans="1:10">
      <c r="A794" t="s">
        <v>2143</v>
      </c>
      <c r="B794" s="7">
        <v>45870</v>
      </c>
      <c r="C794" t="s">
        <v>998</v>
      </c>
      <c r="D794" t="s">
        <v>1111</v>
      </c>
      <c r="E794" t="s">
        <v>1326</v>
      </c>
      <c r="F794">
        <f>Table5[[#This Row],[Total_Amount]]/(G794*(1-Table5[[#This Row],[Discount]]))</f>
        <v>1.0000000000000002</v>
      </c>
      <c r="G794" s="5">
        <v>512.16</v>
      </c>
      <c r="H794">
        <v>0.02</v>
      </c>
      <c r="I794" t="s">
        <v>1354</v>
      </c>
      <c r="J794" s="5">
        <v>501.91680000000002</v>
      </c>
    </row>
    <row r="795" spans="1:10">
      <c r="A795" t="s">
        <v>2144</v>
      </c>
      <c r="B795" s="7">
        <v>45577</v>
      </c>
      <c r="C795" t="s">
        <v>478</v>
      </c>
      <c r="D795" t="s">
        <v>1155</v>
      </c>
      <c r="E795" t="s">
        <v>1335</v>
      </c>
      <c r="F795">
        <f>Table5[[#This Row],[Total_Amount]]/(G795*(1-Table5[[#This Row],[Discount]]))</f>
        <v>2</v>
      </c>
      <c r="G795" s="5">
        <v>602.54999999999995</v>
      </c>
      <c r="H795">
        <v>0.23</v>
      </c>
      <c r="I795" t="s">
        <v>1354</v>
      </c>
      <c r="J795" s="5">
        <v>927.92699999999991</v>
      </c>
    </row>
    <row r="796" spans="1:10">
      <c r="A796" t="s">
        <v>2145</v>
      </c>
      <c r="B796" s="7">
        <v>45745</v>
      </c>
      <c r="C796" t="s">
        <v>389</v>
      </c>
      <c r="D796" t="s">
        <v>1157</v>
      </c>
      <c r="E796" t="s">
        <v>1277</v>
      </c>
      <c r="F796">
        <f>Table5[[#This Row],[Total_Amount]]/(G796*(1-Table5[[#This Row],[Discount]]))</f>
        <v>3</v>
      </c>
      <c r="G796" s="5">
        <v>846.19</v>
      </c>
      <c r="H796">
        <v>0.09</v>
      </c>
      <c r="I796" t="s">
        <v>1354</v>
      </c>
      <c r="J796" s="5">
        <v>2310.0987</v>
      </c>
    </row>
    <row r="797" spans="1:10">
      <c r="A797" t="s">
        <v>2146</v>
      </c>
      <c r="B797" s="7">
        <v>45772</v>
      </c>
      <c r="C797" t="s">
        <v>716</v>
      </c>
      <c r="D797" t="s">
        <v>1211</v>
      </c>
      <c r="E797" t="s">
        <v>1307</v>
      </c>
      <c r="F797">
        <f>Table5[[#This Row],[Total_Amount]]/(G797*(1-Table5[[#This Row],[Discount]]))</f>
        <v>1</v>
      </c>
      <c r="G797" s="5">
        <v>506.73</v>
      </c>
      <c r="H797">
        <v>0.28999999999999998</v>
      </c>
      <c r="I797" t="s">
        <v>1349</v>
      </c>
      <c r="J797" s="5">
        <v>359.7783</v>
      </c>
    </row>
    <row r="798" spans="1:10">
      <c r="A798" t="s">
        <v>2147</v>
      </c>
      <c r="B798" s="7">
        <v>45299</v>
      </c>
      <c r="C798" t="s">
        <v>147</v>
      </c>
      <c r="D798" t="s">
        <v>1175</v>
      </c>
      <c r="E798" t="s">
        <v>1329</v>
      </c>
      <c r="F798">
        <f>Table5[[#This Row],[Total_Amount]]/(G798*(1-Table5[[#This Row],[Discount]]))</f>
        <v>1</v>
      </c>
      <c r="G798" s="5">
        <v>408.66</v>
      </c>
      <c r="H798">
        <v>0.13</v>
      </c>
      <c r="I798" t="s">
        <v>1354</v>
      </c>
      <c r="J798" s="5">
        <v>355.5342</v>
      </c>
    </row>
    <row r="799" spans="1:10">
      <c r="A799" t="s">
        <v>2148</v>
      </c>
      <c r="B799" s="7">
        <v>45447</v>
      </c>
      <c r="C799" t="s">
        <v>279</v>
      </c>
      <c r="D799" t="s">
        <v>1087</v>
      </c>
      <c r="E799" t="s">
        <v>1332</v>
      </c>
      <c r="F799">
        <f>Table5[[#This Row],[Total_Amount]]/(G799*(1-Table5[[#This Row],[Discount]]))</f>
        <v>2.9999999999999996</v>
      </c>
      <c r="G799" s="5">
        <v>170.48</v>
      </c>
      <c r="H799">
        <v>0.06</v>
      </c>
      <c r="I799" t="s">
        <v>1354</v>
      </c>
      <c r="J799" s="5">
        <v>480.75359999999989</v>
      </c>
    </row>
    <row r="800" spans="1:10">
      <c r="A800" t="s">
        <v>2149</v>
      </c>
      <c r="B800" s="7">
        <v>45717</v>
      </c>
      <c r="C800" t="s">
        <v>252</v>
      </c>
      <c r="D800" t="s">
        <v>1109</v>
      </c>
      <c r="E800" t="s">
        <v>1311</v>
      </c>
      <c r="F800">
        <f>Table5[[#This Row],[Total_Amount]]/(G800*(1-Table5[[#This Row],[Discount]]))</f>
        <v>1.0000000000000002</v>
      </c>
      <c r="G800" s="5">
        <v>423.48</v>
      </c>
      <c r="H800">
        <v>0.18</v>
      </c>
      <c r="I800" t="s">
        <v>1351</v>
      </c>
      <c r="J800" s="5">
        <v>347.25360000000012</v>
      </c>
    </row>
    <row r="801" spans="1:10">
      <c r="A801" t="s">
        <v>2150</v>
      </c>
      <c r="B801" s="7">
        <v>45213</v>
      </c>
      <c r="C801" t="s">
        <v>533</v>
      </c>
      <c r="D801" t="s">
        <v>1257</v>
      </c>
      <c r="E801" t="s">
        <v>1317</v>
      </c>
      <c r="F801">
        <f>Table5[[#This Row],[Total_Amount]]/(G801*(1-Table5[[#This Row],[Discount]]))</f>
        <v>4</v>
      </c>
      <c r="G801" s="5">
        <v>23.57</v>
      </c>
      <c r="H801">
        <v>0.1</v>
      </c>
      <c r="I801" t="s">
        <v>1349</v>
      </c>
      <c r="J801" s="5">
        <v>84.852000000000004</v>
      </c>
    </row>
    <row r="802" spans="1:10">
      <c r="A802" t="s">
        <v>2151</v>
      </c>
      <c r="B802" s="7">
        <v>45837</v>
      </c>
      <c r="C802" t="s">
        <v>825</v>
      </c>
      <c r="D802" t="s">
        <v>1157</v>
      </c>
      <c r="E802" t="s">
        <v>1335</v>
      </c>
      <c r="F802">
        <f>Table5[[#This Row],[Total_Amount]]/(G802*(1-Table5[[#This Row],[Discount]]))</f>
        <v>2</v>
      </c>
      <c r="G802" s="5">
        <v>953.26</v>
      </c>
      <c r="H802">
        <v>0.1</v>
      </c>
      <c r="I802" t="s">
        <v>1354</v>
      </c>
      <c r="J802" s="5">
        <v>1715.8679999999999</v>
      </c>
    </row>
    <row r="803" spans="1:10">
      <c r="A803" t="s">
        <v>2152</v>
      </c>
      <c r="B803" s="7">
        <v>45277</v>
      </c>
      <c r="C803" t="s">
        <v>758</v>
      </c>
      <c r="D803" t="s">
        <v>1219</v>
      </c>
      <c r="E803" t="s">
        <v>1304</v>
      </c>
      <c r="F803">
        <f>Table5[[#This Row],[Total_Amount]]/(G803*(1-Table5[[#This Row],[Discount]]))</f>
        <v>3.0000000000000004</v>
      </c>
      <c r="G803" s="5">
        <v>405.13</v>
      </c>
      <c r="H803">
        <v>0.14000000000000001</v>
      </c>
      <c r="I803" t="s">
        <v>1354</v>
      </c>
      <c r="J803" s="5">
        <v>1045.2354</v>
      </c>
    </row>
    <row r="804" spans="1:10">
      <c r="A804" t="s">
        <v>2153</v>
      </c>
      <c r="B804" s="7">
        <v>45248</v>
      </c>
      <c r="C804" t="s">
        <v>742</v>
      </c>
      <c r="D804" t="s">
        <v>1074</v>
      </c>
      <c r="E804" t="s">
        <v>1294</v>
      </c>
      <c r="F804">
        <f>Table5[[#This Row],[Total_Amount]]/(G804*(1-Table5[[#This Row],[Discount]]))</f>
        <v>2</v>
      </c>
      <c r="G804" s="5">
        <v>333.83</v>
      </c>
      <c r="H804">
        <v>0.26</v>
      </c>
      <c r="I804" t="s">
        <v>1351</v>
      </c>
      <c r="J804" s="5">
        <v>494.0684</v>
      </c>
    </row>
    <row r="805" spans="1:10">
      <c r="A805" t="s">
        <v>2154</v>
      </c>
      <c r="B805" s="7">
        <v>45741</v>
      </c>
      <c r="C805" t="s">
        <v>730</v>
      </c>
      <c r="D805" t="s">
        <v>1255</v>
      </c>
      <c r="E805" t="s">
        <v>1291</v>
      </c>
      <c r="F805">
        <f>Table5[[#This Row],[Total_Amount]]/(G805*(1-Table5[[#This Row],[Discount]]))</f>
        <v>2</v>
      </c>
      <c r="G805" s="5">
        <v>727.18</v>
      </c>
      <c r="H805">
        <v>0.22</v>
      </c>
      <c r="I805" t="s">
        <v>1351</v>
      </c>
      <c r="J805" s="5">
        <v>1134.4007999999999</v>
      </c>
    </row>
    <row r="806" spans="1:10">
      <c r="A806" t="s">
        <v>2155</v>
      </c>
      <c r="B806" s="7">
        <v>45778</v>
      </c>
      <c r="C806" t="s">
        <v>676</v>
      </c>
      <c r="D806" t="s">
        <v>1080</v>
      </c>
      <c r="E806" t="s">
        <v>1314</v>
      </c>
      <c r="F806">
        <f>Table5[[#This Row],[Total_Amount]]/(G806*(1-Table5[[#This Row],[Discount]]))</f>
        <v>2</v>
      </c>
      <c r="G806" s="5">
        <v>516.02</v>
      </c>
      <c r="H806">
        <v>0.19</v>
      </c>
      <c r="I806" t="s">
        <v>1354</v>
      </c>
      <c r="J806" s="5">
        <v>835.95240000000001</v>
      </c>
    </row>
    <row r="807" spans="1:10">
      <c r="A807" t="s">
        <v>2156</v>
      </c>
      <c r="B807" s="7">
        <v>45361</v>
      </c>
      <c r="C807" t="s">
        <v>652</v>
      </c>
      <c r="D807" t="s">
        <v>1157</v>
      </c>
      <c r="E807" t="s">
        <v>1317</v>
      </c>
      <c r="F807">
        <f>Table5[[#This Row],[Total_Amount]]/(G807*(1-Table5[[#This Row],[Discount]]))</f>
        <v>2</v>
      </c>
      <c r="G807" s="5">
        <v>705.61</v>
      </c>
      <c r="H807">
        <v>0.28000000000000003</v>
      </c>
      <c r="I807" t="s">
        <v>1349</v>
      </c>
      <c r="J807" s="5">
        <v>1016.0784</v>
      </c>
    </row>
    <row r="808" spans="1:10">
      <c r="A808" t="s">
        <v>2157</v>
      </c>
      <c r="B808" s="7">
        <v>45414</v>
      </c>
      <c r="C808" t="s">
        <v>614</v>
      </c>
      <c r="D808" t="s">
        <v>1241</v>
      </c>
      <c r="E808" t="s">
        <v>1307</v>
      </c>
      <c r="F808">
        <f>Table5[[#This Row],[Total_Amount]]/(G808*(1-Table5[[#This Row],[Discount]]))</f>
        <v>2.9999999999999996</v>
      </c>
      <c r="G808" s="5">
        <v>654.47</v>
      </c>
      <c r="H808">
        <v>0.18</v>
      </c>
      <c r="I808" t="s">
        <v>1354</v>
      </c>
      <c r="J808" s="5">
        <v>1609.9962</v>
      </c>
    </row>
    <row r="809" spans="1:10">
      <c r="A809" t="s">
        <v>2158</v>
      </c>
      <c r="B809" s="7">
        <v>45734</v>
      </c>
      <c r="C809" t="s">
        <v>403</v>
      </c>
      <c r="D809" t="s">
        <v>1249</v>
      </c>
      <c r="E809" t="s">
        <v>1326</v>
      </c>
      <c r="F809">
        <f>Table5[[#This Row],[Total_Amount]]/(G809*(1-Table5[[#This Row],[Discount]]))</f>
        <v>2.0000000000000004</v>
      </c>
      <c r="G809" s="5">
        <v>315.27</v>
      </c>
      <c r="H809">
        <v>0.23</v>
      </c>
      <c r="I809" t="s">
        <v>1349</v>
      </c>
      <c r="J809" s="5">
        <v>485.51580000000001</v>
      </c>
    </row>
    <row r="810" spans="1:10">
      <c r="A810" t="s">
        <v>2159</v>
      </c>
      <c r="B810" s="7">
        <v>45623</v>
      </c>
      <c r="C810" t="s">
        <v>507</v>
      </c>
      <c r="D810" t="s">
        <v>1129</v>
      </c>
      <c r="E810" t="s">
        <v>1286</v>
      </c>
      <c r="F810">
        <f>Table5[[#This Row],[Total_Amount]]/(G810*(1-Table5[[#This Row],[Discount]]))</f>
        <v>1</v>
      </c>
      <c r="G810" s="5">
        <v>974.47</v>
      </c>
      <c r="H810">
        <v>0.05</v>
      </c>
      <c r="I810" t="s">
        <v>1349</v>
      </c>
      <c r="J810" s="5">
        <v>925.74649999999997</v>
      </c>
    </row>
    <row r="811" spans="1:10">
      <c r="A811" t="s">
        <v>2160</v>
      </c>
      <c r="B811" s="7">
        <v>45340</v>
      </c>
      <c r="C811" t="s">
        <v>182</v>
      </c>
      <c r="D811" t="s">
        <v>1074</v>
      </c>
      <c r="E811" t="s">
        <v>1294</v>
      </c>
      <c r="F811">
        <f>Table5[[#This Row],[Total_Amount]]/(G811*(1-Table5[[#This Row],[Discount]]))</f>
        <v>2.0000000000000004</v>
      </c>
      <c r="G811" s="5">
        <v>803.3</v>
      </c>
      <c r="H811">
        <v>0.17</v>
      </c>
      <c r="I811" t="s">
        <v>1349</v>
      </c>
      <c r="J811" s="5">
        <v>1333.4780000000001</v>
      </c>
    </row>
    <row r="812" spans="1:10">
      <c r="A812" t="s">
        <v>2161</v>
      </c>
      <c r="B812" s="7">
        <v>45447</v>
      </c>
      <c r="C812" t="s">
        <v>50</v>
      </c>
      <c r="D812" t="s">
        <v>1074</v>
      </c>
      <c r="E812" t="s">
        <v>1314</v>
      </c>
      <c r="F812">
        <f>Table5[[#This Row],[Total_Amount]]/(G812*(1-Table5[[#This Row],[Discount]]))</f>
        <v>4</v>
      </c>
      <c r="G812" s="5">
        <v>863.87</v>
      </c>
      <c r="H812">
        <v>0.21</v>
      </c>
      <c r="I812" t="s">
        <v>1354</v>
      </c>
      <c r="J812" s="5">
        <v>2729.8292000000001</v>
      </c>
    </row>
    <row r="813" spans="1:10">
      <c r="A813" t="s">
        <v>2162</v>
      </c>
      <c r="B813" s="7">
        <v>45513</v>
      </c>
      <c r="C813" t="s">
        <v>1000</v>
      </c>
      <c r="D813" t="s">
        <v>1233</v>
      </c>
      <c r="E813" t="s">
        <v>1335</v>
      </c>
      <c r="F813">
        <f>Table5[[#This Row],[Total_Amount]]/(G813*(1-Table5[[#This Row],[Discount]]))</f>
        <v>1</v>
      </c>
      <c r="G813" s="5">
        <v>450.11</v>
      </c>
      <c r="H813">
        <v>0.17</v>
      </c>
      <c r="I813" t="s">
        <v>1349</v>
      </c>
      <c r="J813" s="5">
        <v>373.59129999999999</v>
      </c>
    </row>
    <row r="814" spans="1:10">
      <c r="A814" t="s">
        <v>2163</v>
      </c>
      <c r="B814" s="7">
        <v>45486</v>
      </c>
      <c r="C814" t="s">
        <v>523</v>
      </c>
      <c r="D814" t="s">
        <v>1209</v>
      </c>
      <c r="E814" t="s">
        <v>1322</v>
      </c>
      <c r="F814">
        <f>Table5[[#This Row],[Total_Amount]]/(G814*(1-Table5[[#This Row],[Discount]]))</f>
        <v>1</v>
      </c>
      <c r="G814" s="5">
        <v>289.82</v>
      </c>
      <c r="H814">
        <v>0.18</v>
      </c>
      <c r="I814" t="s">
        <v>1354</v>
      </c>
      <c r="J814" s="5">
        <v>237.6524</v>
      </c>
    </row>
    <row r="815" spans="1:10">
      <c r="A815" t="s">
        <v>2164</v>
      </c>
      <c r="B815" s="7">
        <v>45890</v>
      </c>
      <c r="C815" t="s">
        <v>732</v>
      </c>
      <c r="D815" t="s">
        <v>1181</v>
      </c>
      <c r="E815" t="s">
        <v>1314</v>
      </c>
      <c r="F815">
        <f>Table5[[#This Row],[Total_Amount]]/(G815*(1-Table5[[#This Row],[Discount]]))</f>
        <v>4</v>
      </c>
      <c r="G815" s="5">
        <v>250.64</v>
      </c>
      <c r="H815">
        <v>0.1</v>
      </c>
      <c r="I815" t="s">
        <v>1351</v>
      </c>
      <c r="J815" s="5">
        <v>902.30399999999997</v>
      </c>
    </row>
    <row r="816" spans="1:10">
      <c r="A816" t="s">
        <v>2165</v>
      </c>
      <c r="B816" s="7">
        <v>45876</v>
      </c>
      <c r="C816" t="s">
        <v>638</v>
      </c>
      <c r="D816" t="s">
        <v>1211</v>
      </c>
      <c r="E816" t="s">
        <v>1338</v>
      </c>
      <c r="F816">
        <f>Table5[[#This Row],[Total_Amount]]/(G816*(1-Table5[[#This Row],[Discount]]))</f>
        <v>4</v>
      </c>
      <c r="G816" s="5">
        <v>373.49</v>
      </c>
      <c r="H816">
        <v>0.16</v>
      </c>
      <c r="I816" t="s">
        <v>1354</v>
      </c>
      <c r="J816" s="5">
        <v>1254.9264000000001</v>
      </c>
    </row>
    <row r="817" spans="1:10">
      <c r="A817" t="s">
        <v>2166</v>
      </c>
      <c r="B817" s="7">
        <v>45398</v>
      </c>
      <c r="C817" t="s">
        <v>180</v>
      </c>
      <c r="D817" t="s">
        <v>1076</v>
      </c>
      <c r="E817" t="s">
        <v>1311</v>
      </c>
      <c r="F817">
        <f>Table5[[#This Row],[Total_Amount]]/(G817*(1-Table5[[#This Row],[Discount]]))</f>
        <v>3.9999999999999991</v>
      </c>
      <c r="G817" s="5">
        <v>348.91</v>
      </c>
      <c r="H817">
        <v>0.18</v>
      </c>
      <c r="I817" t="s">
        <v>1351</v>
      </c>
      <c r="J817" s="5">
        <v>1144.4248</v>
      </c>
    </row>
    <row r="818" spans="1:10">
      <c r="A818" t="s">
        <v>2167</v>
      </c>
      <c r="B818" s="7">
        <v>45390</v>
      </c>
      <c r="C818" t="s">
        <v>279</v>
      </c>
      <c r="D818" t="s">
        <v>1261</v>
      </c>
      <c r="E818" t="s">
        <v>1332</v>
      </c>
      <c r="F818">
        <f>Table5[[#This Row],[Total_Amount]]/(G818*(1-Table5[[#This Row],[Discount]]))</f>
        <v>4</v>
      </c>
      <c r="G818" s="5">
        <v>212.96</v>
      </c>
      <c r="H818">
        <v>0.17</v>
      </c>
      <c r="I818" t="s">
        <v>1349</v>
      </c>
      <c r="J818" s="5">
        <v>707.02719999999999</v>
      </c>
    </row>
    <row r="819" spans="1:10">
      <c r="A819" t="s">
        <v>2168</v>
      </c>
      <c r="B819" s="7">
        <v>45406</v>
      </c>
      <c r="C819" t="s">
        <v>442</v>
      </c>
      <c r="D819" t="s">
        <v>1127</v>
      </c>
      <c r="E819" t="s">
        <v>1338</v>
      </c>
      <c r="F819">
        <f>Table5[[#This Row],[Total_Amount]]/(G819*(1-Table5[[#This Row],[Discount]]))</f>
        <v>3</v>
      </c>
      <c r="G819" s="5">
        <v>871.34</v>
      </c>
      <c r="H819">
        <v>0.11</v>
      </c>
      <c r="I819" t="s">
        <v>1354</v>
      </c>
      <c r="J819" s="5">
        <v>2326.4778000000001</v>
      </c>
    </row>
    <row r="820" spans="1:10">
      <c r="A820" t="s">
        <v>2169</v>
      </c>
      <c r="B820" s="7">
        <v>45844</v>
      </c>
      <c r="C820" t="s">
        <v>258</v>
      </c>
      <c r="D820" t="s">
        <v>1261</v>
      </c>
      <c r="E820" t="s">
        <v>1277</v>
      </c>
      <c r="F820">
        <f>Table5[[#This Row],[Total_Amount]]/(G820*(1-Table5[[#This Row],[Discount]]))</f>
        <v>2</v>
      </c>
      <c r="G820" s="5">
        <v>698.94</v>
      </c>
      <c r="H820">
        <v>0.06</v>
      </c>
      <c r="I820" t="s">
        <v>1349</v>
      </c>
      <c r="J820" s="5">
        <v>1314.0072</v>
      </c>
    </row>
    <row r="821" spans="1:10">
      <c r="A821" t="s">
        <v>2170</v>
      </c>
      <c r="B821" s="7">
        <v>45697</v>
      </c>
      <c r="C821" t="s">
        <v>696</v>
      </c>
      <c r="D821" t="s">
        <v>1221</v>
      </c>
      <c r="E821" t="s">
        <v>1277</v>
      </c>
      <c r="F821">
        <f>Table5[[#This Row],[Total_Amount]]/(G821*(1-Table5[[#This Row],[Discount]]))</f>
        <v>1</v>
      </c>
      <c r="G821" s="5">
        <v>719.94</v>
      </c>
      <c r="H821">
        <v>0.23</v>
      </c>
      <c r="I821" t="s">
        <v>1354</v>
      </c>
      <c r="J821" s="5">
        <v>554.35380000000009</v>
      </c>
    </row>
    <row r="822" spans="1:10">
      <c r="A822" t="s">
        <v>2171</v>
      </c>
      <c r="B822" s="7">
        <v>45607</v>
      </c>
      <c r="C822" t="s">
        <v>30</v>
      </c>
      <c r="D822" t="s">
        <v>1129</v>
      </c>
      <c r="E822" t="s">
        <v>1294</v>
      </c>
      <c r="F822">
        <f>Table5[[#This Row],[Total_Amount]]/(G822*(1-Table5[[#This Row],[Discount]]))</f>
        <v>2.0000000000000004</v>
      </c>
      <c r="G822" s="5">
        <v>278.16000000000003</v>
      </c>
      <c r="H822">
        <v>0.22</v>
      </c>
      <c r="I822" t="s">
        <v>1351</v>
      </c>
      <c r="J822" s="5">
        <v>433.92960000000011</v>
      </c>
    </row>
    <row r="823" spans="1:10">
      <c r="A823" t="s">
        <v>2172</v>
      </c>
      <c r="B823" s="7">
        <v>45307</v>
      </c>
      <c r="C823" t="s">
        <v>150</v>
      </c>
      <c r="D823" t="s">
        <v>1171</v>
      </c>
      <c r="E823" t="s">
        <v>1298</v>
      </c>
      <c r="F823">
        <f>Table5[[#This Row],[Total_Amount]]/(G823*(1-Table5[[#This Row],[Discount]]))</f>
        <v>1</v>
      </c>
      <c r="G823" s="5">
        <v>678.9</v>
      </c>
      <c r="H823">
        <v>0.17</v>
      </c>
      <c r="I823" t="s">
        <v>1349</v>
      </c>
      <c r="J823" s="5">
        <v>563.48699999999997</v>
      </c>
    </row>
    <row r="824" spans="1:10">
      <c r="A824" t="s">
        <v>2173</v>
      </c>
      <c r="B824" s="7">
        <v>45520</v>
      </c>
      <c r="C824" t="s">
        <v>56</v>
      </c>
      <c r="D824" t="s">
        <v>1123</v>
      </c>
      <c r="E824" t="s">
        <v>1326</v>
      </c>
      <c r="F824">
        <f>Table5[[#This Row],[Total_Amount]]/(G824*(1-Table5[[#This Row],[Discount]]))</f>
        <v>4</v>
      </c>
      <c r="G824" s="5">
        <v>94.13</v>
      </c>
      <c r="H824">
        <v>0.15</v>
      </c>
      <c r="I824" t="s">
        <v>1349</v>
      </c>
      <c r="J824" s="5">
        <v>320.04199999999997</v>
      </c>
    </row>
    <row r="825" spans="1:10">
      <c r="A825" t="s">
        <v>2174</v>
      </c>
      <c r="B825" s="7">
        <v>45933</v>
      </c>
      <c r="C825" t="s">
        <v>945</v>
      </c>
      <c r="D825" t="s">
        <v>1161</v>
      </c>
      <c r="E825" t="s">
        <v>1282</v>
      </c>
      <c r="F825">
        <f>Table5[[#This Row],[Total_Amount]]/(G825*(1-Table5[[#This Row],[Discount]]))</f>
        <v>4</v>
      </c>
      <c r="G825" s="5">
        <v>415.02</v>
      </c>
      <c r="H825">
        <v>0.01</v>
      </c>
      <c r="I825" t="s">
        <v>1351</v>
      </c>
      <c r="J825" s="5">
        <v>1643.4792</v>
      </c>
    </row>
    <row r="826" spans="1:10">
      <c r="A826" t="s">
        <v>2175</v>
      </c>
      <c r="B826" s="7">
        <v>45841</v>
      </c>
      <c r="C826" t="s">
        <v>145</v>
      </c>
      <c r="D826" t="s">
        <v>1095</v>
      </c>
      <c r="E826" t="s">
        <v>1294</v>
      </c>
      <c r="F826">
        <f>Table5[[#This Row],[Total_Amount]]/(G826*(1-Table5[[#This Row],[Discount]]))</f>
        <v>4</v>
      </c>
      <c r="G826" s="5">
        <v>780.07</v>
      </c>
      <c r="H826">
        <v>0.03</v>
      </c>
      <c r="I826" t="s">
        <v>1349</v>
      </c>
      <c r="J826" s="5">
        <v>3026.6716000000001</v>
      </c>
    </row>
    <row r="827" spans="1:10">
      <c r="A827" t="s">
        <v>2176</v>
      </c>
      <c r="B827" s="7">
        <v>45877</v>
      </c>
      <c r="C827" t="s">
        <v>919</v>
      </c>
      <c r="D827" t="s">
        <v>1147</v>
      </c>
      <c r="E827" t="s">
        <v>1326</v>
      </c>
      <c r="F827">
        <f>Table5[[#This Row],[Total_Amount]]/(G827*(1-Table5[[#This Row],[Discount]]))</f>
        <v>4</v>
      </c>
      <c r="G827" s="5">
        <v>184.57</v>
      </c>
      <c r="H827">
        <v>0.28000000000000003</v>
      </c>
      <c r="I827" t="s">
        <v>1349</v>
      </c>
      <c r="J827" s="5">
        <v>531.5616</v>
      </c>
    </row>
    <row r="828" spans="1:10">
      <c r="A828" t="s">
        <v>2177</v>
      </c>
      <c r="B828" s="7">
        <v>45532</v>
      </c>
      <c r="C828" t="s">
        <v>638</v>
      </c>
      <c r="D828" t="s">
        <v>1203</v>
      </c>
      <c r="E828" t="s">
        <v>1294</v>
      </c>
      <c r="F828">
        <f>Table5[[#This Row],[Total_Amount]]/(G828*(1-Table5[[#This Row],[Discount]]))</f>
        <v>4</v>
      </c>
      <c r="G828" s="5">
        <v>277.58</v>
      </c>
      <c r="H828">
        <v>0.22</v>
      </c>
      <c r="I828" t="s">
        <v>1351</v>
      </c>
      <c r="J828" s="5">
        <v>866.04959999999994</v>
      </c>
    </row>
    <row r="829" spans="1:10">
      <c r="A829" t="s">
        <v>2178</v>
      </c>
      <c r="B829" s="7">
        <v>45734</v>
      </c>
      <c r="C829" t="s">
        <v>267</v>
      </c>
      <c r="D829" t="s">
        <v>1135</v>
      </c>
      <c r="E829" t="s">
        <v>1291</v>
      </c>
      <c r="F829">
        <f>Table5[[#This Row],[Total_Amount]]/(G829*(1-Table5[[#This Row],[Discount]]))</f>
        <v>1</v>
      </c>
      <c r="G829" s="5">
        <v>36.799999999999997</v>
      </c>
      <c r="H829">
        <v>0.18</v>
      </c>
      <c r="I829" t="s">
        <v>1349</v>
      </c>
      <c r="J829" s="5">
        <v>30.175999999999998</v>
      </c>
    </row>
    <row r="830" spans="1:10">
      <c r="A830" t="s">
        <v>2179</v>
      </c>
      <c r="B830" s="7">
        <v>45809</v>
      </c>
      <c r="C830" t="s">
        <v>775</v>
      </c>
      <c r="D830" t="s">
        <v>1249</v>
      </c>
      <c r="E830" t="s">
        <v>1301</v>
      </c>
      <c r="F830">
        <f>Table5[[#This Row],[Total_Amount]]/(G830*(1-Table5[[#This Row],[Discount]]))</f>
        <v>1</v>
      </c>
      <c r="G830" s="5">
        <v>539.37</v>
      </c>
      <c r="H830">
        <v>0.14000000000000001</v>
      </c>
      <c r="I830" t="s">
        <v>1349</v>
      </c>
      <c r="J830" s="5">
        <v>463.85820000000001</v>
      </c>
    </row>
    <row r="831" spans="1:10">
      <c r="A831" t="s">
        <v>2180</v>
      </c>
      <c r="B831" s="7">
        <v>45760</v>
      </c>
      <c r="C831" t="s">
        <v>234</v>
      </c>
      <c r="D831" t="s">
        <v>1113</v>
      </c>
      <c r="E831" t="s">
        <v>1335</v>
      </c>
      <c r="F831">
        <f>Table5[[#This Row],[Total_Amount]]/(G831*(1-Table5[[#This Row],[Discount]]))</f>
        <v>1.0000000000000002</v>
      </c>
      <c r="G831" s="5">
        <v>27.83</v>
      </c>
      <c r="H831">
        <v>0.3</v>
      </c>
      <c r="I831" t="s">
        <v>1351</v>
      </c>
      <c r="J831" s="5">
        <v>19.481000000000002</v>
      </c>
    </row>
    <row r="832" spans="1:10">
      <c r="A832" t="s">
        <v>2181</v>
      </c>
      <c r="B832" s="7">
        <v>45456</v>
      </c>
      <c r="C832" t="s">
        <v>630</v>
      </c>
      <c r="D832" t="s">
        <v>1213</v>
      </c>
      <c r="E832" t="s">
        <v>1294</v>
      </c>
      <c r="F832">
        <f>Table5[[#This Row],[Total_Amount]]/(G832*(1-Table5[[#This Row],[Discount]]))</f>
        <v>3.0000000000000004</v>
      </c>
      <c r="G832" s="5">
        <v>698.72</v>
      </c>
      <c r="H832">
        <v>0.28000000000000003</v>
      </c>
      <c r="I832" t="s">
        <v>1354</v>
      </c>
      <c r="J832" s="5">
        <v>1509.2352000000001</v>
      </c>
    </row>
    <row r="833" spans="1:10">
      <c r="A833" t="s">
        <v>2182</v>
      </c>
      <c r="B833" s="7">
        <v>45698</v>
      </c>
      <c r="C833" t="s">
        <v>47</v>
      </c>
      <c r="D833" t="s">
        <v>1225</v>
      </c>
      <c r="E833" t="s">
        <v>1322</v>
      </c>
      <c r="F833">
        <f>Table5[[#This Row],[Total_Amount]]/(G833*(1-Table5[[#This Row],[Discount]]))</f>
        <v>4</v>
      </c>
      <c r="G833" s="5">
        <v>528.23</v>
      </c>
      <c r="H833">
        <v>0.15</v>
      </c>
      <c r="I833" t="s">
        <v>1354</v>
      </c>
      <c r="J833" s="5">
        <v>1795.982</v>
      </c>
    </row>
    <row r="834" spans="1:10">
      <c r="A834" t="s">
        <v>2183</v>
      </c>
      <c r="B834" s="7">
        <v>45548</v>
      </c>
      <c r="C834" t="s">
        <v>1045</v>
      </c>
      <c r="D834" t="s">
        <v>1165</v>
      </c>
      <c r="E834" t="s">
        <v>1329</v>
      </c>
      <c r="F834">
        <f>Table5[[#This Row],[Total_Amount]]/(G834*(1-Table5[[#This Row],[Discount]]))</f>
        <v>2</v>
      </c>
      <c r="G834" s="5">
        <v>780.9</v>
      </c>
      <c r="H834">
        <v>0.24</v>
      </c>
      <c r="I834" t="s">
        <v>1351</v>
      </c>
      <c r="J834" s="5">
        <v>1186.9680000000001</v>
      </c>
    </row>
    <row r="835" spans="1:10">
      <c r="A835" t="s">
        <v>2184</v>
      </c>
      <c r="B835" s="7">
        <v>45236</v>
      </c>
      <c r="C835" t="s">
        <v>422</v>
      </c>
      <c r="D835" t="s">
        <v>1115</v>
      </c>
      <c r="E835" t="s">
        <v>1324</v>
      </c>
      <c r="F835">
        <f>Table5[[#This Row],[Total_Amount]]/(G835*(1-Table5[[#This Row],[Discount]]))</f>
        <v>1</v>
      </c>
      <c r="G835" s="5">
        <v>977.97</v>
      </c>
      <c r="H835">
        <v>0.06</v>
      </c>
      <c r="I835" t="s">
        <v>1354</v>
      </c>
      <c r="J835" s="5">
        <v>919.29179999999997</v>
      </c>
    </row>
    <row r="836" spans="1:10">
      <c r="A836" t="s">
        <v>2185</v>
      </c>
      <c r="B836" s="7">
        <v>45310</v>
      </c>
      <c r="C836" t="s">
        <v>801</v>
      </c>
      <c r="D836" t="s">
        <v>1239</v>
      </c>
      <c r="E836" t="s">
        <v>1319</v>
      </c>
      <c r="F836">
        <f>Table5[[#This Row],[Total_Amount]]/(G836*(1-Table5[[#This Row],[Discount]]))</f>
        <v>4</v>
      </c>
      <c r="G836" s="5">
        <v>354.65</v>
      </c>
      <c r="H836">
        <v>0.19</v>
      </c>
      <c r="I836" t="s">
        <v>1349</v>
      </c>
      <c r="J836" s="5">
        <v>1149.066</v>
      </c>
    </row>
    <row r="837" spans="1:10">
      <c r="A837" t="s">
        <v>2186</v>
      </c>
      <c r="B837" s="7">
        <v>45376</v>
      </c>
      <c r="C837" t="s">
        <v>630</v>
      </c>
      <c r="D837" t="s">
        <v>1209</v>
      </c>
      <c r="E837" t="s">
        <v>1338</v>
      </c>
      <c r="F837">
        <f>Table5[[#This Row],[Total_Amount]]/(G837*(1-Table5[[#This Row],[Discount]]))</f>
        <v>1</v>
      </c>
      <c r="G837" s="5">
        <v>671.62</v>
      </c>
      <c r="H837">
        <v>0.09</v>
      </c>
      <c r="I837" t="s">
        <v>1354</v>
      </c>
      <c r="J837" s="5">
        <v>611.17420000000004</v>
      </c>
    </row>
    <row r="838" spans="1:10">
      <c r="A838" t="s">
        <v>2187</v>
      </c>
      <c r="B838" s="7">
        <v>45914</v>
      </c>
      <c r="C838" t="s">
        <v>698</v>
      </c>
      <c r="D838" t="s">
        <v>1237</v>
      </c>
      <c r="E838" t="s">
        <v>1291</v>
      </c>
      <c r="F838">
        <f>Table5[[#This Row],[Total_Amount]]/(G838*(1-Table5[[#This Row],[Discount]]))</f>
        <v>1</v>
      </c>
      <c r="G838" s="5">
        <v>867.32</v>
      </c>
      <c r="H838">
        <v>0.28999999999999998</v>
      </c>
      <c r="I838" t="s">
        <v>1351</v>
      </c>
      <c r="J838" s="5">
        <v>615.79719999999998</v>
      </c>
    </row>
    <row r="839" spans="1:10">
      <c r="A839" t="s">
        <v>2188</v>
      </c>
      <c r="B839" s="7">
        <v>45336</v>
      </c>
      <c r="C839" t="s">
        <v>216</v>
      </c>
      <c r="D839" t="s">
        <v>1093</v>
      </c>
      <c r="E839" t="s">
        <v>1319</v>
      </c>
      <c r="F839">
        <f>Table5[[#This Row],[Total_Amount]]/(G839*(1-Table5[[#This Row],[Discount]]))</f>
        <v>3.0000000000000004</v>
      </c>
      <c r="G839" s="5">
        <v>240.27</v>
      </c>
      <c r="H839">
        <v>0.15</v>
      </c>
      <c r="I839" t="s">
        <v>1351</v>
      </c>
      <c r="J839" s="5">
        <v>612.68850000000009</v>
      </c>
    </row>
    <row r="840" spans="1:10">
      <c r="A840" t="s">
        <v>2189</v>
      </c>
      <c r="B840" s="7">
        <v>45728</v>
      </c>
      <c r="C840" t="s">
        <v>202</v>
      </c>
      <c r="D840" t="s">
        <v>1129</v>
      </c>
      <c r="E840" t="s">
        <v>1329</v>
      </c>
      <c r="F840">
        <f>Table5[[#This Row],[Total_Amount]]/(G840*(1-Table5[[#This Row],[Discount]]))</f>
        <v>2</v>
      </c>
      <c r="G840" s="5">
        <v>619.12</v>
      </c>
      <c r="H840">
        <v>0.28000000000000003</v>
      </c>
      <c r="I840" t="s">
        <v>1354</v>
      </c>
      <c r="J840" s="5">
        <v>891.53279999999995</v>
      </c>
    </row>
    <row r="841" spans="1:10">
      <c r="A841" t="s">
        <v>2190</v>
      </c>
      <c r="B841" s="7">
        <v>45755</v>
      </c>
      <c r="C841" t="s">
        <v>488</v>
      </c>
      <c r="D841" t="s">
        <v>1247</v>
      </c>
      <c r="E841" t="s">
        <v>1277</v>
      </c>
      <c r="F841">
        <f>Table5[[#This Row],[Total_Amount]]/(G841*(1-Table5[[#This Row],[Discount]]))</f>
        <v>2.9999999999999996</v>
      </c>
      <c r="G841" s="5">
        <v>693.42</v>
      </c>
      <c r="H841">
        <v>0.08</v>
      </c>
      <c r="I841" t="s">
        <v>1351</v>
      </c>
      <c r="J841" s="5">
        <v>1913.8391999999999</v>
      </c>
    </row>
    <row r="842" spans="1:10">
      <c r="A842" t="s">
        <v>2191</v>
      </c>
      <c r="B842" s="7">
        <v>45695</v>
      </c>
      <c r="C842" t="s">
        <v>275</v>
      </c>
      <c r="D842" t="s">
        <v>1169</v>
      </c>
      <c r="E842" t="s">
        <v>1314</v>
      </c>
      <c r="F842">
        <f>Table5[[#This Row],[Total_Amount]]/(G842*(1-Table5[[#This Row],[Discount]]))</f>
        <v>4</v>
      </c>
      <c r="G842" s="5">
        <v>751.63</v>
      </c>
      <c r="H842">
        <v>0.28000000000000003</v>
      </c>
      <c r="I842" t="s">
        <v>1354</v>
      </c>
      <c r="J842" s="5">
        <v>2164.6943999999999</v>
      </c>
    </row>
    <row r="843" spans="1:10">
      <c r="A843" t="s">
        <v>2192</v>
      </c>
      <c r="B843" s="7">
        <v>45380</v>
      </c>
      <c r="C843" t="s">
        <v>279</v>
      </c>
      <c r="D843" t="s">
        <v>1135</v>
      </c>
      <c r="E843" t="s">
        <v>1326</v>
      </c>
      <c r="F843">
        <f>Table5[[#This Row],[Total_Amount]]/(G843*(1-Table5[[#This Row],[Discount]]))</f>
        <v>2.9999999999999996</v>
      </c>
      <c r="G843" s="5">
        <v>108.14</v>
      </c>
      <c r="H843">
        <v>0.19</v>
      </c>
      <c r="I843" t="s">
        <v>1354</v>
      </c>
      <c r="J843" s="5">
        <v>262.78019999999998</v>
      </c>
    </row>
    <row r="844" spans="1:10">
      <c r="A844" t="s">
        <v>2193</v>
      </c>
      <c r="B844" s="7">
        <v>45446</v>
      </c>
      <c r="C844" t="s">
        <v>575</v>
      </c>
      <c r="D844" t="s">
        <v>1127</v>
      </c>
      <c r="E844" t="s">
        <v>1294</v>
      </c>
      <c r="F844">
        <f>Table5[[#This Row],[Total_Amount]]/(G844*(1-Table5[[#This Row],[Discount]]))</f>
        <v>1</v>
      </c>
      <c r="G844" s="5">
        <v>964.11</v>
      </c>
      <c r="H844">
        <v>0.17</v>
      </c>
      <c r="I844" t="s">
        <v>1354</v>
      </c>
      <c r="J844" s="5">
        <v>800.21129999999994</v>
      </c>
    </row>
    <row r="845" spans="1:10">
      <c r="A845" t="s">
        <v>2194</v>
      </c>
      <c r="B845" s="7">
        <v>45525</v>
      </c>
      <c r="C845" t="s">
        <v>323</v>
      </c>
      <c r="D845" t="s">
        <v>1111</v>
      </c>
      <c r="E845" t="s">
        <v>1277</v>
      </c>
      <c r="F845">
        <f>Table5[[#This Row],[Total_Amount]]/(G845*(1-Table5[[#This Row],[Discount]]))</f>
        <v>1</v>
      </c>
      <c r="G845" s="5">
        <v>346.2</v>
      </c>
      <c r="H845">
        <v>0.28999999999999998</v>
      </c>
      <c r="I845" t="s">
        <v>1349</v>
      </c>
      <c r="J845" s="5">
        <v>245.80199999999999</v>
      </c>
    </row>
    <row r="846" spans="1:10">
      <c r="A846" t="s">
        <v>2195</v>
      </c>
      <c r="B846" s="7">
        <v>45527</v>
      </c>
      <c r="C846" t="s">
        <v>977</v>
      </c>
      <c r="D846" t="s">
        <v>1159</v>
      </c>
      <c r="E846" t="s">
        <v>1326</v>
      </c>
      <c r="F846">
        <f>Table5[[#This Row],[Total_Amount]]/(G846*(1-Table5[[#This Row],[Discount]]))</f>
        <v>3.0000000000000004</v>
      </c>
      <c r="G846" s="5">
        <v>791.75</v>
      </c>
      <c r="H846">
        <v>0.28999999999999998</v>
      </c>
      <c r="I846" t="s">
        <v>1349</v>
      </c>
      <c r="J846" s="5">
        <v>1686.4275</v>
      </c>
    </row>
    <row r="847" spans="1:10">
      <c r="A847" t="s">
        <v>2196</v>
      </c>
      <c r="B847" s="7">
        <v>45265</v>
      </c>
      <c r="C847" t="s">
        <v>702</v>
      </c>
      <c r="D847" t="s">
        <v>1151</v>
      </c>
      <c r="E847" t="s">
        <v>1322</v>
      </c>
      <c r="F847">
        <f>Table5[[#This Row],[Total_Amount]]/(G847*(1-Table5[[#This Row],[Discount]]))</f>
        <v>1</v>
      </c>
      <c r="G847" s="5">
        <v>529.84</v>
      </c>
      <c r="H847">
        <v>0.13</v>
      </c>
      <c r="I847" t="s">
        <v>1351</v>
      </c>
      <c r="J847" s="5">
        <v>460.96080000000001</v>
      </c>
    </row>
    <row r="848" spans="1:10">
      <c r="A848" t="s">
        <v>2197</v>
      </c>
      <c r="B848" s="7">
        <v>45936</v>
      </c>
      <c r="C848" t="s">
        <v>1004</v>
      </c>
      <c r="D848" t="s">
        <v>1181</v>
      </c>
      <c r="E848" t="s">
        <v>1291</v>
      </c>
      <c r="F848">
        <f>Table5[[#This Row],[Total_Amount]]/(G848*(1-Table5[[#This Row],[Discount]]))</f>
        <v>3</v>
      </c>
      <c r="G848" s="5">
        <v>582.57000000000005</v>
      </c>
      <c r="H848">
        <v>0.11</v>
      </c>
      <c r="I848" t="s">
        <v>1351</v>
      </c>
      <c r="J848" s="5">
        <v>1555.4619</v>
      </c>
    </row>
    <row r="849" spans="1:10">
      <c r="A849" t="s">
        <v>2198</v>
      </c>
      <c r="B849" s="7">
        <v>45242</v>
      </c>
      <c r="C849" t="s">
        <v>484</v>
      </c>
      <c r="D849" t="s">
        <v>1263</v>
      </c>
      <c r="E849" t="s">
        <v>1332</v>
      </c>
      <c r="F849">
        <f>Table5[[#This Row],[Total_Amount]]/(G849*(1-Table5[[#This Row],[Discount]]))</f>
        <v>0.99999999999999989</v>
      </c>
      <c r="G849" s="5">
        <v>219.81</v>
      </c>
      <c r="H849">
        <v>0.22</v>
      </c>
      <c r="I849" t="s">
        <v>1354</v>
      </c>
      <c r="J849" s="5">
        <v>171.45179999999999</v>
      </c>
    </row>
    <row r="850" spans="1:10">
      <c r="A850" t="s">
        <v>2199</v>
      </c>
      <c r="B850" s="7">
        <v>45437</v>
      </c>
      <c r="C850" t="s">
        <v>1055</v>
      </c>
      <c r="D850" t="s">
        <v>1213</v>
      </c>
      <c r="E850" t="s">
        <v>1335</v>
      </c>
      <c r="F850">
        <f>Table5[[#This Row],[Total_Amount]]/(G850*(1-Table5[[#This Row],[Discount]]))</f>
        <v>4</v>
      </c>
      <c r="G850" s="5">
        <v>883.31</v>
      </c>
      <c r="H850">
        <v>0.27</v>
      </c>
      <c r="I850" t="s">
        <v>1349</v>
      </c>
      <c r="J850" s="5">
        <v>2579.2651999999998</v>
      </c>
    </row>
    <row r="851" spans="1:10">
      <c r="A851" t="s">
        <v>2200</v>
      </c>
      <c r="B851" s="7">
        <v>45627</v>
      </c>
      <c r="C851" t="s">
        <v>531</v>
      </c>
      <c r="D851" t="s">
        <v>1107</v>
      </c>
      <c r="E851" t="s">
        <v>1324</v>
      </c>
      <c r="F851">
        <f>Table5[[#This Row],[Total_Amount]]/(G851*(1-Table5[[#This Row],[Discount]]))</f>
        <v>4</v>
      </c>
      <c r="G851" s="5">
        <v>329.06</v>
      </c>
      <c r="H851">
        <v>0.04</v>
      </c>
      <c r="I851" t="s">
        <v>1354</v>
      </c>
      <c r="J851" s="5">
        <v>1263.5904</v>
      </c>
    </row>
    <row r="852" spans="1:10">
      <c r="A852" t="s">
        <v>2201</v>
      </c>
      <c r="B852" s="7">
        <v>45678</v>
      </c>
      <c r="C852" t="s">
        <v>269</v>
      </c>
      <c r="D852" t="s">
        <v>1209</v>
      </c>
      <c r="E852" t="s">
        <v>1317</v>
      </c>
      <c r="F852">
        <f>Table5[[#This Row],[Total_Amount]]/(G852*(1-Table5[[#This Row],[Discount]]))</f>
        <v>1</v>
      </c>
      <c r="G852" s="5">
        <v>935.78</v>
      </c>
      <c r="H852">
        <v>0.03</v>
      </c>
      <c r="I852" t="s">
        <v>1351</v>
      </c>
      <c r="J852" s="5">
        <v>907.70659999999998</v>
      </c>
    </row>
    <row r="853" spans="1:10">
      <c r="A853" t="s">
        <v>2202</v>
      </c>
      <c r="B853" s="7">
        <v>45484</v>
      </c>
      <c r="C853" t="s">
        <v>704</v>
      </c>
      <c r="D853" t="s">
        <v>1193</v>
      </c>
      <c r="E853" t="s">
        <v>1314</v>
      </c>
      <c r="F853">
        <f>Table5[[#This Row],[Total_Amount]]/(G853*(1-Table5[[#This Row],[Discount]]))</f>
        <v>4</v>
      </c>
      <c r="G853" s="5">
        <v>597.79999999999995</v>
      </c>
      <c r="H853">
        <v>0.2</v>
      </c>
      <c r="I853" t="s">
        <v>1349</v>
      </c>
      <c r="J853" s="5">
        <v>1912.96</v>
      </c>
    </row>
    <row r="854" spans="1:10">
      <c r="A854" t="s">
        <v>2203</v>
      </c>
      <c r="B854" s="7">
        <v>45700</v>
      </c>
      <c r="C854" t="s">
        <v>581</v>
      </c>
      <c r="D854" t="s">
        <v>1099</v>
      </c>
      <c r="E854" t="s">
        <v>1335</v>
      </c>
      <c r="F854">
        <f>Table5[[#This Row],[Total_Amount]]/(G854*(1-Table5[[#This Row],[Discount]]))</f>
        <v>4</v>
      </c>
      <c r="G854" s="5">
        <v>266.98</v>
      </c>
      <c r="H854">
        <v>0.16</v>
      </c>
      <c r="I854" t="s">
        <v>1349</v>
      </c>
      <c r="J854" s="5">
        <v>897.05280000000005</v>
      </c>
    </row>
    <row r="855" spans="1:10">
      <c r="A855" t="s">
        <v>2204</v>
      </c>
      <c r="B855" s="7">
        <v>45873</v>
      </c>
      <c r="C855" t="s">
        <v>877</v>
      </c>
      <c r="D855" t="s">
        <v>1213</v>
      </c>
      <c r="E855" t="s">
        <v>1326</v>
      </c>
      <c r="F855">
        <f>Table5[[#This Row],[Total_Amount]]/(G855*(1-Table5[[#This Row],[Discount]]))</f>
        <v>3.0000000000000004</v>
      </c>
      <c r="G855" s="5">
        <v>360.18</v>
      </c>
      <c r="H855">
        <v>0.03</v>
      </c>
      <c r="I855" t="s">
        <v>1349</v>
      </c>
      <c r="J855" s="5">
        <v>1048.1238000000001</v>
      </c>
    </row>
    <row r="856" spans="1:10">
      <c r="A856" t="s">
        <v>2205</v>
      </c>
      <c r="B856" s="7">
        <v>45860</v>
      </c>
      <c r="C856" t="s">
        <v>789</v>
      </c>
      <c r="D856" t="s">
        <v>1185</v>
      </c>
      <c r="E856" t="s">
        <v>1277</v>
      </c>
      <c r="F856">
        <f>Table5[[#This Row],[Total_Amount]]/(G856*(1-Table5[[#This Row],[Discount]]))</f>
        <v>3.0000000000000004</v>
      </c>
      <c r="G856" s="5">
        <v>247.41</v>
      </c>
      <c r="H856">
        <v>0.05</v>
      </c>
      <c r="I856" t="s">
        <v>1354</v>
      </c>
      <c r="J856" s="5">
        <v>705.11850000000004</v>
      </c>
    </row>
    <row r="857" spans="1:10">
      <c r="A857" t="s">
        <v>2206</v>
      </c>
      <c r="B857" s="7">
        <v>45235</v>
      </c>
      <c r="C857" t="s">
        <v>208</v>
      </c>
      <c r="D857" t="s">
        <v>1163</v>
      </c>
      <c r="E857" t="s">
        <v>1326</v>
      </c>
      <c r="F857">
        <f>Table5[[#This Row],[Total_Amount]]/(G857*(1-Table5[[#This Row],[Discount]]))</f>
        <v>3</v>
      </c>
      <c r="G857" s="5">
        <v>674.66</v>
      </c>
      <c r="H857">
        <v>0.23</v>
      </c>
      <c r="I857" t="s">
        <v>1349</v>
      </c>
      <c r="J857" s="5">
        <v>1558.4646</v>
      </c>
    </row>
    <row r="858" spans="1:10">
      <c r="A858" t="s">
        <v>2207</v>
      </c>
      <c r="B858" s="7">
        <v>45874</v>
      </c>
      <c r="C858" t="s">
        <v>893</v>
      </c>
      <c r="D858" t="s">
        <v>1157</v>
      </c>
      <c r="E858" t="s">
        <v>1294</v>
      </c>
      <c r="F858">
        <f>Table5[[#This Row],[Total_Amount]]/(G858*(1-Table5[[#This Row],[Discount]]))</f>
        <v>1</v>
      </c>
      <c r="G858" s="5">
        <v>913.98</v>
      </c>
      <c r="H858">
        <v>0.27</v>
      </c>
      <c r="I858" t="s">
        <v>1351</v>
      </c>
      <c r="J858" s="5">
        <v>667.20539999999994</v>
      </c>
    </row>
    <row r="859" spans="1:10">
      <c r="A859" t="s">
        <v>2208</v>
      </c>
      <c r="B859" s="7">
        <v>45769</v>
      </c>
      <c r="C859" t="s">
        <v>692</v>
      </c>
      <c r="D859" t="s">
        <v>1259</v>
      </c>
      <c r="E859" t="s">
        <v>1314</v>
      </c>
      <c r="F859">
        <f>Table5[[#This Row],[Total_Amount]]/(G859*(1-Table5[[#This Row],[Discount]]))</f>
        <v>4</v>
      </c>
      <c r="G859" s="5">
        <v>370.5</v>
      </c>
      <c r="H859">
        <v>0.13</v>
      </c>
      <c r="I859" t="s">
        <v>1351</v>
      </c>
      <c r="J859" s="5">
        <v>1289.3399999999999</v>
      </c>
    </row>
    <row r="860" spans="1:10">
      <c r="A860" t="s">
        <v>2209</v>
      </c>
      <c r="B860" s="7">
        <v>45619</v>
      </c>
      <c r="C860" t="s">
        <v>779</v>
      </c>
      <c r="D860" t="s">
        <v>1217</v>
      </c>
      <c r="E860" t="s">
        <v>1322</v>
      </c>
      <c r="F860">
        <f>Table5[[#This Row],[Total_Amount]]/(G860*(1-Table5[[#This Row],[Discount]]))</f>
        <v>1</v>
      </c>
      <c r="G860" s="5">
        <v>735.1</v>
      </c>
      <c r="H860">
        <v>0.1</v>
      </c>
      <c r="I860" t="s">
        <v>1351</v>
      </c>
      <c r="J860" s="5">
        <v>661.59</v>
      </c>
    </row>
    <row r="861" spans="1:10">
      <c r="A861" t="s">
        <v>2210</v>
      </c>
      <c r="B861" s="7">
        <v>45614</v>
      </c>
      <c r="C861" t="s">
        <v>331</v>
      </c>
      <c r="D861" t="s">
        <v>1231</v>
      </c>
      <c r="E861" t="s">
        <v>1286</v>
      </c>
      <c r="F861">
        <f>Table5[[#This Row],[Total_Amount]]/(G861*(1-Table5[[#This Row],[Discount]]))</f>
        <v>3</v>
      </c>
      <c r="G861" s="5">
        <v>448.55</v>
      </c>
      <c r="H861">
        <v>0.05</v>
      </c>
      <c r="I861" t="s">
        <v>1349</v>
      </c>
      <c r="J861" s="5">
        <v>1278.3675000000001</v>
      </c>
    </row>
    <row r="862" spans="1:10">
      <c r="A862" t="s">
        <v>2211</v>
      </c>
      <c r="B862" s="7">
        <v>45691</v>
      </c>
      <c r="C862" t="s">
        <v>164</v>
      </c>
      <c r="D862" t="s">
        <v>1241</v>
      </c>
      <c r="E862" t="s">
        <v>1322</v>
      </c>
      <c r="F862">
        <f>Table5[[#This Row],[Total_Amount]]/(G862*(1-Table5[[#This Row],[Discount]]))</f>
        <v>3</v>
      </c>
      <c r="G862" s="5">
        <v>904.96</v>
      </c>
      <c r="H862">
        <v>7.0000000000000007E-2</v>
      </c>
      <c r="I862" t="s">
        <v>1354</v>
      </c>
      <c r="J862" s="5">
        <v>2524.8384000000001</v>
      </c>
    </row>
    <row r="863" spans="1:10">
      <c r="A863" t="s">
        <v>2212</v>
      </c>
      <c r="B863" s="7">
        <v>45608</v>
      </c>
      <c r="C863" t="s">
        <v>823</v>
      </c>
      <c r="D863" t="s">
        <v>1209</v>
      </c>
      <c r="E863" t="s">
        <v>1322</v>
      </c>
      <c r="F863">
        <f>Table5[[#This Row],[Total_Amount]]/(G863*(1-Table5[[#This Row],[Discount]]))</f>
        <v>4</v>
      </c>
      <c r="G863" s="5">
        <v>408.72</v>
      </c>
      <c r="H863">
        <v>0.16</v>
      </c>
      <c r="I863" t="s">
        <v>1354</v>
      </c>
      <c r="J863" s="5">
        <v>1373.2991999999999</v>
      </c>
    </row>
    <row r="864" spans="1:10">
      <c r="A864" t="s">
        <v>2213</v>
      </c>
      <c r="B864" s="7">
        <v>45412</v>
      </c>
      <c r="C864" t="s">
        <v>628</v>
      </c>
      <c r="D864" t="s">
        <v>1215</v>
      </c>
      <c r="E864" t="s">
        <v>1291</v>
      </c>
      <c r="F864">
        <f>Table5[[#This Row],[Total_Amount]]/(G864*(1-Table5[[#This Row],[Discount]]))</f>
        <v>4</v>
      </c>
      <c r="G864" s="5">
        <v>770.65</v>
      </c>
      <c r="H864">
        <v>0.27</v>
      </c>
      <c r="I864" t="s">
        <v>1349</v>
      </c>
      <c r="J864" s="5">
        <v>2250.2979999999998</v>
      </c>
    </row>
    <row r="865" spans="1:10">
      <c r="A865" t="s">
        <v>2214</v>
      </c>
      <c r="B865" s="7">
        <v>45767</v>
      </c>
      <c r="C865" t="s">
        <v>468</v>
      </c>
      <c r="D865" t="s">
        <v>1133</v>
      </c>
      <c r="E865" t="s">
        <v>1301</v>
      </c>
      <c r="F865">
        <f>Table5[[#This Row],[Total_Amount]]/(G865*(1-Table5[[#This Row],[Discount]]))</f>
        <v>1</v>
      </c>
      <c r="G865" s="5">
        <v>649.22</v>
      </c>
      <c r="H865">
        <v>0.03</v>
      </c>
      <c r="I865" t="s">
        <v>1354</v>
      </c>
      <c r="J865" s="5">
        <v>629.74340000000007</v>
      </c>
    </row>
    <row r="866" spans="1:10">
      <c r="A866" t="s">
        <v>2215</v>
      </c>
      <c r="B866" s="7">
        <v>45428</v>
      </c>
      <c r="C866" t="s">
        <v>760</v>
      </c>
      <c r="D866" t="s">
        <v>1139</v>
      </c>
      <c r="E866" t="s">
        <v>1314</v>
      </c>
      <c r="F866">
        <f>Table5[[#This Row],[Total_Amount]]/(G866*(1-Table5[[#This Row],[Discount]]))</f>
        <v>2</v>
      </c>
      <c r="G866" s="5">
        <v>379.78</v>
      </c>
      <c r="H866">
        <v>0.2</v>
      </c>
      <c r="I866" t="s">
        <v>1349</v>
      </c>
      <c r="J866" s="5">
        <v>607.64800000000002</v>
      </c>
    </row>
    <row r="867" spans="1:10">
      <c r="A867" t="s">
        <v>2216</v>
      </c>
      <c r="B867" s="7">
        <v>45770</v>
      </c>
      <c r="C867" t="s">
        <v>559</v>
      </c>
      <c r="D867" t="s">
        <v>1159</v>
      </c>
      <c r="E867" t="s">
        <v>1307</v>
      </c>
      <c r="F867">
        <f>Table5[[#This Row],[Total_Amount]]/(G867*(1-Table5[[#This Row],[Discount]]))</f>
        <v>3</v>
      </c>
      <c r="G867" s="5">
        <v>924.15</v>
      </c>
      <c r="H867">
        <v>0.1</v>
      </c>
      <c r="I867" t="s">
        <v>1351</v>
      </c>
      <c r="J867" s="5">
        <v>2495.2049999999999</v>
      </c>
    </row>
    <row r="868" spans="1:10">
      <c r="A868" t="s">
        <v>2217</v>
      </c>
      <c r="B868" s="7">
        <v>45571</v>
      </c>
      <c r="C868" t="s">
        <v>1000</v>
      </c>
      <c r="D868" t="s">
        <v>1163</v>
      </c>
      <c r="E868" t="s">
        <v>1332</v>
      </c>
      <c r="F868">
        <f>Table5[[#This Row],[Total_Amount]]/(G868*(1-Table5[[#This Row],[Discount]]))</f>
        <v>3.0000000000000009</v>
      </c>
      <c r="G868" s="5">
        <v>144.66999999999999</v>
      </c>
      <c r="H868">
        <v>0.28999999999999998</v>
      </c>
      <c r="I868" t="s">
        <v>1354</v>
      </c>
      <c r="J868" s="5">
        <v>308.14710000000002</v>
      </c>
    </row>
    <row r="869" spans="1:10">
      <c r="A869" t="s">
        <v>2218</v>
      </c>
      <c r="B869" s="7">
        <v>45700</v>
      </c>
      <c r="C869" t="s">
        <v>302</v>
      </c>
      <c r="D869" t="s">
        <v>1139</v>
      </c>
      <c r="E869" t="s">
        <v>1326</v>
      </c>
      <c r="F869">
        <f>Table5[[#This Row],[Total_Amount]]/(G869*(1-Table5[[#This Row],[Discount]]))</f>
        <v>2</v>
      </c>
      <c r="G869" s="5">
        <v>667.17</v>
      </c>
      <c r="H869">
        <v>0.1</v>
      </c>
      <c r="I869" t="s">
        <v>1351</v>
      </c>
      <c r="J869" s="5">
        <v>1200.9059999999999</v>
      </c>
    </row>
    <row r="870" spans="1:10">
      <c r="A870" t="s">
        <v>2219</v>
      </c>
      <c r="B870" s="7">
        <v>45382</v>
      </c>
      <c r="C870" t="s">
        <v>867</v>
      </c>
      <c r="D870" t="s">
        <v>1205</v>
      </c>
      <c r="E870" t="s">
        <v>1291</v>
      </c>
      <c r="F870">
        <f>Table5[[#This Row],[Total_Amount]]/(G870*(1-Table5[[#This Row],[Discount]]))</f>
        <v>1</v>
      </c>
      <c r="G870" s="5">
        <v>984.6</v>
      </c>
      <c r="H870">
        <v>0.22</v>
      </c>
      <c r="I870" t="s">
        <v>1349</v>
      </c>
      <c r="J870" s="5">
        <v>767.98800000000006</v>
      </c>
    </row>
    <row r="871" spans="1:10">
      <c r="A871" t="s">
        <v>2220</v>
      </c>
      <c r="B871" s="7">
        <v>45260</v>
      </c>
      <c r="C871" t="s">
        <v>622</v>
      </c>
      <c r="D871" t="s">
        <v>1099</v>
      </c>
      <c r="E871" t="s">
        <v>1307</v>
      </c>
      <c r="F871">
        <f>Table5[[#This Row],[Total_Amount]]/(G871*(1-Table5[[#This Row],[Discount]]))</f>
        <v>1</v>
      </c>
      <c r="G871" s="5">
        <v>139.29</v>
      </c>
      <c r="H871">
        <v>0</v>
      </c>
      <c r="I871" t="s">
        <v>1349</v>
      </c>
      <c r="J871" s="5">
        <v>139.29</v>
      </c>
    </row>
    <row r="872" spans="1:10">
      <c r="A872" t="s">
        <v>2221</v>
      </c>
      <c r="B872" s="7">
        <v>45702</v>
      </c>
      <c r="C872" t="s">
        <v>102</v>
      </c>
      <c r="D872" t="s">
        <v>1105</v>
      </c>
      <c r="E872" t="s">
        <v>1307</v>
      </c>
      <c r="F872">
        <f>Table5[[#This Row],[Total_Amount]]/(G872*(1-Table5[[#This Row],[Discount]]))</f>
        <v>3</v>
      </c>
      <c r="G872" s="5">
        <v>459.57</v>
      </c>
      <c r="H872">
        <v>0.1</v>
      </c>
      <c r="I872" t="s">
        <v>1354</v>
      </c>
      <c r="J872" s="5">
        <v>1240.8389999999999</v>
      </c>
    </row>
    <row r="873" spans="1:10">
      <c r="A873" t="s">
        <v>2222</v>
      </c>
      <c r="B873" s="7">
        <v>45302</v>
      </c>
      <c r="C873" t="s">
        <v>180</v>
      </c>
      <c r="D873" t="s">
        <v>1153</v>
      </c>
      <c r="E873" t="s">
        <v>1326</v>
      </c>
      <c r="F873">
        <f>Table5[[#This Row],[Total_Amount]]/(G873*(1-Table5[[#This Row],[Discount]]))</f>
        <v>1</v>
      </c>
      <c r="G873" s="5">
        <v>517.82000000000005</v>
      </c>
      <c r="H873">
        <v>0.28999999999999998</v>
      </c>
      <c r="I873" t="s">
        <v>1349</v>
      </c>
      <c r="J873" s="5">
        <v>367.65219999999999</v>
      </c>
    </row>
    <row r="874" spans="1:10">
      <c r="A874" t="s">
        <v>2223</v>
      </c>
      <c r="B874" s="7">
        <v>45653</v>
      </c>
      <c r="C874" t="s">
        <v>821</v>
      </c>
      <c r="D874" t="s">
        <v>1225</v>
      </c>
      <c r="E874" t="s">
        <v>1301</v>
      </c>
      <c r="F874">
        <f>Table5[[#This Row],[Total_Amount]]/(G874*(1-Table5[[#This Row],[Discount]]))</f>
        <v>4</v>
      </c>
      <c r="G874" s="5">
        <v>282.45</v>
      </c>
      <c r="H874">
        <v>0.28999999999999998</v>
      </c>
      <c r="I874" t="s">
        <v>1354</v>
      </c>
      <c r="J874" s="5">
        <v>802.1579999999999</v>
      </c>
    </row>
    <row r="875" spans="1:10">
      <c r="A875" t="s">
        <v>2224</v>
      </c>
      <c r="B875" s="7">
        <v>45250</v>
      </c>
      <c r="C875" t="s">
        <v>973</v>
      </c>
      <c r="D875" t="s">
        <v>1247</v>
      </c>
      <c r="E875" t="s">
        <v>1304</v>
      </c>
      <c r="F875">
        <f>Table5[[#This Row],[Total_Amount]]/(G875*(1-Table5[[#This Row],[Discount]]))</f>
        <v>2</v>
      </c>
      <c r="G875" s="5">
        <v>386.46</v>
      </c>
      <c r="H875">
        <v>0.23</v>
      </c>
      <c r="I875" t="s">
        <v>1354</v>
      </c>
      <c r="J875" s="5">
        <v>595.14840000000004</v>
      </c>
    </row>
    <row r="876" spans="1:10">
      <c r="A876" t="s">
        <v>2225</v>
      </c>
      <c r="B876" s="7">
        <v>45661</v>
      </c>
      <c r="C876" t="s">
        <v>452</v>
      </c>
      <c r="D876" t="s">
        <v>1111</v>
      </c>
      <c r="E876" t="s">
        <v>1291</v>
      </c>
      <c r="F876">
        <f>Table5[[#This Row],[Total_Amount]]/(G876*(1-Table5[[#This Row],[Discount]]))</f>
        <v>1</v>
      </c>
      <c r="G876" s="5">
        <v>270.45</v>
      </c>
      <c r="H876">
        <v>0.15</v>
      </c>
      <c r="I876" t="s">
        <v>1354</v>
      </c>
      <c r="J876" s="5">
        <v>229.88249999999999</v>
      </c>
    </row>
    <row r="877" spans="1:10">
      <c r="A877" t="s">
        <v>2226</v>
      </c>
      <c r="B877" s="7">
        <v>45493</v>
      </c>
      <c r="C877" t="s">
        <v>120</v>
      </c>
      <c r="D877" t="s">
        <v>1225</v>
      </c>
      <c r="E877" t="s">
        <v>1314</v>
      </c>
      <c r="F877">
        <f>Table5[[#This Row],[Total_Amount]]/(G877*(1-Table5[[#This Row],[Discount]]))</f>
        <v>3.9999999999999996</v>
      </c>
      <c r="G877" s="5">
        <v>762.94</v>
      </c>
      <c r="H877">
        <v>0.09</v>
      </c>
      <c r="I877" t="s">
        <v>1354</v>
      </c>
      <c r="J877" s="5">
        <v>2777.1016</v>
      </c>
    </row>
    <row r="878" spans="1:10">
      <c r="A878" t="s">
        <v>2227</v>
      </c>
      <c r="B878" s="7">
        <v>45242</v>
      </c>
      <c r="C878" t="s">
        <v>1049</v>
      </c>
      <c r="D878" t="s">
        <v>1155</v>
      </c>
      <c r="E878" t="s">
        <v>1322</v>
      </c>
      <c r="F878">
        <f>Table5[[#This Row],[Total_Amount]]/(G878*(1-Table5[[#This Row],[Discount]]))</f>
        <v>1</v>
      </c>
      <c r="G878" s="5">
        <v>409.03</v>
      </c>
      <c r="H878">
        <v>0.25</v>
      </c>
      <c r="I878" t="s">
        <v>1354</v>
      </c>
      <c r="J878" s="5">
        <v>306.77249999999998</v>
      </c>
    </row>
    <row r="879" spans="1:10">
      <c r="A879" t="s">
        <v>2228</v>
      </c>
      <c r="B879" s="7">
        <v>45411</v>
      </c>
      <c r="C879" t="s">
        <v>500</v>
      </c>
      <c r="D879" t="s">
        <v>1265</v>
      </c>
      <c r="E879" t="s">
        <v>1335</v>
      </c>
      <c r="F879">
        <f>Table5[[#This Row],[Total_Amount]]/(G879*(1-Table5[[#This Row],[Discount]]))</f>
        <v>2</v>
      </c>
      <c r="G879" s="5">
        <v>891.13</v>
      </c>
      <c r="H879">
        <v>0.13</v>
      </c>
      <c r="I879" t="s">
        <v>1349</v>
      </c>
      <c r="J879" s="5">
        <v>1550.5662</v>
      </c>
    </row>
    <row r="880" spans="1:10">
      <c r="A880" t="s">
        <v>2229</v>
      </c>
      <c r="B880" s="7">
        <v>45593</v>
      </c>
      <c r="C880" t="s">
        <v>99</v>
      </c>
      <c r="D880" t="s">
        <v>1257</v>
      </c>
      <c r="E880" t="s">
        <v>1329</v>
      </c>
      <c r="F880">
        <f>Table5[[#This Row],[Total_Amount]]/(G880*(1-Table5[[#This Row],[Discount]]))</f>
        <v>1</v>
      </c>
      <c r="G880" s="5">
        <v>553.38</v>
      </c>
      <c r="H880">
        <v>0.21</v>
      </c>
      <c r="I880" t="s">
        <v>1351</v>
      </c>
      <c r="J880" s="5">
        <v>437.17020000000002</v>
      </c>
    </row>
    <row r="881" spans="1:10">
      <c r="A881" t="s">
        <v>2230</v>
      </c>
      <c r="B881" s="7">
        <v>45281</v>
      </c>
      <c r="C881" t="s">
        <v>381</v>
      </c>
      <c r="D881" t="s">
        <v>1243</v>
      </c>
      <c r="E881" t="s">
        <v>1322</v>
      </c>
      <c r="F881">
        <f>Table5[[#This Row],[Total_Amount]]/(G881*(1-Table5[[#This Row],[Discount]]))</f>
        <v>2.0000000000000004</v>
      </c>
      <c r="G881" s="5">
        <v>652.29999999999995</v>
      </c>
      <c r="H881">
        <v>0.16</v>
      </c>
      <c r="I881" t="s">
        <v>1354</v>
      </c>
      <c r="J881" s="5">
        <v>1095.864</v>
      </c>
    </row>
    <row r="882" spans="1:10">
      <c r="A882" t="s">
        <v>2231</v>
      </c>
      <c r="B882" s="7">
        <v>45575</v>
      </c>
      <c r="C882" t="s">
        <v>304</v>
      </c>
      <c r="D882" t="s">
        <v>1157</v>
      </c>
      <c r="E882" t="s">
        <v>1311</v>
      </c>
      <c r="F882">
        <f>Table5[[#This Row],[Total_Amount]]/(G882*(1-Table5[[#This Row],[Discount]]))</f>
        <v>4</v>
      </c>
      <c r="G882" s="5">
        <v>194.36</v>
      </c>
      <c r="H882">
        <v>0.18</v>
      </c>
      <c r="I882" t="s">
        <v>1354</v>
      </c>
      <c r="J882" s="5">
        <v>637.50080000000014</v>
      </c>
    </row>
    <row r="883" spans="1:10">
      <c r="A883" t="s">
        <v>2232</v>
      </c>
      <c r="B883" s="7">
        <v>45660</v>
      </c>
      <c r="C883" t="s">
        <v>367</v>
      </c>
      <c r="D883" t="s">
        <v>1257</v>
      </c>
      <c r="E883" t="s">
        <v>1282</v>
      </c>
      <c r="F883">
        <f>Table5[[#This Row],[Total_Amount]]/(G883*(1-Table5[[#This Row],[Discount]]))</f>
        <v>3</v>
      </c>
      <c r="G883" s="5">
        <v>476.37</v>
      </c>
      <c r="H883">
        <v>0.21</v>
      </c>
      <c r="I883" t="s">
        <v>1354</v>
      </c>
      <c r="J883" s="5">
        <v>1128.9969000000001</v>
      </c>
    </row>
    <row r="884" spans="1:10">
      <c r="A884" t="s">
        <v>2233</v>
      </c>
      <c r="B884" s="7">
        <v>45360</v>
      </c>
      <c r="C884" t="s">
        <v>793</v>
      </c>
      <c r="D884" t="s">
        <v>1153</v>
      </c>
      <c r="E884" t="s">
        <v>1298</v>
      </c>
      <c r="F884">
        <f>Table5[[#This Row],[Total_Amount]]/(G884*(1-Table5[[#This Row],[Discount]]))</f>
        <v>3.0000000000000004</v>
      </c>
      <c r="G884" s="5">
        <v>174.57</v>
      </c>
      <c r="H884">
        <v>0</v>
      </c>
      <c r="I884" t="s">
        <v>1351</v>
      </c>
      <c r="J884" s="5">
        <v>523.71</v>
      </c>
    </row>
    <row r="885" spans="1:10">
      <c r="A885" t="s">
        <v>2234</v>
      </c>
      <c r="B885" s="7">
        <v>45526</v>
      </c>
      <c r="C885" t="s">
        <v>298</v>
      </c>
      <c r="D885" t="s">
        <v>1243</v>
      </c>
      <c r="E885" t="s">
        <v>1277</v>
      </c>
      <c r="F885">
        <f>Table5[[#This Row],[Total_Amount]]/(G885*(1-Table5[[#This Row],[Discount]]))</f>
        <v>3.0000000000000004</v>
      </c>
      <c r="G885" s="5">
        <v>762</v>
      </c>
      <c r="H885">
        <v>0.02</v>
      </c>
      <c r="I885" t="s">
        <v>1351</v>
      </c>
      <c r="J885" s="5">
        <v>2240.2800000000002</v>
      </c>
    </row>
    <row r="886" spans="1:10">
      <c r="A886" t="s">
        <v>2235</v>
      </c>
      <c r="B886" s="7">
        <v>45395</v>
      </c>
      <c r="C886" t="s">
        <v>913</v>
      </c>
      <c r="D886" t="s">
        <v>1217</v>
      </c>
      <c r="E886" t="s">
        <v>1338</v>
      </c>
      <c r="F886">
        <f>Table5[[#This Row],[Total_Amount]]/(G886*(1-Table5[[#This Row],[Discount]]))</f>
        <v>1</v>
      </c>
      <c r="G886" s="5">
        <v>44.08</v>
      </c>
      <c r="H886">
        <v>0.05</v>
      </c>
      <c r="I886" t="s">
        <v>1349</v>
      </c>
      <c r="J886" s="5">
        <v>41.875999999999998</v>
      </c>
    </row>
    <row r="887" spans="1:10">
      <c r="A887" t="s">
        <v>2236</v>
      </c>
      <c r="B887" s="7">
        <v>45466</v>
      </c>
      <c r="C887" t="s">
        <v>1051</v>
      </c>
      <c r="D887" t="s">
        <v>1191</v>
      </c>
      <c r="E887" t="s">
        <v>1322</v>
      </c>
      <c r="F887">
        <f>Table5[[#This Row],[Total_Amount]]/(G887*(1-Table5[[#This Row],[Discount]]))</f>
        <v>1</v>
      </c>
      <c r="G887" s="5">
        <v>992.37</v>
      </c>
      <c r="H887">
        <v>0.24</v>
      </c>
      <c r="I887" t="s">
        <v>1354</v>
      </c>
      <c r="J887" s="5">
        <v>754.20119999999997</v>
      </c>
    </row>
    <row r="888" spans="1:10">
      <c r="A888" t="s">
        <v>2237</v>
      </c>
      <c r="B888" s="7">
        <v>45876</v>
      </c>
      <c r="C888" t="s">
        <v>464</v>
      </c>
      <c r="D888" t="s">
        <v>1135</v>
      </c>
      <c r="E888" t="s">
        <v>1314</v>
      </c>
      <c r="F888">
        <f>Table5[[#This Row],[Total_Amount]]/(G888*(1-Table5[[#This Row],[Discount]]))</f>
        <v>2.9999999999999996</v>
      </c>
      <c r="G888" s="5">
        <v>465.4</v>
      </c>
      <c r="H888">
        <v>0.28999999999999998</v>
      </c>
      <c r="I888" t="s">
        <v>1354</v>
      </c>
      <c r="J888" s="5">
        <v>991.30199999999979</v>
      </c>
    </row>
    <row r="889" spans="1:10">
      <c r="A889" t="s">
        <v>2238</v>
      </c>
      <c r="B889" s="7">
        <v>45724</v>
      </c>
      <c r="C889" t="s">
        <v>738</v>
      </c>
      <c r="D889" t="s">
        <v>1105</v>
      </c>
      <c r="E889" t="s">
        <v>1314</v>
      </c>
      <c r="F889">
        <f>Table5[[#This Row],[Total_Amount]]/(G889*(1-Table5[[#This Row],[Discount]]))</f>
        <v>2</v>
      </c>
      <c r="G889" s="5">
        <v>693.61</v>
      </c>
      <c r="H889">
        <v>0.15</v>
      </c>
      <c r="I889" t="s">
        <v>1351</v>
      </c>
      <c r="J889" s="5">
        <v>1179.1369999999999</v>
      </c>
    </row>
    <row r="890" spans="1:10">
      <c r="A890" t="s">
        <v>2239</v>
      </c>
      <c r="B890" s="7">
        <v>45801</v>
      </c>
      <c r="C890" t="s">
        <v>992</v>
      </c>
      <c r="D890" t="s">
        <v>1207</v>
      </c>
      <c r="E890" t="s">
        <v>1307</v>
      </c>
      <c r="F890">
        <f>Table5[[#This Row],[Total_Amount]]/(G890*(1-Table5[[#This Row],[Discount]]))</f>
        <v>2</v>
      </c>
      <c r="G890" s="5">
        <v>995.11</v>
      </c>
      <c r="H890">
        <v>0.13</v>
      </c>
      <c r="I890" t="s">
        <v>1351</v>
      </c>
      <c r="J890" s="5">
        <v>1731.4914000000001</v>
      </c>
    </row>
    <row r="891" spans="1:10">
      <c r="A891" t="s">
        <v>2240</v>
      </c>
      <c r="B891" s="7">
        <v>45749</v>
      </c>
      <c r="C891" t="s">
        <v>825</v>
      </c>
      <c r="D891" t="s">
        <v>1119</v>
      </c>
      <c r="E891" t="s">
        <v>1294</v>
      </c>
      <c r="F891">
        <f>Table5[[#This Row],[Total_Amount]]/(G891*(1-Table5[[#This Row],[Discount]]))</f>
        <v>3</v>
      </c>
      <c r="G891" s="5">
        <v>70.97</v>
      </c>
      <c r="H891">
        <v>0.06</v>
      </c>
      <c r="I891" t="s">
        <v>1354</v>
      </c>
      <c r="J891" s="5">
        <v>200.1354</v>
      </c>
    </row>
    <row r="892" spans="1:10">
      <c r="A892" t="s">
        <v>2241</v>
      </c>
      <c r="B892" s="7">
        <v>45325</v>
      </c>
      <c r="C892" t="s">
        <v>286</v>
      </c>
      <c r="D892" t="s">
        <v>1239</v>
      </c>
      <c r="E892" t="s">
        <v>1311</v>
      </c>
      <c r="F892">
        <f>Table5[[#This Row],[Total_Amount]]/(G892*(1-Table5[[#This Row],[Discount]]))</f>
        <v>3</v>
      </c>
      <c r="G892" s="5">
        <v>470.42</v>
      </c>
      <c r="H892">
        <v>0.16</v>
      </c>
      <c r="I892" t="s">
        <v>1349</v>
      </c>
      <c r="J892" s="5">
        <v>1185.4584</v>
      </c>
    </row>
    <row r="893" spans="1:10">
      <c r="A893" t="s">
        <v>2242</v>
      </c>
      <c r="B893" s="7">
        <v>45932</v>
      </c>
      <c r="C893" t="s">
        <v>692</v>
      </c>
      <c r="D893" t="s">
        <v>1245</v>
      </c>
      <c r="E893" t="s">
        <v>1329</v>
      </c>
      <c r="F893">
        <f>Table5[[#This Row],[Total_Amount]]/(G893*(1-Table5[[#This Row],[Discount]]))</f>
        <v>2</v>
      </c>
      <c r="G893" s="5">
        <v>215.59</v>
      </c>
      <c r="H893">
        <v>0.18</v>
      </c>
      <c r="I893" t="s">
        <v>1349</v>
      </c>
      <c r="J893" s="5">
        <v>353.56760000000003</v>
      </c>
    </row>
    <row r="894" spans="1:10">
      <c r="A894" t="s">
        <v>2243</v>
      </c>
      <c r="B894" s="7">
        <v>45895</v>
      </c>
      <c r="C894" t="s">
        <v>541</v>
      </c>
      <c r="D894" t="s">
        <v>1257</v>
      </c>
      <c r="E894" t="s">
        <v>1277</v>
      </c>
      <c r="F894">
        <f>Table5[[#This Row],[Total_Amount]]/(G894*(1-Table5[[#This Row],[Discount]]))</f>
        <v>1</v>
      </c>
      <c r="G894" s="5">
        <v>533.79999999999995</v>
      </c>
      <c r="H894">
        <v>0.27</v>
      </c>
      <c r="I894" t="s">
        <v>1354</v>
      </c>
      <c r="J894" s="5">
        <v>389.67399999999998</v>
      </c>
    </row>
    <row r="895" spans="1:10">
      <c r="A895" t="s">
        <v>2244</v>
      </c>
      <c r="B895" s="7">
        <v>45614</v>
      </c>
      <c r="C895" t="s">
        <v>244</v>
      </c>
      <c r="D895" t="s">
        <v>1137</v>
      </c>
      <c r="E895" t="s">
        <v>1291</v>
      </c>
      <c r="F895">
        <f>Table5[[#This Row],[Total_Amount]]/(G895*(1-Table5[[#This Row],[Discount]]))</f>
        <v>2</v>
      </c>
      <c r="G895" s="5">
        <v>732.67</v>
      </c>
      <c r="H895">
        <v>0.24</v>
      </c>
      <c r="I895" t="s">
        <v>1351</v>
      </c>
      <c r="J895" s="5">
        <v>1113.6584</v>
      </c>
    </row>
    <row r="896" spans="1:10">
      <c r="A896" t="s">
        <v>2245</v>
      </c>
      <c r="B896" s="7">
        <v>45247</v>
      </c>
      <c r="C896" t="s">
        <v>1039</v>
      </c>
      <c r="D896" t="s">
        <v>1193</v>
      </c>
      <c r="E896" t="s">
        <v>1322</v>
      </c>
      <c r="F896">
        <f>Table5[[#This Row],[Total_Amount]]/(G896*(1-Table5[[#This Row],[Discount]]))</f>
        <v>3.9999999999999996</v>
      </c>
      <c r="G896" s="5">
        <v>106.48</v>
      </c>
      <c r="H896">
        <v>0.1</v>
      </c>
      <c r="I896" t="s">
        <v>1354</v>
      </c>
      <c r="J896" s="5">
        <v>383.32799999999997</v>
      </c>
    </row>
    <row r="897" spans="1:10">
      <c r="A897" t="s">
        <v>2246</v>
      </c>
      <c r="B897" s="7">
        <v>45696</v>
      </c>
      <c r="C897" t="s">
        <v>269</v>
      </c>
      <c r="D897" t="s">
        <v>1187</v>
      </c>
      <c r="E897" t="s">
        <v>1291</v>
      </c>
      <c r="F897">
        <f>Table5[[#This Row],[Total_Amount]]/(G897*(1-Table5[[#This Row],[Discount]]))</f>
        <v>1</v>
      </c>
      <c r="G897" s="5">
        <v>38.950000000000003</v>
      </c>
      <c r="H897">
        <v>0.28000000000000003</v>
      </c>
      <c r="I897" t="s">
        <v>1349</v>
      </c>
      <c r="J897" s="5">
        <v>28.044</v>
      </c>
    </row>
    <row r="898" spans="1:10">
      <c r="A898" t="s">
        <v>2247</v>
      </c>
      <c r="B898" s="7">
        <v>45294</v>
      </c>
      <c r="C898" t="s">
        <v>925</v>
      </c>
      <c r="D898" t="s">
        <v>1265</v>
      </c>
      <c r="E898" t="s">
        <v>1329</v>
      </c>
      <c r="F898">
        <f>Table5[[#This Row],[Total_Amount]]/(G898*(1-Table5[[#This Row],[Discount]]))</f>
        <v>1</v>
      </c>
      <c r="G898" s="5">
        <v>835.17</v>
      </c>
      <c r="H898">
        <v>0.02</v>
      </c>
      <c r="I898" t="s">
        <v>1354</v>
      </c>
      <c r="J898" s="5">
        <v>818.46659999999997</v>
      </c>
    </row>
    <row r="899" spans="1:10">
      <c r="A899" t="s">
        <v>2248</v>
      </c>
      <c r="B899" s="7">
        <v>45389</v>
      </c>
      <c r="C899" t="s">
        <v>329</v>
      </c>
      <c r="D899" t="s">
        <v>1239</v>
      </c>
      <c r="E899" t="s">
        <v>1291</v>
      </c>
      <c r="F899">
        <f>Table5[[#This Row],[Total_Amount]]/(G899*(1-Table5[[#This Row],[Discount]]))</f>
        <v>1</v>
      </c>
      <c r="G899" s="5">
        <v>113.07</v>
      </c>
      <c r="H899">
        <v>0.24</v>
      </c>
      <c r="I899" t="s">
        <v>1349</v>
      </c>
      <c r="J899" s="5">
        <v>85.933199999999999</v>
      </c>
    </row>
    <row r="900" spans="1:10">
      <c r="A900" t="s">
        <v>2249</v>
      </c>
      <c r="B900" s="7">
        <v>45930</v>
      </c>
      <c r="C900" t="s">
        <v>994</v>
      </c>
      <c r="D900" t="s">
        <v>1261</v>
      </c>
      <c r="E900" t="s">
        <v>1319</v>
      </c>
      <c r="F900">
        <f>Table5[[#This Row],[Total_Amount]]/(G900*(1-Table5[[#This Row],[Discount]]))</f>
        <v>2</v>
      </c>
      <c r="G900" s="5">
        <v>451.33</v>
      </c>
      <c r="H900">
        <v>0.23</v>
      </c>
      <c r="I900" t="s">
        <v>1354</v>
      </c>
      <c r="J900" s="5">
        <v>695.04819999999995</v>
      </c>
    </row>
    <row r="901" spans="1:10">
      <c r="A901" t="s">
        <v>2250</v>
      </c>
      <c r="B901" s="7">
        <v>45456</v>
      </c>
      <c r="C901" t="s">
        <v>807</v>
      </c>
      <c r="D901" t="s">
        <v>1245</v>
      </c>
      <c r="E901" t="s">
        <v>1301</v>
      </c>
      <c r="F901">
        <f>Table5[[#This Row],[Total_Amount]]/(G901*(1-Table5[[#This Row],[Discount]]))</f>
        <v>3.0000000000000004</v>
      </c>
      <c r="G901" s="5">
        <v>619.80999999999995</v>
      </c>
      <c r="H901">
        <v>0.16</v>
      </c>
      <c r="I901" t="s">
        <v>1354</v>
      </c>
      <c r="J901" s="5">
        <v>1561.9212</v>
      </c>
    </row>
    <row r="902" spans="1:10">
      <c r="A902" t="s">
        <v>2251</v>
      </c>
      <c r="B902" s="7">
        <v>45713</v>
      </c>
      <c r="C902" t="s">
        <v>275</v>
      </c>
      <c r="D902" t="s">
        <v>1197</v>
      </c>
      <c r="E902" t="s">
        <v>1304</v>
      </c>
      <c r="F902">
        <f>Table5[[#This Row],[Total_Amount]]/(G902*(1-Table5[[#This Row],[Discount]]))</f>
        <v>4.0000000000000009</v>
      </c>
      <c r="G902" s="5">
        <v>46.97</v>
      </c>
      <c r="H902">
        <v>0.26</v>
      </c>
      <c r="I902" t="s">
        <v>1351</v>
      </c>
      <c r="J902" s="5">
        <v>139.03120000000001</v>
      </c>
    </row>
    <row r="903" spans="1:10">
      <c r="A903" t="s">
        <v>2252</v>
      </c>
      <c r="B903" s="7">
        <v>45784</v>
      </c>
      <c r="C903" t="s">
        <v>430</v>
      </c>
      <c r="D903" t="s">
        <v>1165</v>
      </c>
      <c r="E903" t="s">
        <v>1286</v>
      </c>
      <c r="F903">
        <f>Table5[[#This Row],[Total_Amount]]/(G903*(1-Table5[[#This Row],[Discount]]))</f>
        <v>2</v>
      </c>
      <c r="G903" s="5">
        <v>71.48</v>
      </c>
      <c r="H903">
        <v>0.14000000000000001</v>
      </c>
      <c r="I903" t="s">
        <v>1354</v>
      </c>
      <c r="J903" s="5">
        <v>122.9456</v>
      </c>
    </row>
    <row r="904" spans="1:10">
      <c r="A904" t="s">
        <v>2253</v>
      </c>
      <c r="B904" s="7">
        <v>45812</v>
      </c>
      <c r="C904" t="s">
        <v>8</v>
      </c>
      <c r="D904" t="s">
        <v>1185</v>
      </c>
      <c r="E904" t="s">
        <v>1338</v>
      </c>
      <c r="F904">
        <f>Table5[[#This Row],[Total_Amount]]/(G904*(1-Table5[[#This Row],[Discount]]))</f>
        <v>2</v>
      </c>
      <c r="G904" s="5">
        <v>404.08</v>
      </c>
      <c r="H904">
        <v>7.0000000000000007E-2</v>
      </c>
      <c r="I904" t="s">
        <v>1349</v>
      </c>
      <c r="J904" s="5">
        <v>751.58879999999988</v>
      </c>
    </row>
    <row r="905" spans="1:10">
      <c r="A905" t="s">
        <v>2254</v>
      </c>
      <c r="B905" s="7">
        <v>45653</v>
      </c>
      <c r="C905" t="s">
        <v>591</v>
      </c>
      <c r="D905" t="s">
        <v>1107</v>
      </c>
      <c r="E905" t="s">
        <v>1329</v>
      </c>
      <c r="F905">
        <f>Table5[[#This Row],[Total_Amount]]/(G905*(1-Table5[[#This Row],[Discount]]))</f>
        <v>1</v>
      </c>
      <c r="G905" s="5">
        <v>519.91</v>
      </c>
      <c r="H905">
        <v>0.05</v>
      </c>
      <c r="I905" t="s">
        <v>1354</v>
      </c>
      <c r="J905" s="5">
        <v>493.91449999999992</v>
      </c>
    </row>
    <row r="906" spans="1:10">
      <c r="A906" t="s">
        <v>2255</v>
      </c>
      <c r="B906" s="7">
        <v>45672</v>
      </c>
      <c r="C906" t="s">
        <v>351</v>
      </c>
      <c r="D906" t="s">
        <v>1169</v>
      </c>
      <c r="E906" t="s">
        <v>1322</v>
      </c>
      <c r="F906">
        <f>Table5[[#This Row],[Total_Amount]]/(G906*(1-Table5[[#This Row],[Discount]]))</f>
        <v>3</v>
      </c>
      <c r="G906" s="5">
        <v>566.16</v>
      </c>
      <c r="H906">
        <v>0.05</v>
      </c>
      <c r="I906" t="s">
        <v>1351</v>
      </c>
      <c r="J906" s="5">
        <v>1613.556</v>
      </c>
    </row>
    <row r="907" spans="1:10">
      <c r="A907" t="s">
        <v>2256</v>
      </c>
      <c r="B907" s="7">
        <v>45799</v>
      </c>
      <c r="C907" t="s">
        <v>847</v>
      </c>
      <c r="D907" t="s">
        <v>1177</v>
      </c>
      <c r="E907" t="s">
        <v>1314</v>
      </c>
      <c r="F907">
        <f>Table5[[#This Row],[Total_Amount]]/(G907*(1-Table5[[#This Row],[Discount]]))</f>
        <v>2</v>
      </c>
      <c r="G907" s="5">
        <v>295.12</v>
      </c>
      <c r="H907">
        <v>0.09</v>
      </c>
      <c r="I907" t="s">
        <v>1354</v>
      </c>
      <c r="J907" s="5">
        <v>537.11840000000007</v>
      </c>
    </row>
    <row r="908" spans="1:10">
      <c r="A908" t="s">
        <v>2257</v>
      </c>
      <c r="B908" s="7">
        <v>45848</v>
      </c>
      <c r="C908" t="s">
        <v>277</v>
      </c>
      <c r="D908" t="s">
        <v>1141</v>
      </c>
      <c r="E908" t="s">
        <v>1317</v>
      </c>
      <c r="F908">
        <f>Table5[[#This Row],[Total_Amount]]/(G908*(1-Table5[[#This Row],[Discount]]))</f>
        <v>2</v>
      </c>
      <c r="G908" s="5">
        <v>414.18</v>
      </c>
      <c r="H908">
        <v>0.25</v>
      </c>
      <c r="I908" t="s">
        <v>1351</v>
      </c>
      <c r="J908" s="5">
        <v>621.27</v>
      </c>
    </row>
    <row r="909" spans="1:10">
      <c r="A909" t="s">
        <v>2258</v>
      </c>
      <c r="B909" s="7">
        <v>45918</v>
      </c>
      <c r="C909" t="s">
        <v>600</v>
      </c>
      <c r="D909" t="s">
        <v>1189</v>
      </c>
      <c r="E909" t="s">
        <v>1307</v>
      </c>
      <c r="F909">
        <f>Table5[[#This Row],[Total_Amount]]/(G909*(1-Table5[[#This Row],[Discount]]))</f>
        <v>2</v>
      </c>
      <c r="G909" s="5">
        <v>433.75</v>
      </c>
      <c r="H909">
        <v>0</v>
      </c>
      <c r="I909" t="s">
        <v>1349</v>
      </c>
      <c r="J909" s="5">
        <v>867.5</v>
      </c>
    </row>
    <row r="910" spans="1:10">
      <c r="A910" t="s">
        <v>2259</v>
      </c>
      <c r="B910" s="7">
        <v>45288</v>
      </c>
      <c r="C910" t="s">
        <v>626</v>
      </c>
      <c r="D910" t="s">
        <v>1243</v>
      </c>
      <c r="E910" t="s">
        <v>1338</v>
      </c>
      <c r="F910">
        <f>Table5[[#This Row],[Total_Amount]]/(G910*(1-Table5[[#This Row],[Discount]]))</f>
        <v>3.0000000000000004</v>
      </c>
      <c r="G910" s="5">
        <v>104.33</v>
      </c>
      <c r="H910">
        <v>0.13</v>
      </c>
      <c r="I910" t="s">
        <v>1354</v>
      </c>
      <c r="J910" s="5">
        <v>272.30130000000003</v>
      </c>
    </row>
    <row r="911" spans="1:10">
      <c r="A911" t="s">
        <v>2260</v>
      </c>
      <c r="B911" s="7">
        <v>45477</v>
      </c>
      <c r="C911" t="s">
        <v>990</v>
      </c>
      <c r="D911" t="s">
        <v>1078</v>
      </c>
      <c r="E911" t="s">
        <v>1319</v>
      </c>
      <c r="F911">
        <f>Table5[[#This Row],[Total_Amount]]/(G911*(1-Table5[[#This Row],[Discount]]))</f>
        <v>1</v>
      </c>
      <c r="G911" s="5">
        <v>221.7</v>
      </c>
      <c r="H911">
        <v>0.04</v>
      </c>
      <c r="I911" t="s">
        <v>1349</v>
      </c>
      <c r="J911" s="5">
        <v>212.83199999999999</v>
      </c>
    </row>
    <row r="912" spans="1:10">
      <c r="A912" t="s">
        <v>2261</v>
      </c>
      <c r="B912" s="7">
        <v>45796</v>
      </c>
      <c r="C912" t="s">
        <v>484</v>
      </c>
      <c r="D912" t="s">
        <v>1207</v>
      </c>
      <c r="E912" t="s">
        <v>1298</v>
      </c>
      <c r="F912">
        <f>Table5[[#This Row],[Total_Amount]]/(G912*(1-Table5[[#This Row],[Discount]]))</f>
        <v>2</v>
      </c>
      <c r="G912" s="5">
        <v>491.26</v>
      </c>
      <c r="H912">
        <v>0.14000000000000001</v>
      </c>
      <c r="I912" t="s">
        <v>1354</v>
      </c>
      <c r="J912" s="5">
        <v>844.96719999999993</v>
      </c>
    </row>
    <row r="913" spans="1:10">
      <c r="A913" t="s">
        <v>2262</v>
      </c>
      <c r="B913" s="7">
        <v>45630</v>
      </c>
      <c r="C913" t="s">
        <v>424</v>
      </c>
      <c r="D913" t="s">
        <v>1147</v>
      </c>
      <c r="E913" t="s">
        <v>1307</v>
      </c>
      <c r="F913">
        <f>Table5[[#This Row],[Total_Amount]]/(G913*(1-Table5[[#This Row],[Discount]]))</f>
        <v>4</v>
      </c>
      <c r="G913" s="5">
        <v>923.14</v>
      </c>
      <c r="H913">
        <v>0.15</v>
      </c>
      <c r="I913" t="s">
        <v>1349</v>
      </c>
      <c r="J913" s="5">
        <v>3138.6759999999999</v>
      </c>
    </row>
    <row r="914" spans="1:10">
      <c r="A914" t="s">
        <v>2263</v>
      </c>
      <c r="B914" s="7">
        <v>45625</v>
      </c>
      <c r="C914" t="s">
        <v>448</v>
      </c>
      <c r="D914" t="s">
        <v>1201</v>
      </c>
      <c r="E914" t="s">
        <v>1304</v>
      </c>
      <c r="F914">
        <f>Table5[[#This Row],[Total_Amount]]/(G914*(1-Table5[[#This Row],[Discount]]))</f>
        <v>2</v>
      </c>
      <c r="G914" s="5">
        <v>747.65</v>
      </c>
      <c r="H914">
        <v>0.08</v>
      </c>
      <c r="I914" t="s">
        <v>1349</v>
      </c>
      <c r="J914" s="5">
        <v>1375.6759999999999</v>
      </c>
    </row>
    <row r="915" spans="1:10">
      <c r="A915" t="s">
        <v>2264</v>
      </c>
      <c r="B915" s="7">
        <v>45773</v>
      </c>
      <c r="C915" t="s">
        <v>277</v>
      </c>
      <c r="D915" t="s">
        <v>1157</v>
      </c>
      <c r="E915" t="s">
        <v>1304</v>
      </c>
      <c r="F915">
        <f>Table5[[#This Row],[Total_Amount]]/(G915*(1-Table5[[#This Row],[Discount]]))</f>
        <v>3</v>
      </c>
      <c r="G915" s="5">
        <v>94.55</v>
      </c>
      <c r="H915">
        <v>0.13</v>
      </c>
      <c r="I915" t="s">
        <v>1354</v>
      </c>
      <c r="J915" s="5">
        <v>246.77549999999999</v>
      </c>
    </row>
    <row r="916" spans="1:10">
      <c r="A916" t="s">
        <v>2265</v>
      </c>
      <c r="B916" s="7">
        <v>45308</v>
      </c>
      <c r="C916" t="s">
        <v>115</v>
      </c>
      <c r="D916" t="s">
        <v>1103</v>
      </c>
      <c r="E916" t="s">
        <v>1338</v>
      </c>
      <c r="F916">
        <f>Table5[[#This Row],[Total_Amount]]/(G916*(1-Table5[[#This Row],[Discount]]))</f>
        <v>3</v>
      </c>
      <c r="G916" s="5">
        <v>620.12</v>
      </c>
      <c r="H916">
        <v>0.06</v>
      </c>
      <c r="I916" t="s">
        <v>1349</v>
      </c>
      <c r="J916" s="5">
        <v>1748.7384</v>
      </c>
    </row>
    <row r="917" spans="1:10">
      <c r="A917" t="s">
        <v>2266</v>
      </c>
      <c r="B917" s="7">
        <v>45869</v>
      </c>
      <c r="C917" t="s">
        <v>1033</v>
      </c>
      <c r="D917" t="s">
        <v>1211</v>
      </c>
      <c r="E917" t="s">
        <v>1301</v>
      </c>
      <c r="F917">
        <f>Table5[[#This Row],[Total_Amount]]/(G917*(1-Table5[[#This Row],[Discount]]))</f>
        <v>2</v>
      </c>
      <c r="G917" s="5">
        <v>354.09</v>
      </c>
      <c r="H917">
        <v>0.12</v>
      </c>
      <c r="I917" t="s">
        <v>1354</v>
      </c>
      <c r="J917" s="5">
        <v>623.19839999999999</v>
      </c>
    </row>
    <row r="918" spans="1:10">
      <c r="A918" t="s">
        <v>2267</v>
      </c>
      <c r="B918" s="7">
        <v>45621</v>
      </c>
      <c r="C918" t="s">
        <v>321</v>
      </c>
      <c r="D918" t="s">
        <v>1179</v>
      </c>
      <c r="E918" t="s">
        <v>1298</v>
      </c>
      <c r="F918">
        <f>Table5[[#This Row],[Total_Amount]]/(G918*(1-Table5[[#This Row],[Discount]]))</f>
        <v>3</v>
      </c>
      <c r="G918" s="5">
        <v>214.94</v>
      </c>
      <c r="H918">
        <v>0.22</v>
      </c>
      <c r="I918" t="s">
        <v>1354</v>
      </c>
      <c r="J918" s="5">
        <v>502.95960000000002</v>
      </c>
    </row>
    <row r="919" spans="1:10">
      <c r="A919" t="s">
        <v>2268</v>
      </c>
      <c r="B919" s="7">
        <v>45428</v>
      </c>
      <c r="C919" t="s">
        <v>460</v>
      </c>
      <c r="D919" t="s">
        <v>1090</v>
      </c>
      <c r="E919" t="s">
        <v>1319</v>
      </c>
      <c r="F919">
        <f>Table5[[#This Row],[Total_Amount]]/(G919*(1-Table5[[#This Row],[Discount]]))</f>
        <v>2</v>
      </c>
      <c r="G919" s="5">
        <v>309.77999999999997</v>
      </c>
      <c r="H919">
        <v>0.16</v>
      </c>
      <c r="I919" t="s">
        <v>1349</v>
      </c>
      <c r="J919" s="5">
        <v>520.43039999999996</v>
      </c>
    </row>
    <row r="920" spans="1:10">
      <c r="A920" t="s">
        <v>2269</v>
      </c>
      <c r="B920" s="7">
        <v>45807</v>
      </c>
      <c r="C920" t="s">
        <v>188</v>
      </c>
      <c r="D920" t="s">
        <v>1099</v>
      </c>
      <c r="E920" t="s">
        <v>1291</v>
      </c>
      <c r="F920">
        <f>Table5[[#This Row],[Total_Amount]]/(G920*(1-Table5[[#This Row],[Discount]]))</f>
        <v>2</v>
      </c>
      <c r="G920" s="5">
        <v>183.85</v>
      </c>
      <c r="H920">
        <v>0.14000000000000001</v>
      </c>
      <c r="I920" t="s">
        <v>1351</v>
      </c>
      <c r="J920" s="5">
        <v>316.22199999999998</v>
      </c>
    </row>
    <row r="921" spans="1:10">
      <c r="A921" t="s">
        <v>2270</v>
      </c>
      <c r="B921" s="7">
        <v>45238</v>
      </c>
      <c r="C921" t="s">
        <v>881</v>
      </c>
      <c r="D921" t="s">
        <v>1213</v>
      </c>
      <c r="E921" t="s">
        <v>1277</v>
      </c>
      <c r="F921">
        <f>Table5[[#This Row],[Total_Amount]]/(G921*(1-Table5[[#This Row],[Discount]]))</f>
        <v>1</v>
      </c>
      <c r="G921" s="5">
        <v>550.05999999999995</v>
      </c>
      <c r="H921">
        <v>0.01</v>
      </c>
      <c r="I921" t="s">
        <v>1349</v>
      </c>
      <c r="J921" s="5">
        <v>544.55939999999998</v>
      </c>
    </row>
    <row r="922" spans="1:10">
      <c r="A922" t="s">
        <v>2271</v>
      </c>
      <c r="B922" s="7">
        <v>45253</v>
      </c>
      <c r="C922" t="s">
        <v>92</v>
      </c>
      <c r="D922" t="s">
        <v>1231</v>
      </c>
      <c r="E922" t="s">
        <v>1294</v>
      </c>
      <c r="F922">
        <f>Table5[[#This Row],[Total_Amount]]/(G922*(1-Table5[[#This Row],[Discount]]))</f>
        <v>2</v>
      </c>
      <c r="G922" s="5">
        <v>32.19</v>
      </c>
      <c r="H922">
        <v>0.13</v>
      </c>
      <c r="I922" t="s">
        <v>1354</v>
      </c>
      <c r="J922" s="5">
        <v>56.010599999999997</v>
      </c>
    </row>
    <row r="923" spans="1:10">
      <c r="A923" t="s">
        <v>2272</v>
      </c>
      <c r="B923" s="7">
        <v>45460</v>
      </c>
      <c r="C923" t="s">
        <v>337</v>
      </c>
      <c r="D923" t="s">
        <v>1139</v>
      </c>
      <c r="E923" t="s">
        <v>1338</v>
      </c>
      <c r="F923">
        <f>Table5[[#This Row],[Total_Amount]]/(G923*(1-Table5[[#This Row],[Discount]]))</f>
        <v>2</v>
      </c>
      <c r="G923" s="5">
        <v>892.06</v>
      </c>
      <c r="H923">
        <v>0.08</v>
      </c>
      <c r="I923" t="s">
        <v>1349</v>
      </c>
      <c r="J923" s="5">
        <v>1641.3904</v>
      </c>
    </row>
    <row r="924" spans="1:10">
      <c r="A924" t="s">
        <v>2273</v>
      </c>
      <c r="B924" s="7">
        <v>45628</v>
      </c>
      <c r="C924" t="s">
        <v>1006</v>
      </c>
      <c r="D924" t="s">
        <v>1189</v>
      </c>
      <c r="E924" t="s">
        <v>1301</v>
      </c>
      <c r="F924">
        <f>Table5[[#This Row],[Total_Amount]]/(G924*(1-Table5[[#This Row],[Discount]]))</f>
        <v>1</v>
      </c>
      <c r="G924" s="5">
        <v>127.47</v>
      </c>
      <c r="H924">
        <v>0.16</v>
      </c>
      <c r="I924" t="s">
        <v>1354</v>
      </c>
      <c r="J924" s="5">
        <v>107.0748</v>
      </c>
    </row>
    <row r="925" spans="1:10">
      <c r="A925" t="s">
        <v>2274</v>
      </c>
      <c r="B925" s="7">
        <v>45778</v>
      </c>
      <c r="C925" t="s">
        <v>839</v>
      </c>
      <c r="D925" t="s">
        <v>1227</v>
      </c>
      <c r="E925" t="s">
        <v>1324</v>
      </c>
      <c r="F925">
        <f>Table5[[#This Row],[Total_Amount]]/(G925*(1-Table5[[#This Row],[Discount]]))</f>
        <v>3</v>
      </c>
      <c r="G925" s="5">
        <v>212.87</v>
      </c>
      <c r="H925">
        <v>0.18</v>
      </c>
      <c r="I925" t="s">
        <v>1349</v>
      </c>
      <c r="J925" s="5">
        <v>523.66020000000003</v>
      </c>
    </row>
    <row r="926" spans="1:10">
      <c r="A926" t="s">
        <v>2275</v>
      </c>
      <c r="B926" s="7">
        <v>45471</v>
      </c>
      <c r="C926" t="s">
        <v>424</v>
      </c>
      <c r="D926" t="s">
        <v>1235</v>
      </c>
      <c r="E926" t="s">
        <v>1304</v>
      </c>
      <c r="F926">
        <f>Table5[[#This Row],[Total_Amount]]/(G926*(1-Table5[[#This Row],[Discount]]))</f>
        <v>1</v>
      </c>
      <c r="G926" s="5">
        <v>26.37</v>
      </c>
      <c r="H926">
        <v>0.3</v>
      </c>
      <c r="I926" t="s">
        <v>1354</v>
      </c>
      <c r="J926" s="5">
        <v>18.459</v>
      </c>
    </row>
    <row r="927" spans="1:10">
      <c r="A927" t="s">
        <v>2276</v>
      </c>
      <c r="B927" s="7">
        <v>45770</v>
      </c>
      <c r="C927" t="s">
        <v>994</v>
      </c>
      <c r="D927" t="s">
        <v>1141</v>
      </c>
      <c r="E927" t="s">
        <v>1335</v>
      </c>
      <c r="F927">
        <f>Table5[[#This Row],[Total_Amount]]/(G927*(1-Table5[[#This Row],[Discount]]))</f>
        <v>4</v>
      </c>
      <c r="G927" s="5">
        <v>953.98</v>
      </c>
      <c r="H927">
        <v>0.16</v>
      </c>
      <c r="I927" t="s">
        <v>1349</v>
      </c>
      <c r="J927" s="5">
        <v>3205.3728000000001</v>
      </c>
    </row>
    <row r="928" spans="1:10">
      <c r="A928" t="s">
        <v>2277</v>
      </c>
      <c r="B928" s="7">
        <v>45369</v>
      </c>
      <c r="C928" t="s">
        <v>492</v>
      </c>
      <c r="D928" t="s">
        <v>1207</v>
      </c>
      <c r="E928" t="s">
        <v>1338</v>
      </c>
      <c r="F928">
        <f>Table5[[#This Row],[Total_Amount]]/(G928*(1-Table5[[#This Row],[Discount]]))</f>
        <v>2.9999999999999996</v>
      </c>
      <c r="G928" s="5">
        <v>968.88</v>
      </c>
      <c r="H928">
        <v>0.15</v>
      </c>
      <c r="I928" t="s">
        <v>1349</v>
      </c>
      <c r="J928" s="5">
        <v>2470.6439999999998</v>
      </c>
    </row>
    <row r="929" spans="1:10">
      <c r="A929" t="s">
        <v>2278</v>
      </c>
      <c r="B929" s="7">
        <v>45910</v>
      </c>
      <c r="C929" t="s">
        <v>436</v>
      </c>
      <c r="D929" t="s">
        <v>1225</v>
      </c>
      <c r="E929" t="s">
        <v>1335</v>
      </c>
      <c r="F929">
        <f>Table5[[#This Row],[Total_Amount]]/(G929*(1-Table5[[#This Row],[Discount]]))</f>
        <v>1</v>
      </c>
      <c r="G929" s="5">
        <v>533.04999999999995</v>
      </c>
      <c r="H929">
        <v>0.11</v>
      </c>
      <c r="I929" t="s">
        <v>1351</v>
      </c>
      <c r="J929" s="5">
        <v>474.41449999999998</v>
      </c>
    </row>
    <row r="930" spans="1:10">
      <c r="A930" t="s">
        <v>2279</v>
      </c>
      <c r="B930" s="7">
        <v>45637</v>
      </c>
      <c r="C930" t="s">
        <v>825</v>
      </c>
      <c r="D930" t="s">
        <v>1235</v>
      </c>
      <c r="E930" t="s">
        <v>1282</v>
      </c>
      <c r="F930">
        <f>Table5[[#This Row],[Total_Amount]]/(G930*(1-Table5[[#This Row],[Discount]]))</f>
        <v>2.9999999999999996</v>
      </c>
      <c r="G930" s="5">
        <v>138.86000000000001</v>
      </c>
      <c r="H930">
        <v>0.11</v>
      </c>
      <c r="I930" t="s">
        <v>1351</v>
      </c>
      <c r="J930" s="5">
        <v>370.75619999999998</v>
      </c>
    </row>
    <row r="931" spans="1:10">
      <c r="A931" t="s">
        <v>2280</v>
      </c>
      <c r="B931" s="7">
        <v>45706</v>
      </c>
      <c r="C931" t="s">
        <v>379</v>
      </c>
      <c r="D931" t="s">
        <v>1117</v>
      </c>
      <c r="E931" t="s">
        <v>1277</v>
      </c>
      <c r="F931">
        <f>Table5[[#This Row],[Total_Amount]]/(G931*(1-Table5[[#This Row],[Discount]]))</f>
        <v>1</v>
      </c>
      <c r="G931" s="5">
        <v>588.92999999999995</v>
      </c>
      <c r="H931">
        <v>0.03</v>
      </c>
      <c r="I931" t="s">
        <v>1354</v>
      </c>
      <c r="J931" s="5">
        <v>571.26209999999992</v>
      </c>
    </row>
    <row r="932" spans="1:10">
      <c r="A932" t="s">
        <v>2281</v>
      </c>
      <c r="B932" s="7">
        <v>45557</v>
      </c>
      <c r="C932" t="s">
        <v>869</v>
      </c>
      <c r="D932" t="s">
        <v>1177</v>
      </c>
      <c r="E932" t="s">
        <v>1298</v>
      </c>
      <c r="F932">
        <f>Table5[[#This Row],[Total_Amount]]/(G932*(1-Table5[[#This Row],[Discount]]))</f>
        <v>2</v>
      </c>
      <c r="G932" s="5">
        <v>576.83000000000004</v>
      </c>
      <c r="H932">
        <v>0.19</v>
      </c>
      <c r="I932" t="s">
        <v>1351</v>
      </c>
      <c r="J932" s="5">
        <v>934.46460000000013</v>
      </c>
    </row>
    <row r="933" spans="1:10">
      <c r="A933" t="s">
        <v>2282</v>
      </c>
      <c r="B933" s="7">
        <v>45338</v>
      </c>
      <c r="C933" t="s">
        <v>710</v>
      </c>
      <c r="D933" t="s">
        <v>1203</v>
      </c>
      <c r="E933" t="s">
        <v>1319</v>
      </c>
      <c r="F933">
        <f>Table5[[#This Row],[Total_Amount]]/(G933*(1-Table5[[#This Row],[Discount]]))</f>
        <v>1</v>
      </c>
      <c r="G933" s="5">
        <v>681.3</v>
      </c>
      <c r="H933">
        <v>0.05</v>
      </c>
      <c r="I933" t="s">
        <v>1349</v>
      </c>
      <c r="J933" s="5">
        <v>647.2349999999999</v>
      </c>
    </row>
    <row r="934" spans="1:10">
      <c r="A934" t="s">
        <v>2283</v>
      </c>
      <c r="B934" s="7">
        <v>45441</v>
      </c>
      <c r="C934" t="s">
        <v>977</v>
      </c>
      <c r="D934" t="s">
        <v>1123</v>
      </c>
      <c r="E934" t="s">
        <v>1326</v>
      </c>
      <c r="F934">
        <f>Table5[[#This Row],[Total_Amount]]/(G934*(1-Table5[[#This Row],[Discount]]))</f>
        <v>3</v>
      </c>
      <c r="G934" s="5">
        <v>504.97</v>
      </c>
      <c r="H934">
        <v>0.3</v>
      </c>
      <c r="I934" t="s">
        <v>1349</v>
      </c>
      <c r="J934" s="5">
        <v>1060.4369999999999</v>
      </c>
    </row>
    <row r="935" spans="1:10">
      <c r="A935" t="s">
        <v>2284</v>
      </c>
      <c r="B935" s="7">
        <v>45396</v>
      </c>
      <c r="C935" t="s">
        <v>166</v>
      </c>
      <c r="D935" t="s">
        <v>1149</v>
      </c>
      <c r="E935" t="s">
        <v>1317</v>
      </c>
      <c r="F935">
        <f>Table5[[#This Row],[Total_Amount]]/(G935*(1-Table5[[#This Row],[Discount]]))</f>
        <v>3</v>
      </c>
      <c r="G935" s="5">
        <v>649.78</v>
      </c>
      <c r="H935">
        <v>0.1</v>
      </c>
      <c r="I935" t="s">
        <v>1351</v>
      </c>
      <c r="J935" s="5">
        <v>1754.4059999999999</v>
      </c>
    </row>
    <row r="936" spans="1:10">
      <c r="A936" t="s">
        <v>2285</v>
      </c>
      <c r="B936" s="7">
        <v>45317</v>
      </c>
      <c r="C936" t="s">
        <v>553</v>
      </c>
      <c r="D936" t="s">
        <v>1151</v>
      </c>
      <c r="E936" t="s">
        <v>1311</v>
      </c>
      <c r="F936">
        <f>Table5[[#This Row],[Total_Amount]]/(G936*(1-Table5[[#This Row],[Discount]]))</f>
        <v>2</v>
      </c>
      <c r="G936" s="5">
        <v>986.73</v>
      </c>
      <c r="H936">
        <v>0.05</v>
      </c>
      <c r="I936" t="s">
        <v>1351</v>
      </c>
      <c r="J936" s="5">
        <v>1874.787</v>
      </c>
    </row>
    <row r="937" spans="1:10">
      <c r="A937" t="s">
        <v>2286</v>
      </c>
      <c r="B937" s="7">
        <v>45235</v>
      </c>
      <c r="C937" t="s">
        <v>298</v>
      </c>
      <c r="D937" t="s">
        <v>1099</v>
      </c>
      <c r="E937" t="s">
        <v>1326</v>
      </c>
      <c r="F937">
        <f>Table5[[#This Row],[Total_Amount]]/(G937*(1-Table5[[#This Row],[Discount]]))</f>
        <v>2.0000000000000004</v>
      </c>
      <c r="G937" s="5">
        <v>65.44</v>
      </c>
      <c r="H937">
        <v>0.05</v>
      </c>
      <c r="I937" t="s">
        <v>1351</v>
      </c>
      <c r="J937" s="5">
        <v>124.336</v>
      </c>
    </row>
    <row r="938" spans="1:10">
      <c r="A938" t="s">
        <v>2287</v>
      </c>
      <c r="B938" s="7">
        <v>45824</v>
      </c>
      <c r="C938" t="s">
        <v>829</v>
      </c>
      <c r="D938" t="s">
        <v>1199</v>
      </c>
      <c r="E938" t="s">
        <v>1322</v>
      </c>
      <c r="F938">
        <f>Table5[[#This Row],[Total_Amount]]/(G938*(1-Table5[[#This Row],[Discount]]))</f>
        <v>3.0000000000000004</v>
      </c>
      <c r="G938" s="5">
        <v>953.74</v>
      </c>
      <c r="H938">
        <v>0.04</v>
      </c>
      <c r="I938" t="s">
        <v>1349</v>
      </c>
      <c r="J938" s="5">
        <v>2746.7712000000001</v>
      </c>
    </row>
    <row r="939" spans="1:10">
      <c r="A939" t="s">
        <v>2288</v>
      </c>
      <c r="B939" s="7">
        <v>45543</v>
      </c>
      <c r="C939" t="s">
        <v>182</v>
      </c>
      <c r="D939" t="s">
        <v>1225</v>
      </c>
      <c r="E939" t="s">
        <v>1314</v>
      </c>
      <c r="F939">
        <f>Table5[[#This Row],[Total_Amount]]/(G939*(1-Table5[[#This Row],[Discount]]))</f>
        <v>3</v>
      </c>
      <c r="G939" s="5">
        <v>904.48</v>
      </c>
      <c r="H939">
        <v>0.21</v>
      </c>
      <c r="I939" t="s">
        <v>1351</v>
      </c>
      <c r="J939" s="5">
        <v>2143.6176</v>
      </c>
    </row>
    <row r="940" spans="1:10">
      <c r="A940" t="s">
        <v>2289</v>
      </c>
      <c r="B940" s="7">
        <v>45595</v>
      </c>
      <c r="C940" t="s">
        <v>1045</v>
      </c>
      <c r="D940" t="s">
        <v>1197</v>
      </c>
      <c r="E940" t="s">
        <v>1326</v>
      </c>
      <c r="F940">
        <f>Table5[[#This Row],[Total_Amount]]/(G940*(1-Table5[[#This Row],[Discount]]))</f>
        <v>2.9999999999999996</v>
      </c>
      <c r="G940" s="5">
        <v>920.82</v>
      </c>
      <c r="H940">
        <v>0.1</v>
      </c>
      <c r="I940" t="s">
        <v>1351</v>
      </c>
      <c r="J940" s="5">
        <v>2486.2139999999999</v>
      </c>
    </row>
    <row r="941" spans="1:10">
      <c r="A941" t="s">
        <v>2290</v>
      </c>
      <c r="B941" s="7">
        <v>45803</v>
      </c>
      <c r="C941" t="s">
        <v>674</v>
      </c>
      <c r="D941" t="s">
        <v>1129</v>
      </c>
      <c r="E941" t="s">
        <v>1282</v>
      </c>
      <c r="F941">
        <f>Table5[[#This Row],[Total_Amount]]/(G941*(1-Table5[[#This Row],[Discount]]))</f>
        <v>1</v>
      </c>
      <c r="G941" s="5">
        <v>182.28</v>
      </c>
      <c r="H941">
        <v>0.15</v>
      </c>
      <c r="I941" t="s">
        <v>1354</v>
      </c>
      <c r="J941" s="5">
        <v>154.93799999999999</v>
      </c>
    </row>
    <row r="942" spans="1:10">
      <c r="A942" t="s">
        <v>2291</v>
      </c>
      <c r="B942" s="7">
        <v>45880</v>
      </c>
      <c r="C942" t="s">
        <v>953</v>
      </c>
      <c r="D942" t="s">
        <v>1135</v>
      </c>
      <c r="E942" t="s">
        <v>1329</v>
      </c>
      <c r="F942">
        <f>Table5[[#This Row],[Total_Amount]]/(G942*(1-Table5[[#This Row],[Discount]]))</f>
        <v>3.0000000000000004</v>
      </c>
      <c r="G942" s="5">
        <v>938.68</v>
      </c>
      <c r="H942">
        <v>0.14000000000000001</v>
      </c>
      <c r="I942" t="s">
        <v>1349</v>
      </c>
      <c r="J942" s="5">
        <v>2421.7944000000002</v>
      </c>
    </row>
    <row r="943" spans="1:10">
      <c r="A943" t="s">
        <v>2292</v>
      </c>
      <c r="B943" s="7">
        <v>45690</v>
      </c>
      <c r="C943" t="s">
        <v>216</v>
      </c>
      <c r="D943" t="s">
        <v>1255</v>
      </c>
      <c r="E943" t="s">
        <v>1298</v>
      </c>
      <c r="F943">
        <f>Table5[[#This Row],[Total_Amount]]/(G943*(1-Table5[[#This Row],[Discount]]))</f>
        <v>3</v>
      </c>
      <c r="G943" s="5">
        <v>219.96</v>
      </c>
      <c r="H943">
        <v>0.18</v>
      </c>
      <c r="I943" t="s">
        <v>1351</v>
      </c>
      <c r="J943" s="5">
        <v>541.10160000000008</v>
      </c>
    </row>
    <row r="944" spans="1:10">
      <c r="A944" t="s">
        <v>2293</v>
      </c>
      <c r="B944" s="7">
        <v>45841</v>
      </c>
      <c r="C944" t="s">
        <v>1008</v>
      </c>
      <c r="D944" t="s">
        <v>1215</v>
      </c>
      <c r="E944" t="s">
        <v>1335</v>
      </c>
      <c r="F944">
        <f>Table5[[#This Row],[Total_Amount]]/(G944*(1-Table5[[#This Row],[Discount]]))</f>
        <v>3</v>
      </c>
      <c r="G944" s="5">
        <v>385.74</v>
      </c>
      <c r="H944">
        <v>0.27</v>
      </c>
      <c r="I944" t="s">
        <v>1349</v>
      </c>
      <c r="J944" s="5">
        <v>844.77059999999994</v>
      </c>
    </row>
    <row r="945" spans="1:10">
      <c r="A945" t="s">
        <v>2294</v>
      </c>
      <c r="B945" s="7">
        <v>45380</v>
      </c>
      <c r="C945" t="s">
        <v>969</v>
      </c>
      <c r="D945" t="s">
        <v>1235</v>
      </c>
      <c r="E945" t="s">
        <v>1335</v>
      </c>
      <c r="F945">
        <f>Table5[[#This Row],[Total_Amount]]/(G945*(1-Table5[[#This Row],[Discount]]))</f>
        <v>2</v>
      </c>
      <c r="G945" s="5">
        <v>830.94</v>
      </c>
      <c r="H945">
        <v>0.28000000000000003</v>
      </c>
      <c r="I945" t="s">
        <v>1351</v>
      </c>
      <c r="J945" s="5">
        <v>1196.5536</v>
      </c>
    </row>
    <row r="946" spans="1:10">
      <c r="A946" t="s">
        <v>2295</v>
      </c>
      <c r="B946" s="7">
        <v>45503</v>
      </c>
      <c r="C946" t="s">
        <v>829</v>
      </c>
      <c r="D946" t="s">
        <v>1076</v>
      </c>
      <c r="E946" t="s">
        <v>1311</v>
      </c>
      <c r="F946">
        <f>Table5[[#This Row],[Total_Amount]]/(G946*(1-Table5[[#This Row],[Discount]]))</f>
        <v>3</v>
      </c>
      <c r="G946" s="5">
        <v>462.75</v>
      </c>
      <c r="H946">
        <v>0.22</v>
      </c>
      <c r="I946" t="s">
        <v>1351</v>
      </c>
      <c r="J946" s="5">
        <v>1082.835</v>
      </c>
    </row>
    <row r="947" spans="1:10">
      <c r="A947" t="s">
        <v>2296</v>
      </c>
      <c r="B947" s="7">
        <v>45567</v>
      </c>
      <c r="C947" t="s">
        <v>182</v>
      </c>
      <c r="D947" t="s">
        <v>1101</v>
      </c>
      <c r="E947" t="s">
        <v>1326</v>
      </c>
      <c r="F947">
        <f>Table5[[#This Row],[Total_Amount]]/(G947*(1-Table5[[#This Row],[Discount]]))</f>
        <v>4.0000000000000009</v>
      </c>
      <c r="G947" s="5">
        <v>973.9</v>
      </c>
      <c r="H947">
        <v>0.02</v>
      </c>
      <c r="I947" t="s">
        <v>1354</v>
      </c>
      <c r="J947" s="5">
        <v>3817.6880000000001</v>
      </c>
    </row>
    <row r="948" spans="1:10">
      <c r="A948" t="s">
        <v>2297</v>
      </c>
      <c r="B948" s="7">
        <v>45600</v>
      </c>
      <c r="C948" t="s">
        <v>341</v>
      </c>
      <c r="D948" t="s">
        <v>1143</v>
      </c>
      <c r="E948" t="s">
        <v>1282</v>
      </c>
      <c r="F948">
        <f>Table5[[#This Row],[Total_Amount]]/(G948*(1-Table5[[#This Row],[Discount]]))</f>
        <v>2</v>
      </c>
      <c r="G948" s="5">
        <v>157.18</v>
      </c>
      <c r="H948">
        <v>0.15</v>
      </c>
      <c r="I948" t="s">
        <v>1349</v>
      </c>
      <c r="J948" s="5">
        <v>267.20600000000002</v>
      </c>
    </row>
    <row r="949" spans="1:10">
      <c r="A949" t="s">
        <v>2298</v>
      </c>
      <c r="B949" s="7">
        <v>45415</v>
      </c>
      <c r="C949" t="s">
        <v>50</v>
      </c>
      <c r="D949" t="s">
        <v>1219</v>
      </c>
      <c r="E949" t="s">
        <v>1322</v>
      </c>
      <c r="F949">
        <f>Table5[[#This Row],[Total_Amount]]/(G949*(1-Table5[[#This Row],[Discount]]))</f>
        <v>3</v>
      </c>
      <c r="G949" s="5">
        <v>239.57</v>
      </c>
      <c r="H949">
        <v>0.16</v>
      </c>
      <c r="I949" t="s">
        <v>1349</v>
      </c>
      <c r="J949" s="5">
        <v>603.71640000000002</v>
      </c>
    </row>
    <row r="950" spans="1:10">
      <c r="A950" t="s">
        <v>2299</v>
      </c>
      <c r="B950" s="7">
        <v>45343</v>
      </c>
      <c r="C950" t="s">
        <v>718</v>
      </c>
      <c r="D950" t="s">
        <v>1090</v>
      </c>
      <c r="E950" t="s">
        <v>1329</v>
      </c>
      <c r="F950">
        <f>Table5[[#This Row],[Total_Amount]]/(G950*(1-Table5[[#This Row],[Discount]]))</f>
        <v>3.9999999999999996</v>
      </c>
      <c r="G950" s="5">
        <v>583.21</v>
      </c>
      <c r="H950">
        <v>0.2</v>
      </c>
      <c r="I950" t="s">
        <v>1349</v>
      </c>
      <c r="J950" s="5">
        <v>1866.2719999999999</v>
      </c>
    </row>
    <row r="951" spans="1:10">
      <c r="A951" t="s">
        <v>2300</v>
      </c>
      <c r="B951" s="7">
        <v>45399</v>
      </c>
      <c r="C951" t="s">
        <v>889</v>
      </c>
      <c r="D951" t="s">
        <v>1235</v>
      </c>
      <c r="E951" t="s">
        <v>1307</v>
      </c>
      <c r="F951">
        <f>Table5[[#This Row],[Total_Amount]]/(G951*(1-Table5[[#This Row],[Discount]]))</f>
        <v>3</v>
      </c>
      <c r="G951" s="5">
        <v>758.75</v>
      </c>
      <c r="H951">
        <v>0.27</v>
      </c>
      <c r="I951" t="s">
        <v>1351</v>
      </c>
      <c r="J951" s="5">
        <v>1661.6624999999999</v>
      </c>
    </row>
    <row r="952" spans="1:10">
      <c r="A952" t="s">
        <v>2301</v>
      </c>
      <c r="B952" s="7">
        <v>45689</v>
      </c>
      <c r="C952" t="s">
        <v>682</v>
      </c>
      <c r="D952" t="s">
        <v>1195</v>
      </c>
      <c r="E952" t="s">
        <v>1298</v>
      </c>
      <c r="F952">
        <f>Table5[[#This Row],[Total_Amount]]/(G952*(1-Table5[[#This Row],[Discount]]))</f>
        <v>3.9999999999999991</v>
      </c>
      <c r="G952" s="5">
        <v>372.42</v>
      </c>
      <c r="H952">
        <v>0.19</v>
      </c>
      <c r="I952" t="s">
        <v>1349</v>
      </c>
      <c r="J952" s="5">
        <v>1206.6407999999999</v>
      </c>
    </row>
    <row r="953" spans="1:10">
      <c r="A953" t="s">
        <v>2302</v>
      </c>
      <c r="B953" s="7">
        <v>45699</v>
      </c>
      <c r="C953" t="s">
        <v>369</v>
      </c>
      <c r="D953" t="s">
        <v>1199</v>
      </c>
      <c r="E953" t="s">
        <v>1338</v>
      </c>
      <c r="F953">
        <f>Table5[[#This Row],[Total_Amount]]/(G953*(1-Table5[[#This Row],[Discount]]))</f>
        <v>4</v>
      </c>
      <c r="G953" s="5">
        <v>286.27999999999997</v>
      </c>
      <c r="H953">
        <v>0.28000000000000003</v>
      </c>
      <c r="I953" t="s">
        <v>1351</v>
      </c>
      <c r="J953" s="5">
        <v>824.48639999999989</v>
      </c>
    </row>
    <row r="954" spans="1:10">
      <c r="A954" t="s">
        <v>2303</v>
      </c>
      <c r="B954" s="7">
        <v>45663</v>
      </c>
      <c r="C954" t="s">
        <v>622</v>
      </c>
      <c r="D954" t="s">
        <v>1219</v>
      </c>
      <c r="E954" t="s">
        <v>1317</v>
      </c>
      <c r="F954">
        <f>Table5[[#This Row],[Total_Amount]]/(G954*(1-Table5[[#This Row],[Discount]]))</f>
        <v>2.9999999999999996</v>
      </c>
      <c r="G954" s="5">
        <v>488.37</v>
      </c>
      <c r="H954">
        <v>0.27</v>
      </c>
      <c r="I954" t="s">
        <v>1354</v>
      </c>
      <c r="J954" s="5">
        <v>1069.5302999999999</v>
      </c>
    </row>
    <row r="955" spans="1:10">
      <c r="A955" t="s">
        <v>2304</v>
      </c>
      <c r="B955" s="7">
        <v>45377</v>
      </c>
      <c r="C955" t="s">
        <v>1000</v>
      </c>
      <c r="D955" t="s">
        <v>1247</v>
      </c>
      <c r="E955" t="s">
        <v>1307</v>
      </c>
      <c r="F955">
        <f>Table5[[#This Row],[Total_Amount]]/(G955*(1-Table5[[#This Row],[Discount]]))</f>
        <v>2.9999999999999996</v>
      </c>
      <c r="G955" s="5">
        <v>662.82</v>
      </c>
      <c r="H955">
        <v>0.01</v>
      </c>
      <c r="I955" t="s">
        <v>1354</v>
      </c>
      <c r="J955" s="5">
        <v>1968.5753999999999</v>
      </c>
    </row>
    <row r="956" spans="1:10">
      <c r="A956" t="s">
        <v>2305</v>
      </c>
      <c r="B956" s="7">
        <v>45412</v>
      </c>
      <c r="C956" t="s">
        <v>1055</v>
      </c>
      <c r="D956" t="s">
        <v>1082</v>
      </c>
      <c r="E956" t="s">
        <v>1329</v>
      </c>
      <c r="F956">
        <f>Table5[[#This Row],[Total_Amount]]/(G956*(1-Table5[[#This Row],[Discount]]))</f>
        <v>1.9999999999999998</v>
      </c>
      <c r="G956" s="5">
        <v>824.34</v>
      </c>
      <c r="H956">
        <v>0.1</v>
      </c>
      <c r="I956" t="s">
        <v>1354</v>
      </c>
      <c r="J956" s="5">
        <v>1483.8119999999999</v>
      </c>
    </row>
    <row r="957" spans="1:10">
      <c r="A957" t="s">
        <v>2306</v>
      </c>
      <c r="B957" s="7">
        <v>45349</v>
      </c>
      <c r="C957" t="s">
        <v>286</v>
      </c>
      <c r="D957" t="s">
        <v>1191</v>
      </c>
      <c r="E957" t="s">
        <v>1307</v>
      </c>
      <c r="F957">
        <f>Table5[[#This Row],[Total_Amount]]/(G957*(1-Table5[[#This Row],[Discount]]))</f>
        <v>0.99999999999999989</v>
      </c>
      <c r="G957" s="5">
        <v>437.12</v>
      </c>
      <c r="H957">
        <v>0.21</v>
      </c>
      <c r="I957" t="s">
        <v>1349</v>
      </c>
      <c r="J957" s="5">
        <v>345.32479999999998</v>
      </c>
    </row>
    <row r="958" spans="1:10">
      <c r="A958" t="s">
        <v>2307</v>
      </c>
      <c r="B958" s="7">
        <v>45486</v>
      </c>
      <c r="C958" t="s">
        <v>777</v>
      </c>
      <c r="D958" t="s">
        <v>1249</v>
      </c>
      <c r="E958" t="s">
        <v>1301</v>
      </c>
      <c r="F958">
        <f>Table5[[#This Row],[Total_Amount]]/(G958*(1-Table5[[#This Row],[Discount]]))</f>
        <v>3</v>
      </c>
      <c r="G958" s="5">
        <v>23.37</v>
      </c>
      <c r="H958">
        <v>0.15</v>
      </c>
      <c r="I958" t="s">
        <v>1351</v>
      </c>
      <c r="J958" s="5">
        <v>59.593499999999999</v>
      </c>
    </row>
    <row r="959" spans="1:10">
      <c r="A959" t="s">
        <v>2308</v>
      </c>
      <c r="B959" s="7">
        <v>45761</v>
      </c>
      <c r="C959" t="s">
        <v>436</v>
      </c>
      <c r="D959" t="s">
        <v>1145</v>
      </c>
      <c r="E959" t="s">
        <v>1307</v>
      </c>
      <c r="F959">
        <f>Table5[[#This Row],[Total_Amount]]/(G959*(1-Table5[[#This Row],[Discount]]))</f>
        <v>1</v>
      </c>
      <c r="G959" s="5">
        <v>579.69000000000005</v>
      </c>
      <c r="H959">
        <v>0.02</v>
      </c>
      <c r="I959" t="s">
        <v>1349</v>
      </c>
      <c r="J959" s="5">
        <v>568.09620000000007</v>
      </c>
    </row>
    <row r="960" spans="1:10">
      <c r="A960" t="s">
        <v>2309</v>
      </c>
      <c r="B960" s="7">
        <v>45639</v>
      </c>
      <c r="C960" t="s">
        <v>923</v>
      </c>
      <c r="D960" t="s">
        <v>1229</v>
      </c>
      <c r="E960" t="s">
        <v>1324</v>
      </c>
      <c r="F960">
        <f>Table5[[#This Row],[Total_Amount]]/(G960*(1-Table5[[#This Row],[Discount]]))</f>
        <v>3</v>
      </c>
      <c r="G960" s="5">
        <v>240.51</v>
      </c>
      <c r="H960">
        <v>7.0000000000000007E-2</v>
      </c>
      <c r="I960" t="s">
        <v>1349</v>
      </c>
      <c r="J960" s="5">
        <v>671.02289999999994</v>
      </c>
    </row>
    <row r="961" spans="1:10">
      <c r="A961" t="s">
        <v>2310</v>
      </c>
      <c r="B961" s="7">
        <v>45893</v>
      </c>
      <c r="C961" t="s">
        <v>827</v>
      </c>
      <c r="D961" t="s">
        <v>1123</v>
      </c>
      <c r="E961" t="s">
        <v>1324</v>
      </c>
      <c r="F961">
        <f>Table5[[#This Row],[Total_Amount]]/(G961*(1-Table5[[#This Row],[Discount]]))</f>
        <v>2</v>
      </c>
      <c r="G961" s="5">
        <v>855.4</v>
      </c>
      <c r="H961">
        <v>0.08</v>
      </c>
      <c r="I961" t="s">
        <v>1354</v>
      </c>
      <c r="J961" s="5">
        <v>1573.9359999999999</v>
      </c>
    </row>
    <row r="962" spans="1:10">
      <c r="A962" t="s">
        <v>2311</v>
      </c>
      <c r="B962" s="7">
        <v>45227</v>
      </c>
      <c r="C962" t="s">
        <v>33</v>
      </c>
      <c r="D962" t="s">
        <v>1253</v>
      </c>
      <c r="E962" t="s">
        <v>1304</v>
      </c>
      <c r="F962">
        <f>Table5[[#This Row],[Total_Amount]]/(G962*(1-Table5[[#This Row],[Discount]]))</f>
        <v>1</v>
      </c>
      <c r="G962" s="5">
        <v>537.26</v>
      </c>
      <c r="H962">
        <v>0.09</v>
      </c>
      <c r="I962" t="s">
        <v>1349</v>
      </c>
      <c r="J962" s="5">
        <v>488.90660000000003</v>
      </c>
    </row>
    <row r="963" spans="1:10">
      <c r="A963" t="s">
        <v>2312</v>
      </c>
      <c r="B963" s="7">
        <v>45637</v>
      </c>
      <c r="C963" t="s">
        <v>831</v>
      </c>
      <c r="D963" t="s">
        <v>1175</v>
      </c>
      <c r="E963" t="s">
        <v>1314</v>
      </c>
      <c r="F963">
        <f>Table5[[#This Row],[Total_Amount]]/(G963*(1-Table5[[#This Row],[Discount]]))</f>
        <v>3</v>
      </c>
      <c r="G963" s="5">
        <v>918.26</v>
      </c>
      <c r="H963">
        <v>0.17</v>
      </c>
      <c r="I963" t="s">
        <v>1354</v>
      </c>
      <c r="J963" s="5">
        <v>2286.4674</v>
      </c>
    </row>
    <row r="964" spans="1:10">
      <c r="A964" t="s">
        <v>2313</v>
      </c>
      <c r="B964" s="7">
        <v>45472</v>
      </c>
      <c r="C964" t="s">
        <v>248</v>
      </c>
      <c r="D964" t="s">
        <v>1082</v>
      </c>
      <c r="E964" t="s">
        <v>1311</v>
      </c>
      <c r="F964">
        <f>Table5[[#This Row],[Total_Amount]]/(G964*(1-Table5[[#This Row],[Discount]]))</f>
        <v>3.9999999999999991</v>
      </c>
      <c r="G964" s="5">
        <v>579.70000000000005</v>
      </c>
      <c r="H964">
        <v>0.18</v>
      </c>
      <c r="I964" t="s">
        <v>1351</v>
      </c>
      <c r="J964" s="5">
        <v>1901.4159999999999</v>
      </c>
    </row>
    <row r="965" spans="1:10">
      <c r="A965" t="s">
        <v>2314</v>
      </c>
      <c r="B965" s="7">
        <v>45710</v>
      </c>
      <c r="C965" t="s">
        <v>351</v>
      </c>
      <c r="D965" t="s">
        <v>1159</v>
      </c>
      <c r="E965" t="s">
        <v>1301</v>
      </c>
      <c r="F965">
        <f>Table5[[#This Row],[Total_Amount]]/(G965*(1-Table5[[#This Row],[Discount]]))</f>
        <v>1</v>
      </c>
      <c r="G965" s="5">
        <v>824.32</v>
      </c>
      <c r="H965">
        <v>0.18</v>
      </c>
      <c r="I965" t="s">
        <v>1349</v>
      </c>
      <c r="J965" s="5">
        <v>675.94240000000013</v>
      </c>
    </row>
    <row r="966" spans="1:10">
      <c r="A966" t="s">
        <v>2315</v>
      </c>
      <c r="B966" s="7">
        <v>45682</v>
      </c>
      <c r="C966" t="s">
        <v>277</v>
      </c>
      <c r="D966" t="s">
        <v>1165</v>
      </c>
      <c r="E966" t="s">
        <v>1326</v>
      </c>
      <c r="F966">
        <f>Table5[[#This Row],[Total_Amount]]/(G966*(1-Table5[[#This Row],[Discount]]))</f>
        <v>4</v>
      </c>
      <c r="G966" s="5">
        <v>614.99</v>
      </c>
      <c r="H966">
        <v>0.16</v>
      </c>
      <c r="I966" t="s">
        <v>1351</v>
      </c>
      <c r="J966" s="5">
        <v>2066.3663999999999</v>
      </c>
    </row>
    <row r="967" spans="1:10">
      <c r="A967" t="s">
        <v>2316</v>
      </c>
      <c r="B967" s="7">
        <v>45730</v>
      </c>
      <c r="C967" t="s">
        <v>317</v>
      </c>
      <c r="D967" t="s">
        <v>1197</v>
      </c>
      <c r="E967" t="s">
        <v>1277</v>
      </c>
      <c r="F967">
        <f>Table5[[#This Row],[Total_Amount]]/(G967*(1-Table5[[#This Row],[Discount]]))</f>
        <v>4</v>
      </c>
      <c r="G967" s="5">
        <v>189.21</v>
      </c>
      <c r="H967">
        <v>0.06</v>
      </c>
      <c r="I967" t="s">
        <v>1354</v>
      </c>
      <c r="J967" s="5">
        <v>711.42959999999994</v>
      </c>
    </row>
    <row r="968" spans="1:10">
      <c r="A968" t="s">
        <v>2317</v>
      </c>
      <c r="B968" s="7">
        <v>45629</v>
      </c>
      <c r="C968" t="s">
        <v>369</v>
      </c>
      <c r="D968" t="s">
        <v>1197</v>
      </c>
      <c r="E968" t="s">
        <v>1324</v>
      </c>
      <c r="F968">
        <f>Table5[[#This Row],[Total_Amount]]/(G968*(1-Table5[[#This Row],[Discount]]))</f>
        <v>2</v>
      </c>
      <c r="G968" s="5">
        <v>233.33</v>
      </c>
      <c r="H968">
        <v>0.05</v>
      </c>
      <c r="I968" t="s">
        <v>1349</v>
      </c>
      <c r="J968" s="5">
        <v>443.327</v>
      </c>
    </row>
    <row r="969" spans="1:10">
      <c r="A969" t="s">
        <v>2318</v>
      </c>
      <c r="B969" s="7">
        <v>45783</v>
      </c>
      <c r="C969" t="s">
        <v>559</v>
      </c>
      <c r="D969" t="s">
        <v>1151</v>
      </c>
      <c r="E969" t="s">
        <v>1335</v>
      </c>
      <c r="F969">
        <f>Table5[[#This Row],[Total_Amount]]/(G969*(1-Table5[[#This Row],[Discount]]))</f>
        <v>3</v>
      </c>
      <c r="G969" s="5">
        <v>529.89</v>
      </c>
      <c r="H969">
        <v>0.21</v>
      </c>
      <c r="I969" t="s">
        <v>1349</v>
      </c>
      <c r="J969" s="5">
        <v>1255.8393000000001</v>
      </c>
    </row>
    <row r="970" spans="1:10">
      <c r="A970" t="s">
        <v>2319</v>
      </c>
      <c r="B970" s="7">
        <v>45518</v>
      </c>
      <c r="C970" t="s">
        <v>1039</v>
      </c>
      <c r="D970" t="s">
        <v>1257</v>
      </c>
      <c r="E970" t="s">
        <v>1282</v>
      </c>
      <c r="F970">
        <f>Table5[[#This Row],[Total_Amount]]/(G970*(1-Table5[[#This Row],[Discount]]))</f>
        <v>2</v>
      </c>
      <c r="G970" s="5">
        <v>954.1</v>
      </c>
      <c r="H970">
        <v>0.17</v>
      </c>
      <c r="I970" t="s">
        <v>1351</v>
      </c>
      <c r="J970" s="5">
        <v>1583.806</v>
      </c>
    </row>
    <row r="971" spans="1:10">
      <c r="A971" t="s">
        <v>2320</v>
      </c>
      <c r="B971" s="7">
        <v>45274</v>
      </c>
      <c r="C971" t="s">
        <v>710</v>
      </c>
      <c r="D971" t="s">
        <v>1203</v>
      </c>
      <c r="E971" t="s">
        <v>1304</v>
      </c>
      <c r="F971">
        <f>Table5[[#This Row],[Total_Amount]]/(G971*(1-Table5[[#This Row],[Discount]]))</f>
        <v>1</v>
      </c>
      <c r="G971" s="5">
        <v>370.04</v>
      </c>
      <c r="H971">
        <v>0.04</v>
      </c>
      <c r="I971" t="s">
        <v>1354</v>
      </c>
      <c r="J971" s="5">
        <v>355.23840000000001</v>
      </c>
    </row>
    <row r="972" spans="1:10">
      <c r="A972" t="s">
        <v>2321</v>
      </c>
      <c r="B972" s="7">
        <v>45297</v>
      </c>
      <c r="C972" t="s">
        <v>168</v>
      </c>
      <c r="D972" t="s">
        <v>1265</v>
      </c>
      <c r="E972" t="s">
        <v>1338</v>
      </c>
      <c r="F972">
        <f>Table5[[#This Row],[Total_Amount]]/(G972*(1-Table5[[#This Row],[Discount]]))</f>
        <v>4</v>
      </c>
      <c r="G972" s="5">
        <v>492.71</v>
      </c>
      <c r="H972">
        <v>0.08</v>
      </c>
      <c r="I972" t="s">
        <v>1349</v>
      </c>
      <c r="J972" s="5">
        <v>1813.1728000000001</v>
      </c>
    </row>
    <row r="973" spans="1:10">
      <c r="A973" t="s">
        <v>2322</v>
      </c>
      <c r="B973" s="7">
        <v>45530</v>
      </c>
      <c r="C973" t="s">
        <v>624</v>
      </c>
      <c r="D973" t="s">
        <v>1255</v>
      </c>
      <c r="E973" t="s">
        <v>1322</v>
      </c>
      <c r="F973">
        <f>Table5[[#This Row],[Total_Amount]]/(G973*(1-Table5[[#This Row],[Discount]]))</f>
        <v>4</v>
      </c>
      <c r="G973" s="5">
        <v>853.26</v>
      </c>
      <c r="H973">
        <v>0.24</v>
      </c>
      <c r="I973" t="s">
        <v>1354</v>
      </c>
      <c r="J973" s="5">
        <v>2593.9104000000002</v>
      </c>
    </row>
    <row r="974" spans="1:10">
      <c r="A974" t="s">
        <v>2323</v>
      </c>
      <c r="B974" s="7">
        <v>45740</v>
      </c>
      <c r="C974" t="s">
        <v>875</v>
      </c>
      <c r="D974" t="s">
        <v>1076</v>
      </c>
      <c r="E974" t="s">
        <v>1329</v>
      </c>
      <c r="F974">
        <f>Table5[[#This Row],[Total_Amount]]/(G974*(1-Table5[[#This Row],[Discount]]))</f>
        <v>1.0000000000000002</v>
      </c>
      <c r="G974" s="5">
        <v>402.47</v>
      </c>
      <c r="H974">
        <v>0.19</v>
      </c>
      <c r="I974" t="s">
        <v>1351</v>
      </c>
      <c r="J974" s="5">
        <v>326.00070000000011</v>
      </c>
    </row>
    <row r="975" spans="1:10">
      <c r="A975" t="s">
        <v>2324</v>
      </c>
      <c r="B975" s="7">
        <v>45311</v>
      </c>
      <c r="C975" t="s">
        <v>867</v>
      </c>
      <c r="D975" t="s">
        <v>1181</v>
      </c>
      <c r="E975" t="s">
        <v>1335</v>
      </c>
      <c r="F975">
        <f>Table5[[#This Row],[Total_Amount]]/(G975*(1-Table5[[#This Row],[Discount]]))</f>
        <v>2</v>
      </c>
      <c r="G975" s="5">
        <v>528.29999999999995</v>
      </c>
      <c r="H975">
        <v>0.24</v>
      </c>
      <c r="I975" t="s">
        <v>1349</v>
      </c>
      <c r="J975" s="5">
        <v>803.01599999999996</v>
      </c>
    </row>
    <row r="976" spans="1:10">
      <c r="A976" t="s">
        <v>2325</v>
      </c>
      <c r="B976" s="7">
        <v>45667</v>
      </c>
      <c r="C976" t="s">
        <v>951</v>
      </c>
      <c r="D976" t="s">
        <v>1093</v>
      </c>
      <c r="E976" t="s">
        <v>1301</v>
      </c>
      <c r="F976">
        <f>Table5[[#This Row],[Total_Amount]]/(G976*(1-Table5[[#This Row],[Discount]]))</f>
        <v>3.9999999999999996</v>
      </c>
      <c r="G976" s="5">
        <v>599.85</v>
      </c>
      <c r="H976">
        <v>0.25</v>
      </c>
      <c r="I976" t="s">
        <v>1349</v>
      </c>
      <c r="J976" s="5">
        <v>1799.55</v>
      </c>
    </row>
    <row r="977" spans="1:10">
      <c r="A977" t="s">
        <v>2326</v>
      </c>
      <c r="B977" s="7">
        <v>45281</v>
      </c>
      <c r="C977" t="s">
        <v>670</v>
      </c>
      <c r="D977" t="s">
        <v>1105</v>
      </c>
      <c r="E977" t="s">
        <v>1311</v>
      </c>
      <c r="F977">
        <f>Table5[[#This Row],[Total_Amount]]/(G977*(1-Table5[[#This Row],[Discount]]))</f>
        <v>1.9999999999999998</v>
      </c>
      <c r="G977" s="5">
        <v>61.42</v>
      </c>
      <c r="H977">
        <v>0.08</v>
      </c>
      <c r="I977" t="s">
        <v>1351</v>
      </c>
      <c r="J977" s="5">
        <v>113.0128</v>
      </c>
    </row>
    <row r="978" spans="1:10">
      <c r="A978" t="s">
        <v>2327</v>
      </c>
      <c r="B978" s="7">
        <v>45693</v>
      </c>
      <c r="C978" t="s">
        <v>561</v>
      </c>
      <c r="D978" t="s">
        <v>1111</v>
      </c>
      <c r="E978" t="s">
        <v>1314</v>
      </c>
      <c r="F978">
        <f>Table5[[#This Row],[Total_Amount]]/(G978*(1-Table5[[#This Row],[Discount]]))</f>
        <v>2</v>
      </c>
      <c r="G978" s="5">
        <v>466.42</v>
      </c>
      <c r="H978">
        <v>0.12</v>
      </c>
      <c r="I978" t="s">
        <v>1351</v>
      </c>
      <c r="J978" s="5">
        <v>820.89920000000006</v>
      </c>
    </row>
    <row r="979" spans="1:10">
      <c r="A979" t="s">
        <v>2328</v>
      </c>
      <c r="B979" s="7">
        <v>45857</v>
      </c>
      <c r="C979" t="s">
        <v>256</v>
      </c>
      <c r="D979" t="s">
        <v>1135</v>
      </c>
      <c r="E979" t="s">
        <v>1298</v>
      </c>
      <c r="F979">
        <f>Table5[[#This Row],[Total_Amount]]/(G979*(1-Table5[[#This Row],[Discount]]))</f>
        <v>3.9999999999999996</v>
      </c>
      <c r="G979" s="5">
        <v>540.69000000000005</v>
      </c>
      <c r="H979">
        <v>0.09</v>
      </c>
      <c r="I979" t="s">
        <v>1354</v>
      </c>
      <c r="J979" s="5">
        <v>1968.1116</v>
      </c>
    </row>
    <row r="980" spans="1:10">
      <c r="A980" t="s">
        <v>2329</v>
      </c>
      <c r="B980" s="7">
        <v>45737</v>
      </c>
      <c r="C980" t="s">
        <v>660</v>
      </c>
      <c r="D980" t="s">
        <v>1111</v>
      </c>
      <c r="E980" t="s">
        <v>1322</v>
      </c>
      <c r="F980">
        <f>Table5[[#This Row],[Total_Amount]]/(G980*(1-Table5[[#This Row],[Discount]]))</f>
        <v>3</v>
      </c>
      <c r="G980" s="5">
        <v>677.46</v>
      </c>
      <c r="H980">
        <v>0.05</v>
      </c>
      <c r="I980" t="s">
        <v>1349</v>
      </c>
      <c r="J980" s="5">
        <v>1930.761</v>
      </c>
    </row>
    <row r="981" spans="1:10">
      <c r="A981" t="s">
        <v>2330</v>
      </c>
      <c r="B981" s="7">
        <v>45771</v>
      </c>
      <c r="C981" t="s">
        <v>720</v>
      </c>
      <c r="D981" t="s">
        <v>1115</v>
      </c>
      <c r="E981" t="s">
        <v>1282</v>
      </c>
      <c r="F981">
        <f>Table5[[#This Row],[Total_Amount]]/(G981*(1-Table5[[#This Row],[Discount]]))</f>
        <v>3</v>
      </c>
      <c r="G981" s="5">
        <v>614.63</v>
      </c>
      <c r="H981">
        <v>0.06</v>
      </c>
      <c r="I981" t="s">
        <v>1351</v>
      </c>
      <c r="J981" s="5">
        <v>1733.2565999999999</v>
      </c>
    </row>
    <row r="982" spans="1:10">
      <c r="A982" t="s">
        <v>2331</v>
      </c>
      <c r="B982" s="7">
        <v>45272</v>
      </c>
      <c r="C982" t="s">
        <v>527</v>
      </c>
      <c r="D982" t="s">
        <v>1205</v>
      </c>
      <c r="E982" t="s">
        <v>1307</v>
      </c>
      <c r="F982">
        <f>Table5[[#This Row],[Total_Amount]]/(G982*(1-Table5[[#This Row],[Discount]]))</f>
        <v>4</v>
      </c>
      <c r="G982" s="5">
        <v>649.52</v>
      </c>
      <c r="H982">
        <v>0.11</v>
      </c>
      <c r="I982" t="s">
        <v>1349</v>
      </c>
      <c r="J982" s="5">
        <v>2312.2912000000001</v>
      </c>
    </row>
    <row r="983" spans="1:10">
      <c r="A983" t="s">
        <v>2332</v>
      </c>
      <c r="B983" s="7">
        <v>45481</v>
      </c>
      <c r="C983" t="s">
        <v>953</v>
      </c>
      <c r="D983" t="s">
        <v>1243</v>
      </c>
      <c r="E983" t="s">
        <v>1307</v>
      </c>
      <c r="F983">
        <f>Table5[[#This Row],[Total_Amount]]/(G983*(1-Table5[[#This Row],[Discount]]))</f>
        <v>2</v>
      </c>
      <c r="G983" s="5">
        <v>943.93</v>
      </c>
      <c r="H983">
        <v>0.22</v>
      </c>
      <c r="I983" t="s">
        <v>1351</v>
      </c>
      <c r="J983" s="5">
        <v>1472.5308</v>
      </c>
    </row>
    <row r="984" spans="1:10">
      <c r="A984" t="s">
        <v>2333</v>
      </c>
      <c r="B984" s="7">
        <v>45228</v>
      </c>
      <c r="C984" t="s">
        <v>391</v>
      </c>
      <c r="D984" t="s">
        <v>1135</v>
      </c>
      <c r="E984" t="s">
        <v>1307</v>
      </c>
      <c r="F984">
        <f>Table5[[#This Row],[Total_Amount]]/(G984*(1-Table5[[#This Row],[Discount]]))</f>
        <v>4</v>
      </c>
      <c r="G984" s="5">
        <v>538.73</v>
      </c>
      <c r="H984">
        <v>0.03</v>
      </c>
      <c r="I984" t="s">
        <v>1349</v>
      </c>
      <c r="J984" s="5">
        <v>2090.2723999999998</v>
      </c>
    </row>
    <row r="985" spans="1:10">
      <c r="A985" t="s">
        <v>2334</v>
      </c>
      <c r="B985" s="7">
        <v>45432</v>
      </c>
      <c r="C985" t="s">
        <v>232</v>
      </c>
      <c r="D985" t="s">
        <v>1205</v>
      </c>
      <c r="E985" t="s">
        <v>1307</v>
      </c>
      <c r="F985">
        <f>Table5[[#This Row],[Total_Amount]]/(G985*(1-Table5[[#This Row],[Discount]]))</f>
        <v>2.0000000000000004</v>
      </c>
      <c r="G985" s="5">
        <v>853.93</v>
      </c>
      <c r="H985">
        <v>0.01</v>
      </c>
      <c r="I985" t="s">
        <v>1351</v>
      </c>
      <c r="J985" s="5">
        <v>1690.7814000000001</v>
      </c>
    </row>
    <row r="986" spans="1:10">
      <c r="A986" t="s">
        <v>2335</v>
      </c>
      <c r="B986" s="7">
        <v>45914</v>
      </c>
      <c r="C986" t="s">
        <v>1043</v>
      </c>
      <c r="D986" t="s">
        <v>1131</v>
      </c>
      <c r="E986" t="s">
        <v>1294</v>
      </c>
      <c r="F986">
        <f>Table5[[#This Row],[Total_Amount]]/(G986*(1-Table5[[#This Row],[Discount]]))</f>
        <v>4</v>
      </c>
      <c r="G986" s="5">
        <v>465.42</v>
      </c>
      <c r="H986">
        <v>0.26</v>
      </c>
      <c r="I986" t="s">
        <v>1354</v>
      </c>
      <c r="J986" s="5">
        <v>1377.6432</v>
      </c>
    </row>
    <row r="987" spans="1:10">
      <c r="A987" t="s">
        <v>2336</v>
      </c>
      <c r="B987" s="7">
        <v>45758</v>
      </c>
      <c r="C987" t="s">
        <v>155</v>
      </c>
      <c r="D987" t="s">
        <v>1071</v>
      </c>
      <c r="E987" t="s">
        <v>1317</v>
      </c>
      <c r="F987">
        <f>Table5[[#This Row],[Total_Amount]]/(G987*(1-Table5[[#This Row],[Discount]]))</f>
        <v>4</v>
      </c>
      <c r="G987" s="5">
        <v>880.26</v>
      </c>
      <c r="H987">
        <v>0.11</v>
      </c>
      <c r="I987" t="s">
        <v>1354</v>
      </c>
      <c r="J987" s="5">
        <v>3133.7256000000002</v>
      </c>
    </row>
    <row r="988" spans="1:10">
      <c r="A988" t="s">
        <v>2337</v>
      </c>
      <c r="B988" s="7">
        <v>45429</v>
      </c>
      <c r="C988" t="s">
        <v>1028</v>
      </c>
      <c r="D988" t="s">
        <v>1175</v>
      </c>
      <c r="E988" t="s">
        <v>1317</v>
      </c>
      <c r="F988">
        <f>Table5[[#This Row],[Total_Amount]]/(G988*(1-Table5[[#This Row],[Discount]]))</f>
        <v>3</v>
      </c>
      <c r="G988" s="5">
        <v>461.02</v>
      </c>
      <c r="H988">
        <v>0.28999999999999998</v>
      </c>
      <c r="I988" t="s">
        <v>1351</v>
      </c>
      <c r="J988" s="5">
        <v>981.97259999999994</v>
      </c>
    </row>
    <row r="989" spans="1:10">
      <c r="A989" t="s">
        <v>2338</v>
      </c>
      <c r="B989" s="7">
        <v>45578</v>
      </c>
      <c r="C989" t="s">
        <v>84</v>
      </c>
      <c r="D989" t="s">
        <v>1123</v>
      </c>
      <c r="E989" t="s">
        <v>1322</v>
      </c>
      <c r="F989">
        <f>Table5[[#This Row],[Total_Amount]]/(G989*(1-Table5[[#This Row],[Discount]]))</f>
        <v>1</v>
      </c>
      <c r="G989" s="5">
        <v>531.99</v>
      </c>
      <c r="H989">
        <v>0.17</v>
      </c>
      <c r="I989" t="s">
        <v>1351</v>
      </c>
      <c r="J989" s="5">
        <v>441.55169999999998</v>
      </c>
    </row>
    <row r="990" spans="1:10">
      <c r="A990" t="s">
        <v>2339</v>
      </c>
      <c r="B990" s="7">
        <v>45486</v>
      </c>
      <c r="C990" t="s">
        <v>23</v>
      </c>
      <c r="D990" t="s">
        <v>1167</v>
      </c>
      <c r="E990" t="s">
        <v>1332</v>
      </c>
      <c r="F990">
        <f>Table5[[#This Row],[Total_Amount]]/(G990*(1-Table5[[#This Row],[Discount]]))</f>
        <v>2.0000000000000004</v>
      </c>
      <c r="G990" s="5">
        <v>274.08999999999997</v>
      </c>
      <c r="H990">
        <v>0.13</v>
      </c>
      <c r="I990" t="s">
        <v>1351</v>
      </c>
      <c r="J990" s="5">
        <v>476.91660000000002</v>
      </c>
    </row>
    <row r="991" spans="1:10">
      <c r="A991" t="s">
        <v>2340</v>
      </c>
      <c r="B991" s="7">
        <v>45694</v>
      </c>
      <c r="C991" t="s">
        <v>949</v>
      </c>
      <c r="D991" t="s">
        <v>1249</v>
      </c>
      <c r="E991" t="s">
        <v>1314</v>
      </c>
      <c r="F991">
        <f>Table5[[#This Row],[Total_Amount]]/(G991*(1-Table5[[#This Row],[Discount]]))</f>
        <v>1</v>
      </c>
      <c r="G991" s="5">
        <v>66.14</v>
      </c>
      <c r="H991">
        <v>0.14000000000000001</v>
      </c>
      <c r="I991" t="s">
        <v>1354</v>
      </c>
      <c r="J991" s="5">
        <v>56.880400000000002</v>
      </c>
    </row>
    <row r="992" spans="1:10">
      <c r="A992" t="s">
        <v>2341</v>
      </c>
      <c r="B992" s="7">
        <v>45875</v>
      </c>
      <c r="C992" t="s">
        <v>206</v>
      </c>
      <c r="D992" t="s">
        <v>1113</v>
      </c>
      <c r="E992" t="s">
        <v>1311</v>
      </c>
      <c r="F992">
        <f>Table5[[#This Row],[Total_Amount]]/(G992*(1-Table5[[#This Row],[Discount]]))</f>
        <v>3</v>
      </c>
      <c r="G992" s="5">
        <v>955.82</v>
      </c>
      <c r="H992">
        <v>0.16</v>
      </c>
      <c r="I992" t="s">
        <v>1354</v>
      </c>
      <c r="J992" s="5">
        <v>2408.6664000000001</v>
      </c>
    </row>
    <row r="993" spans="1:10">
      <c r="A993" t="s">
        <v>2342</v>
      </c>
      <c r="B993" s="7">
        <v>45432</v>
      </c>
      <c r="C993" t="s">
        <v>702</v>
      </c>
      <c r="D993" t="s">
        <v>1117</v>
      </c>
      <c r="E993" t="s">
        <v>1319</v>
      </c>
      <c r="F993">
        <f>Table5[[#This Row],[Total_Amount]]/(G993*(1-Table5[[#This Row],[Discount]]))</f>
        <v>1</v>
      </c>
      <c r="G993" s="5">
        <v>904.92</v>
      </c>
      <c r="H993">
        <v>0.13</v>
      </c>
      <c r="I993" t="s">
        <v>1349</v>
      </c>
      <c r="J993" s="5">
        <v>787.28039999999999</v>
      </c>
    </row>
    <row r="994" spans="1:10">
      <c r="A994" t="s">
        <v>2343</v>
      </c>
      <c r="B994" s="7">
        <v>45575</v>
      </c>
      <c r="C994" t="s">
        <v>8</v>
      </c>
      <c r="D994" t="s">
        <v>1153</v>
      </c>
      <c r="E994" t="s">
        <v>1304</v>
      </c>
      <c r="F994">
        <f>Table5[[#This Row],[Total_Amount]]/(G994*(1-Table5[[#This Row],[Discount]]))</f>
        <v>3</v>
      </c>
      <c r="G994" s="5">
        <v>490.02</v>
      </c>
      <c r="H994">
        <v>0.26</v>
      </c>
      <c r="I994" t="s">
        <v>1349</v>
      </c>
      <c r="J994" s="5">
        <v>1087.8444</v>
      </c>
    </row>
    <row r="995" spans="1:10">
      <c r="A995" t="s">
        <v>2344</v>
      </c>
      <c r="B995" s="7">
        <v>45340</v>
      </c>
      <c r="C995" t="s">
        <v>789</v>
      </c>
      <c r="D995" t="s">
        <v>1111</v>
      </c>
      <c r="E995" t="s">
        <v>1301</v>
      </c>
      <c r="F995">
        <f>Table5[[#This Row],[Total_Amount]]/(G995*(1-Table5[[#This Row],[Discount]]))</f>
        <v>2</v>
      </c>
      <c r="G995" s="5">
        <v>957.54</v>
      </c>
      <c r="H995">
        <v>0.1</v>
      </c>
      <c r="I995" t="s">
        <v>1354</v>
      </c>
      <c r="J995" s="5">
        <v>1723.5719999999999</v>
      </c>
    </row>
    <row r="996" spans="1:10">
      <c r="A996" t="s">
        <v>2345</v>
      </c>
      <c r="B996" s="7">
        <v>45926</v>
      </c>
      <c r="C996" t="s">
        <v>722</v>
      </c>
      <c r="D996" t="s">
        <v>1271</v>
      </c>
      <c r="E996" t="s">
        <v>1322</v>
      </c>
      <c r="F996">
        <f>Table5[[#This Row],[Total_Amount]]/(G996*(1-Table5[[#This Row],[Discount]]))</f>
        <v>2</v>
      </c>
      <c r="G996" s="5">
        <v>314.39999999999998</v>
      </c>
      <c r="H996">
        <v>7.0000000000000007E-2</v>
      </c>
      <c r="I996" t="s">
        <v>1351</v>
      </c>
      <c r="J996" s="5">
        <v>584.78399999999988</v>
      </c>
    </row>
    <row r="997" spans="1:10">
      <c r="A997" t="s">
        <v>2346</v>
      </c>
      <c r="B997" s="7">
        <v>45373</v>
      </c>
      <c r="C997" t="s">
        <v>851</v>
      </c>
      <c r="D997" t="s">
        <v>1121</v>
      </c>
      <c r="E997" t="s">
        <v>1301</v>
      </c>
      <c r="F997">
        <f>Table5[[#This Row],[Total_Amount]]/(G997*(1-Table5[[#This Row],[Discount]]))</f>
        <v>3</v>
      </c>
      <c r="G997" s="5">
        <v>480.11</v>
      </c>
      <c r="H997">
        <v>0.11</v>
      </c>
      <c r="I997" t="s">
        <v>1351</v>
      </c>
      <c r="J997" s="5">
        <v>1281.8937000000001</v>
      </c>
    </row>
    <row r="998" spans="1:10">
      <c r="A998" t="s">
        <v>2347</v>
      </c>
      <c r="B998" s="7">
        <v>45579</v>
      </c>
      <c r="C998" t="s">
        <v>839</v>
      </c>
      <c r="D998" t="s">
        <v>1169</v>
      </c>
      <c r="E998" t="s">
        <v>1301</v>
      </c>
      <c r="F998">
        <f>Table5[[#This Row],[Total_Amount]]/(G998*(1-Table5[[#This Row],[Discount]]))</f>
        <v>4</v>
      </c>
      <c r="G998" s="5">
        <v>826.55</v>
      </c>
      <c r="H998">
        <v>0.28000000000000003</v>
      </c>
      <c r="I998" t="s">
        <v>1349</v>
      </c>
      <c r="J998" s="5">
        <v>2380.4639999999999</v>
      </c>
    </row>
    <row r="999" spans="1:10">
      <c r="A999" t="s">
        <v>2348</v>
      </c>
      <c r="B999" s="7">
        <v>45805</v>
      </c>
      <c r="C999" t="s">
        <v>442</v>
      </c>
      <c r="D999" t="s">
        <v>1127</v>
      </c>
      <c r="E999" t="s">
        <v>1291</v>
      </c>
      <c r="F999">
        <f>Table5[[#This Row],[Total_Amount]]/(G999*(1-Table5[[#This Row],[Discount]]))</f>
        <v>3</v>
      </c>
      <c r="G999" s="5">
        <v>530.16999999999996</v>
      </c>
      <c r="H999">
        <v>0.18</v>
      </c>
      <c r="I999" t="s">
        <v>1351</v>
      </c>
      <c r="J999" s="5">
        <v>1304.2182</v>
      </c>
    </row>
    <row r="1000" spans="1:10">
      <c r="A1000" t="s">
        <v>2349</v>
      </c>
      <c r="B1000" s="7">
        <v>45522</v>
      </c>
      <c r="C1000" t="s">
        <v>877</v>
      </c>
      <c r="D1000" t="s">
        <v>1141</v>
      </c>
      <c r="E1000" t="s">
        <v>1332</v>
      </c>
      <c r="F1000">
        <f>Table5[[#This Row],[Total_Amount]]/(G1000*(1-Table5[[#This Row],[Discount]]))</f>
        <v>2.9999999999999996</v>
      </c>
      <c r="G1000" s="5">
        <v>336.17</v>
      </c>
      <c r="H1000">
        <v>0.04</v>
      </c>
      <c r="I1000" t="s">
        <v>1354</v>
      </c>
      <c r="J1000" s="5">
        <v>968.16959999999995</v>
      </c>
    </row>
    <row r="1001" spans="1:10">
      <c r="A1001" t="s">
        <v>2350</v>
      </c>
      <c r="B1001" s="7">
        <v>45304</v>
      </c>
      <c r="C1001" t="s">
        <v>905</v>
      </c>
      <c r="D1001" t="s">
        <v>1235</v>
      </c>
      <c r="E1001" t="s">
        <v>1307</v>
      </c>
      <c r="F1001">
        <f>Table5[[#This Row],[Total_Amount]]/(G1001*(1-Table5[[#This Row],[Discount]]))</f>
        <v>4</v>
      </c>
      <c r="G1001" s="5">
        <v>22.51</v>
      </c>
      <c r="H1001">
        <v>0.27</v>
      </c>
      <c r="I1001" t="s">
        <v>1351</v>
      </c>
      <c r="J1001" s="5">
        <v>65.729200000000006</v>
      </c>
    </row>
    <row r="1002" spans="1:10">
      <c r="A1002" t="s">
        <v>2351</v>
      </c>
      <c r="B1002" s="7">
        <v>45456</v>
      </c>
      <c r="C1002" t="s">
        <v>442</v>
      </c>
      <c r="D1002" t="s">
        <v>1191</v>
      </c>
      <c r="E1002" t="s">
        <v>1286</v>
      </c>
      <c r="F1002">
        <f>Table5[[#This Row],[Total_Amount]]/(G1002*(1-Table5[[#This Row],[Discount]]))</f>
        <v>2.0000000000000004</v>
      </c>
      <c r="G1002" s="5">
        <v>909.51</v>
      </c>
      <c r="H1002">
        <v>0.27</v>
      </c>
      <c r="I1002" t="s">
        <v>1349</v>
      </c>
      <c r="J1002" s="5">
        <v>1327.8846000000001</v>
      </c>
    </row>
    <row r="1003" spans="1:10">
      <c r="A1003" t="s">
        <v>2352</v>
      </c>
      <c r="B1003" s="7">
        <v>45776</v>
      </c>
      <c r="C1003" t="s">
        <v>147</v>
      </c>
      <c r="D1003" t="s">
        <v>1211</v>
      </c>
      <c r="E1003" t="s">
        <v>1324</v>
      </c>
      <c r="F1003">
        <f>Table5[[#This Row],[Total_Amount]]/(G1003*(1-Table5[[#This Row],[Discount]]))</f>
        <v>3.9999999999999996</v>
      </c>
      <c r="G1003" s="5">
        <v>593.84</v>
      </c>
      <c r="H1003">
        <v>0.24</v>
      </c>
      <c r="I1003" t="s">
        <v>1351</v>
      </c>
      <c r="J1003" s="5">
        <v>1805.2736</v>
      </c>
    </row>
    <row r="1004" spans="1:10">
      <c r="A1004" t="s">
        <v>2353</v>
      </c>
      <c r="B1004" s="7">
        <v>45566</v>
      </c>
      <c r="C1004" t="s">
        <v>277</v>
      </c>
      <c r="D1004" t="s">
        <v>1219</v>
      </c>
      <c r="E1004" t="s">
        <v>1314</v>
      </c>
      <c r="F1004">
        <f>Table5[[#This Row],[Total_Amount]]/(G1004*(1-Table5[[#This Row],[Discount]]))</f>
        <v>3</v>
      </c>
      <c r="G1004" s="5">
        <v>909.11</v>
      </c>
      <c r="H1004">
        <v>0.23</v>
      </c>
      <c r="I1004" t="s">
        <v>1354</v>
      </c>
      <c r="J1004" s="5">
        <v>2100.0441000000001</v>
      </c>
    </row>
    <row r="1005" spans="1:10">
      <c r="A1005" t="s">
        <v>2354</v>
      </c>
      <c r="B1005" s="7">
        <v>45542</v>
      </c>
      <c r="C1005" t="s">
        <v>861</v>
      </c>
      <c r="D1005" t="s">
        <v>1121</v>
      </c>
      <c r="E1005" t="s">
        <v>1282</v>
      </c>
      <c r="F1005">
        <f>Table5[[#This Row],[Total_Amount]]/(G1005*(1-Table5[[#This Row],[Discount]]))</f>
        <v>4</v>
      </c>
      <c r="G1005" s="5">
        <v>996.85</v>
      </c>
      <c r="H1005">
        <v>0.24</v>
      </c>
      <c r="I1005" t="s">
        <v>1351</v>
      </c>
      <c r="J1005" s="5">
        <v>3030.424</v>
      </c>
    </row>
    <row r="1006" spans="1:10">
      <c r="A1006" t="s">
        <v>2355</v>
      </c>
      <c r="B1006" s="7">
        <v>45834</v>
      </c>
      <c r="C1006" t="s">
        <v>664</v>
      </c>
      <c r="D1006" t="s">
        <v>1068</v>
      </c>
      <c r="E1006" t="s">
        <v>1332</v>
      </c>
      <c r="F1006">
        <f>Table5[[#This Row],[Total_Amount]]/(G1006*(1-Table5[[#This Row],[Discount]]))</f>
        <v>1.0000000000000002</v>
      </c>
      <c r="G1006" s="5">
        <v>522.69000000000005</v>
      </c>
      <c r="H1006">
        <v>0.06</v>
      </c>
      <c r="I1006" t="s">
        <v>1354</v>
      </c>
      <c r="J1006" s="5">
        <v>491.32860000000011</v>
      </c>
    </row>
    <row r="1007" spans="1:10">
      <c r="A1007" t="s">
        <v>2356</v>
      </c>
      <c r="B1007" s="7">
        <v>45405</v>
      </c>
      <c r="C1007" t="s">
        <v>450</v>
      </c>
      <c r="D1007" t="s">
        <v>1181</v>
      </c>
      <c r="E1007" t="s">
        <v>1291</v>
      </c>
      <c r="F1007">
        <f>Table5[[#This Row],[Total_Amount]]/(G1007*(1-Table5[[#This Row],[Discount]]))</f>
        <v>3.0000000000000004</v>
      </c>
      <c r="G1007" s="5">
        <v>261.05</v>
      </c>
      <c r="H1007">
        <v>0.12</v>
      </c>
      <c r="I1007" t="s">
        <v>1351</v>
      </c>
      <c r="J1007" s="5">
        <v>689.17200000000014</v>
      </c>
    </row>
    <row r="1008" spans="1:10">
      <c r="A1008" t="s">
        <v>2357</v>
      </c>
      <c r="B1008" s="7">
        <v>45918</v>
      </c>
      <c r="C1008" t="s">
        <v>229</v>
      </c>
      <c r="D1008" t="s">
        <v>1119</v>
      </c>
      <c r="E1008" t="s">
        <v>1332</v>
      </c>
      <c r="F1008">
        <f>Table5[[#This Row],[Total_Amount]]/(G1008*(1-Table5[[#This Row],[Discount]]))</f>
        <v>3</v>
      </c>
      <c r="G1008" s="5">
        <v>644.73</v>
      </c>
      <c r="H1008">
        <v>0.01</v>
      </c>
      <c r="I1008" t="s">
        <v>1354</v>
      </c>
      <c r="J1008" s="5">
        <v>1914.8480999999999</v>
      </c>
    </row>
    <row r="1009" spans="1:10">
      <c r="A1009" t="s">
        <v>2358</v>
      </c>
      <c r="B1009" s="7">
        <v>45217</v>
      </c>
      <c r="C1009" t="s">
        <v>458</v>
      </c>
      <c r="D1009" t="s">
        <v>1223</v>
      </c>
      <c r="E1009" t="s">
        <v>1286</v>
      </c>
      <c r="F1009">
        <f>Table5[[#This Row],[Total_Amount]]/(G1009*(1-Table5[[#This Row],[Discount]]))</f>
        <v>2</v>
      </c>
      <c r="G1009" s="5">
        <v>541.52</v>
      </c>
      <c r="H1009">
        <v>0.26</v>
      </c>
      <c r="I1009" t="s">
        <v>1351</v>
      </c>
      <c r="J1009" s="5">
        <v>801.44959999999992</v>
      </c>
    </row>
    <row r="1010" spans="1:10">
      <c r="A1010" t="s">
        <v>2359</v>
      </c>
      <c r="B1010" s="7">
        <v>45259</v>
      </c>
      <c r="C1010" t="s">
        <v>915</v>
      </c>
      <c r="D1010" t="s">
        <v>1199</v>
      </c>
      <c r="E1010" t="s">
        <v>1314</v>
      </c>
      <c r="F1010">
        <f>Table5[[#This Row],[Total_Amount]]/(G1010*(1-Table5[[#This Row],[Discount]]))</f>
        <v>1</v>
      </c>
      <c r="G1010" s="5">
        <v>395.18</v>
      </c>
      <c r="H1010">
        <v>0.09</v>
      </c>
      <c r="I1010" t="s">
        <v>1351</v>
      </c>
      <c r="J1010" s="5">
        <v>359.61380000000003</v>
      </c>
    </row>
    <row r="1011" spans="1:10">
      <c r="A1011" t="s">
        <v>2360</v>
      </c>
      <c r="B1011" s="7">
        <v>45740</v>
      </c>
      <c r="C1011" t="s">
        <v>258</v>
      </c>
      <c r="D1011" t="s">
        <v>1087</v>
      </c>
      <c r="E1011" t="s">
        <v>1307</v>
      </c>
      <c r="F1011">
        <f>Table5[[#This Row],[Total_Amount]]/(G1011*(1-Table5[[#This Row],[Discount]]))</f>
        <v>4.0000000000000009</v>
      </c>
      <c r="G1011" s="5">
        <v>56.37</v>
      </c>
      <c r="H1011">
        <v>0.17</v>
      </c>
      <c r="I1011" t="s">
        <v>1349</v>
      </c>
      <c r="J1011" s="5">
        <v>187.14840000000001</v>
      </c>
    </row>
    <row r="1012" spans="1:10">
      <c r="A1012" t="s">
        <v>2361</v>
      </c>
      <c r="B1012" s="7">
        <v>45908</v>
      </c>
      <c r="C1012" t="s">
        <v>480</v>
      </c>
      <c r="D1012" t="s">
        <v>1231</v>
      </c>
      <c r="E1012" t="s">
        <v>1311</v>
      </c>
      <c r="F1012">
        <f>Table5[[#This Row],[Total_Amount]]/(G1012*(1-Table5[[#This Row],[Discount]]))</f>
        <v>4</v>
      </c>
      <c r="G1012" s="5">
        <v>202.59</v>
      </c>
      <c r="H1012">
        <v>0.06</v>
      </c>
      <c r="I1012" t="s">
        <v>1354</v>
      </c>
      <c r="J1012" s="5">
        <v>761.73839999999996</v>
      </c>
    </row>
    <row r="1013" spans="1:10">
      <c r="A1013" t="s">
        <v>2362</v>
      </c>
      <c r="B1013" s="7">
        <v>45601</v>
      </c>
      <c r="C1013" t="s">
        <v>23</v>
      </c>
      <c r="D1013" t="s">
        <v>1235</v>
      </c>
      <c r="E1013" t="s">
        <v>1298</v>
      </c>
      <c r="F1013">
        <f>Table5[[#This Row],[Total_Amount]]/(G1013*(1-Table5[[#This Row],[Discount]]))</f>
        <v>2</v>
      </c>
      <c r="G1013" s="5">
        <v>358.36</v>
      </c>
      <c r="H1013">
        <v>0.05</v>
      </c>
      <c r="I1013" t="s">
        <v>1351</v>
      </c>
      <c r="J1013" s="5">
        <v>680.88400000000001</v>
      </c>
    </row>
    <row r="1014" spans="1:10">
      <c r="A1014" t="s">
        <v>2363</v>
      </c>
      <c r="B1014" s="7">
        <v>45535</v>
      </c>
      <c r="C1014" t="s">
        <v>194</v>
      </c>
      <c r="D1014" t="s">
        <v>1147</v>
      </c>
      <c r="E1014" t="s">
        <v>1335</v>
      </c>
      <c r="F1014">
        <f>Table5[[#This Row],[Total_Amount]]/(G1014*(1-Table5[[#This Row],[Discount]]))</f>
        <v>4</v>
      </c>
      <c r="G1014" s="5">
        <v>85.62</v>
      </c>
      <c r="H1014">
        <v>0.28000000000000003</v>
      </c>
      <c r="I1014" t="s">
        <v>1354</v>
      </c>
      <c r="J1014" s="5">
        <v>246.5856</v>
      </c>
    </row>
    <row r="1015" spans="1:10">
      <c r="A1015" t="s">
        <v>2364</v>
      </c>
      <c r="B1015" s="7">
        <v>45459</v>
      </c>
      <c r="C1015" t="s">
        <v>432</v>
      </c>
      <c r="D1015" t="s">
        <v>1085</v>
      </c>
      <c r="E1015" t="s">
        <v>1332</v>
      </c>
      <c r="F1015">
        <f>Table5[[#This Row],[Total_Amount]]/(G1015*(1-Table5[[#This Row],[Discount]]))</f>
        <v>4</v>
      </c>
      <c r="G1015" s="5">
        <v>929.26</v>
      </c>
      <c r="H1015">
        <v>0.23</v>
      </c>
      <c r="I1015" t="s">
        <v>1351</v>
      </c>
      <c r="J1015" s="5">
        <v>2862.1208000000001</v>
      </c>
    </row>
    <row r="1016" spans="1:10">
      <c r="A1016" t="s">
        <v>2365</v>
      </c>
      <c r="B1016" s="7">
        <v>45681</v>
      </c>
      <c r="C1016" t="s">
        <v>682</v>
      </c>
      <c r="D1016" t="s">
        <v>1193</v>
      </c>
      <c r="E1016" t="s">
        <v>1322</v>
      </c>
      <c r="F1016">
        <f>Table5[[#This Row],[Total_Amount]]/(G1016*(1-Table5[[#This Row],[Discount]]))</f>
        <v>2</v>
      </c>
      <c r="G1016" s="5">
        <v>92.64</v>
      </c>
      <c r="H1016">
        <v>0.14000000000000001</v>
      </c>
      <c r="I1016" t="s">
        <v>1354</v>
      </c>
      <c r="J1016" s="5">
        <v>159.3408</v>
      </c>
    </row>
    <row r="1017" spans="1:10">
      <c r="A1017" t="s">
        <v>2366</v>
      </c>
      <c r="B1017" s="7">
        <v>45725</v>
      </c>
      <c r="C1017" t="s">
        <v>559</v>
      </c>
      <c r="D1017" t="s">
        <v>1197</v>
      </c>
      <c r="E1017" t="s">
        <v>1294</v>
      </c>
      <c r="F1017">
        <f>Table5[[#This Row],[Total_Amount]]/(G1017*(1-Table5[[#This Row],[Discount]]))</f>
        <v>4</v>
      </c>
      <c r="G1017" s="5">
        <v>139.05000000000001</v>
      </c>
      <c r="H1017">
        <v>0.28999999999999998</v>
      </c>
      <c r="I1017" t="s">
        <v>1354</v>
      </c>
      <c r="J1017" s="5">
        <v>394.90199999999999</v>
      </c>
    </row>
    <row r="1018" spans="1:10">
      <c r="A1018" t="s">
        <v>2367</v>
      </c>
      <c r="B1018" s="7">
        <v>45461</v>
      </c>
      <c r="C1018" t="s">
        <v>341</v>
      </c>
      <c r="D1018" t="s">
        <v>1179</v>
      </c>
      <c r="E1018" t="s">
        <v>1294</v>
      </c>
      <c r="F1018">
        <f>Table5[[#This Row],[Total_Amount]]/(G1018*(1-Table5[[#This Row],[Discount]]))</f>
        <v>3</v>
      </c>
      <c r="G1018" s="5">
        <v>155.87</v>
      </c>
      <c r="H1018">
        <v>0.03</v>
      </c>
      <c r="I1018" t="s">
        <v>1354</v>
      </c>
      <c r="J1018" s="5">
        <v>453.58170000000001</v>
      </c>
    </row>
    <row r="1019" spans="1:10">
      <c r="A1019" t="s">
        <v>2368</v>
      </c>
      <c r="B1019" s="7">
        <v>45837</v>
      </c>
      <c r="C1019" t="s">
        <v>947</v>
      </c>
      <c r="D1019" t="s">
        <v>1141</v>
      </c>
      <c r="E1019" t="s">
        <v>1329</v>
      </c>
      <c r="F1019">
        <f>Table5[[#This Row],[Total_Amount]]/(G1019*(1-Table5[[#This Row],[Discount]]))</f>
        <v>4.0000000000000009</v>
      </c>
      <c r="G1019" s="5">
        <v>115.42</v>
      </c>
      <c r="H1019">
        <v>0.03</v>
      </c>
      <c r="I1019" t="s">
        <v>1354</v>
      </c>
      <c r="J1019" s="5">
        <v>447.82960000000003</v>
      </c>
    </row>
    <row r="1020" spans="1:10">
      <c r="A1020" t="s">
        <v>2369</v>
      </c>
      <c r="B1020" s="7">
        <v>45823</v>
      </c>
      <c r="C1020" t="s">
        <v>304</v>
      </c>
      <c r="D1020" t="s">
        <v>1177</v>
      </c>
      <c r="E1020" t="s">
        <v>1301</v>
      </c>
      <c r="F1020">
        <f>Table5[[#This Row],[Total_Amount]]/(G1020*(1-Table5[[#This Row],[Discount]]))</f>
        <v>3</v>
      </c>
      <c r="G1020" s="5">
        <v>593.62</v>
      </c>
      <c r="H1020">
        <v>0.08</v>
      </c>
      <c r="I1020" t="s">
        <v>1349</v>
      </c>
      <c r="J1020" s="5">
        <v>1638.3912</v>
      </c>
    </row>
    <row r="1021" spans="1:10">
      <c r="A1021" t="s">
        <v>2370</v>
      </c>
      <c r="B1021" s="7">
        <v>45733</v>
      </c>
      <c r="C1021" t="s">
        <v>770</v>
      </c>
      <c r="D1021" t="s">
        <v>1163</v>
      </c>
      <c r="E1021" t="s">
        <v>1294</v>
      </c>
      <c r="F1021">
        <f>Table5[[#This Row],[Total_Amount]]/(G1021*(1-Table5[[#This Row],[Discount]]))</f>
        <v>2</v>
      </c>
      <c r="G1021" s="5">
        <v>825.04</v>
      </c>
      <c r="H1021">
        <v>0.2</v>
      </c>
      <c r="I1021" t="s">
        <v>1349</v>
      </c>
      <c r="J1021" s="5">
        <v>1320.0640000000001</v>
      </c>
    </row>
    <row r="1022" spans="1:10">
      <c r="A1022" t="s">
        <v>2371</v>
      </c>
      <c r="B1022" s="7">
        <v>45322</v>
      </c>
      <c r="C1022" t="s">
        <v>990</v>
      </c>
      <c r="D1022" t="s">
        <v>1123</v>
      </c>
      <c r="E1022" t="s">
        <v>1322</v>
      </c>
      <c r="F1022">
        <f>Table5[[#This Row],[Total_Amount]]/(G1022*(1-Table5[[#This Row],[Discount]]))</f>
        <v>1</v>
      </c>
      <c r="G1022" s="5">
        <v>963.76</v>
      </c>
      <c r="H1022">
        <v>0.14000000000000001</v>
      </c>
      <c r="I1022" t="s">
        <v>1351</v>
      </c>
      <c r="J1022" s="5">
        <v>828.83359999999993</v>
      </c>
    </row>
    <row r="1023" spans="1:10">
      <c r="A1023" t="s">
        <v>2372</v>
      </c>
      <c r="B1023" s="7">
        <v>45415</v>
      </c>
      <c r="C1023" t="s">
        <v>648</v>
      </c>
      <c r="D1023" t="s">
        <v>1183</v>
      </c>
      <c r="E1023" t="s">
        <v>1301</v>
      </c>
      <c r="F1023">
        <f>Table5[[#This Row],[Total_Amount]]/(G1023*(1-Table5[[#This Row],[Discount]]))</f>
        <v>0.99999999999999989</v>
      </c>
      <c r="G1023" s="5">
        <v>238.24</v>
      </c>
      <c r="H1023">
        <v>0.12</v>
      </c>
      <c r="I1023" t="s">
        <v>1351</v>
      </c>
      <c r="J1023" s="5">
        <v>209.65119999999999</v>
      </c>
    </row>
    <row r="1024" spans="1:10">
      <c r="A1024" t="s">
        <v>2373</v>
      </c>
      <c r="B1024" s="7">
        <v>45644</v>
      </c>
      <c r="C1024" t="s">
        <v>977</v>
      </c>
      <c r="D1024" t="s">
        <v>1237</v>
      </c>
      <c r="E1024" t="s">
        <v>1329</v>
      </c>
      <c r="F1024">
        <f>Table5[[#This Row],[Total_Amount]]/(G1024*(1-Table5[[#This Row],[Discount]]))</f>
        <v>1</v>
      </c>
      <c r="G1024" s="5">
        <v>756.63</v>
      </c>
      <c r="H1024">
        <v>0.04</v>
      </c>
      <c r="I1024" t="s">
        <v>1351</v>
      </c>
      <c r="J1024" s="5">
        <v>726.36479999999995</v>
      </c>
    </row>
    <row r="1025" spans="1:10">
      <c r="A1025" t="s">
        <v>2374</v>
      </c>
      <c r="B1025" s="7">
        <v>45845</v>
      </c>
      <c r="C1025" t="s">
        <v>66</v>
      </c>
      <c r="D1025" t="s">
        <v>1259</v>
      </c>
      <c r="E1025" t="s">
        <v>1304</v>
      </c>
      <c r="F1025">
        <f>Table5[[#This Row],[Total_Amount]]/(G1025*(1-Table5[[#This Row],[Discount]]))</f>
        <v>3</v>
      </c>
      <c r="G1025" s="5">
        <v>159.76</v>
      </c>
      <c r="H1025">
        <v>0.22</v>
      </c>
      <c r="I1025" t="s">
        <v>1349</v>
      </c>
      <c r="J1025" s="5">
        <v>373.83839999999998</v>
      </c>
    </row>
    <row r="1026" spans="1:10">
      <c r="A1026" t="s">
        <v>2375</v>
      </c>
      <c r="B1026" s="7">
        <v>45354</v>
      </c>
      <c r="C1026" t="s">
        <v>799</v>
      </c>
      <c r="D1026" t="s">
        <v>1263</v>
      </c>
      <c r="E1026" t="s">
        <v>1307</v>
      </c>
      <c r="F1026">
        <f>Table5[[#This Row],[Total_Amount]]/(G1026*(1-Table5[[#This Row],[Discount]]))</f>
        <v>1</v>
      </c>
      <c r="G1026" s="5">
        <v>329.94</v>
      </c>
      <c r="H1026">
        <v>0.14000000000000001</v>
      </c>
      <c r="I1026" t="s">
        <v>1354</v>
      </c>
      <c r="J1026" s="5">
        <v>283.7484</v>
      </c>
    </row>
    <row r="1027" spans="1:10">
      <c r="A1027" t="s">
        <v>2376</v>
      </c>
      <c r="B1027" s="7">
        <v>45720</v>
      </c>
      <c r="C1027" t="s">
        <v>166</v>
      </c>
      <c r="D1027" t="s">
        <v>1107</v>
      </c>
      <c r="E1027" t="s">
        <v>1307</v>
      </c>
      <c r="F1027">
        <f>Table5[[#This Row],[Total_Amount]]/(G1027*(1-Table5[[#This Row],[Discount]]))</f>
        <v>1</v>
      </c>
      <c r="G1027" s="5">
        <v>234.06</v>
      </c>
      <c r="H1027">
        <v>0.11</v>
      </c>
      <c r="I1027" t="s">
        <v>1351</v>
      </c>
      <c r="J1027" s="5">
        <v>208.3134</v>
      </c>
    </row>
    <row r="1028" spans="1:10">
      <c r="A1028" t="s">
        <v>2377</v>
      </c>
      <c r="B1028" s="7">
        <v>45278</v>
      </c>
      <c r="C1028" t="s">
        <v>698</v>
      </c>
      <c r="D1028" t="s">
        <v>1235</v>
      </c>
      <c r="E1028" t="s">
        <v>1277</v>
      </c>
      <c r="F1028">
        <f>Table5[[#This Row],[Total_Amount]]/(G1028*(1-Table5[[#This Row],[Discount]]))</f>
        <v>2.0000000000000004</v>
      </c>
      <c r="G1028" s="5">
        <v>773.75</v>
      </c>
      <c r="H1028">
        <v>0.16</v>
      </c>
      <c r="I1028" t="s">
        <v>1351</v>
      </c>
      <c r="J1028" s="5">
        <v>1299.9000000000001</v>
      </c>
    </row>
    <row r="1029" spans="1:10">
      <c r="A1029" t="s">
        <v>2378</v>
      </c>
      <c r="B1029" s="7">
        <v>45422</v>
      </c>
      <c r="C1029" t="s">
        <v>935</v>
      </c>
      <c r="D1029" t="s">
        <v>1177</v>
      </c>
      <c r="E1029" t="s">
        <v>1335</v>
      </c>
      <c r="F1029">
        <f>Table5[[#This Row],[Total_Amount]]/(G1029*(1-Table5[[#This Row],[Discount]]))</f>
        <v>1</v>
      </c>
      <c r="G1029" s="5">
        <v>73.88</v>
      </c>
      <c r="H1029">
        <v>0.04</v>
      </c>
      <c r="I1029" t="s">
        <v>1349</v>
      </c>
      <c r="J1029" s="5">
        <v>70.924799999999991</v>
      </c>
    </row>
    <row r="1030" spans="1:10">
      <c r="A1030" t="s">
        <v>2379</v>
      </c>
      <c r="B1030" s="7">
        <v>45337</v>
      </c>
      <c r="C1030" t="s">
        <v>27</v>
      </c>
      <c r="D1030" t="s">
        <v>1245</v>
      </c>
      <c r="E1030" t="s">
        <v>1335</v>
      </c>
      <c r="F1030">
        <f>Table5[[#This Row],[Total_Amount]]/(G1030*(1-Table5[[#This Row],[Discount]]))</f>
        <v>1</v>
      </c>
      <c r="G1030" s="5">
        <v>859.3</v>
      </c>
      <c r="H1030">
        <v>0.16</v>
      </c>
      <c r="I1030" t="s">
        <v>1351</v>
      </c>
      <c r="J1030" s="5">
        <v>721.8119999999999</v>
      </c>
    </row>
    <row r="1031" spans="1:10">
      <c r="A1031" t="s">
        <v>2380</v>
      </c>
      <c r="B1031" s="7">
        <v>45564</v>
      </c>
      <c r="C1031" t="s">
        <v>319</v>
      </c>
      <c r="D1031" t="s">
        <v>1235</v>
      </c>
      <c r="E1031" t="s">
        <v>1301</v>
      </c>
      <c r="F1031">
        <f>Table5[[#This Row],[Total_Amount]]/(G1031*(1-Table5[[#This Row],[Discount]]))</f>
        <v>3.9999999999999996</v>
      </c>
      <c r="G1031" s="5">
        <v>762.43</v>
      </c>
      <c r="H1031">
        <v>0.05</v>
      </c>
      <c r="I1031" t="s">
        <v>1349</v>
      </c>
      <c r="J1031" s="5">
        <v>2897.233999999999</v>
      </c>
    </row>
    <row r="1032" spans="1:10">
      <c r="A1032" t="s">
        <v>2381</v>
      </c>
      <c r="B1032" s="7">
        <v>45424</v>
      </c>
      <c r="C1032" t="s">
        <v>308</v>
      </c>
      <c r="D1032" t="s">
        <v>1219</v>
      </c>
      <c r="E1032" t="s">
        <v>1277</v>
      </c>
      <c r="F1032">
        <f>Table5[[#This Row],[Total_Amount]]/(G1032*(1-Table5[[#This Row],[Discount]]))</f>
        <v>1</v>
      </c>
      <c r="G1032" s="5">
        <v>328.51</v>
      </c>
      <c r="H1032">
        <v>0.2</v>
      </c>
      <c r="I1032" t="s">
        <v>1354</v>
      </c>
      <c r="J1032" s="5">
        <v>262.80799999999999</v>
      </c>
    </row>
    <row r="1033" spans="1:10">
      <c r="A1033" t="s">
        <v>2382</v>
      </c>
      <c r="B1033" s="7">
        <v>45719</v>
      </c>
      <c r="C1033" t="s">
        <v>612</v>
      </c>
      <c r="D1033" t="s">
        <v>1161</v>
      </c>
      <c r="E1033" t="s">
        <v>1294</v>
      </c>
      <c r="F1033">
        <f>Table5[[#This Row],[Total_Amount]]/(G1033*(1-Table5[[#This Row],[Discount]]))</f>
        <v>1.0000000000000002</v>
      </c>
      <c r="G1033" s="5">
        <v>34.51</v>
      </c>
      <c r="H1033">
        <v>0.04</v>
      </c>
      <c r="I1033" t="s">
        <v>1354</v>
      </c>
      <c r="J1033" s="5">
        <v>33.129600000000003</v>
      </c>
    </row>
    <row r="1034" spans="1:10">
      <c r="A1034" t="s">
        <v>2383</v>
      </c>
      <c r="B1034" s="7">
        <v>45250</v>
      </c>
      <c r="C1034" t="s">
        <v>269</v>
      </c>
      <c r="D1034" t="s">
        <v>1111</v>
      </c>
      <c r="E1034" t="s">
        <v>1317</v>
      </c>
      <c r="F1034">
        <f>Table5[[#This Row],[Total_Amount]]/(G1034*(1-Table5[[#This Row],[Discount]]))</f>
        <v>3</v>
      </c>
      <c r="G1034" s="5">
        <v>663.73</v>
      </c>
      <c r="H1034">
        <v>0.06</v>
      </c>
      <c r="I1034" t="s">
        <v>1354</v>
      </c>
      <c r="J1034" s="5">
        <v>1871.7185999999999</v>
      </c>
    </row>
    <row r="1035" spans="1:10">
      <c r="A1035" t="s">
        <v>2384</v>
      </c>
      <c r="B1035" s="7">
        <v>45479</v>
      </c>
      <c r="C1035" t="s">
        <v>555</v>
      </c>
      <c r="D1035" t="s">
        <v>1139</v>
      </c>
      <c r="E1035" t="s">
        <v>1311</v>
      </c>
      <c r="F1035">
        <f>Table5[[#This Row],[Total_Amount]]/(G1035*(1-Table5[[#This Row],[Discount]]))</f>
        <v>0.99999999999999989</v>
      </c>
      <c r="G1035" s="5">
        <v>409.41</v>
      </c>
      <c r="H1035">
        <v>0.13</v>
      </c>
      <c r="I1035" t="s">
        <v>1351</v>
      </c>
      <c r="J1035" s="5">
        <v>356.18669999999997</v>
      </c>
    </row>
    <row r="1036" spans="1:10">
      <c r="A1036" t="s">
        <v>2385</v>
      </c>
      <c r="B1036" s="7">
        <v>45727</v>
      </c>
      <c r="C1036" t="s">
        <v>242</v>
      </c>
      <c r="D1036" t="s">
        <v>1229</v>
      </c>
      <c r="E1036" t="s">
        <v>1291</v>
      </c>
      <c r="F1036">
        <f>Table5[[#This Row],[Total_Amount]]/(G1036*(1-Table5[[#This Row],[Discount]]))</f>
        <v>3.0000000000000004</v>
      </c>
      <c r="G1036" s="5">
        <v>461.03</v>
      </c>
      <c r="H1036">
        <v>0.11</v>
      </c>
      <c r="I1036" t="s">
        <v>1351</v>
      </c>
      <c r="J1036" s="5">
        <v>1230.9501</v>
      </c>
    </row>
    <row r="1037" spans="1:10">
      <c r="A1037" t="s">
        <v>2386</v>
      </c>
      <c r="B1037" s="7">
        <v>45394</v>
      </c>
      <c r="C1037" t="s">
        <v>799</v>
      </c>
      <c r="D1037" t="s">
        <v>1111</v>
      </c>
      <c r="E1037" t="s">
        <v>1324</v>
      </c>
      <c r="F1037">
        <f>Table5[[#This Row],[Total_Amount]]/(G1037*(1-Table5[[#This Row],[Discount]]))</f>
        <v>2</v>
      </c>
      <c r="G1037" s="5">
        <v>760.14</v>
      </c>
      <c r="H1037">
        <v>0.02</v>
      </c>
      <c r="I1037" t="s">
        <v>1354</v>
      </c>
      <c r="J1037" s="5">
        <v>1489.8743999999999</v>
      </c>
    </row>
    <row r="1038" spans="1:10">
      <c r="A1038" t="s">
        <v>2387</v>
      </c>
      <c r="B1038" s="7">
        <v>45773</v>
      </c>
      <c r="C1038" t="s">
        <v>620</v>
      </c>
      <c r="D1038" t="s">
        <v>1119</v>
      </c>
      <c r="E1038" t="s">
        <v>1282</v>
      </c>
      <c r="F1038">
        <f>Table5[[#This Row],[Total_Amount]]/(G1038*(1-Table5[[#This Row],[Discount]]))</f>
        <v>3</v>
      </c>
      <c r="G1038" s="5">
        <v>688.76</v>
      </c>
      <c r="H1038">
        <v>0.12</v>
      </c>
      <c r="I1038" t="s">
        <v>1351</v>
      </c>
      <c r="J1038" s="5">
        <v>1818.3263999999999</v>
      </c>
    </row>
    <row r="1039" spans="1:10">
      <c r="A1039" t="s">
        <v>2388</v>
      </c>
      <c r="B1039" s="7">
        <v>45779</v>
      </c>
      <c r="C1039" t="s">
        <v>379</v>
      </c>
      <c r="D1039" t="s">
        <v>1159</v>
      </c>
      <c r="E1039" t="s">
        <v>1311</v>
      </c>
      <c r="F1039">
        <f>Table5[[#This Row],[Total_Amount]]/(G1039*(1-Table5[[#This Row],[Discount]]))</f>
        <v>2</v>
      </c>
      <c r="G1039" s="5">
        <v>257.77999999999997</v>
      </c>
      <c r="H1039">
        <v>0.05</v>
      </c>
      <c r="I1039" t="s">
        <v>1349</v>
      </c>
      <c r="J1039" s="5">
        <v>489.78199999999993</v>
      </c>
    </row>
    <row r="1040" spans="1:10">
      <c r="A1040" t="s">
        <v>2389</v>
      </c>
      <c r="B1040" s="7">
        <v>45400</v>
      </c>
      <c r="C1040" t="s">
        <v>147</v>
      </c>
      <c r="D1040" t="s">
        <v>1179</v>
      </c>
      <c r="E1040" t="s">
        <v>1304</v>
      </c>
      <c r="F1040">
        <f>Table5[[#This Row],[Total_Amount]]/(G1040*(1-Table5[[#This Row],[Discount]]))</f>
        <v>2</v>
      </c>
      <c r="G1040" s="5">
        <v>314.29000000000002</v>
      </c>
      <c r="H1040">
        <v>0.19</v>
      </c>
      <c r="I1040" t="s">
        <v>1354</v>
      </c>
      <c r="J1040" s="5">
        <v>509.14980000000008</v>
      </c>
    </row>
    <row r="1041" spans="1:10">
      <c r="A1041" t="s">
        <v>2390</v>
      </c>
      <c r="B1041" s="7">
        <v>45520</v>
      </c>
      <c r="C1041" t="s">
        <v>371</v>
      </c>
      <c r="D1041" t="s">
        <v>1217</v>
      </c>
      <c r="E1041" t="s">
        <v>1324</v>
      </c>
      <c r="F1041">
        <f>Table5[[#This Row],[Total_Amount]]/(G1041*(1-Table5[[#This Row],[Discount]]))</f>
        <v>3</v>
      </c>
      <c r="G1041" s="5">
        <v>336.09</v>
      </c>
      <c r="H1041">
        <v>0.01</v>
      </c>
      <c r="I1041" t="s">
        <v>1351</v>
      </c>
      <c r="J1041" s="5">
        <v>998.18729999999994</v>
      </c>
    </row>
    <row r="1042" spans="1:10">
      <c r="A1042" t="s">
        <v>2391</v>
      </c>
      <c r="B1042" s="7">
        <v>45861</v>
      </c>
      <c r="C1042" t="s">
        <v>18</v>
      </c>
      <c r="D1042" t="s">
        <v>1223</v>
      </c>
      <c r="E1042" t="s">
        <v>1332</v>
      </c>
      <c r="F1042">
        <f>Table5[[#This Row],[Total_Amount]]/(G1042*(1-Table5[[#This Row],[Discount]]))</f>
        <v>3.0000000000000009</v>
      </c>
      <c r="G1042" s="5">
        <v>202.07</v>
      </c>
      <c r="H1042">
        <v>0.23</v>
      </c>
      <c r="I1042" t="s">
        <v>1351</v>
      </c>
      <c r="J1042" s="5">
        <v>466.78170000000011</v>
      </c>
    </row>
    <row r="1043" spans="1:10">
      <c r="A1043" t="s">
        <v>2392</v>
      </c>
      <c r="B1043" s="7">
        <v>45781</v>
      </c>
      <c r="C1043" t="s">
        <v>684</v>
      </c>
      <c r="D1043" t="s">
        <v>1107</v>
      </c>
      <c r="E1043" t="s">
        <v>1307</v>
      </c>
      <c r="F1043">
        <f>Table5[[#This Row],[Total_Amount]]/(G1043*(1-Table5[[#This Row],[Discount]]))</f>
        <v>2</v>
      </c>
      <c r="G1043" s="5">
        <v>485.25</v>
      </c>
      <c r="H1043">
        <v>0.28000000000000003</v>
      </c>
      <c r="I1043" t="s">
        <v>1349</v>
      </c>
      <c r="J1043" s="5">
        <v>698.76</v>
      </c>
    </row>
    <row r="1044" spans="1:10">
      <c r="A1044" t="s">
        <v>2393</v>
      </c>
      <c r="B1044" s="7">
        <v>45906</v>
      </c>
      <c r="C1044" t="s">
        <v>403</v>
      </c>
      <c r="D1044" t="s">
        <v>1223</v>
      </c>
      <c r="E1044" t="s">
        <v>1314</v>
      </c>
      <c r="F1044">
        <f>Table5[[#This Row],[Total_Amount]]/(G1044*(1-Table5[[#This Row],[Discount]]))</f>
        <v>4</v>
      </c>
      <c r="G1044" s="5">
        <v>552.38</v>
      </c>
      <c r="H1044">
        <v>0.1</v>
      </c>
      <c r="I1044" t="s">
        <v>1351</v>
      </c>
      <c r="J1044" s="5">
        <v>1988.568</v>
      </c>
    </row>
    <row r="1045" spans="1:10">
      <c r="A1045" t="s">
        <v>2394</v>
      </c>
      <c r="B1045" s="7">
        <v>45251</v>
      </c>
      <c r="C1045" t="s">
        <v>273</v>
      </c>
      <c r="D1045" t="s">
        <v>1189</v>
      </c>
      <c r="E1045" t="s">
        <v>1332</v>
      </c>
      <c r="F1045">
        <f>Table5[[#This Row],[Total_Amount]]/(G1045*(1-Table5[[#This Row],[Discount]]))</f>
        <v>4</v>
      </c>
      <c r="G1045" s="5">
        <v>377.26</v>
      </c>
      <c r="H1045">
        <v>0.22</v>
      </c>
      <c r="I1045" t="s">
        <v>1354</v>
      </c>
      <c r="J1045" s="5">
        <v>1177.0512000000001</v>
      </c>
    </row>
    <row r="1046" spans="1:10">
      <c r="A1046" t="s">
        <v>2395</v>
      </c>
      <c r="B1046" s="7">
        <v>45257</v>
      </c>
      <c r="C1046" t="s">
        <v>150</v>
      </c>
      <c r="D1046" t="s">
        <v>1167</v>
      </c>
      <c r="E1046" t="s">
        <v>1338</v>
      </c>
      <c r="F1046">
        <f>Table5[[#This Row],[Total_Amount]]/(G1046*(1-Table5[[#This Row],[Discount]]))</f>
        <v>4</v>
      </c>
      <c r="G1046" s="5">
        <v>189.07</v>
      </c>
      <c r="H1046">
        <v>0.1</v>
      </c>
      <c r="I1046" t="s">
        <v>1354</v>
      </c>
      <c r="J1046" s="5">
        <v>680.65200000000004</v>
      </c>
    </row>
    <row r="1047" spans="1:10">
      <c r="A1047" t="s">
        <v>2396</v>
      </c>
      <c r="B1047" s="7">
        <v>45818</v>
      </c>
      <c r="C1047" t="s">
        <v>1059</v>
      </c>
      <c r="D1047" t="s">
        <v>1133</v>
      </c>
      <c r="E1047" t="s">
        <v>1294</v>
      </c>
      <c r="F1047">
        <f>Table5[[#This Row],[Total_Amount]]/(G1047*(1-Table5[[#This Row],[Discount]]))</f>
        <v>3</v>
      </c>
      <c r="G1047" s="5">
        <v>272.27</v>
      </c>
      <c r="H1047">
        <v>0.01</v>
      </c>
      <c r="I1047" t="s">
        <v>1349</v>
      </c>
      <c r="J1047" s="5">
        <v>808.64189999999996</v>
      </c>
    </row>
    <row r="1048" spans="1:10">
      <c r="A1048" t="s">
        <v>2397</v>
      </c>
      <c r="B1048" s="7">
        <v>45806</v>
      </c>
      <c r="C1048" t="s">
        <v>591</v>
      </c>
      <c r="D1048" t="s">
        <v>1257</v>
      </c>
      <c r="E1048" t="s">
        <v>1317</v>
      </c>
      <c r="F1048">
        <f>Table5[[#This Row],[Total_Amount]]/(G1048*(1-Table5[[#This Row],[Discount]]))</f>
        <v>1</v>
      </c>
      <c r="G1048" s="5">
        <v>209.39</v>
      </c>
      <c r="H1048">
        <v>0.28000000000000003</v>
      </c>
      <c r="I1048" t="s">
        <v>1351</v>
      </c>
      <c r="J1048" s="5">
        <v>150.76079999999999</v>
      </c>
    </row>
    <row r="1049" spans="1:10">
      <c r="A1049" t="s">
        <v>2398</v>
      </c>
      <c r="B1049" s="7">
        <v>45288</v>
      </c>
      <c r="C1049" t="s">
        <v>150</v>
      </c>
      <c r="D1049" t="s">
        <v>1233</v>
      </c>
      <c r="E1049" t="s">
        <v>1311</v>
      </c>
      <c r="F1049">
        <f>Table5[[#This Row],[Total_Amount]]/(G1049*(1-Table5[[#This Row],[Discount]]))</f>
        <v>1</v>
      </c>
      <c r="G1049" s="5">
        <v>813.87</v>
      </c>
      <c r="H1049">
        <v>0.23</v>
      </c>
      <c r="I1049" t="s">
        <v>1349</v>
      </c>
      <c r="J1049" s="5">
        <v>626.67989999999998</v>
      </c>
    </row>
    <row r="1050" spans="1:10">
      <c r="A1050" t="s">
        <v>2399</v>
      </c>
      <c r="B1050" s="7">
        <v>45783</v>
      </c>
      <c r="C1050" t="s">
        <v>577</v>
      </c>
      <c r="D1050" t="s">
        <v>1129</v>
      </c>
      <c r="E1050" t="s">
        <v>1277</v>
      </c>
      <c r="F1050">
        <f>Table5[[#This Row],[Total_Amount]]/(G1050*(1-Table5[[#This Row],[Discount]]))</f>
        <v>1.0000000000000002</v>
      </c>
      <c r="G1050" s="5">
        <v>143.69999999999999</v>
      </c>
      <c r="H1050">
        <v>0.19</v>
      </c>
      <c r="I1050" t="s">
        <v>1351</v>
      </c>
      <c r="J1050" s="5">
        <v>116.39700000000001</v>
      </c>
    </row>
    <row r="1051" spans="1:10">
      <c r="A1051" t="s">
        <v>2400</v>
      </c>
      <c r="B1051" s="7">
        <v>45385</v>
      </c>
      <c r="C1051" t="s">
        <v>1002</v>
      </c>
      <c r="D1051" t="s">
        <v>1165</v>
      </c>
      <c r="E1051" t="s">
        <v>1282</v>
      </c>
      <c r="F1051">
        <f>Table5[[#This Row],[Total_Amount]]/(G1051*(1-Table5[[#This Row],[Discount]]))</f>
        <v>4</v>
      </c>
      <c r="G1051" s="5">
        <v>837.34</v>
      </c>
      <c r="H1051">
        <v>0.05</v>
      </c>
      <c r="I1051" t="s">
        <v>1351</v>
      </c>
      <c r="J1051" s="5">
        <v>3181.8919999999998</v>
      </c>
    </row>
    <row r="1052" spans="1:10">
      <c r="A1052" t="s">
        <v>2401</v>
      </c>
      <c r="B1052" s="7">
        <v>45878</v>
      </c>
      <c r="C1052" t="s">
        <v>300</v>
      </c>
      <c r="D1052" t="s">
        <v>1103</v>
      </c>
      <c r="E1052" t="s">
        <v>1338</v>
      </c>
      <c r="F1052">
        <f>Table5[[#This Row],[Total_Amount]]/(G1052*(1-Table5[[#This Row],[Discount]]))</f>
        <v>1.0000000000000002</v>
      </c>
      <c r="G1052" s="5">
        <v>151.66</v>
      </c>
      <c r="H1052">
        <v>0.16</v>
      </c>
      <c r="I1052" t="s">
        <v>1354</v>
      </c>
      <c r="J1052" s="5">
        <v>127.3944</v>
      </c>
    </row>
    <row r="1053" spans="1:10">
      <c r="A1053" t="s">
        <v>2402</v>
      </c>
      <c r="B1053" s="7">
        <v>45720</v>
      </c>
      <c r="C1053" t="s">
        <v>1059</v>
      </c>
      <c r="D1053" t="s">
        <v>1161</v>
      </c>
      <c r="E1053" t="s">
        <v>1307</v>
      </c>
      <c r="F1053">
        <f>Table5[[#This Row],[Total_Amount]]/(G1053*(1-Table5[[#This Row],[Discount]]))</f>
        <v>3.0000000000000004</v>
      </c>
      <c r="G1053" s="5">
        <v>961.4</v>
      </c>
      <c r="H1053">
        <v>0.02</v>
      </c>
      <c r="I1053" t="s">
        <v>1351</v>
      </c>
      <c r="J1053" s="5">
        <v>2826.5160000000001</v>
      </c>
    </row>
    <row r="1054" spans="1:10">
      <c r="A1054" t="s">
        <v>2403</v>
      </c>
      <c r="B1054" s="7">
        <v>45503</v>
      </c>
      <c r="C1054" t="s">
        <v>803</v>
      </c>
      <c r="D1054" t="s">
        <v>1221</v>
      </c>
      <c r="E1054" t="s">
        <v>1335</v>
      </c>
      <c r="F1054">
        <f>Table5[[#This Row],[Total_Amount]]/(G1054*(1-Table5[[#This Row],[Discount]]))</f>
        <v>3.9999999999999996</v>
      </c>
      <c r="G1054" s="5">
        <v>475.98</v>
      </c>
      <c r="H1054">
        <v>0.19</v>
      </c>
      <c r="I1054" t="s">
        <v>1351</v>
      </c>
      <c r="J1054" s="5">
        <v>1542.1751999999999</v>
      </c>
    </row>
    <row r="1055" spans="1:10">
      <c r="A1055" t="s">
        <v>2404</v>
      </c>
      <c r="B1055" s="7">
        <v>45551</v>
      </c>
      <c r="C1055" t="s">
        <v>823</v>
      </c>
      <c r="D1055" t="s">
        <v>1149</v>
      </c>
      <c r="E1055" t="s">
        <v>1326</v>
      </c>
      <c r="F1055">
        <f>Table5[[#This Row],[Total_Amount]]/(G1055*(1-Table5[[#This Row],[Discount]]))</f>
        <v>4.0000000000000009</v>
      </c>
      <c r="G1055" s="5">
        <v>132.88999999999999</v>
      </c>
      <c r="H1055">
        <v>0.12</v>
      </c>
      <c r="I1055" t="s">
        <v>1349</v>
      </c>
      <c r="J1055" s="5">
        <v>467.77280000000002</v>
      </c>
    </row>
    <row r="1056" spans="1:10">
      <c r="A1056" t="s">
        <v>2405</v>
      </c>
      <c r="B1056" s="7">
        <v>45850</v>
      </c>
      <c r="C1056" t="s">
        <v>937</v>
      </c>
      <c r="D1056" t="s">
        <v>1143</v>
      </c>
      <c r="E1056" t="s">
        <v>1319</v>
      </c>
      <c r="F1056">
        <f>Table5[[#This Row],[Total_Amount]]/(G1056*(1-Table5[[#This Row],[Discount]]))</f>
        <v>3</v>
      </c>
      <c r="G1056" s="5">
        <v>471.31</v>
      </c>
      <c r="H1056">
        <v>0</v>
      </c>
      <c r="I1056" t="s">
        <v>1351</v>
      </c>
      <c r="J1056" s="5">
        <v>1413.93</v>
      </c>
    </row>
    <row r="1057" spans="1:10">
      <c r="A1057" t="s">
        <v>2406</v>
      </c>
      <c r="B1057" s="7">
        <v>45441</v>
      </c>
      <c r="C1057" t="s">
        <v>990</v>
      </c>
      <c r="D1057" t="s">
        <v>1225</v>
      </c>
      <c r="E1057" t="s">
        <v>1324</v>
      </c>
      <c r="F1057">
        <f>Table5[[#This Row],[Total_Amount]]/(G1057*(1-Table5[[#This Row],[Discount]]))</f>
        <v>1.9999999999999996</v>
      </c>
      <c r="G1057" s="5">
        <v>720.32</v>
      </c>
      <c r="H1057">
        <v>0.26</v>
      </c>
      <c r="I1057" t="s">
        <v>1349</v>
      </c>
      <c r="J1057" s="5">
        <v>1066.0735999999999</v>
      </c>
    </row>
    <row r="1058" spans="1:10">
      <c r="A1058" t="s">
        <v>2407</v>
      </c>
      <c r="B1058" s="7">
        <v>45431</v>
      </c>
      <c r="C1058" t="s">
        <v>202</v>
      </c>
      <c r="D1058" t="s">
        <v>1205</v>
      </c>
      <c r="E1058" t="s">
        <v>1335</v>
      </c>
      <c r="F1058">
        <f>Table5[[#This Row],[Total_Amount]]/(G1058*(1-Table5[[#This Row],[Discount]]))</f>
        <v>3.9999999999999996</v>
      </c>
      <c r="G1058" s="5">
        <v>99.92</v>
      </c>
      <c r="H1058">
        <v>0.11</v>
      </c>
      <c r="I1058" t="s">
        <v>1354</v>
      </c>
      <c r="J1058" s="5">
        <v>355.71519999999998</v>
      </c>
    </row>
    <row r="1059" spans="1:10">
      <c r="A1059" t="s">
        <v>2408</v>
      </c>
      <c r="B1059" s="7">
        <v>45873</v>
      </c>
      <c r="C1059" t="s">
        <v>182</v>
      </c>
      <c r="D1059" t="s">
        <v>1093</v>
      </c>
      <c r="E1059" t="s">
        <v>1291</v>
      </c>
      <c r="F1059">
        <f>Table5[[#This Row],[Total_Amount]]/(G1059*(1-Table5[[#This Row],[Discount]]))</f>
        <v>3</v>
      </c>
      <c r="G1059" s="5">
        <v>900.63</v>
      </c>
      <c r="H1059">
        <v>0.11</v>
      </c>
      <c r="I1059" t="s">
        <v>1354</v>
      </c>
      <c r="J1059" s="5">
        <v>2404.6821</v>
      </c>
    </row>
    <row r="1060" spans="1:10">
      <c r="A1060" t="s">
        <v>2409</v>
      </c>
      <c r="B1060" s="7">
        <v>45629</v>
      </c>
      <c r="C1060" t="s">
        <v>947</v>
      </c>
      <c r="D1060" t="s">
        <v>1165</v>
      </c>
      <c r="E1060" t="s">
        <v>1307</v>
      </c>
      <c r="F1060">
        <f>Table5[[#This Row],[Total_Amount]]/(G1060*(1-Table5[[#This Row],[Discount]]))</f>
        <v>1</v>
      </c>
      <c r="G1060" s="5">
        <v>681.72</v>
      </c>
      <c r="H1060">
        <v>0.11</v>
      </c>
      <c r="I1060" t="s">
        <v>1351</v>
      </c>
      <c r="J1060" s="5">
        <v>606.73080000000004</v>
      </c>
    </row>
    <row r="1061" spans="1:10">
      <c r="A1061" t="s">
        <v>2410</v>
      </c>
      <c r="B1061" s="7">
        <v>45222</v>
      </c>
      <c r="C1061" t="s">
        <v>39</v>
      </c>
      <c r="D1061" t="s">
        <v>1229</v>
      </c>
      <c r="E1061" t="s">
        <v>1322</v>
      </c>
      <c r="F1061">
        <f>Table5[[#This Row],[Total_Amount]]/(G1061*(1-Table5[[#This Row],[Discount]]))</f>
        <v>2</v>
      </c>
      <c r="G1061" s="5">
        <v>838.22</v>
      </c>
      <c r="H1061">
        <v>0.3</v>
      </c>
      <c r="I1061" t="s">
        <v>1349</v>
      </c>
      <c r="J1061" s="5">
        <v>1173.508</v>
      </c>
    </row>
    <row r="1062" spans="1:10">
      <c r="A1062" t="s">
        <v>2411</v>
      </c>
      <c r="B1062" s="7">
        <v>45797</v>
      </c>
      <c r="C1062" t="s">
        <v>450</v>
      </c>
      <c r="D1062" t="s">
        <v>1247</v>
      </c>
      <c r="E1062" t="s">
        <v>1319</v>
      </c>
      <c r="F1062">
        <f>Table5[[#This Row],[Total_Amount]]/(G1062*(1-Table5[[#This Row],[Discount]]))</f>
        <v>2</v>
      </c>
      <c r="G1062" s="5">
        <v>816.22</v>
      </c>
      <c r="H1062">
        <v>0.27</v>
      </c>
      <c r="I1062" t="s">
        <v>1349</v>
      </c>
      <c r="J1062" s="5">
        <v>1191.6812</v>
      </c>
    </row>
    <row r="1063" spans="1:10">
      <c r="A1063" t="s">
        <v>2412</v>
      </c>
      <c r="B1063" s="7">
        <v>45554</v>
      </c>
      <c r="C1063" t="s">
        <v>823</v>
      </c>
      <c r="D1063" t="s">
        <v>1195</v>
      </c>
      <c r="E1063" t="s">
        <v>1304</v>
      </c>
      <c r="F1063">
        <f>Table5[[#This Row],[Total_Amount]]/(G1063*(1-Table5[[#This Row],[Discount]]))</f>
        <v>2</v>
      </c>
      <c r="G1063" s="5">
        <v>654.12</v>
      </c>
      <c r="H1063">
        <v>0.27</v>
      </c>
      <c r="I1063" t="s">
        <v>1351</v>
      </c>
      <c r="J1063" s="5">
        <v>955.01519999999994</v>
      </c>
    </row>
    <row r="1064" spans="1:10">
      <c r="A1064" t="s">
        <v>2413</v>
      </c>
      <c r="B1064" s="7">
        <v>45385</v>
      </c>
      <c r="C1064" t="s">
        <v>269</v>
      </c>
      <c r="D1064" t="s">
        <v>1219</v>
      </c>
      <c r="E1064" t="s">
        <v>1322</v>
      </c>
      <c r="F1064">
        <f>Table5[[#This Row],[Total_Amount]]/(G1064*(1-Table5[[#This Row],[Discount]]))</f>
        <v>4</v>
      </c>
      <c r="G1064" s="5">
        <v>528.22</v>
      </c>
      <c r="H1064">
        <v>0.2</v>
      </c>
      <c r="I1064" t="s">
        <v>1351</v>
      </c>
      <c r="J1064" s="5">
        <v>1690.3040000000001</v>
      </c>
    </row>
    <row r="1065" spans="1:10">
      <c r="A1065" t="s">
        <v>2414</v>
      </c>
      <c r="B1065" s="7">
        <v>45704</v>
      </c>
      <c r="C1065" t="s">
        <v>505</v>
      </c>
      <c r="D1065" t="s">
        <v>1141</v>
      </c>
      <c r="E1065" t="s">
        <v>1304</v>
      </c>
      <c r="F1065">
        <f>Table5[[#This Row],[Total_Amount]]/(G1065*(1-Table5[[#This Row],[Discount]]))</f>
        <v>4</v>
      </c>
      <c r="G1065" s="5">
        <v>36.72</v>
      </c>
      <c r="H1065">
        <v>7.0000000000000007E-2</v>
      </c>
      <c r="I1065" t="s">
        <v>1354</v>
      </c>
      <c r="J1065" s="5">
        <v>136.5984</v>
      </c>
    </row>
    <row r="1066" spans="1:10">
      <c r="A1066" t="s">
        <v>2415</v>
      </c>
      <c r="B1066" s="7">
        <v>45545</v>
      </c>
      <c r="C1066" t="s">
        <v>803</v>
      </c>
      <c r="D1066" t="s">
        <v>1229</v>
      </c>
      <c r="E1066" t="s">
        <v>1338</v>
      </c>
      <c r="F1066">
        <f>Table5[[#This Row],[Total_Amount]]/(G1066*(1-Table5[[#This Row],[Discount]]))</f>
        <v>2</v>
      </c>
      <c r="G1066" s="5">
        <v>705.97</v>
      </c>
      <c r="H1066">
        <v>0.1</v>
      </c>
      <c r="I1066" t="s">
        <v>1351</v>
      </c>
      <c r="J1066" s="5">
        <v>1270.7460000000001</v>
      </c>
    </row>
    <row r="1067" spans="1:10">
      <c r="A1067" t="s">
        <v>2416</v>
      </c>
      <c r="B1067" s="7">
        <v>45736</v>
      </c>
      <c r="C1067" t="s">
        <v>77</v>
      </c>
      <c r="D1067" t="s">
        <v>1153</v>
      </c>
      <c r="E1067" t="s">
        <v>1282</v>
      </c>
      <c r="F1067">
        <f>Table5[[#This Row],[Total_Amount]]/(G1067*(1-Table5[[#This Row],[Discount]]))</f>
        <v>2</v>
      </c>
      <c r="G1067" s="5">
        <v>994.29</v>
      </c>
      <c r="H1067">
        <v>0.01</v>
      </c>
      <c r="I1067" t="s">
        <v>1351</v>
      </c>
      <c r="J1067" s="5">
        <v>1968.6941999999999</v>
      </c>
    </row>
    <row r="1068" spans="1:10">
      <c r="A1068" t="s">
        <v>2417</v>
      </c>
      <c r="B1068" s="7">
        <v>45608</v>
      </c>
      <c r="C1068" t="s">
        <v>905</v>
      </c>
      <c r="D1068" t="s">
        <v>1257</v>
      </c>
      <c r="E1068" t="s">
        <v>1335</v>
      </c>
      <c r="F1068">
        <f>Table5[[#This Row],[Total_Amount]]/(G1068*(1-Table5[[#This Row],[Discount]]))</f>
        <v>1</v>
      </c>
      <c r="G1068" s="5">
        <v>909.04</v>
      </c>
      <c r="H1068">
        <v>0.11</v>
      </c>
      <c r="I1068" t="s">
        <v>1349</v>
      </c>
      <c r="J1068" s="5">
        <v>809.04560000000004</v>
      </c>
    </row>
    <row r="1069" spans="1:10">
      <c r="A1069" t="s">
        <v>2418</v>
      </c>
      <c r="B1069" s="7">
        <v>45334</v>
      </c>
      <c r="C1069" t="s">
        <v>762</v>
      </c>
      <c r="D1069" t="s">
        <v>1141</v>
      </c>
      <c r="E1069" t="s">
        <v>1317</v>
      </c>
      <c r="F1069">
        <f>Table5[[#This Row],[Total_Amount]]/(G1069*(1-Table5[[#This Row],[Discount]]))</f>
        <v>1</v>
      </c>
      <c r="G1069" s="5">
        <v>164.73</v>
      </c>
      <c r="H1069">
        <v>0.12</v>
      </c>
      <c r="I1069" t="s">
        <v>1351</v>
      </c>
      <c r="J1069" s="5">
        <v>144.9624</v>
      </c>
    </row>
    <row r="1070" spans="1:10">
      <c r="A1070" t="s">
        <v>2419</v>
      </c>
      <c r="B1070" s="7">
        <v>45690</v>
      </c>
      <c r="C1070" t="s">
        <v>170</v>
      </c>
      <c r="D1070" t="s">
        <v>1147</v>
      </c>
      <c r="E1070" t="s">
        <v>1304</v>
      </c>
      <c r="F1070">
        <f>Table5[[#This Row],[Total_Amount]]/(G1070*(1-Table5[[#This Row],[Discount]]))</f>
        <v>2</v>
      </c>
      <c r="G1070" s="5">
        <v>606.35</v>
      </c>
      <c r="H1070">
        <v>0.16</v>
      </c>
      <c r="I1070" t="s">
        <v>1354</v>
      </c>
      <c r="J1070" s="5">
        <v>1018.668</v>
      </c>
    </row>
    <row r="1071" spans="1:10">
      <c r="A1071" t="s">
        <v>2420</v>
      </c>
      <c r="B1071" s="7">
        <v>45481</v>
      </c>
      <c r="C1071" t="s">
        <v>387</v>
      </c>
      <c r="D1071" t="s">
        <v>1269</v>
      </c>
      <c r="E1071" t="s">
        <v>1294</v>
      </c>
      <c r="F1071">
        <f>Table5[[#This Row],[Total_Amount]]/(G1071*(1-Table5[[#This Row],[Discount]]))</f>
        <v>2.9999999999999996</v>
      </c>
      <c r="G1071" s="5">
        <v>904.19</v>
      </c>
      <c r="H1071">
        <v>0.09</v>
      </c>
      <c r="I1071" t="s">
        <v>1349</v>
      </c>
      <c r="J1071" s="5">
        <v>2468.4387000000002</v>
      </c>
    </row>
    <row r="1072" spans="1:10">
      <c r="A1072" t="s">
        <v>2421</v>
      </c>
      <c r="B1072" s="7">
        <v>45576</v>
      </c>
      <c r="C1072" t="s">
        <v>363</v>
      </c>
      <c r="D1072" t="s">
        <v>1173</v>
      </c>
      <c r="E1072" t="s">
        <v>1286</v>
      </c>
      <c r="F1072">
        <f>Table5[[#This Row],[Total_Amount]]/(G1072*(1-Table5[[#This Row],[Discount]]))</f>
        <v>3.9999999999999991</v>
      </c>
      <c r="G1072" s="5">
        <v>694.61</v>
      </c>
      <c r="H1072">
        <v>0.18</v>
      </c>
      <c r="I1072" t="s">
        <v>1354</v>
      </c>
      <c r="J1072" s="5">
        <v>2278.3208</v>
      </c>
    </row>
    <row r="1073" spans="1:10">
      <c r="A1073" t="s">
        <v>2422</v>
      </c>
      <c r="B1073" s="7">
        <v>45215</v>
      </c>
      <c r="C1073" t="s">
        <v>513</v>
      </c>
      <c r="D1073" t="s">
        <v>1251</v>
      </c>
      <c r="E1073" t="s">
        <v>1286</v>
      </c>
      <c r="F1073">
        <f>Table5[[#This Row],[Total_Amount]]/(G1073*(1-Table5[[#This Row],[Discount]]))</f>
        <v>4</v>
      </c>
      <c r="G1073" s="5">
        <v>753.83</v>
      </c>
      <c r="H1073">
        <v>0.24</v>
      </c>
      <c r="I1073" t="s">
        <v>1349</v>
      </c>
      <c r="J1073" s="5">
        <v>2291.6432</v>
      </c>
    </row>
    <row r="1074" spans="1:10">
      <c r="A1074" t="s">
        <v>2423</v>
      </c>
      <c r="B1074" s="7">
        <v>45653</v>
      </c>
      <c r="C1074" t="s">
        <v>456</v>
      </c>
      <c r="D1074" t="s">
        <v>1115</v>
      </c>
      <c r="E1074" t="s">
        <v>1307</v>
      </c>
      <c r="F1074">
        <f>Table5[[#This Row],[Total_Amount]]/(G1074*(1-Table5[[#This Row],[Discount]]))</f>
        <v>1</v>
      </c>
      <c r="G1074" s="5">
        <v>66.22</v>
      </c>
      <c r="H1074">
        <v>0.02</v>
      </c>
      <c r="I1074" t="s">
        <v>1349</v>
      </c>
      <c r="J1074" s="5">
        <v>64.895600000000002</v>
      </c>
    </row>
    <row r="1075" spans="1:10">
      <c r="A1075" t="s">
        <v>2424</v>
      </c>
      <c r="B1075" s="7">
        <v>45241</v>
      </c>
      <c r="C1075" t="s">
        <v>738</v>
      </c>
      <c r="D1075" t="s">
        <v>1201</v>
      </c>
      <c r="E1075" t="s">
        <v>1324</v>
      </c>
      <c r="F1075">
        <f>Table5[[#This Row],[Total_Amount]]/(G1075*(1-Table5[[#This Row],[Discount]]))</f>
        <v>2.0000000000000004</v>
      </c>
      <c r="G1075" s="5">
        <v>891.8</v>
      </c>
      <c r="H1075">
        <v>0.28999999999999998</v>
      </c>
      <c r="I1075" t="s">
        <v>1354</v>
      </c>
      <c r="J1075" s="5">
        <v>1266.356</v>
      </c>
    </row>
    <row r="1076" spans="1:10">
      <c r="A1076" t="s">
        <v>2425</v>
      </c>
      <c r="B1076" s="7">
        <v>45428</v>
      </c>
      <c r="C1076" t="s">
        <v>789</v>
      </c>
      <c r="D1076" t="s">
        <v>1223</v>
      </c>
      <c r="E1076" t="s">
        <v>1311</v>
      </c>
      <c r="F1076">
        <f>Table5[[#This Row],[Total_Amount]]/(G1076*(1-Table5[[#This Row],[Discount]]))</f>
        <v>4</v>
      </c>
      <c r="G1076" s="5">
        <v>255.48</v>
      </c>
      <c r="H1076">
        <v>0.03</v>
      </c>
      <c r="I1076" t="s">
        <v>1354</v>
      </c>
      <c r="J1076" s="5">
        <v>991.26239999999996</v>
      </c>
    </row>
    <row r="1077" spans="1:10">
      <c r="A1077" t="s">
        <v>2426</v>
      </c>
      <c r="B1077" s="7">
        <v>45593</v>
      </c>
      <c r="C1077" t="s">
        <v>666</v>
      </c>
      <c r="D1077" t="s">
        <v>1241</v>
      </c>
      <c r="E1077" t="s">
        <v>1332</v>
      </c>
      <c r="F1077">
        <f>Table5[[#This Row],[Total_Amount]]/(G1077*(1-Table5[[#This Row],[Discount]]))</f>
        <v>4</v>
      </c>
      <c r="G1077" s="5">
        <v>604.87</v>
      </c>
      <c r="H1077">
        <v>0.28000000000000003</v>
      </c>
      <c r="I1077" t="s">
        <v>1351</v>
      </c>
      <c r="J1077" s="5">
        <v>1742.0255999999999</v>
      </c>
    </row>
    <row r="1078" spans="1:10">
      <c r="A1078" t="s">
        <v>2427</v>
      </c>
      <c r="B1078" s="7">
        <v>45370</v>
      </c>
      <c r="C1078" t="s">
        <v>131</v>
      </c>
      <c r="D1078" t="s">
        <v>1139</v>
      </c>
      <c r="E1078" t="s">
        <v>1332</v>
      </c>
      <c r="F1078">
        <f>Table5[[#This Row],[Total_Amount]]/(G1078*(1-Table5[[#This Row],[Discount]]))</f>
        <v>2.9999999999999996</v>
      </c>
      <c r="G1078" s="5">
        <v>623.82000000000005</v>
      </c>
      <c r="H1078">
        <v>0.13</v>
      </c>
      <c r="I1078" t="s">
        <v>1354</v>
      </c>
      <c r="J1078" s="5">
        <v>1628.1702</v>
      </c>
    </row>
    <row r="1079" spans="1:10">
      <c r="A1079" t="s">
        <v>2428</v>
      </c>
      <c r="B1079" s="7">
        <v>45882</v>
      </c>
      <c r="C1079" t="s">
        <v>337</v>
      </c>
      <c r="D1079" t="s">
        <v>1215</v>
      </c>
      <c r="E1079" t="s">
        <v>1329</v>
      </c>
      <c r="F1079">
        <f>Table5[[#This Row],[Total_Amount]]/(G1079*(1-Table5[[#This Row],[Discount]]))</f>
        <v>2.9999999999999996</v>
      </c>
      <c r="G1079" s="5">
        <v>575.24</v>
      </c>
      <c r="H1079">
        <v>0.12</v>
      </c>
      <c r="I1079" t="s">
        <v>1354</v>
      </c>
      <c r="J1079" s="5">
        <v>1518.6335999999999</v>
      </c>
    </row>
    <row r="1080" spans="1:10">
      <c r="A1080" t="s">
        <v>2429</v>
      </c>
      <c r="B1080" s="7">
        <v>45878</v>
      </c>
      <c r="C1080" t="s">
        <v>891</v>
      </c>
      <c r="D1080" t="s">
        <v>1078</v>
      </c>
      <c r="E1080" t="s">
        <v>1317</v>
      </c>
      <c r="F1080">
        <f>Table5[[#This Row],[Total_Amount]]/(G1080*(1-Table5[[#This Row],[Discount]]))</f>
        <v>1</v>
      </c>
      <c r="G1080" s="5">
        <v>769.4</v>
      </c>
      <c r="H1080">
        <v>0.16</v>
      </c>
      <c r="I1080" t="s">
        <v>1349</v>
      </c>
      <c r="J1080" s="5">
        <v>646.29599999999994</v>
      </c>
    </row>
    <row r="1081" spans="1:10">
      <c r="A1081" t="s">
        <v>2430</v>
      </c>
      <c r="B1081" s="7">
        <v>45420</v>
      </c>
      <c r="C1081" t="s">
        <v>722</v>
      </c>
      <c r="D1081" t="s">
        <v>1078</v>
      </c>
      <c r="E1081" t="s">
        <v>1332</v>
      </c>
      <c r="F1081">
        <f>Table5[[#This Row],[Total_Amount]]/(G1081*(1-Table5[[#This Row],[Discount]]))</f>
        <v>1</v>
      </c>
      <c r="G1081" s="5">
        <v>227.28</v>
      </c>
      <c r="H1081">
        <v>0.13</v>
      </c>
      <c r="I1081" t="s">
        <v>1354</v>
      </c>
      <c r="J1081" s="5">
        <v>197.7336</v>
      </c>
    </row>
    <row r="1082" spans="1:10">
      <c r="A1082" t="s">
        <v>2431</v>
      </c>
      <c r="B1082" s="7">
        <v>45361</v>
      </c>
      <c r="C1082" t="s">
        <v>145</v>
      </c>
      <c r="D1082" t="s">
        <v>1074</v>
      </c>
      <c r="E1082" t="s">
        <v>1332</v>
      </c>
      <c r="F1082">
        <f>Table5[[#This Row],[Total_Amount]]/(G1082*(1-Table5[[#This Row],[Discount]]))</f>
        <v>4</v>
      </c>
      <c r="G1082" s="5">
        <v>127.58</v>
      </c>
      <c r="H1082">
        <v>0.15</v>
      </c>
      <c r="I1082" t="s">
        <v>1349</v>
      </c>
      <c r="J1082" s="5">
        <v>433.77199999999999</v>
      </c>
    </row>
    <row r="1083" spans="1:10">
      <c r="A1083" t="s">
        <v>2432</v>
      </c>
      <c r="B1083" s="7">
        <v>45702</v>
      </c>
      <c r="C1083" t="s">
        <v>899</v>
      </c>
      <c r="D1083" t="s">
        <v>1161</v>
      </c>
      <c r="E1083" t="s">
        <v>1291</v>
      </c>
      <c r="F1083">
        <f>Table5[[#This Row],[Total_Amount]]/(G1083*(1-Table5[[#This Row],[Discount]]))</f>
        <v>1</v>
      </c>
      <c r="G1083" s="5">
        <v>793.21</v>
      </c>
      <c r="H1083">
        <v>0.09</v>
      </c>
      <c r="I1083" t="s">
        <v>1349</v>
      </c>
      <c r="J1083" s="5">
        <v>721.8211</v>
      </c>
    </row>
    <row r="1084" spans="1:10">
      <c r="A1084" t="s">
        <v>2433</v>
      </c>
      <c r="B1084" s="7">
        <v>45871</v>
      </c>
      <c r="C1084" t="s">
        <v>666</v>
      </c>
      <c r="D1084" t="s">
        <v>1239</v>
      </c>
      <c r="E1084" t="s">
        <v>1319</v>
      </c>
      <c r="F1084">
        <f>Table5[[#This Row],[Total_Amount]]/(G1084*(1-Table5[[#This Row],[Discount]]))</f>
        <v>3</v>
      </c>
      <c r="G1084" s="5">
        <v>435.61</v>
      </c>
      <c r="H1084">
        <v>0.03</v>
      </c>
      <c r="I1084" t="s">
        <v>1351</v>
      </c>
      <c r="J1084" s="5">
        <v>1267.6251</v>
      </c>
    </row>
    <row r="1085" spans="1:10">
      <c r="A1085" t="s">
        <v>2434</v>
      </c>
      <c r="B1085" s="7">
        <v>45531</v>
      </c>
      <c r="C1085" t="s">
        <v>833</v>
      </c>
      <c r="D1085" t="s">
        <v>1131</v>
      </c>
      <c r="E1085" t="s">
        <v>1329</v>
      </c>
      <c r="F1085">
        <f>Table5[[#This Row],[Total_Amount]]/(G1085*(1-Table5[[#This Row],[Discount]]))</f>
        <v>1</v>
      </c>
      <c r="G1085" s="5">
        <v>850.06</v>
      </c>
      <c r="H1085">
        <v>0.28999999999999998</v>
      </c>
      <c r="I1085" t="s">
        <v>1351</v>
      </c>
      <c r="J1085" s="5">
        <v>603.54259999999988</v>
      </c>
    </row>
    <row r="1086" spans="1:10">
      <c r="A1086" t="s">
        <v>2435</v>
      </c>
      <c r="B1086" s="7">
        <v>45330</v>
      </c>
      <c r="C1086" t="s">
        <v>758</v>
      </c>
      <c r="D1086" t="s">
        <v>1105</v>
      </c>
      <c r="E1086" t="s">
        <v>1329</v>
      </c>
      <c r="F1086">
        <f>Table5[[#This Row],[Total_Amount]]/(G1086*(1-Table5[[#This Row],[Discount]]))</f>
        <v>2.0000000000000004</v>
      </c>
      <c r="G1086" s="5">
        <v>753.92</v>
      </c>
      <c r="H1086">
        <v>0.17</v>
      </c>
      <c r="I1086" t="s">
        <v>1351</v>
      </c>
      <c r="J1086" s="5">
        <v>1251.5072</v>
      </c>
    </row>
    <row r="1087" spans="1:10">
      <c r="A1087" t="s">
        <v>2436</v>
      </c>
      <c r="B1087" s="7">
        <v>45311</v>
      </c>
      <c r="C1087" t="s">
        <v>1037</v>
      </c>
      <c r="D1087" t="s">
        <v>1078</v>
      </c>
      <c r="E1087" t="s">
        <v>1322</v>
      </c>
      <c r="F1087">
        <f>Table5[[#This Row],[Total_Amount]]/(G1087*(1-Table5[[#This Row],[Discount]]))</f>
        <v>3</v>
      </c>
      <c r="G1087" s="5">
        <v>408.99</v>
      </c>
      <c r="H1087">
        <v>0.27</v>
      </c>
      <c r="I1087" t="s">
        <v>1351</v>
      </c>
      <c r="J1087" s="5">
        <v>895.68809999999996</v>
      </c>
    </row>
    <row r="1088" spans="1:10">
      <c r="A1088" t="s">
        <v>2437</v>
      </c>
      <c r="B1088" s="7">
        <v>45567</v>
      </c>
      <c r="C1088" t="s">
        <v>634</v>
      </c>
      <c r="D1088" t="s">
        <v>1187</v>
      </c>
      <c r="E1088" t="s">
        <v>1298</v>
      </c>
      <c r="F1088">
        <f>Table5[[#This Row],[Total_Amount]]/(G1088*(1-Table5[[#This Row],[Discount]]))</f>
        <v>3.0000000000000004</v>
      </c>
      <c r="G1088" s="5">
        <v>404.5</v>
      </c>
      <c r="H1088">
        <v>0.22</v>
      </c>
      <c r="I1088" t="s">
        <v>1351</v>
      </c>
      <c r="J1088" s="5">
        <v>946.53000000000009</v>
      </c>
    </row>
    <row r="1089" spans="1:10">
      <c r="A1089" t="s">
        <v>2438</v>
      </c>
      <c r="B1089" s="7">
        <v>45239</v>
      </c>
      <c r="C1089" t="s">
        <v>823</v>
      </c>
      <c r="D1089" t="s">
        <v>1151</v>
      </c>
      <c r="E1089" t="s">
        <v>1291</v>
      </c>
      <c r="F1089">
        <f>Table5[[#This Row],[Total_Amount]]/(G1089*(1-Table5[[#This Row],[Discount]]))</f>
        <v>3</v>
      </c>
      <c r="G1089" s="5">
        <v>717.81</v>
      </c>
      <c r="H1089">
        <v>0.17</v>
      </c>
      <c r="I1089" t="s">
        <v>1354</v>
      </c>
      <c r="J1089" s="5">
        <v>1787.3469</v>
      </c>
    </row>
    <row r="1090" spans="1:10">
      <c r="A1090" t="s">
        <v>2439</v>
      </c>
      <c r="B1090" s="7">
        <v>45284</v>
      </c>
      <c r="C1090" t="s">
        <v>565</v>
      </c>
      <c r="D1090" t="s">
        <v>1241</v>
      </c>
      <c r="E1090" t="s">
        <v>1282</v>
      </c>
      <c r="F1090">
        <f>Table5[[#This Row],[Total_Amount]]/(G1090*(1-Table5[[#This Row],[Discount]]))</f>
        <v>3</v>
      </c>
      <c r="G1090" s="5">
        <v>204.77</v>
      </c>
      <c r="H1090">
        <v>0.14000000000000001</v>
      </c>
      <c r="I1090" t="s">
        <v>1349</v>
      </c>
      <c r="J1090" s="5">
        <v>528.3066</v>
      </c>
    </row>
    <row r="1091" spans="1:10">
      <c r="A1091" t="s">
        <v>2440</v>
      </c>
      <c r="B1091" s="7">
        <v>45686</v>
      </c>
      <c r="C1091" t="s">
        <v>115</v>
      </c>
      <c r="D1091" t="s">
        <v>1169</v>
      </c>
      <c r="E1091" t="s">
        <v>1335</v>
      </c>
      <c r="F1091">
        <f>Table5[[#This Row],[Total_Amount]]/(G1091*(1-Table5[[#This Row],[Discount]]))</f>
        <v>4</v>
      </c>
      <c r="G1091" s="5">
        <v>106.23</v>
      </c>
      <c r="H1091">
        <v>0.28000000000000003</v>
      </c>
      <c r="I1091" t="s">
        <v>1354</v>
      </c>
      <c r="J1091" s="5">
        <v>305.94240000000002</v>
      </c>
    </row>
    <row r="1092" spans="1:10">
      <c r="A1092" t="s">
        <v>2441</v>
      </c>
      <c r="B1092" s="7">
        <v>45824</v>
      </c>
      <c r="C1092" t="s">
        <v>714</v>
      </c>
      <c r="D1092" t="s">
        <v>1205</v>
      </c>
      <c r="E1092" t="s">
        <v>1298</v>
      </c>
      <c r="F1092">
        <f>Table5[[#This Row],[Total_Amount]]/(G1092*(1-Table5[[#This Row],[Discount]]))</f>
        <v>2</v>
      </c>
      <c r="G1092" s="5">
        <v>769.48</v>
      </c>
      <c r="H1092">
        <v>0.11</v>
      </c>
      <c r="I1092" t="s">
        <v>1351</v>
      </c>
      <c r="J1092" s="5">
        <v>1369.6744000000001</v>
      </c>
    </row>
    <row r="1093" spans="1:10">
      <c r="A1093" t="s">
        <v>2442</v>
      </c>
      <c r="B1093" s="7">
        <v>45867</v>
      </c>
      <c r="C1093" t="s">
        <v>573</v>
      </c>
      <c r="D1093" t="s">
        <v>1187</v>
      </c>
      <c r="E1093" t="s">
        <v>1322</v>
      </c>
      <c r="F1093">
        <f>Table5[[#This Row],[Total_Amount]]/(G1093*(1-Table5[[#This Row],[Discount]]))</f>
        <v>2</v>
      </c>
      <c r="G1093" s="5">
        <v>714.21</v>
      </c>
      <c r="H1093">
        <v>0.14000000000000001</v>
      </c>
      <c r="I1093" t="s">
        <v>1349</v>
      </c>
      <c r="J1093" s="5">
        <v>1228.4412</v>
      </c>
    </row>
    <row r="1094" spans="1:10">
      <c r="A1094" t="s">
        <v>2443</v>
      </c>
      <c r="B1094" s="7">
        <v>45578</v>
      </c>
      <c r="C1094" t="s">
        <v>606</v>
      </c>
      <c r="D1094" t="s">
        <v>1095</v>
      </c>
      <c r="E1094" t="s">
        <v>1326</v>
      </c>
      <c r="F1094">
        <f>Table5[[#This Row],[Total_Amount]]/(G1094*(1-Table5[[#This Row],[Discount]]))</f>
        <v>4</v>
      </c>
      <c r="G1094" s="5">
        <v>632.24</v>
      </c>
      <c r="H1094">
        <v>0.25</v>
      </c>
      <c r="I1094" t="s">
        <v>1351</v>
      </c>
      <c r="J1094" s="5">
        <v>1896.72</v>
      </c>
    </row>
    <row r="1095" spans="1:10">
      <c r="A1095" t="s">
        <v>2444</v>
      </c>
      <c r="B1095" s="7">
        <v>45575</v>
      </c>
      <c r="C1095" t="s">
        <v>383</v>
      </c>
      <c r="D1095" t="s">
        <v>1229</v>
      </c>
      <c r="E1095" t="s">
        <v>1291</v>
      </c>
      <c r="F1095">
        <f>Table5[[#This Row],[Total_Amount]]/(G1095*(1-Table5[[#This Row],[Discount]]))</f>
        <v>2</v>
      </c>
      <c r="G1095" s="5">
        <v>845.27</v>
      </c>
      <c r="H1095">
        <v>0.18</v>
      </c>
      <c r="I1095" t="s">
        <v>1351</v>
      </c>
      <c r="J1095" s="5">
        <v>1386.2428</v>
      </c>
    </row>
    <row r="1096" spans="1:10">
      <c r="A1096" t="s">
        <v>2445</v>
      </c>
      <c r="B1096" s="7">
        <v>45816</v>
      </c>
      <c r="C1096" t="s">
        <v>1055</v>
      </c>
      <c r="D1096" t="s">
        <v>1247</v>
      </c>
      <c r="E1096" t="s">
        <v>1322</v>
      </c>
      <c r="F1096">
        <f>Table5[[#This Row],[Total_Amount]]/(G1096*(1-Table5[[#This Row],[Discount]]))</f>
        <v>0.99999999999999989</v>
      </c>
      <c r="G1096" s="5">
        <v>575.94000000000005</v>
      </c>
      <c r="H1096">
        <v>0.17</v>
      </c>
      <c r="I1096" t="s">
        <v>1349</v>
      </c>
      <c r="J1096" s="5">
        <v>478.03019999999998</v>
      </c>
    </row>
    <row r="1097" spans="1:10">
      <c r="A1097" t="s">
        <v>2446</v>
      </c>
      <c r="B1097" s="7">
        <v>45620</v>
      </c>
      <c r="C1097" t="s">
        <v>565</v>
      </c>
      <c r="D1097" t="s">
        <v>1241</v>
      </c>
      <c r="E1097" t="s">
        <v>1326</v>
      </c>
      <c r="F1097">
        <f>Table5[[#This Row],[Total_Amount]]/(G1097*(1-Table5[[#This Row],[Discount]]))</f>
        <v>1</v>
      </c>
      <c r="G1097" s="5">
        <v>907.97</v>
      </c>
      <c r="H1097">
        <v>0.26</v>
      </c>
      <c r="I1097" t="s">
        <v>1354</v>
      </c>
      <c r="J1097" s="5">
        <v>671.89779999999996</v>
      </c>
    </row>
    <row r="1098" spans="1:10">
      <c r="A1098" t="s">
        <v>2447</v>
      </c>
      <c r="B1098" s="7">
        <v>45695</v>
      </c>
      <c r="C1098" t="s">
        <v>596</v>
      </c>
      <c r="D1098" t="s">
        <v>1113</v>
      </c>
      <c r="E1098" t="s">
        <v>1319</v>
      </c>
      <c r="F1098">
        <f>Table5[[#This Row],[Total_Amount]]/(G1098*(1-Table5[[#This Row],[Discount]]))</f>
        <v>1</v>
      </c>
      <c r="G1098" s="5">
        <v>99.35</v>
      </c>
      <c r="H1098">
        <v>0.08</v>
      </c>
      <c r="I1098" t="s">
        <v>1354</v>
      </c>
      <c r="J1098" s="5">
        <v>91.402000000000001</v>
      </c>
    </row>
    <row r="1099" spans="1:10">
      <c r="A1099" t="s">
        <v>2448</v>
      </c>
      <c r="B1099" s="7">
        <v>45596</v>
      </c>
      <c r="C1099" t="s">
        <v>192</v>
      </c>
      <c r="D1099" t="s">
        <v>1068</v>
      </c>
      <c r="E1099" t="s">
        <v>1291</v>
      </c>
      <c r="F1099">
        <f>Table5[[#This Row],[Total_Amount]]/(G1099*(1-Table5[[#This Row],[Discount]]))</f>
        <v>2</v>
      </c>
      <c r="G1099" s="5">
        <v>374.42</v>
      </c>
      <c r="H1099">
        <v>0.21</v>
      </c>
      <c r="I1099" t="s">
        <v>1354</v>
      </c>
      <c r="J1099" s="5">
        <v>591.58360000000005</v>
      </c>
    </row>
    <row r="1100" spans="1:10">
      <c r="A1100" t="s">
        <v>2449</v>
      </c>
      <c r="B1100" s="7">
        <v>45869</v>
      </c>
      <c r="C1100" t="s">
        <v>1024</v>
      </c>
      <c r="D1100" t="s">
        <v>1103</v>
      </c>
      <c r="E1100" t="s">
        <v>1326</v>
      </c>
      <c r="F1100">
        <f>Table5[[#This Row],[Total_Amount]]/(G1100*(1-Table5[[#This Row],[Discount]]))</f>
        <v>2.9999999999999996</v>
      </c>
      <c r="G1100" s="5">
        <v>248.43</v>
      </c>
      <c r="H1100">
        <v>0.24</v>
      </c>
      <c r="I1100" t="s">
        <v>1354</v>
      </c>
      <c r="J1100" s="5">
        <v>566.42039999999997</v>
      </c>
    </row>
    <row r="1101" spans="1:10">
      <c r="A1101" t="s">
        <v>2450</v>
      </c>
      <c r="B1101" s="7">
        <v>45631</v>
      </c>
      <c r="C1101" t="s">
        <v>998</v>
      </c>
      <c r="D1101" t="s">
        <v>1243</v>
      </c>
      <c r="E1101" t="s">
        <v>1282</v>
      </c>
      <c r="F1101">
        <f>Table5[[#This Row],[Total_Amount]]/(G1101*(1-Table5[[#This Row],[Discount]]))</f>
        <v>1</v>
      </c>
      <c r="G1101" s="5">
        <v>784.46</v>
      </c>
      <c r="H1101">
        <v>0.14000000000000001</v>
      </c>
      <c r="I1101" t="s">
        <v>1354</v>
      </c>
      <c r="J1101" s="5">
        <v>674.63560000000007</v>
      </c>
    </row>
    <row r="1102" spans="1:10">
      <c r="A1102" t="s">
        <v>2451</v>
      </c>
      <c r="B1102" s="7">
        <v>45379</v>
      </c>
      <c r="C1102" t="s">
        <v>581</v>
      </c>
      <c r="D1102" t="s">
        <v>1177</v>
      </c>
      <c r="E1102" t="s">
        <v>1314</v>
      </c>
      <c r="F1102">
        <f>Table5[[#This Row],[Total_Amount]]/(G1102*(1-Table5[[#This Row],[Discount]]))</f>
        <v>3.0000000000000004</v>
      </c>
      <c r="G1102" s="5">
        <v>70.88</v>
      </c>
      <c r="H1102">
        <v>0.27</v>
      </c>
      <c r="I1102" t="s">
        <v>1354</v>
      </c>
      <c r="J1102" s="5">
        <v>155.22720000000001</v>
      </c>
    </row>
    <row r="1103" spans="1:10">
      <c r="A1103" t="s">
        <v>2452</v>
      </c>
      <c r="B1103" s="7">
        <v>45641</v>
      </c>
      <c r="C1103" t="s">
        <v>279</v>
      </c>
      <c r="D1103" t="s">
        <v>1087</v>
      </c>
      <c r="E1103" t="s">
        <v>1282</v>
      </c>
      <c r="F1103">
        <f>Table5[[#This Row],[Total_Amount]]/(G1103*(1-Table5[[#This Row],[Discount]]))</f>
        <v>3.0000000000000004</v>
      </c>
      <c r="G1103" s="5">
        <v>324.29000000000002</v>
      </c>
      <c r="H1103">
        <v>0.16</v>
      </c>
      <c r="I1103" t="s">
        <v>1354</v>
      </c>
      <c r="J1103" s="5">
        <v>817.21080000000006</v>
      </c>
    </row>
    <row r="1104" spans="1:10">
      <c r="A1104" t="s">
        <v>2453</v>
      </c>
      <c r="B1104" s="7">
        <v>45842</v>
      </c>
      <c r="C1104" t="s">
        <v>343</v>
      </c>
      <c r="D1104" t="s">
        <v>1103</v>
      </c>
      <c r="E1104" t="s">
        <v>1291</v>
      </c>
      <c r="F1104">
        <f>Table5[[#This Row],[Total_Amount]]/(G1104*(1-Table5[[#This Row],[Discount]]))</f>
        <v>4</v>
      </c>
      <c r="G1104" s="5">
        <v>243.92</v>
      </c>
      <c r="H1104">
        <v>0.02</v>
      </c>
      <c r="I1104" t="s">
        <v>1351</v>
      </c>
      <c r="J1104" s="5">
        <v>956.16639999999995</v>
      </c>
    </row>
    <row r="1105" spans="1:10">
      <c r="A1105" t="s">
        <v>2454</v>
      </c>
      <c r="B1105" s="7">
        <v>45257</v>
      </c>
      <c r="C1105" t="s">
        <v>813</v>
      </c>
      <c r="D1105" t="s">
        <v>1129</v>
      </c>
      <c r="E1105" t="s">
        <v>1322</v>
      </c>
      <c r="F1105">
        <f>Table5[[#This Row],[Total_Amount]]/(G1105*(1-Table5[[#This Row],[Discount]]))</f>
        <v>1</v>
      </c>
      <c r="G1105" s="5">
        <v>664.35</v>
      </c>
      <c r="H1105">
        <v>0</v>
      </c>
      <c r="I1105" t="s">
        <v>1349</v>
      </c>
      <c r="J1105" s="5">
        <v>664.35</v>
      </c>
    </row>
    <row r="1106" spans="1:10">
      <c r="A1106" t="s">
        <v>2455</v>
      </c>
      <c r="B1106" s="7">
        <v>45468</v>
      </c>
      <c r="C1106" t="s">
        <v>831</v>
      </c>
      <c r="D1106" t="s">
        <v>1115</v>
      </c>
      <c r="E1106" t="s">
        <v>1314</v>
      </c>
      <c r="F1106">
        <f>Table5[[#This Row],[Total_Amount]]/(G1106*(1-Table5[[#This Row],[Discount]]))</f>
        <v>1.9999999999999998</v>
      </c>
      <c r="G1106" s="5">
        <v>218.07</v>
      </c>
      <c r="H1106">
        <v>0.19</v>
      </c>
      <c r="I1106" t="s">
        <v>1351</v>
      </c>
      <c r="J1106" s="5">
        <v>353.27339999999998</v>
      </c>
    </row>
    <row r="1107" spans="1:10">
      <c r="A1107" t="s">
        <v>2456</v>
      </c>
      <c r="B1107" s="7">
        <v>45228</v>
      </c>
      <c r="C1107" t="s">
        <v>829</v>
      </c>
      <c r="D1107" t="s">
        <v>1103</v>
      </c>
      <c r="E1107" t="s">
        <v>1291</v>
      </c>
      <c r="F1107">
        <f>Table5[[#This Row],[Total_Amount]]/(G1107*(1-Table5[[#This Row],[Discount]]))</f>
        <v>3.9999999999999991</v>
      </c>
      <c r="G1107" s="5">
        <v>921.83</v>
      </c>
      <c r="H1107">
        <v>0.27</v>
      </c>
      <c r="I1107" t="s">
        <v>1349</v>
      </c>
      <c r="J1107" s="5">
        <v>2691.7435999999998</v>
      </c>
    </row>
    <row r="1108" spans="1:10">
      <c r="A1108" t="s">
        <v>2457</v>
      </c>
      <c r="B1108" s="7">
        <v>45661</v>
      </c>
      <c r="C1108" t="s">
        <v>397</v>
      </c>
      <c r="D1108" t="s">
        <v>1173</v>
      </c>
      <c r="E1108" t="s">
        <v>1282</v>
      </c>
      <c r="F1108">
        <f>Table5[[#This Row],[Total_Amount]]/(G1108*(1-Table5[[#This Row],[Discount]]))</f>
        <v>3</v>
      </c>
      <c r="G1108" s="5">
        <v>326.2</v>
      </c>
      <c r="H1108">
        <v>0.22</v>
      </c>
      <c r="I1108" t="s">
        <v>1354</v>
      </c>
      <c r="J1108" s="5">
        <v>763.30799999999999</v>
      </c>
    </row>
    <row r="1109" spans="1:10">
      <c r="A1109" t="s">
        <v>2458</v>
      </c>
      <c r="B1109" s="7">
        <v>45701</v>
      </c>
      <c r="C1109" t="s">
        <v>979</v>
      </c>
      <c r="D1109" t="s">
        <v>1107</v>
      </c>
      <c r="E1109" t="s">
        <v>1338</v>
      </c>
      <c r="F1109">
        <f>Table5[[#This Row],[Total_Amount]]/(G1109*(1-Table5[[#This Row],[Discount]]))</f>
        <v>1</v>
      </c>
      <c r="G1109" s="5">
        <v>244.25</v>
      </c>
      <c r="H1109">
        <v>0.09</v>
      </c>
      <c r="I1109" t="s">
        <v>1351</v>
      </c>
      <c r="J1109" s="5">
        <v>222.26750000000001</v>
      </c>
    </row>
    <row r="1110" spans="1:10">
      <c r="A1110" t="s">
        <v>2459</v>
      </c>
      <c r="B1110" s="7">
        <v>45448</v>
      </c>
      <c r="C1110" t="s">
        <v>801</v>
      </c>
      <c r="D1110" t="s">
        <v>1195</v>
      </c>
      <c r="E1110" t="s">
        <v>1314</v>
      </c>
      <c r="F1110">
        <f>Table5[[#This Row],[Total_Amount]]/(G1110*(1-Table5[[#This Row],[Discount]]))</f>
        <v>3</v>
      </c>
      <c r="G1110" s="5">
        <v>808.87</v>
      </c>
      <c r="H1110">
        <v>0.12</v>
      </c>
      <c r="I1110" t="s">
        <v>1354</v>
      </c>
      <c r="J1110" s="5">
        <v>2135.4168</v>
      </c>
    </row>
    <row r="1111" spans="1:10">
      <c r="A1111" t="s">
        <v>2460</v>
      </c>
      <c r="B1111" s="7">
        <v>45387</v>
      </c>
      <c r="C1111" t="s">
        <v>740</v>
      </c>
      <c r="D1111" t="s">
        <v>1135</v>
      </c>
      <c r="E1111" t="s">
        <v>1286</v>
      </c>
      <c r="F1111">
        <f>Table5[[#This Row],[Total_Amount]]/(G1111*(1-Table5[[#This Row],[Discount]]))</f>
        <v>3</v>
      </c>
      <c r="G1111" s="5">
        <v>826.15</v>
      </c>
      <c r="H1111">
        <v>0</v>
      </c>
      <c r="I1111" t="s">
        <v>1351</v>
      </c>
      <c r="J1111" s="5">
        <v>2478.4499999999998</v>
      </c>
    </row>
    <row r="1112" spans="1:10">
      <c r="A1112" t="s">
        <v>2461</v>
      </c>
      <c r="B1112" s="7">
        <v>45652</v>
      </c>
      <c r="C1112" t="s">
        <v>436</v>
      </c>
      <c r="D1112" t="s">
        <v>1121</v>
      </c>
      <c r="E1112" t="s">
        <v>1338</v>
      </c>
      <c r="F1112">
        <f>Table5[[#This Row],[Total_Amount]]/(G1112*(1-Table5[[#This Row],[Discount]]))</f>
        <v>2.9999999999999996</v>
      </c>
      <c r="G1112" s="5">
        <v>631.20000000000005</v>
      </c>
      <c r="H1112">
        <v>0.24</v>
      </c>
      <c r="I1112" t="s">
        <v>1349</v>
      </c>
      <c r="J1112" s="5">
        <v>1439.136</v>
      </c>
    </row>
    <row r="1113" spans="1:10">
      <c r="A1113" t="s">
        <v>2462</v>
      </c>
      <c r="B1113" s="7">
        <v>45316</v>
      </c>
      <c r="C1113" t="s">
        <v>612</v>
      </c>
      <c r="D1113" t="s">
        <v>1189</v>
      </c>
      <c r="E1113" t="s">
        <v>1314</v>
      </c>
      <c r="F1113">
        <f>Table5[[#This Row],[Total_Amount]]/(G1113*(1-Table5[[#This Row],[Discount]]))</f>
        <v>1</v>
      </c>
      <c r="G1113" s="5">
        <v>937.01</v>
      </c>
      <c r="H1113">
        <v>7.0000000000000007E-2</v>
      </c>
      <c r="I1113" t="s">
        <v>1349</v>
      </c>
      <c r="J1113" s="5">
        <v>871.41929999999991</v>
      </c>
    </row>
    <row r="1114" spans="1:10">
      <c r="A1114" t="s">
        <v>2463</v>
      </c>
      <c r="B1114" s="7">
        <v>45316</v>
      </c>
      <c r="C1114" t="s">
        <v>363</v>
      </c>
      <c r="D1114" t="s">
        <v>1219</v>
      </c>
      <c r="E1114" t="s">
        <v>1298</v>
      </c>
      <c r="F1114">
        <f>Table5[[#This Row],[Total_Amount]]/(G1114*(1-Table5[[#This Row],[Discount]]))</f>
        <v>2</v>
      </c>
      <c r="G1114" s="5">
        <v>644</v>
      </c>
      <c r="H1114">
        <v>0.04</v>
      </c>
      <c r="I1114" t="s">
        <v>1351</v>
      </c>
      <c r="J1114" s="5">
        <v>1236.48</v>
      </c>
    </row>
    <row r="1115" spans="1:10">
      <c r="A1115" t="s">
        <v>2464</v>
      </c>
      <c r="B1115" s="7">
        <v>45888</v>
      </c>
      <c r="C1115" t="s">
        <v>246</v>
      </c>
      <c r="D1115" t="s">
        <v>1255</v>
      </c>
      <c r="E1115" t="s">
        <v>1298</v>
      </c>
      <c r="F1115">
        <f>Table5[[#This Row],[Total_Amount]]/(G1115*(1-Table5[[#This Row],[Discount]]))</f>
        <v>3</v>
      </c>
      <c r="G1115" s="5">
        <v>629.58000000000004</v>
      </c>
      <c r="H1115">
        <v>0.05</v>
      </c>
      <c r="I1115" t="s">
        <v>1349</v>
      </c>
      <c r="J1115" s="5">
        <v>1794.3030000000001</v>
      </c>
    </row>
    <row r="1116" spans="1:10">
      <c r="A1116" t="s">
        <v>2465</v>
      </c>
      <c r="B1116" s="7">
        <v>45791</v>
      </c>
      <c r="C1116" t="s">
        <v>994</v>
      </c>
      <c r="D1116" t="s">
        <v>1247</v>
      </c>
      <c r="E1116" t="s">
        <v>1286</v>
      </c>
      <c r="F1116">
        <f>Table5[[#This Row],[Total_Amount]]/(G1116*(1-Table5[[#This Row],[Discount]]))</f>
        <v>2</v>
      </c>
      <c r="G1116" s="5">
        <v>121.52</v>
      </c>
      <c r="H1116">
        <v>0.18</v>
      </c>
      <c r="I1116" t="s">
        <v>1354</v>
      </c>
      <c r="J1116" s="5">
        <v>199.2928</v>
      </c>
    </row>
    <row r="1117" spans="1:10">
      <c r="A1117" t="s">
        <v>2466</v>
      </c>
      <c r="B1117" s="7">
        <v>45420</v>
      </c>
      <c r="C1117" t="s">
        <v>865</v>
      </c>
      <c r="D1117" t="s">
        <v>1203</v>
      </c>
      <c r="E1117" t="s">
        <v>1338</v>
      </c>
      <c r="F1117">
        <f>Table5[[#This Row],[Total_Amount]]/(G1117*(1-Table5[[#This Row],[Discount]]))</f>
        <v>2</v>
      </c>
      <c r="G1117" s="5">
        <v>549.83000000000004</v>
      </c>
      <c r="H1117">
        <v>7.0000000000000007E-2</v>
      </c>
      <c r="I1117" t="s">
        <v>1351</v>
      </c>
      <c r="J1117" s="5">
        <v>1022.6838</v>
      </c>
    </row>
    <row r="1118" spans="1:10">
      <c r="A1118" t="s">
        <v>2467</v>
      </c>
      <c r="B1118" s="7">
        <v>45219</v>
      </c>
      <c r="C1118" t="s">
        <v>341</v>
      </c>
      <c r="D1118" t="s">
        <v>1099</v>
      </c>
      <c r="E1118" t="s">
        <v>1307</v>
      </c>
      <c r="F1118">
        <f>Table5[[#This Row],[Total_Amount]]/(G1118*(1-Table5[[#This Row],[Discount]]))</f>
        <v>3</v>
      </c>
      <c r="G1118" s="5">
        <v>278.38</v>
      </c>
      <c r="H1118">
        <v>0.03</v>
      </c>
      <c r="I1118" t="s">
        <v>1349</v>
      </c>
      <c r="J1118" s="5">
        <v>810.08579999999995</v>
      </c>
    </row>
    <row r="1119" spans="1:10">
      <c r="A1119" t="s">
        <v>2468</v>
      </c>
      <c r="B1119" s="7">
        <v>45510</v>
      </c>
      <c r="C1119" t="s">
        <v>937</v>
      </c>
      <c r="D1119" t="s">
        <v>1265</v>
      </c>
      <c r="E1119" t="s">
        <v>1291</v>
      </c>
      <c r="F1119">
        <f>Table5[[#This Row],[Total_Amount]]/(G1119*(1-Table5[[#This Row],[Discount]]))</f>
        <v>4</v>
      </c>
      <c r="G1119" s="5">
        <v>723.66</v>
      </c>
      <c r="H1119">
        <v>0.03</v>
      </c>
      <c r="I1119" t="s">
        <v>1351</v>
      </c>
      <c r="J1119" s="5">
        <v>2807.8008</v>
      </c>
    </row>
    <row r="1120" spans="1:10">
      <c r="A1120" t="s">
        <v>2469</v>
      </c>
      <c r="B1120" s="7">
        <v>45687</v>
      </c>
      <c r="C1120" t="s">
        <v>472</v>
      </c>
      <c r="D1120" t="s">
        <v>1217</v>
      </c>
      <c r="E1120" t="s">
        <v>1311</v>
      </c>
      <c r="F1120">
        <f>Table5[[#This Row],[Total_Amount]]/(G1120*(1-Table5[[#This Row],[Discount]]))</f>
        <v>1</v>
      </c>
      <c r="G1120" s="5">
        <v>724.74</v>
      </c>
      <c r="H1120">
        <v>0.15</v>
      </c>
      <c r="I1120" t="s">
        <v>1351</v>
      </c>
      <c r="J1120" s="5">
        <v>616.029</v>
      </c>
    </row>
    <row r="1121" spans="1:10">
      <c r="A1121" t="s">
        <v>2470</v>
      </c>
      <c r="B1121" s="7">
        <v>45271</v>
      </c>
      <c r="C1121" t="s">
        <v>973</v>
      </c>
      <c r="D1121" t="s">
        <v>1115</v>
      </c>
      <c r="E1121" t="s">
        <v>1294</v>
      </c>
      <c r="F1121">
        <f>Table5[[#This Row],[Total_Amount]]/(G1121*(1-Table5[[#This Row],[Discount]]))</f>
        <v>2</v>
      </c>
      <c r="G1121" s="5">
        <v>961.84</v>
      </c>
      <c r="H1121">
        <v>0.25</v>
      </c>
      <c r="I1121" t="s">
        <v>1351</v>
      </c>
      <c r="J1121" s="5">
        <v>1442.76</v>
      </c>
    </row>
    <row r="1122" spans="1:10">
      <c r="A1122" t="s">
        <v>2471</v>
      </c>
      <c r="B1122" s="7">
        <v>45446</v>
      </c>
      <c r="C1122" t="s">
        <v>69</v>
      </c>
      <c r="D1122" t="s">
        <v>1147</v>
      </c>
      <c r="E1122" t="s">
        <v>1329</v>
      </c>
      <c r="F1122">
        <f>Table5[[#This Row],[Total_Amount]]/(G1122*(1-Table5[[#This Row],[Discount]]))</f>
        <v>4</v>
      </c>
      <c r="G1122" s="5">
        <v>21.12</v>
      </c>
      <c r="H1122">
        <v>0.18</v>
      </c>
      <c r="I1122" t="s">
        <v>1354</v>
      </c>
      <c r="J1122" s="5">
        <v>69.273600000000002</v>
      </c>
    </row>
    <row r="1123" spans="1:10">
      <c r="A1123" t="s">
        <v>2472</v>
      </c>
      <c r="B1123" s="7">
        <v>45579</v>
      </c>
      <c r="C1123" t="s">
        <v>702</v>
      </c>
      <c r="D1123" t="s">
        <v>1068</v>
      </c>
      <c r="E1123" t="s">
        <v>1294</v>
      </c>
      <c r="F1123">
        <f>Table5[[#This Row],[Total_Amount]]/(G1123*(1-Table5[[#This Row],[Discount]]))</f>
        <v>3</v>
      </c>
      <c r="G1123" s="5">
        <v>819.93</v>
      </c>
      <c r="H1123">
        <v>0.08</v>
      </c>
      <c r="I1123" t="s">
        <v>1351</v>
      </c>
      <c r="J1123" s="5">
        <v>2263.0068000000001</v>
      </c>
    </row>
    <row r="1124" spans="1:10">
      <c r="A1124" t="s">
        <v>2473</v>
      </c>
      <c r="B1124" s="7">
        <v>45725</v>
      </c>
      <c r="C1124" t="s">
        <v>652</v>
      </c>
      <c r="D1124" t="s">
        <v>1157</v>
      </c>
      <c r="E1124" t="s">
        <v>1277</v>
      </c>
      <c r="F1124">
        <f>Table5[[#This Row],[Total_Amount]]/(G1124*(1-Table5[[#This Row],[Discount]]))</f>
        <v>1.9999999999999996</v>
      </c>
      <c r="G1124" s="5">
        <v>700.95</v>
      </c>
      <c r="H1124">
        <v>0.18</v>
      </c>
      <c r="I1124" t="s">
        <v>1349</v>
      </c>
      <c r="J1124" s="5">
        <v>1149.558</v>
      </c>
    </row>
    <row r="1125" spans="1:10">
      <c r="A1125" t="s">
        <v>2474</v>
      </c>
      <c r="B1125" s="7">
        <v>45910</v>
      </c>
      <c r="C1125" t="s">
        <v>343</v>
      </c>
      <c r="D1125" t="s">
        <v>1107</v>
      </c>
      <c r="E1125" t="s">
        <v>1324</v>
      </c>
      <c r="F1125">
        <f>Table5[[#This Row],[Total_Amount]]/(G1125*(1-Table5[[#This Row],[Discount]]))</f>
        <v>2</v>
      </c>
      <c r="G1125" s="5">
        <v>456.38</v>
      </c>
      <c r="H1125">
        <v>0.12</v>
      </c>
      <c r="I1125" t="s">
        <v>1349</v>
      </c>
      <c r="J1125" s="5">
        <v>803.22879999999998</v>
      </c>
    </row>
    <row r="1126" spans="1:10">
      <c r="A1126" t="s">
        <v>2475</v>
      </c>
      <c r="B1126" s="7">
        <v>45447</v>
      </c>
      <c r="C1126" t="s">
        <v>785</v>
      </c>
      <c r="D1126" t="s">
        <v>1225</v>
      </c>
      <c r="E1126" t="s">
        <v>1324</v>
      </c>
      <c r="F1126">
        <f>Table5[[#This Row],[Total_Amount]]/(G1126*(1-Table5[[#This Row],[Discount]]))</f>
        <v>3.0000000000000004</v>
      </c>
      <c r="G1126" s="5">
        <v>291.05</v>
      </c>
      <c r="H1126">
        <v>0.3</v>
      </c>
      <c r="I1126" t="s">
        <v>1349</v>
      </c>
      <c r="J1126" s="5">
        <v>611.20500000000004</v>
      </c>
    </row>
    <row r="1127" spans="1:10">
      <c r="A1127" t="s">
        <v>2476</v>
      </c>
      <c r="B1127" s="7">
        <v>45307</v>
      </c>
      <c r="C1127" t="s">
        <v>529</v>
      </c>
      <c r="D1127" t="s">
        <v>1263</v>
      </c>
      <c r="E1127" t="s">
        <v>1326</v>
      </c>
      <c r="F1127">
        <f>Table5[[#This Row],[Total_Amount]]/(G1127*(1-Table5[[#This Row],[Discount]]))</f>
        <v>2</v>
      </c>
      <c r="G1127" s="5">
        <v>463.52</v>
      </c>
      <c r="H1127">
        <v>0.27</v>
      </c>
      <c r="I1127" t="s">
        <v>1351</v>
      </c>
      <c r="J1127" s="5">
        <v>676.73919999999998</v>
      </c>
    </row>
    <row r="1128" spans="1:10">
      <c r="A1128" t="s">
        <v>2477</v>
      </c>
      <c r="B1128" s="7">
        <v>45653</v>
      </c>
      <c r="C1128" t="s">
        <v>821</v>
      </c>
      <c r="D1128" t="s">
        <v>1068</v>
      </c>
      <c r="E1128" t="s">
        <v>1332</v>
      </c>
      <c r="F1128">
        <f>Table5[[#This Row],[Total_Amount]]/(G1128*(1-Table5[[#This Row],[Discount]]))</f>
        <v>3</v>
      </c>
      <c r="G1128" s="5">
        <v>241.64</v>
      </c>
      <c r="H1128">
        <v>0.28999999999999998</v>
      </c>
      <c r="I1128" t="s">
        <v>1351</v>
      </c>
      <c r="J1128" s="5">
        <v>514.69319999999993</v>
      </c>
    </row>
    <row r="1129" spans="1:10">
      <c r="A1129" t="s">
        <v>2478</v>
      </c>
      <c r="B1129" s="7">
        <v>45817</v>
      </c>
      <c r="C1129" t="s">
        <v>1028</v>
      </c>
      <c r="D1129" t="s">
        <v>1133</v>
      </c>
      <c r="E1129" t="s">
        <v>1314</v>
      </c>
      <c r="F1129">
        <f>Table5[[#This Row],[Total_Amount]]/(G1129*(1-Table5[[#This Row],[Discount]]))</f>
        <v>2</v>
      </c>
      <c r="G1129" s="5">
        <v>47.86</v>
      </c>
      <c r="H1129">
        <v>0.03</v>
      </c>
      <c r="I1129" t="s">
        <v>1351</v>
      </c>
      <c r="J1129" s="5">
        <v>92.848399999999998</v>
      </c>
    </row>
    <row r="1130" spans="1:10">
      <c r="A1130" t="s">
        <v>2479</v>
      </c>
      <c r="B1130" s="7">
        <v>45509</v>
      </c>
      <c r="C1130" t="s">
        <v>752</v>
      </c>
      <c r="D1130" t="s">
        <v>1257</v>
      </c>
      <c r="E1130" t="s">
        <v>1291</v>
      </c>
      <c r="F1130">
        <f>Table5[[#This Row],[Total_Amount]]/(G1130*(1-Table5[[#This Row],[Discount]]))</f>
        <v>1</v>
      </c>
      <c r="G1130" s="5">
        <v>805.07</v>
      </c>
      <c r="H1130">
        <v>0.06</v>
      </c>
      <c r="I1130" t="s">
        <v>1354</v>
      </c>
      <c r="J1130" s="5">
        <v>756.76580000000001</v>
      </c>
    </row>
    <row r="1131" spans="1:10">
      <c r="A1131" t="s">
        <v>2480</v>
      </c>
      <c r="B1131" s="7">
        <v>45753</v>
      </c>
      <c r="C1131" t="s">
        <v>809</v>
      </c>
      <c r="D1131" t="s">
        <v>1141</v>
      </c>
      <c r="E1131" t="s">
        <v>1282</v>
      </c>
      <c r="F1131">
        <f>Table5[[#This Row],[Total_Amount]]/(G1131*(1-Table5[[#This Row],[Discount]]))</f>
        <v>3</v>
      </c>
      <c r="G1131" s="5">
        <v>848.48</v>
      </c>
      <c r="H1131">
        <v>0</v>
      </c>
      <c r="I1131" t="s">
        <v>1354</v>
      </c>
      <c r="J1131" s="5">
        <v>2545.44</v>
      </c>
    </row>
    <row r="1132" spans="1:10">
      <c r="A1132" t="s">
        <v>2481</v>
      </c>
      <c r="B1132" s="7">
        <v>45512</v>
      </c>
      <c r="C1132" t="s">
        <v>551</v>
      </c>
      <c r="D1132" t="s">
        <v>1179</v>
      </c>
      <c r="E1132" t="s">
        <v>1307</v>
      </c>
      <c r="F1132">
        <f>Table5[[#This Row],[Total_Amount]]/(G1132*(1-Table5[[#This Row],[Discount]]))</f>
        <v>2</v>
      </c>
      <c r="G1132" s="5">
        <v>568.95000000000005</v>
      </c>
      <c r="H1132">
        <v>0.22</v>
      </c>
      <c r="I1132" t="s">
        <v>1349</v>
      </c>
      <c r="J1132" s="5">
        <v>887.56200000000013</v>
      </c>
    </row>
    <row r="1133" spans="1:10">
      <c r="A1133" t="s">
        <v>2482</v>
      </c>
      <c r="B1133" s="7">
        <v>45764</v>
      </c>
      <c r="C1133" t="s">
        <v>385</v>
      </c>
      <c r="D1133" t="s">
        <v>1179</v>
      </c>
      <c r="E1133" t="s">
        <v>1317</v>
      </c>
      <c r="F1133">
        <f>Table5[[#This Row],[Total_Amount]]/(G1133*(1-Table5[[#This Row],[Discount]]))</f>
        <v>3.0000000000000004</v>
      </c>
      <c r="G1133" s="5">
        <v>269.83999999999997</v>
      </c>
      <c r="H1133">
        <v>0.05</v>
      </c>
      <c r="I1133" t="s">
        <v>1351</v>
      </c>
      <c r="J1133" s="5">
        <v>769.04399999999998</v>
      </c>
    </row>
    <row r="1134" spans="1:10">
      <c r="A1134" t="s">
        <v>2483</v>
      </c>
      <c r="B1134" s="7">
        <v>45746</v>
      </c>
      <c r="C1134" t="s">
        <v>682</v>
      </c>
      <c r="D1134" t="s">
        <v>1197</v>
      </c>
      <c r="E1134" t="s">
        <v>1322</v>
      </c>
      <c r="F1134">
        <f>Table5[[#This Row],[Total_Amount]]/(G1134*(1-Table5[[#This Row],[Discount]]))</f>
        <v>4</v>
      </c>
      <c r="G1134" s="5">
        <v>267.36</v>
      </c>
      <c r="H1134">
        <v>0.27</v>
      </c>
      <c r="I1134" t="s">
        <v>1351</v>
      </c>
      <c r="J1134" s="5">
        <v>780.69119999999998</v>
      </c>
    </row>
    <row r="1135" spans="1:10">
      <c r="A1135" t="s">
        <v>2484</v>
      </c>
      <c r="B1135" s="7">
        <v>45647</v>
      </c>
      <c r="C1135" t="s">
        <v>288</v>
      </c>
      <c r="D1135" t="s">
        <v>1147</v>
      </c>
      <c r="E1135" t="s">
        <v>1282</v>
      </c>
      <c r="F1135">
        <f>Table5[[#This Row],[Total_Amount]]/(G1135*(1-Table5[[#This Row],[Discount]]))</f>
        <v>1.0000000000000002</v>
      </c>
      <c r="G1135" s="5">
        <v>438.41</v>
      </c>
      <c r="H1135">
        <v>0.09</v>
      </c>
      <c r="I1135" t="s">
        <v>1349</v>
      </c>
      <c r="J1135" s="5">
        <v>398.95310000000012</v>
      </c>
    </row>
    <row r="1136" spans="1:10">
      <c r="A1136" t="s">
        <v>2485</v>
      </c>
      <c r="B1136" s="7">
        <v>45443</v>
      </c>
      <c r="C1136" t="s">
        <v>389</v>
      </c>
      <c r="D1136" t="s">
        <v>1175</v>
      </c>
      <c r="E1136" t="s">
        <v>1335</v>
      </c>
      <c r="F1136">
        <f>Table5[[#This Row],[Total_Amount]]/(G1136*(1-Table5[[#This Row],[Discount]]))</f>
        <v>2.0000000000000004</v>
      </c>
      <c r="G1136" s="5">
        <v>86.72</v>
      </c>
      <c r="H1136">
        <v>0.28000000000000003</v>
      </c>
      <c r="I1136" t="s">
        <v>1354</v>
      </c>
      <c r="J1136" s="5">
        <v>124.8768</v>
      </c>
    </row>
    <row r="1137" spans="1:10">
      <c r="A1137" t="s">
        <v>2486</v>
      </c>
      <c r="B1137" s="7">
        <v>45722</v>
      </c>
      <c r="C1137" t="s">
        <v>913</v>
      </c>
      <c r="D1137" t="s">
        <v>1251</v>
      </c>
      <c r="E1137" t="s">
        <v>1301</v>
      </c>
      <c r="F1137">
        <f>Table5[[#This Row],[Total_Amount]]/(G1137*(1-Table5[[#This Row],[Discount]]))</f>
        <v>4</v>
      </c>
      <c r="G1137" s="5">
        <v>630.21</v>
      </c>
      <c r="H1137">
        <v>0.14000000000000001</v>
      </c>
      <c r="I1137" t="s">
        <v>1354</v>
      </c>
      <c r="J1137" s="5">
        <v>2167.9223999999999</v>
      </c>
    </row>
    <row r="1138" spans="1:10">
      <c r="A1138" t="s">
        <v>2487</v>
      </c>
      <c r="B1138" s="7">
        <v>45575</v>
      </c>
      <c r="C1138" t="s">
        <v>781</v>
      </c>
      <c r="D1138" t="s">
        <v>1191</v>
      </c>
      <c r="E1138" t="s">
        <v>1301</v>
      </c>
      <c r="F1138">
        <f>Table5[[#This Row],[Total_Amount]]/(G1138*(1-Table5[[#This Row],[Discount]]))</f>
        <v>3</v>
      </c>
      <c r="G1138" s="5">
        <v>180.84</v>
      </c>
      <c r="H1138">
        <v>0.03</v>
      </c>
      <c r="I1138" t="s">
        <v>1351</v>
      </c>
      <c r="J1138" s="5">
        <v>526.24439999999993</v>
      </c>
    </row>
    <row r="1139" spans="1:10">
      <c r="A1139" t="s">
        <v>2488</v>
      </c>
      <c r="B1139" s="7">
        <v>45441</v>
      </c>
      <c r="C1139" t="s">
        <v>23</v>
      </c>
      <c r="D1139" t="s">
        <v>1201</v>
      </c>
      <c r="E1139" t="s">
        <v>1329</v>
      </c>
      <c r="F1139">
        <f>Table5[[#This Row],[Total_Amount]]/(G1139*(1-Table5[[#This Row],[Discount]]))</f>
        <v>1</v>
      </c>
      <c r="G1139" s="5">
        <v>453.41</v>
      </c>
      <c r="H1139">
        <v>0.04</v>
      </c>
      <c r="I1139" t="s">
        <v>1354</v>
      </c>
      <c r="J1139" s="5">
        <v>435.27359999999999</v>
      </c>
    </row>
    <row r="1140" spans="1:10">
      <c r="A1140" t="s">
        <v>2489</v>
      </c>
      <c r="B1140" s="7">
        <v>45940</v>
      </c>
      <c r="C1140" t="s">
        <v>79</v>
      </c>
      <c r="D1140" t="s">
        <v>1175</v>
      </c>
      <c r="E1140" t="s">
        <v>1301</v>
      </c>
      <c r="F1140">
        <f>Table5[[#This Row],[Total_Amount]]/(G1140*(1-Table5[[#This Row],[Discount]]))</f>
        <v>1</v>
      </c>
      <c r="G1140" s="5">
        <v>629.09</v>
      </c>
      <c r="H1140">
        <v>0.02</v>
      </c>
      <c r="I1140" t="s">
        <v>1349</v>
      </c>
      <c r="J1140" s="5">
        <v>616.50819999999999</v>
      </c>
    </row>
    <row r="1141" spans="1:10">
      <c r="A1141" t="s">
        <v>2490</v>
      </c>
      <c r="B1141" s="7">
        <v>45518</v>
      </c>
      <c r="C1141" t="s">
        <v>75</v>
      </c>
      <c r="D1141" t="s">
        <v>1227</v>
      </c>
      <c r="E1141" t="s">
        <v>1286</v>
      </c>
      <c r="F1141">
        <f>Table5[[#This Row],[Total_Amount]]/(G1141*(1-Table5[[#This Row],[Discount]]))</f>
        <v>2</v>
      </c>
      <c r="G1141" s="5">
        <v>257.45</v>
      </c>
      <c r="H1141">
        <v>0</v>
      </c>
      <c r="I1141" t="s">
        <v>1354</v>
      </c>
      <c r="J1141" s="5">
        <v>514.9</v>
      </c>
    </row>
    <row r="1142" spans="1:10">
      <c r="A1142" t="s">
        <v>2491</v>
      </c>
      <c r="B1142" s="7">
        <v>45861</v>
      </c>
      <c r="C1142" t="s">
        <v>420</v>
      </c>
      <c r="D1142" t="s">
        <v>1141</v>
      </c>
      <c r="E1142" t="s">
        <v>1326</v>
      </c>
      <c r="F1142">
        <f>Table5[[#This Row],[Total_Amount]]/(G1142*(1-Table5[[#This Row],[Discount]]))</f>
        <v>2</v>
      </c>
      <c r="G1142" s="5">
        <v>696.61</v>
      </c>
      <c r="H1142">
        <v>0.17</v>
      </c>
      <c r="I1142" t="s">
        <v>1351</v>
      </c>
      <c r="J1142" s="5">
        <v>1156.3725999999999</v>
      </c>
    </row>
    <row r="1143" spans="1:10">
      <c r="A1143" t="s">
        <v>2492</v>
      </c>
      <c r="B1143" s="7">
        <v>45416</v>
      </c>
      <c r="C1143" t="s">
        <v>809</v>
      </c>
      <c r="D1143" t="s">
        <v>1165</v>
      </c>
      <c r="E1143" t="s">
        <v>1304</v>
      </c>
      <c r="F1143">
        <f>Table5[[#This Row],[Total_Amount]]/(G1143*(1-Table5[[#This Row],[Discount]]))</f>
        <v>2</v>
      </c>
      <c r="G1143" s="5">
        <v>143.79</v>
      </c>
      <c r="H1143">
        <v>0.1</v>
      </c>
      <c r="I1143" t="s">
        <v>1351</v>
      </c>
      <c r="J1143" s="5">
        <v>258.822</v>
      </c>
    </row>
    <row r="1144" spans="1:10">
      <c r="A1144" t="s">
        <v>2493</v>
      </c>
      <c r="B1144" s="7">
        <v>45608</v>
      </c>
      <c r="C1144" t="s">
        <v>656</v>
      </c>
      <c r="D1144" t="s">
        <v>1239</v>
      </c>
      <c r="E1144" t="s">
        <v>1282</v>
      </c>
      <c r="F1144">
        <f>Table5[[#This Row],[Total_Amount]]/(G1144*(1-Table5[[#This Row],[Discount]]))</f>
        <v>2.9999999999999996</v>
      </c>
      <c r="G1144" s="5">
        <v>460.93</v>
      </c>
      <c r="H1144">
        <v>0.19</v>
      </c>
      <c r="I1144" t="s">
        <v>1354</v>
      </c>
      <c r="J1144" s="5">
        <v>1120.0599</v>
      </c>
    </row>
    <row r="1145" spans="1:10">
      <c r="A1145" t="s">
        <v>2494</v>
      </c>
      <c r="B1145" s="7">
        <v>45301</v>
      </c>
      <c r="C1145" t="s">
        <v>1059</v>
      </c>
      <c r="D1145" t="s">
        <v>1129</v>
      </c>
      <c r="E1145" t="s">
        <v>1311</v>
      </c>
      <c r="F1145">
        <f>Table5[[#This Row],[Total_Amount]]/(G1145*(1-Table5[[#This Row],[Discount]]))</f>
        <v>2</v>
      </c>
      <c r="G1145" s="5">
        <v>67.55</v>
      </c>
      <c r="H1145">
        <v>0.03</v>
      </c>
      <c r="I1145" t="s">
        <v>1349</v>
      </c>
      <c r="J1145" s="5">
        <v>131.047</v>
      </c>
    </row>
    <row r="1146" spans="1:10">
      <c r="A1146" t="s">
        <v>2495</v>
      </c>
      <c r="B1146" s="7">
        <v>45433</v>
      </c>
      <c r="C1146" t="s">
        <v>482</v>
      </c>
      <c r="D1146" t="s">
        <v>1171</v>
      </c>
      <c r="E1146" t="s">
        <v>1282</v>
      </c>
      <c r="F1146">
        <f>Table5[[#This Row],[Total_Amount]]/(G1146*(1-Table5[[#This Row],[Discount]]))</f>
        <v>3</v>
      </c>
      <c r="G1146" s="5">
        <v>803.31</v>
      </c>
      <c r="H1146">
        <v>0.1</v>
      </c>
      <c r="I1146" t="s">
        <v>1351</v>
      </c>
      <c r="J1146" s="5">
        <v>2168.9369999999999</v>
      </c>
    </row>
    <row r="1147" spans="1:10">
      <c r="A1147" t="s">
        <v>2496</v>
      </c>
      <c r="B1147" s="7">
        <v>45821</v>
      </c>
      <c r="C1147" t="s">
        <v>927</v>
      </c>
      <c r="D1147" t="s">
        <v>1105</v>
      </c>
      <c r="E1147" t="s">
        <v>1322</v>
      </c>
      <c r="F1147">
        <f>Table5[[#This Row],[Total_Amount]]/(G1147*(1-Table5[[#This Row],[Discount]]))</f>
        <v>4</v>
      </c>
      <c r="G1147" s="5">
        <v>254.71</v>
      </c>
      <c r="H1147">
        <v>0.2</v>
      </c>
      <c r="I1147" t="s">
        <v>1354</v>
      </c>
      <c r="J1147" s="5">
        <v>815.07200000000012</v>
      </c>
    </row>
    <row r="1148" spans="1:10">
      <c r="A1148" t="s">
        <v>2497</v>
      </c>
      <c r="B1148" s="7">
        <v>45508</v>
      </c>
      <c r="C1148" t="s">
        <v>145</v>
      </c>
      <c r="D1148" t="s">
        <v>1173</v>
      </c>
      <c r="E1148" t="s">
        <v>1294</v>
      </c>
      <c r="F1148">
        <f>Table5[[#This Row],[Total_Amount]]/(G1148*(1-Table5[[#This Row],[Discount]]))</f>
        <v>4.0000000000000009</v>
      </c>
      <c r="G1148" s="5">
        <v>594.89</v>
      </c>
      <c r="H1148">
        <v>0.3</v>
      </c>
      <c r="I1148" t="s">
        <v>1351</v>
      </c>
      <c r="J1148" s="5">
        <v>1665.692</v>
      </c>
    </row>
    <row r="1149" spans="1:10">
      <c r="A1149" t="s">
        <v>2498</v>
      </c>
      <c r="B1149" s="7">
        <v>45854</v>
      </c>
      <c r="C1149" t="s">
        <v>500</v>
      </c>
      <c r="D1149" t="s">
        <v>1255</v>
      </c>
      <c r="E1149" t="s">
        <v>1277</v>
      </c>
      <c r="F1149">
        <f>Table5[[#This Row],[Total_Amount]]/(G1149*(1-Table5[[#This Row],[Discount]]))</f>
        <v>2.0000000000000004</v>
      </c>
      <c r="G1149" s="5">
        <v>844.31</v>
      </c>
      <c r="H1149">
        <v>7.0000000000000007E-2</v>
      </c>
      <c r="I1149" t="s">
        <v>1351</v>
      </c>
      <c r="J1149" s="5">
        <v>1570.4166</v>
      </c>
    </row>
    <row r="1150" spans="1:10">
      <c r="A1150" t="s">
        <v>2499</v>
      </c>
      <c r="B1150" s="7">
        <v>45569</v>
      </c>
      <c r="C1150" t="s">
        <v>329</v>
      </c>
      <c r="D1150" t="s">
        <v>1103</v>
      </c>
      <c r="E1150" t="s">
        <v>1301</v>
      </c>
      <c r="F1150">
        <f>Table5[[#This Row],[Total_Amount]]/(G1150*(1-Table5[[#This Row],[Discount]]))</f>
        <v>4</v>
      </c>
      <c r="G1150" s="5">
        <v>101.33</v>
      </c>
      <c r="H1150">
        <v>0</v>
      </c>
      <c r="I1150" t="s">
        <v>1349</v>
      </c>
      <c r="J1150" s="5">
        <v>405.32</v>
      </c>
    </row>
    <row r="1151" spans="1:10">
      <c r="A1151" t="s">
        <v>2500</v>
      </c>
      <c r="B1151" s="7">
        <v>45824</v>
      </c>
      <c r="C1151" t="s">
        <v>323</v>
      </c>
      <c r="D1151" t="s">
        <v>1125</v>
      </c>
      <c r="E1151" t="s">
        <v>1307</v>
      </c>
      <c r="F1151">
        <f>Table5[[#This Row],[Total_Amount]]/(G1151*(1-Table5[[#This Row],[Discount]]))</f>
        <v>3.0000000000000004</v>
      </c>
      <c r="G1151" s="5">
        <v>922.56</v>
      </c>
      <c r="H1151">
        <v>0.18</v>
      </c>
      <c r="I1151" t="s">
        <v>1351</v>
      </c>
      <c r="J1151" s="5">
        <v>2269.4976000000001</v>
      </c>
    </row>
    <row r="1152" spans="1:10">
      <c r="A1152" t="s">
        <v>2501</v>
      </c>
      <c r="B1152" s="7">
        <v>45352</v>
      </c>
      <c r="C1152" t="s">
        <v>927</v>
      </c>
      <c r="D1152" t="s">
        <v>1149</v>
      </c>
      <c r="E1152" t="s">
        <v>1324</v>
      </c>
      <c r="F1152">
        <f>Table5[[#This Row],[Total_Amount]]/(G1152*(1-Table5[[#This Row],[Discount]]))</f>
        <v>4</v>
      </c>
      <c r="G1152" s="5">
        <v>867.19</v>
      </c>
      <c r="H1152">
        <v>7.0000000000000007E-2</v>
      </c>
      <c r="I1152" t="s">
        <v>1354</v>
      </c>
      <c r="J1152" s="5">
        <v>3225.9468000000002</v>
      </c>
    </row>
    <row r="1153" spans="1:10">
      <c r="A1153" t="s">
        <v>2502</v>
      </c>
      <c r="B1153" s="7">
        <v>45454</v>
      </c>
      <c r="C1153" t="s">
        <v>30</v>
      </c>
      <c r="D1153" t="s">
        <v>1239</v>
      </c>
      <c r="E1153" t="s">
        <v>1332</v>
      </c>
      <c r="F1153">
        <f>Table5[[#This Row],[Total_Amount]]/(G1153*(1-Table5[[#This Row],[Discount]]))</f>
        <v>3.0000000000000004</v>
      </c>
      <c r="G1153" s="5">
        <v>816.87</v>
      </c>
      <c r="H1153">
        <v>0.14000000000000001</v>
      </c>
      <c r="I1153" t="s">
        <v>1351</v>
      </c>
      <c r="J1153" s="5">
        <v>2107.5246000000002</v>
      </c>
    </row>
    <row r="1154" spans="1:10">
      <c r="A1154" t="s">
        <v>2503</v>
      </c>
      <c r="B1154" s="7">
        <v>45924</v>
      </c>
      <c r="C1154" t="s">
        <v>1022</v>
      </c>
      <c r="D1154" t="s">
        <v>1203</v>
      </c>
      <c r="E1154" t="s">
        <v>1291</v>
      </c>
      <c r="F1154">
        <f>Table5[[#This Row],[Total_Amount]]/(G1154*(1-Table5[[#This Row],[Discount]]))</f>
        <v>3</v>
      </c>
      <c r="G1154" s="5">
        <v>258.06</v>
      </c>
      <c r="H1154">
        <v>0</v>
      </c>
      <c r="I1154" t="s">
        <v>1351</v>
      </c>
      <c r="J1154" s="5">
        <v>774.18000000000006</v>
      </c>
    </row>
    <row r="1155" spans="1:10">
      <c r="A1155" t="s">
        <v>2504</v>
      </c>
      <c r="B1155" s="7">
        <v>45694</v>
      </c>
      <c r="C1155" t="s">
        <v>688</v>
      </c>
      <c r="D1155" t="s">
        <v>1149</v>
      </c>
      <c r="E1155" t="s">
        <v>1324</v>
      </c>
      <c r="F1155">
        <f>Table5[[#This Row],[Total_Amount]]/(G1155*(1-Table5[[#This Row],[Discount]]))</f>
        <v>2</v>
      </c>
      <c r="G1155" s="5">
        <v>574.58000000000004</v>
      </c>
      <c r="H1155">
        <v>0.06</v>
      </c>
      <c r="I1155" t="s">
        <v>1349</v>
      </c>
      <c r="J1155" s="5">
        <v>1080.2103999999999</v>
      </c>
    </row>
    <row r="1156" spans="1:10">
      <c r="A1156" t="s">
        <v>2505</v>
      </c>
      <c r="B1156" s="7">
        <v>45587</v>
      </c>
      <c r="C1156" t="s">
        <v>75</v>
      </c>
      <c r="D1156" t="s">
        <v>1239</v>
      </c>
      <c r="E1156" t="s">
        <v>1301</v>
      </c>
      <c r="F1156">
        <f>Table5[[#This Row],[Total_Amount]]/(G1156*(1-Table5[[#This Row],[Discount]]))</f>
        <v>2</v>
      </c>
      <c r="G1156" s="5">
        <v>472.18</v>
      </c>
      <c r="H1156">
        <v>0.27</v>
      </c>
      <c r="I1156" t="s">
        <v>1351</v>
      </c>
      <c r="J1156" s="5">
        <v>689.38279999999997</v>
      </c>
    </row>
    <row r="1157" spans="1:10">
      <c r="A1157" t="s">
        <v>2506</v>
      </c>
      <c r="B1157" s="7">
        <v>45556</v>
      </c>
      <c r="C1157" t="s">
        <v>744</v>
      </c>
      <c r="D1157" t="s">
        <v>1155</v>
      </c>
      <c r="E1157" t="s">
        <v>1298</v>
      </c>
      <c r="F1157">
        <f>Table5[[#This Row],[Total_Amount]]/(G1157*(1-Table5[[#This Row],[Discount]]))</f>
        <v>2</v>
      </c>
      <c r="G1157" s="5">
        <v>20.47</v>
      </c>
      <c r="H1157">
        <v>0.12</v>
      </c>
      <c r="I1157" t="s">
        <v>1354</v>
      </c>
      <c r="J1157" s="5">
        <v>36.027200000000001</v>
      </c>
    </row>
    <row r="1158" spans="1:10">
      <c r="A1158" t="s">
        <v>2507</v>
      </c>
      <c r="B1158" s="7">
        <v>45923</v>
      </c>
      <c r="C1158" t="s">
        <v>77</v>
      </c>
      <c r="D1158" t="s">
        <v>1117</v>
      </c>
      <c r="E1158" t="s">
        <v>1304</v>
      </c>
      <c r="F1158">
        <f>Table5[[#This Row],[Total_Amount]]/(G1158*(1-Table5[[#This Row],[Discount]]))</f>
        <v>2.9999999999999996</v>
      </c>
      <c r="G1158" s="5">
        <v>235.41</v>
      </c>
      <c r="H1158">
        <v>0.15</v>
      </c>
      <c r="I1158" t="s">
        <v>1351</v>
      </c>
      <c r="J1158" s="5">
        <v>600.29549999999995</v>
      </c>
    </row>
    <row r="1159" spans="1:10">
      <c r="A1159" t="s">
        <v>2508</v>
      </c>
      <c r="B1159" s="7">
        <v>45811</v>
      </c>
      <c r="C1159" t="s">
        <v>523</v>
      </c>
      <c r="D1159" t="s">
        <v>1229</v>
      </c>
      <c r="E1159" t="s">
        <v>1304</v>
      </c>
      <c r="F1159">
        <f>Table5[[#This Row],[Total_Amount]]/(G1159*(1-Table5[[#This Row],[Discount]]))</f>
        <v>3</v>
      </c>
      <c r="G1159" s="5">
        <v>744.9</v>
      </c>
      <c r="H1159">
        <v>0.27</v>
      </c>
      <c r="I1159" t="s">
        <v>1351</v>
      </c>
      <c r="J1159" s="5">
        <v>1631.3309999999999</v>
      </c>
    </row>
    <row r="1160" spans="1:10">
      <c r="A1160" t="s">
        <v>2509</v>
      </c>
      <c r="B1160" s="7">
        <v>45559</v>
      </c>
      <c r="C1160" t="s">
        <v>135</v>
      </c>
      <c r="D1160" t="s">
        <v>1109</v>
      </c>
      <c r="E1160" t="s">
        <v>1291</v>
      </c>
      <c r="F1160">
        <f>Table5[[#This Row],[Total_Amount]]/(G1160*(1-Table5[[#This Row],[Discount]]))</f>
        <v>2</v>
      </c>
      <c r="G1160" s="5">
        <v>382.2</v>
      </c>
      <c r="H1160">
        <v>0.15</v>
      </c>
      <c r="I1160" t="s">
        <v>1349</v>
      </c>
      <c r="J1160" s="5">
        <v>649.74</v>
      </c>
    </row>
    <row r="1161" spans="1:10">
      <c r="A1161" t="s">
        <v>2510</v>
      </c>
      <c r="B1161" s="7">
        <v>45881</v>
      </c>
      <c r="C1161" t="s">
        <v>756</v>
      </c>
      <c r="D1161" t="s">
        <v>1253</v>
      </c>
      <c r="E1161" t="s">
        <v>1329</v>
      </c>
      <c r="F1161">
        <f>Table5[[#This Row],[Total_Amount]]/(G1161*(1-Table5[[#This Row],[Discount]]))</f>
        <v>1</v>
      </c>
      <c r="G1161" s="5">
        <v>269.25</v>
      </c>
      <c r="H1161">
        <v>0.14000000000000001</v>
      </c>
      <c r="I1161" t="s">
        <v>1351</v>
      </c>
      <c r="J1161" s="5">
        <v>231.55500000000001</v>
      </c>
    </row>
    <row r="1162" spans="1:10">
      <c r="A1162" t="s">
        <v>2511</v>
      </c>
      <c r="B1162" s="7">
        <v>45367</v>
      </c>
      <c r="C1162" t="s">
        <v>793</v>
      </c>
      <c r="D1162" t="s">
        <v>1133</v>
      </c>
      <c r="E1162" t="s">
        <v>1317</v>
      </c>
      <c r="F1162">
        <f>Table5[[#This Row],[Total_Amount]]/(G1162*(1-Table5[[#This Row],[Discount]]))</f>
        <v>2</v>
      </c>
      <c r="G1162" s="5">
        <v>723.75</v>
      </c>
      <c r="H1162">
        <v>0.03</v>
      </c>
      <c r="I1162" t="s">
        <v>1351</v>
      </c>
      <c r="J1162" s="5">
        <v>1404.075</v>
      </c>
    </row>
    <row r="1163" spans="1:10">
      <c r="A1163" t="s">
        <v>2512</v>
      </c>
      <c r="B1163" s="7">
        <v>45832</v>
      </c>
      <c r="C1163" t="s">
        <v>626</v>
      </c>
      <c r="D1163" t="s">
        <v>1111</v>
      </c>
      <c r="E1163" t="s">
        <v>1338</v>
      </c>
      <c r="F1163">
        <f>Table5[[#This Row],[Total_Amount]]/(G1163*(1-Table5[[#This Row],[Discount]]))</f>
        <v>3.9999999999999996</v>
      </c>
      <c r="G1163" s="5">
        <v>58.92</v>
      </c>
      <c r="H1163">
        <v>0.18</v>
      </c>
      <c r="I1163" t="s">
        <v>1349</v>
      </c>
      <c r="J1163" s="5">
        <v>193.2576</v>
      </c>
    </row>
    <row r="1164" spans="1:10">
      <c r="A1164" t="s">
        <v>2513</v>
      </c>
      <c r="B1164" s="7">
        <v>45438</v>
      </c>
      <c r="C1164" t="s">
        <v>438</v>
      </c>
      <c r="D1164" t="s">
        <v>1215</v>
      </c>
      <c r="E1164" t="s">
        <v>1314</v>
      </c>
      <c r="F1164">
        <f>Table5[[#This Row],[Total_Amount]]/(G1164*(1-Table5[[#This Row],[Discount]]))</f>
        <v>2</v>
      </c>
      <c r="G1164" s="5">
        <v>913.08</v>
      </c>
      <c r="H1164">
        <v>0.26</v>
      </c>
      <c r="I1164" t="s">
        <v>1349</v>
      </c>
      <c r="J1164" s="5">
        <v>1351.3584000000001</v>
      </c>
    </row>
    <row r="1165" spans="1:10">
      <c r="A1165" t="s">
        <v>2514</v>
      </c>
      <c r="B1165" s="7">
        <v>45691</v>
      </c>
      <c r="C1165" t="s">
        <v>547</v>
      </c>
      <c r="D1165" t="s">
        <v>1235</v>
      </c>
      <c r="E1165" t="s">
        <v>1282</v>
      </c>
      <c r="F1165">
        <f>Table5[[#This Row],[Total_Amount]]/(G1165*(1-Table5[[#This Row],[Discount]]))</f>
        <v>1</v>
      </c>
      <c r="G1165" s="5">
        <v>791.83</v>
      </c>
      <c r="H1165">
        <v>0.28000000000000003</v>
      </c>
      <c r="I1165" t="s">
        <v>1351</v>
      </c>
      <c r="J1165" s="5">
        <v>570.11760000000004</v>
      </c>
    </row>
    <row r="1166" spans="1:10">
      <c r="A1166" t="s">
        <v>2515</v>
      </c>
      <c r="B1166" s="7">
        <v>45506</v>
      </c>
      <c r="C1166" t="s">
        <v>1004</v>
      </c>
      <c r="D1166" t="s">
        <v>1076</v>
      </c>
      <c r="E1166" t="s">
        <v>1326</v>
      </c>
      <c r="F1166">
        <f>Table5[[#This Row],[Total_Amount]]/(G1166*(1-Table5[[#This Row],[Discount]]))</f>
        <v>1</v>
      </c>
      <c r="G1166" s="5">
        <v>74.290000000000006</v>
      </c>
      <c r="H1166">
        <v>0.3</v>
      </c>
      <c r="I1166" t="s">
        <v>1354</v>
      </c>
      <c r="J1166" s="5">
        <v>52.003</v>
      </c>
    </row>
    <row r="1167" spans="1:10">
      <c r="A1167" t="s">
        <v>2516</v>
      </c>
      <c r="B1167" s="7">
        <v>45251</v>
      </c>
      <c r="C1167" t="s">
        <v>549</v>
      </c>
      <c r="D1167" t="s">
        <v>1143</v>
      </c>
      <c r="E1167" t="s">
        <v>1277</v>
      </c>
      <c r="F1167">
        <f>Table5[[#This Row],[Total_Amount]]/(G1167*(1-Table5[[#This Row],[Discount]]))</f>
        <v>2</v>
      </c>
      <c r="G1167" s="5">
        <v>961.68</v>
      </c>
      <c r="H1167">
        <v>0.27</v>
      </c>
      <c r="I1167" t="s">
        <v>1351</v>
      </c>
      <c r="J1167" s="5">
        <v>1404.0527999999999</v>
      </c>
    </row>
    <row r="1168" spans="1:10">
      <c r="A1168" t="s">
        <v>2517</v>
      </c>
      <c r="B1168" s="7">
        <v>45722</v>
      </c>
      <c r="C1168" t="s">
        <v>1049</v>
      </c>
      <c r="D1168" t="s">
        <v>1111</v>
      </c>
      <c r="E1168" t="s">
        <v>1324</v>
      </c>
      <c r="F1168">
        <f>Table5[[#This Row],[Total_Amount]]/(G1168*(1-Table5[[#This Row],[Discount]]))</f>
        <v>1</v>
      </c>
      <c r="G1168" s="5">
        <v>90.72</v>
      </c>
      <c r="H1168">
        <v>0.1</v>
      </c>
      <c r="I1168" t="s">
        <v>1351</v>
      </c>
      <c r="J1168" s="5">
        <v>81.647999999999996</v>
      </c>
    </row>
    <row r="1169" spans="1:10">
      <c r="A1169" t="s">
        <v>2518</v>
      </c>
      <c r="B1169" s="7">
        <v>45689</v>
      </c>
      <c r="C1169" t="s">
        <v>166</v>
      </c>
      <c r="D1169" t="s">
        <v>1189</v>
      </c>
      <c r="E1169" t="s">
        <v>1304</v>
      </c>
      <c r="F1169">
        <f>Table5[[#This Row],[Total_Amount]]/(G1169*(1-Table5[[#This Row],[Discount]]))</f>
        <v>1</v>
      </c>
      <c r="G1169" s="5">
        <v>458.69</v>
      </c>
      <c r="H1169">
        <v>0.16</v>
      </c>
      <c r="I1169" t="s">
        <v>1351</v>
      </c>
      <c r="J1169" s="5">
        <v>385.2996</v>
      </c>
    </row>
    <row r="1170" spans="1:10">
      <c r="A1170" t="s">
        <v>2519</v>
      </c>
      <c r="B1170" s="7">
        <v>45346</v>
      </c>
      <c r="C1170" t="s">
        <v>525</v>
      </c>
      <c r="D1170" t="s">
        <v>1141</v>
      </c>
      <c r="E1170" t="s">
        <v>1304</v>
      </c>
      <c r="F1170">
        <f>Table5[[#This Row],[Total_Amount]]/(G1170*(1-Table5[[#This Row],[Discount]]))</f>
        <v>1</v>
      </c>
      <c r="G1170" s="5">
        <v>168.29</v>
      </c>
      <c r="H1170">
        <v>0.05</v>
      </c>
      <c r="I1170" t="s">
        <v>1351</v>
      </c>
      <c r="J1170" s="5">
        <v>159.87549999999999</v>
      </c>
    </row>
    <row r="1171" spans="1:10">
      <c r="A1171" t="s">
        <v>2520</v>
      </c>
      <c r="B1171" s="7">
        <v>45549</v>
      </c>
      <c r="C1171" t="s">
        <v>484</v>
      </c>
      <c r="D1171" t="s">
        <v>1107</v>
      </c>
      <c r="E1171" t="s">
        <v>1332</v>
      </c>
      <c r="F1171">
        <f>Table5[[#This Row],[Total_Amount]]/(G1171*(1-Table5[[#This Row],[Discount]]))</f>
        <v>1</v>
      </c>
      <c r="G1171" s="5">
        <v>391.77</v>
      </c>
      <c r="H1171">
        <v>0.1</v>
      </c>
      <c r="I1171" t="s">
        <v>1351</v>
      </c>
      <c r="J1171" s="5">
        <v>352.59300000000002</v>
      </c>
    </row>
    <row r="1172" spans="1:10">
      <c r="A1172" t="s">
        <v>2521</v>
      </c>
      <c r="B1172" s="7">
        <v>45900</v>
      </c>
      <c r="C1172" t="s">
        <v>750</v>
      </c>
      <c r="D1172" t="s">
        <v>1097</v>
      </c>
      <c r="E1172" t="s">
        <v>1324</v>
      </c>
      <c r="F1172">
        <f>Table5[[#This Row],[Total_Amount]]/(G1172*(1-Table5[[#This Row],[Discount]]))</f>
        <v>1.0000000000000002</v>
      </c>
      <c r="G1172" s="5">
        <v>424.83</v>
      </c>
      <c r="H1172">
        <v>0.05</v>
      </c>
      <c r="I1172" t="s">
        <v>1354</v>
      </c>
      <c r="J1172" s="5">
        <v>403.58850000000001</v>
      </c>
    </row>
    <row r="1173" spans="1:10">
      <c r="A1173" t="s">
        <v>2522</v>
      </c>
      <c r="B1173" s="7">
        <v>45308</v>
      </c>
      <c r="C1173" t="s">
        <v>150</v>
      </c>
      <c r="D1173" t="s">
        <v>1095</v>
      </c>
      <c r="E1173" t="s">
        <v>1291</v>
      </c>
      <c r="F1173">
        <f>Table5[[#This Row],[Total_Amount]]/(G1173*(1-Table5[[#This Row],[Discount]]))</f>
        <v>1</v>
      </c>
      <c r="G1173" s="5">
        <v>499.46</v>
      </c>
      <c r="H1173">
        <v>0.1</v>
      </c>
      <c r="I1173" t="s">
        <v>1349</v>
      </c>
      <c r="J1173" s="5">
        <v>449.51400000000001</v>
      </c>
    </row>
    <row r="1174" spans="1:10">
      <c r="A1174" t="s">
        <v>2523</v>
      </c>
      <c r="B1174" s="7">
        <v>45336</v>
      </c>
      <c r="C1174" t="s">
        <v>66</v>
      </c>
      <c r="D1174" t="s">
        <v>1271</v>
      </c>
      <c r="E1174" t="s">
        <v>1282</v>
      </c>
      <c r="F1174">
        <f>Table5[[#This Row],[Total_Amount]]/(G1174*(1-Table5[[#This Row],[Discount]]))</f>
        <v>2</v>
      </c>
      <c r="G1174" s="5">
        <v>698.34</v>
      </c>
      <c r="H1174">
        <v>0.15</v>
      </c>
      <c r="I1174" t="s">
        <v>1351</v>
      </c>
      <c r="J1174" s="5">
        <v>1187.1780000000001</v>
      </c>
    </row>
    <row r="1175" spans="1:10">
      <c r="A1175" t="s">
        <v>2524</v>
      </c>
      <c r="B1175" s="7">
        <v>45213</v>
      </c>
      <c r="C1175" t="s">
        <v>630</v>
      </c>
      <c r="D1175" t="s">
        <v>1185</v>
      </c>
      <c r="E1175" t="s">
        <v>1329</v>
      </c>
      <c r="F1175">
        <f>Table5[[#This Row],[Total_Amount]]/(G1175*(1-Table5[[#This Row],[Discount]]))</f>
        <v>2</v>
      </c>
      <c r="G1175" s="5">
        <v>805.08</v>
      </c>
      <c r="H1175">
        <v>0.27</v>
      </c>
      <c r="I1175" t="s">
        <v>1351</v>
      </c>
      <c r="J1175" s="5">
        <v>1175.4168</v>
      </c>
    </row>
    <row r="1176" spans="1:10">
      <c r="A1176" t="s">
        <v>2525</v>
      </c>
      <c r="B1176" s="7">
        <v>45742</v>
      </c>
      <c r="C1176" t="s">
        <v>994</v>
      </c>
      <c r="D1176" t="s">
        <v>1225</v>
      </c>
      <c r="E1176" t="s">
        <v>1286</v>
      </c>
      <c r="F1176">
        <f>Table5[[#This Row],[Total_Amount]]/(G1176*(1-Table5[[#This Row],[Discount]]))</f>
        <v>4</v>
      </c>
      <c r="G1176" s="5">
        <v>934.79</v>
      </c>
      <c r="H1176">
        <v>0.08</v>
      </c>
      <c r="I1176" t="s">
        <v>1351</v>
      </c>
      <c r="J1176" s="5">
        <v>3440.0272</v>
      </c>
    </row>
    <row r="1177" spans="1:10">
      <c r="A1177" t="s">
        <v>2526</v>
      </c>
      <c r="B1177" s="7">
        <v>45932</v>
      </c>
      <c r="C1177" t="s">
        <v>66</v>
      </c>
      <c r="D1177" t="s">
        <v>1193</v>
      </c>
      <c r="E1177" t="s">
        <v>1282</v>
      </c>
      <c r="F1177">
        <f>Table5[[#This Row],[Total_Amount]]/(G1177*(1-Table5[[#This Row],[Discount]]))</f>
        <v>2</v>
      </c>
      <c r="G1177" s="5">
        <v>424.54</v>
      </c>
      <c r="H1177">
        <v>0.24</v>
      </c>
      <c r="I1177" t="s">
        <v>1351</v>
      </c>
      <c r="J1177" s="5">
        <v>645.30080000000009</v>
      </c>
    </row>
    <row r="1178" spans="1:10">
      <c r="A1178" t="s">
        <v>2527</v>
      </c>
      <c r="B1178" s="7">
        <v>45462</v>
      </c>
      <c r="C1178" t="s">
        <v>718</v>
      </c>
      <c r="D1178" t="s">
        <v>1241</v>
      </c>
      <c r="E1178" t="s">
        <v>1332</v>
      </c>
      <c r="F1178">
        <f>Table5[[#This Row],[Total_Amount]]/(G1178*(1-Table5[[#This Row],[Discount]]))</f>
        <v>1</v>
      </c>
      <c r="G1178" s="5">
        <v>235.44</v>
      </c>
      <c r="H1178">
        <v>0.19</v>
      </c>
      <c r="I1178" t="s">
        <v>1354</v>
      </c>
      <c r="J1178" s="5">
        <v>190.7064</v>
      </c>
    </row>
    <row r="1179" spans="1:10">
      <c r="A1179" t="s">
        <v>2528</v>
      </c>
      <c r="B1179" s="7">
        <v>45568</v>
      </c>
      <c r="C1179" t="s">
        <v>606</v>
      </c>
      <c r="D1179" t="s">
        <v>1171</v>
      </c>
      <c r="E1179" t="s">
        <v>1322</v>
      </c>
      <c r="F1179">
        <f>Table5[[#This Row],[Total_Amount]]/(G1179*(1-Table5[[#This Row],[Discount]]))</f>
        <v>2</v>
      </c>
      <c r="G1179" s="5">
        <v>620.71</v>
      </c>
      <c r="H1179">
        <v>0.27</v>
      </c>
      <c r="I1179" t="s">
        <v>1349</v>
      </c>
      <c r="J1179" s="5">
        <v>906.23660000000007</v>
      </c>
    </row>
    <row r="1180" spans="1:10">
      <c r="A1180" t="s">
        <v>2529</v>
      </c>
      <c r="B1180" s="7">
        <v>45397</v>
      </c>
      <c r="C1180" t="s">
        <v>290</v>
      </c>
      <c r="D1180" t="s">
        <v>1105</v>
      </c>
      <c r="E1180" t="s">
        <v>1317</v>
      </c>
      <c r="F1180">
        <f>Table5[[#This Row],[Total_Amount]]/(G1180*(1-Table5[[#This Row],[Discount]]))</f>
        <v>2</v>
      </c>
      <c r="G1180" s="5">
        <v>851.77</v>
      </c>
      <c r="H1180">
        <v>0.13</v>
      </c>
      <c r="I1180" t="s">
        <v>1351</v>
      </c>
      <c r="J1180" s="5">
        <v>1482.0798</v>
      </c>
    </row>
    <row r="1181" spans="1:10">
      <c r="A1181" t="s">
        <v>2530</v>
      </c>
      <c r="B1181" s="7">
        <v>45569</v>
      </c>
      <c r="C1181" t="s">
        <v>397</v>
      </c>
      <c r="D1181" t="s">
        <v>1163</v>
      </c>
      <c r="E1181" t="s">
        <v>1282</v>
      </c>
      <c r="F1181">
        <f>Table5[[#This Row],[Total_Amount]]/(G1181*(1-Table5[[#This Row],[Discount]]))</f>
        <v>3</v>
      </c>
      <c r="G1181" s="5">
        <v>876.01</v>
      </c>
      <c r="H1181">
        <v>0.2</v>
      </c>
      <c r="I1181" t="s">
        <v>1349</v>
      </c>
      <c r="J1181" s="5">
        <v>2102.424</v>
      </c>
    </row>
    <row r="1182" spans="1:10">
      <c r="A1182" t="s">
        <v>2531</v>
      </c>
      <c r="B1182" s="7">
        <v>45353</v>
      </c>
      <c r="C1182" t="s">
        <v>616</v>
      </c>
      <c r="D1182" t="s">
        <v>1127</v>
      </c>
      <c r="E1182" t="s">
        <v>1311</v>
      </c>
      <c r="F1182">
        <f>Table5[[#This Row],[Total_Amount]]/(G1182*(1-Table5[[#This Row],[Discount]]))</f>
        <v>2</v>
      </c>
      <c r="G1182" s="5">
        <v>717.21</v>
      </c>
      <c r="H1182">
        <v>0.15</v>
      </c>
      <c r="I1182" t="s">
        <v>1354</v>
      </c>
      <c r="J1182" s="5">
        <v>1219.2570000000001</v>
      </c>
    </row>
    <row r="1183" spans="1:10">
      <c r="A1183" t="s">
        <v>2532</v>
      </c>
      <c r="B1183" s="7">
        <v>45343</v>
      </c>
      <c r="C1183" t="s">
        <v>157</v>
      </c>
      <c r="D1183" t="s">
        <v>1155</v>
      </c>
      <c r="E1183" t="s">
        <v>1307</v>
      </c>
      <c r="F1183">
        <f>Table5[[#This Row],[Total_Amount]]/(G1183*(1-Table5[[#This Row],[Discount]]))</f>
        <v>2.0000000000000004</v>
      </c>
      <c r="G1183" s="5">
        <v>871.43</v>
      </c>
      <c r="H1183">
        <v>0.05</v>
      </c>
      <c r="I1183" t="s">
        <v>1349</v>
      </c>
      <c r="J1183" s="5">
        <v>1655.7170000000001</v>
      </c>
    </row>
    <row r="1184" spans="1:10">
      <c r="A1184" t="s">
        <v>2533</v>
      </c>
      <c r="B1184" s="7">
        <v>45321</v>
      </c>
      <c r="C1184" t="s">
        <v>969</v>
      </c>
      <c r="D1184" t="s">
        <v>1145</v>
      </c>
      <c r="E1184" t="s">
        <v>1304</v>
      </c>
      <c r="F1184">
        <f>Table5[[#This Row],[Total_Amount]]/(G1184*(1-Table5[[#This Row],[Discount]]))</f>
        <v>0.99999999999999989</v>
      </c>
      <c r="G1184" s="5">
        <v>514.65</v>
      </c>
      <c r="H1184">
        <v>0.18</v>
      </c>
      <c r="I1184" t="s">
        <v>1349</v>
      </c>
      <c r="J1184" s="5">
        <v>422.01299999999998</v>
      </c>
    </row>
    <row r="1185" spans="1:10">
      <c r="A1185" t="s">
        <v>2534</v>
      </c>
      <c r="B1185" s="7">
        <v>45650</v>
      </c>
      <c r="C1185" t="s">
        <v>981</v>
      </c>
      <c r="D1185" t="s">
        <v>1197</v>
      </c>
      <c r="E1185" t="s">
        <v>1329</v>
      </c>
      <c r="F1185">
        <f>Table5[[#This Row],[Total_Amount]]/(G1185*(1-Table5[[#This Row],[Discount]]))</f>
        <v>3.0000000000000004</v>
      </c>
      <c r="G1185" s="5">
        <v>198.76</v>
      </c>
      <c r="H1185">
        <v>0.28000000000000003</v>
      </c>
      <c r="I1185" t="s">
        <v>1354</v>
      </c>
      <c r="J1185" s="5">
        <v>429.32159999999999</v>
      </c>
    </row>
    <row r="1186" spans="1:10">
      <c r="A1186" t="s">
        <v>2535</v>
      </c>
      <c r="B1186" s="7">
        <v>45811</v>
      </c>
      <c r="C1186" t="s">
        <v>513</v>
      </c>
      <c r="D1186" t="s">
        <v>1199</v>
      </c>
      <c r="E1186" t="s">
        <v>1291</v>
      </c>
      <c r="F1186">
        <f>Table5[[#This Row],[Total_Amount]]/(G1186*(1-Table5[[#This Row],[Discount]]))</f>
        <v>2</v>
      </c>
      <c r="G1186" s="5">
        <v>975.72</v>
      </c>
      <c r="H1186">
        <v>0.16</v>
      </c>
      <c r="I1186" t="s">
        <v>1354</v>
      </c>
      <c r="J1186" s="5">
        <v>1639.2095999999999</v>
      </c>
    </row>
    <row r="1187" spans="1:10">
      <c r="A1187" t="s">
        <v>2536</v>
      </c>
      <c r="B1187" s="7">
        <v>45505</v>
      </c>
      <c r="C1187" t="s">
        <v>903</v>
      </c>
      <c r="D1187" t="s">
        <v>1103</v>
      </c>
      <c r="E1187" t="s">
        <v>1282</v>
      </c>
      <c r="F1187">
        <f>Table5[[#This Row],[Total_Amount]]/(G1187*(1-Table5[[#This Row],[Discount]]))</f>
        <v>1</v>
      </c>
      <c r="G1187" s="5">
        <v>86.03</v>
      </c>
      <c r="H1187">
        <v>0.01</v>
      </c>
      <c r="I1187" t="s">
        <v>1349</v>
      </c>
      <c r="J1187" s="5">
        <v>85.169700000000006</v>
      </c>
    </row>
    <row r="1188" spans="1:10">
      <c r="A1188" t="s">
        <v>2537</v>
      </c>
      <c r="B1188" s="7">
        <v>45897</v>
      </c>
      <c r="C1188" t="s">
        <v>229</v>
      </c>
      <c r="D1188" t="s">
        <v>1181</v>
      </c>
      <c r="E1188" t="s">
        <v>1319</v>
      </c>
      <c r="F1188">
        <f>Table5[[#This Row],[Total_Amount]]/(G1188*(1-Table5[[#This Row],[Discount]]))</f>
        <v>4</v>
      </c>
      <c r="G1188" s="5">
        <v>705.12</v>
      </c>
      <c r="H1188">
        <v>0.15</v>
      </c>
      <c r="I1188" t="s">
        <v>1351</v>
      </c>
      <c r="J1188" s="5">
        <v>2397.4079999999999</v>
      </c>
    </row>
    <row r="1189" spans="1:10">
      <c r="A1189" t="s">
        <v>2538</v>
      </c>
      <c r="B1189" s="7">
        <v>45602</v>
      </c>
      <c r="C1189" t="s">
        <v>805</v>
      </c>
      <c r="D1189" t="s">
        <v>1109</v>
      </c>
      <c r="E1189" t="s">
        <v>1319</v>
      </c>
      <c r="F1189">
        <f>Table5[[#This Row],[Total_Amount]]/(G1189*(1-Table5[[#This Row],[Discount]]))</f>
        <v>2.9999999999999996</v>
      </c>
      <c r="G1189" s="5">
        <v>99.77</v>
      </c>
      <c r="H1189">
        <v>0.01</v>
      </c>
      <c r="I1189" t="s">
        <v>1351</v>
      </c>
      <c r="J1189" s="5">
        <v>296.31689999999998</v>
      </c>
    </row>
    <row r="1190" spans="1:10">
      <c r="A1190" t="s">
        <v>2539</v>
      </c>
      <c r="B1190" s="7">
        <v>45530</v>
      </c>
      <c r="C1190" t="s">
        <v>480</v>
      </c>
      <c r="D1190" t="s">
        <v>1141</v>
      </c>
      <c r="E1190" t="s">
        <v>1311</v>
      </c>
      <c r="F1190">
        <f>Table5[[#This Row],[Total_Amount]]/(G1190*(1-Table5[[#This Row],[Discount]]))</f>
        <v>2</v>
      </c>
      <c r="G1190" s="5">
        <v>166.26</v>
      </c>
      <c r="H1190">
        <v>0.14000000000000001</v>
      </c>
      <c r="I1190" t="s">
        <v>1351</v>
      </c>
      <c r="J1190" s="5">
        <v>285.96719999999999</v>
      </c>
    </row>
    <row r="1191" spans="1:10">
      <c r="A1191" t="s">
        <v>2540</v>
      </c>
      <c r="B1191" s="7">
        <v>45729</v>
      </c>
      <c r="C1191" t="s">
        <v>981</v>
      </c>
      <c r="D1191" t="s">
        <v>1125</v>
      </c>
      <c r="E1191" t="s">
        <v>1298</v>
      </c>
      <c r="F1191">
        <f>Table5[[#This Row],[Total_Amount]]/(G1191*(1-Table5[[#This Row],[Discount]]))</f>
        <v>1</v>
      </c>
      <c r="G1191" s="5">
        <v>429.25</v>
      </c>
      <c r="H1191">
        <v>0.28999999999999998</v>
      </c>
      <c r="I1191" t="s">
        <v>1349</v>
      </c>
      <c r="J1191" s="5">
        <v>304.76749999999998</v>
      </c>
    </row>
    <row r="1192" spans="1:10">
      <c r="A1192" t="s">
        <v>2541</v>
      </c>
      <c r="B1192" s="7">
        <v>45468</v>
      </c>
      <c r="C1192" t="s">
        <v>949</v>
      </c>
      <c r="D1192" t="s">
        <v>1068</v>
      </c>
      <c r="E1192" t="s">
        <v>1311</v>
      </c>
      <c r="F1192">
        <f>Table5[[#This Row],[Total_Amount]]/(G1192*(1-Table5[[#This Row],[Discount]]))</f>
        <v>2</v>
      </c>
      <c r="G1192" s="5">
        <v>540.48</v>
      </c>
      <c r="H1192">
        <v>0.28999999999999998</v>
      </c>
      <c r="I1192" t="s">
        <v>1349</v>
      </c>
      <c r="J1192" s="5">
        <v>767.48159999999996</v>
      </c>
    </row>
    <row r="1193" spans="1:10">
      <c r="A1193" t="s">
        <v>2542</v>
      </c>
      <c r="B1193" s="7">
        <v>45936</v>
      </c>
      <c r="C1193" t="s">
        <v>602</v>
      </c>
      <c r="D1193" t="s">
        <v>1191</v>
      </c>
      <c r="E1193" t="s">
        <v>1324</v>
      </c>
      <c r="F1193">
        <f>Table5[[#This Row],[Total_Amount]]/(G1193*(1-Table5[[#This Row],[Discount]]))</f>
        <v>2</v>
      </c>
      <c r="G1193" s="5">
        <v>579.52</v>
      </c>
      <c r="H1193">
        <v>0.01</v>
      </c>
      <c r="I1193" t="s">
        <v>1351</v>
      </c>
      <c r="J1193" s="5">
        <v>1147.4495999999999</v>
      </c>
    </row>
    <row r="1194" spans="1:10">
      <c r="A1194" t="s">
        <v>2543</v>
      </c>
      <c r="B1194" s="7">
        <v>45622</v>
      </c>
      <c r="C1194" t="s">
        <v>84</v>
      </c>
      <c r="D1194" t="s">
        <v>1211</v>
      </c>
      <c r="E1194" t="s">
        <v>1332</v>
      </c>
      <c r="F1194">
        <f>Table5[[#This Row],[Total_Amount]]/(G1194*(1-Table5[[#This Row],[Discount]]))</f>
        <v>4</v>
      </c>
      <c r="G1194" s="5">
        <v>477.52</v>
      </c>
      <c r="H1194">
        <v>7.0000000000000007E-2</v>
      </c>
      <c r="I1194" t="s">
        <v>1351</v>
      </c>
      <c r="J1194" s="5">
        <v>1776.3743999999999</v>
      </c>
    </row>
    <row r="1195" spans="1:10">
      <c r="A1195" t="s">
        <v>2544</v>
      </c>
      <c r="B1195" s="7">
        <v>45705</v>
      </c>
      <c r="C1195" t="s">
        <v>581</v>
      </c>
      <c r="D1195" t="s">
        <v>1255</v>
      </c>
      <c r="E1195" t="s">
        <v>1301</v>
      </c>
      <c r="F1195">
        <f>Table5[[#This Row],[Total_Amount]]/(G1195*(1-Table5[[#This Row],[Discount]]))</f>
        <v>3.0000000000000004</v>
      </c>
      <c r="G1195" s="5">
        <v>242.58</v>
      </c>
      <c r="H1195">
        <v>0.25</v>
      </c>
      <c r="I1195" t="s">
        <v>1349</v>
      </c>
      <c r="J1195" s="5">
        <v>545.80500000000006</v>
      </c>
    </row>
    <row r="1196" spans="1:10">
      <c r="A1196" t="s">
        <v>2545</v>
      </c>
      <c r="B1196" s="7">
        <v>45250</v>
      </c>
      <c r="C1196" t="s">
        <v>797</v>
      </c>
      <c r="D1196" t="s">
        <v>1125</v>
      </c>
      <c r="E1196" t="s">
        <v>1332</v>
      </c>
      <c r="F1196">
        <f>Table5[[#This Row],[Total_Amount]]/(G1196*(1-Table5[[#This Row],[Discount]]))</f>
        <v>2</v>
      </c>
      <c r="G1196" s="5">
        <v>519.29999999999995</v>
      </c>
      <c r="H1196">
        <v>0.09</v>
      </c>
      <c r="I1196" t="s">
        <v>1351</v>
      </c>
      <c r="J1196" s="5">
        <v>945.12599999999998</v>
      </c>
    </row>
    <row r="1197" spans="1:10">
      <c r="A1197" t="s">
        <v>2546</v>
      </c>
      <c r="B1197" s="7">
        <v>45684</v>
      </c>
      <c r="C1197" t="s">
        <v>1043</v>
      </c>
      <c r="D1197" t="s">
        <v>1261</v>
      </c>
      <c r="E1197" t="s">
        <v>1317</v>
      </c>
      <c r="F1197">
        <f>Table5[[#This Row],[Total_Amount]]/(G1197*(1-Table5[[#This Row],[Discount]]))</f>
        <v>3.0000000000000004</v>
      </c>
      <c r="G1197" s="5">
        <v>845.67</v>
      </c>
      <c r="H1197">
        <v>0.12</v>
      </c>
      <c r="I1197" t="s">
        <v>1354</v>
      </c>
      <c r="J1197" s="5">
        <v>2232.5688</v>
      </c>
    </row>
    <row r="1198" spans="1:10">
      <c r="A1198" t="s">
        <v>2547</v>
      </c>
      <c r="B1198" s="7">
        <v>45395</v>
      </c>
      <c r="C1198" t="s">
        <v>674</v>
      </c>
      <c r="D1198" t="s">
        <v>1183</v>
      </c>
      <c r="E1198" t="s">
        <v>1329</v>
      </c>
      <c r="F1198">
        <f>Table5[[#This Row],[Total_Amount]]/(G1198*(1-Table5[[#This Row],[Discount]]))</f>
        <v>4</v>
      </c>
      <c r="G1198" s="5">
        <v>750.26</v>
      </c>
      <c r="H1198">
        <v>0.01</v>
      </c>
      <c r="I1198" t="s">
        <v>1351</v>
      </c>
      <c r="J1198" s="5">
        <v>2971.0295999999998</v>
      </c>
    </row>
    <row r="1199" spans="1:10">
      <c r="A1199" t="s">
        <v>2548</v>
      </c>
      <c r="B1199" s="7">
        <v>45382</v>
      </c>
      <c r="C1199" t="s">
        <v>728</v>
      </c>
      <c r="D1199" t="s">
        <v>1257</v>
      </c>
      <c r="E1199" t="s">
        <v>1319</v>
      </c>
      <c r="F1199">
        <f>Table5[[#This Row],[Total_Amount]]/(G1199*(1-Table5[[#This Row],[Discount]]))</f>
        <v>4</v>
      </c>
      <c r="G1199" s="5">
        <v>294.38</v>
      </c>
      <c r="H1199">
        <v>0.2</v>
      </c>
      <c r="I1199" t="s">
        <v>1349</v>
      </c>
      <c r="J1199" s="5">
        <v>942.01600000000008</v>
      </c>
    </row>
    <row r="1200" spans="1:10">
      <c r="A1200" t="s">
        <v>2549</v>
      </c>
      <c r="B1200" s="7">
        <v>45919</v>
      </c>
      <c r="C1200" t="s">
        <v>252</v>
      </c>
      <c r="D1200" t="s">
        <v>1265</v>
      </c>
      <c r="E1200" t="s">
        <v>1286</v>
      </c>
      <c r="F1200">
        <f>Table5[[#This Row],[Total_Amount]]/(G1200*(1-Table5[[#This Row],[Discount]]))</f>
        <v>3</v>
      </c>
      <c r="G1200" s="5">
        <v>583.52</v>
      </c>
      <c r="H1200">
        <v>7.0000000000000007E-2</v>
      </c>
      <c r="I1200" t="s">
        <v>1351</v>
      </c>
      <c r="J1200" s="5">
        <v>1628.0208</v>
      </c>
    </row>
    <row r="1201" spans="1:10">
      <c r="A1201" t="s">
        <v>2550</v>
      </c>
      <c r="B1201" s="7">
        <v>45453</v>
      </c>
      <c r="C1201" t="s">
        <v>1002</v>
      </c>
      <c r="D1201" t="s">
        <v>1251</v>
      </c>
      <c r="E1201" t="s">
        <v>1329</v>
      </c>
      <c r="F1201">
        <f>Table5[[#This Row],[Total_Amount]]/(G1201*(1-Table5[[#This Row],[Discount]]))</f>
        <v>2</v>
      </c>
      <c r="G1201" s="5">
        <v>635.22</v>
      </c>
      <c r="H1201">
        <v>0.3</v>
      </c>
      <c r="I1201" t="s">
        <v>1354</v>
      </c>
      <c r="J1201" s="5">
        <v>889.30799999999999</v>
      </c>
    </row>
    <row r="1202" spans="1:10">
      <c r="A1202" t="s">
        <v>2551</v>
      </c>
      <c r="B1202" s="7">
        <v>45313</v>
      </c>
      <c r="C1202" t="s">
        <v>919</v>
      </c>
      <c r="D1202" t="s">
        <v>1205</v>
      </c>
      <c r="E1202" t="s">
        <v>1286</v>
      </c>
      <c r="F1202">
        <f>Table5[[#This Row],[Total_Amount]]/(G1202*(1-Table5[[#This Row],[Discount]]))</f>
        <v>1</v>
      </c>
      <c r="G1202" s="5">
        <v>743.55</v>
      </c>
      <c r="H1202">
        <v>0.11</v>
      </c>
      <c r="I1202" t="s">
        <v>1354</v>
      </c>
      <c r="J1202" s="5">
        <v>661.7595</v>
      </c>
    </row>
    <row r="1203" spans="1:10">
      <c r="A1203" t="s">
        <v>2552</v>
      </c>
      <c r="B1203" s="7">
        <v>45377</v>
      </c>
      <c r="C1203" t="s">
        <v>261</v>
      </c>
      <c r="D1203" t="s">
        <v>1161</v>
      </c>
      <c r="E1203" t="s">
        <v>1291</v>
      </c>
      <c r="F1203">
        <f>Table5[[#This Row],[Total_Amount]]/(G1203*(1-Table5[[#This Row],[Discount]]))</f>
        <v>3.9999999999999996</v>
      </c>
      <c r="G1203" s="5">
        <v>530.45000000000005</v>
      </c>
      <c r="H1203">
        <v>0.13</v>
      </c>
      <c r="I1203" t="s">
        <v>1349</v>
      </c>
      <c r="J1203" s="5">
        <v>1845.9659999999999</v>
      </c>
    </row>
    <row r="1204" spans="1:10">
      <c r="A1204" t="s">
        <v>2553</v>
      </c>
      <c r="B1204" s="7">
        <v>45371</v>
      </c>
      <c r="C1204" t="s">
        <v>591</v>
      </c>
      <c r="D1204" t="s">
        <v>1205</v>
      </c>
      <c r="E1204" t="s">
        <v>1311</v>
      </c>
      <c r="F1204">
        <f>Table5[[#This Row],[Total_Amount]]/(G1204*(1-Table5[[#This Row],[Discount]]))</f>
        <v>2.0000000000000004</v>
      </c>
      <c r="G1204" s="5">
        <v>972.4</v>
      </c>
      <c r="H1204">
        <v>0.06</v>
      </c>
      <c r="I1204" t="s">
        <v>1354</v>
      </c>
      <c r="J1204" s="5">
        <v>1828.1120000000001</v>
      </c>
    </row>
    <row r="1205" spans="1:10">
      <c r="A1205" t="s">
        <v>2554</v>
      </c>
      <c r="B1205" s="7">
        <v>45797</v>
      </c>
      <c r="C1205" t="s">
        <v>819</v>
      </c>
      <c r="D1205" t="s">
        <v>1103</v>
      </c>
      <c r="E1205" t="s">
        <v>1335</v>
      </c>
      <c r="F1205">
        <f>Table5[[#This Row],[Total_Amount]]/(G1205*(1-Table5[[#This Row],[Discount]]))</f>
        <v>2.9999999999999996</v>
      </c>
      <c r="G1205" s="5">
        <v>197.93</v>
      </c>
      <c r="H1205">
        <v>0</v>
      </c>
      <c r="I1205" t="s">
        <v>1354</v>
      </c>
      <c r="J1205" s="5">
        <v>593.79</v>
      </c>
    </row>
    <row r="1206" spans="1:10">
      <c r="A1206" t="s">
        <v>2555</v>
      </c>
      <c r="B1206" s="7">
        <v>45575</v>
      </c>
      <c r="C1206" t="s">
        <v>748</v>
      </c>
      <c r="D1206" t="s">
        <v>1247</v>
      </c>
      <c r="E1206" t="s">
        <v>1317</v>
      </c>
      <c r="F1206">
        <f>Table5[[#This Row],[Total_Amount]]/(G1206*(1-Table5[[#This Row],[Discount]]))</f>
        <v>4</v>
      </c>
      <c r="G1206" s="5">
        <v>565.51</v>
      </c>
      <c r="H1206">
        <v>0.16</v>
      </c>
      <c r="I1206" t="s">
        <v>1351</v>
      </c>
      <c r="J1206" s="5">
        <v>1900.1135999999999</v>
      </c>
    </row>
    <row r="1207" spans="1:10">
      <c r="A1207" t="s">
        <v>2556</v>
      </c>
      <c r="B1207" s="7">
        <v>45566</v>
      </c>
      <c r="C1207" t="s">
        <v>863</v>
      </c>
      <c r="D1207" t="s">
        <v>1151</v>
      </c>
      <c r="E1207" t="s">
        <v>1294</v>
      </c>
      <c r="F1207">
        <f>Table5[[#This Row],[Total_Amount]]/(G1207*(1-Table5[[#This Row],[Discount]]))</f>
        <v>4</v>
      </c>
      <c r="G1207" s="5">
        <v>983.38</v>
      </c>
      <c r="H1207">
        <v>0.25</v>
      </c>
      <c r="I1207" t="s">
        <v>1354</v>
      </c>
      <c r="J1207" s="5">
        <v>2950.14</v>
      </c>
    </row>
    <row r="1208" spans="1:10">
      <c r="A1208" t="s">
        <v>2557</v>
      </c>
      <c r="B1208" s="7">
        <v>45252</v>
      </c>
      <c r="C1208" t="s">
        <v>531</v>
      </c>
      <c r="D1208" t="s">
        <v>1271</v>
      </c>
      <c r="E1208" t="s">
        <v>1311</v>
      </c>
      <c r="F1208">
        <f>Table5[[#This Row],[Total_Amount]]/(G1208*(1-Table5[[#This Row],[Discount]]))</f>
        <v>1</v>
      </c>
      <c r="G1208" s="5">
        <v>955.06</v>
      </c>
      <c r="H1208">
        <v>0.14000000000000001</v>
      </c>
      <c r="I1208" t="s">
        <v>1349</v>
      </c>
      <c r="J1208" s="5">
        <v>821.35159999999996</v>
      </c>
    </row>
    <row r="1209" spans="1:10">
      <c r="A1209" t="s">
        <v>2558</v>
      </c>
      <c r="B1209" s="7">
        <v>45693</v>
      </c>
      <c r="C1209" t="s">
        <v>768</v>
      </c>
      <c r="D1209" t="s">
        <v>1191</v>
      </c>
      <c r="E1209" t="s">
        <v>1326</v>
      </c>
      <c r="F1209">
        <f>Table5[[#This Row],[Total_Amount]]/(G1209*(1-Table5[[#This Row],[Discount]]))</f>
        <v>3</v>
      </c>
      <c r="G1209" s="5">
        <v>597.46</v>
      </c>
      <c r="H1209">
        <v>0.02</v>
      </c>
      <c r="I1209" t="s">
        <v>1351</v>
      </c>
      <c r="J1209" s="5">
        <v>1756.5324000000001</v>
      </c>
    </row>
    <row r="1210" spans="1:10">
      <c r="A1210" t="s">
        <v>2559</v>
      </c>
      <c r="B1210" s="7">
        <v>45446</v>
      </c>
      <c r="C1210" t="s">
        <v>698</v>
      </c>
      <c r="D1210" t="s">
        <v>1087</v>
      </c>
      <c r="E1210" t="s">
        <v>1329</v>
      </c>
      <c r="F1210">
        <f>Table5[[#This Row],[Total_Amount]]/(G1210*(1-Table5[[#This Row],[Discount]]))</f>
        <v>3</v>
      </c>
      <c r="G1210" s="5">
        <v>581.09</v>
      </c>
      <c r="H1210">
        <v>0.1</v>
      </c>
      <c r="I1210" t="s">
        <v>1354</v>
      </c>
      <c r="J1210" s="5">
        <v>1568.943</v>
      </c>
    </row>
    <row r="1211" spans="1:10">
      <c r="A1211" t="s">
        <v>2560</v>
      </c>
      <c r="B1211" s="7">
        <v>45862</v>
      </c>
      <c r="C1211" t="s">
        <v>152</v>
      </c>
      <c r="D1211" t="s">
        <v>1133</v>
      </c>
      <c r="E1211" t="s">
        <v>1294</v>
      </c>
      <c r="F1211">
        <f>Table5[[#This Row],[Total_Amount]]/(G1211*(1-Table5[[#This Row],[Discount]]))</f>
        <v>4</v>
      </c>
      <c r="G1211" s="5">
        <v>153.94999999999999</v>
      </c>
      <c r="H1211">
        <v>0.11</v>
      </c>
      <c r="I1211" t="s">
        <v>1351</v>
      </c>
      <c r="J1211" s="5">
        <v>548.06200000000001</v>
      </c>
    </row>
    <row r="1212" spans="1:10">
      <c r="A1212" t="s">
        <v>2561</v>
      </c>
      <c r="B1212" s="7">
        <v>45530</v>
      </c>
      <c r="C1212" t="s">
        <v>216</v>
      </c>
      <c r="D1212" t="s">
        <v>1145</v>
      </c>
      <c r="E1212" t="s">
        <v>1307</v>
      </c>
      <c r="F1212">
        <f>Table5[[#This Row],[Total_Amount]]/(G1212*(1-Table5[[#This Row],[Discount]]))</f>
        <v>4</v>
      </c>
      <c r="G1212" s="5">
        <v>271.04000000000002</v>
      </c>
      <c r="H1212">
        <v>0.12</v>
      </c>
      <c r="I1212" t="s">
        <v>1354</v>
      </c>
      <c r="J1212" s="5">
        <v>954.06080000000009</v>
      </c>
    </row>
    <row r="1213" spans="1:10">
      <c r="A1213" t="s">
        <v>2562</v>
      </c>
      <c r="B1213" s="7">
        <v>45558</v>
      </c>
      <c r="C1213" t="s">
        <v>56</v>
      </c>
      <c r="D1213" t="s">
        <v>1143</v>
      </c>
      <c r="E1213" t="s">
        <v>1301</v>
      </c>
      <c r="F1213">
        <f>Table5[[#This Row],[Total_Amount]]/(G1213*(1-Table5[[#This Row],[Discount]]))</f>
        <v>4</v>
      </c>
      <c r="G1213" s="5">
        <v>328.27</v>
      </c>
      <c r="H1213">
        <v>0.09</v>
      </c>
      <c r="I1213" t="s">
        <v>1351</v>
      </c>
      <c r="J1213" s="5">
        <v>1194.9028000000001</v>
      </c>
    </row>
    <row r="1214" spans="1:10">
      <c r="A1214" t="s">
        <v>2563</v>
      </c>
      <c r="B1214" s="7">
        <v>45472</v>
      </c>
      <c r="C1214" t="s">
        <v>1049</v>
      </c>
      <c r="D1214" t="s">
        <v>1107</v>
      </c>
      <c r="E1214" t="s">
        <v>1324</v>
      </c>
      <c r="F1214">
        <f>Table5[[#This Row],[Total_Amount]]/(G1214*(1-Table5[[#This Row],[Discount]]))</f>
        <v>3.9999999999999996</v>
      </c>
      <c r="G1214" s="5">
        <v>884.71</v>
      </c>
      <c r="H1214">
        <v>0.09</v>
      </c>
      <c r="I1214" t="s">
        <v>1351</v>
      </c>
      <c r="J1214" s="5">
        <v>3220.3444</v>
      </c>
    </row>
    <row r="1215" spans="1:10">
      <c r="A1215" t="s">
        <v>2564</v>
      </c>
      <c r="B1215" s="7">
        <v>45809</v>
      </c>
      <c r="C1215" t="s">
        <v>561</v>
      </c>
      <c r="D1215" t="s">
        <v>1217</v>
      </c>
      <c r="E1215" t="s">
        <v>1294</v>
      </c>
      <c r="F1215">
        <f>Table5[[#This Row],[Total_Amount]]/(G1215*(1-Table5[[#This Row],[Discount]]))</f>
        <v>1</v>
      </c>
      <c r="G1215" s="5">
        <v>41.39</v>
      </c>
      <c r="H1215">
        <v>0.01</v>
      </c>
      <c r="I1215" t="s">
        <v>1349</v>
      </c>
      <c r="J1215" s="5">
        <v>40.976100000000002</v>
      </c>
    </row>
    <row r="1216" spans="1:10">
      <c r="A1216" t="s">
        <v>2565</v>
      </c>
      <c r="B1216" s="7">
        <v>45783</v>
      </c>
      <c r="C1216" t="s">
        <v>391</v>
      </c>
      <c r="D1216" t="s">
        <v>1187</v>
      </c>
      <c r="E1216" t="s">
        <v>1311</v>
      </c>
      <c r="F1216">
        <f>Table5[[#This Row],[Total_Amount]]/(G1216*(1-Table5[[#This Row],[Discount]]))</f>
        <v>4</v>
      </c>
      <c r="G1216" s="5">
        <v>64.06</v>
      </c>
      <c r="H1216">
        <v>0.26</v>
      </c>
      <c r="I1216" t="s">
        <v>1349</v>
      </c>
      <c r="J1216" s="5">
        <v>189.61760000000001</v>
      </c>
    </row>
    <row r="1217" spans="1:10">
      <c r="A1217" t="s">
        <v>2566</v>
      </c>
      <c r="B1217" s="7">
        <v>45849</v>
      </c>
      <c r="C1217" t="s">
        <v>756</v>
      </c>
      <c r="D1217" t="s">
        <v>1165</v>
      </c>
      <c r="E1217" t="s">
        <v>1311</v>
      </c>
      <c r="F1217">
        <f>Table5[[#This Row],[Total_Amount]]/(G1217*(1-Table5[[#This Row],[Discount]]))</f>
        <v>2</v>
      </c>
      <c r="G1217" s="5">
        <v>152.25</v>
      </c>
      <c r="H1217">
        <v>0.13</v>
      </c>
      <c r="I1217" t="s">
        <v>1349</v>
      </c>
      <c r="J1217" s="5">
        <v>264.91500000000002</v>
      </c>
    </row>
    <row r="1218" spans="1:10">
      <c r="A1218" t="s">
        <v>2567</v>
      </c>
      <c r="B1218" s="7">
        <v>45281</v>
      </c>
      <c r="C1218" t="s">
        <v>258</v>
      </c>
      <c r="D1218" t="s">
        <v>1099</v>
      </c>
      <c r="E1218" t="s">
        <v>1338</v>
      </c>
      <c r="F1218">
        <f>Table5[[#This Row],[Total_Amount]]/(G1218*(1-Table5[[#This Row],[Discount]]))</f>
        <v>2</v>
      </c>
      <c r="G1218" s="5">
        <v>889.04</v>
      </c>
      <c r="H1218">
        <v>0.23</v>
      </c>
      <c r="I1218" t="s">
        <v>1349</v>
      </c>
      <c r="J1218" s="5">
        <v>1369.1215999999999</v>
      </c>
    </row>
    <row r="1219" spans="1:10">
      <c r="A1219" t="s">
        <v>2568</v>
      </c>
      <c r="B1219" s="7">
        <v>45322</v>
      </c>
      <c r="C1219" t="s">
        <v>383</v>
      </c>
      <c r="D1219" t="s">
        <v>1147</v>
      </c>
      <c r="E1219" t="s">
        <v>1314</v>
      </c>
      <c r="F1219">
        <f>Table5[[#This Row],[Total_Amount]]/(G1219*(1-Table5[[#This Row],[Discount]]))</f>
        <v>3</v>
      </c>
      <c r="G1219" s="5">
        <v>145.25</v>
      </c>
      <c r="H1219">
        <v>0.24</v>
      </c>
      <c r="I1219" t="s">
        <v>1351</v>
      </c>
      <c r="J1219" s="5">
        <v>331.17</v>
      </c>
    </row>
    <row r="1220" spans="1:10">
      <c r="A1220" t="s">
        <v>2569</v>
      </c>
      <c r="B1220" s="7">
        <v>45560</v>
      </c>
      <c r="C1220" t="s">
        <v>157</v>
      </c>
      <c r="D1220" t="s">
        <v>1249</v>
      </c>
      <c r="E1220" t="s">
        <v>1286</v>
      </c>
      <c r="F1220">
        <f>Table5[[#This Row],[Total_Amount]]/(G1220*(1-Table5[[#This Row],[Discount]]))</f>
        <v>2</v>
      </c>
      <c r="G1220" s="5">
        <v>898.45</v>
      </c>
      <c r="H1220">
        <v>0.28999999999999998</v>
      </c>
      <c r="I1220" t="s">
        <v>1354</v>
      </c>
      <c r="J1220" s="5">
        <v>1275.799</v>
      </c>
    </row>
    <row r="1221" spans="1:10">
      <c r="A1221" t="s">
        <v>2570</v>
      </c>
      <c r="B1221" s="7">
        <v>45905</v>
      </c>
      <c r="C1221" t="s">
        <v>94</v>
      </c>
      <c r="D1221" t="s">
        <v>1143</v>
      </c>
      <c r="E1221" t="s">
        <v>1326</v>
      </c>
      <c r="F1221">
        <f>Table5[[#This Row],[Total_Amount]]/(G1221*(1-Table5[[#This Row],[Discount]]))</f>
        <v>4.0000000000000009</v>
      </c>
      <c r="G1221" s="5">
        <v>642.04999999999995</v>
      </c>
      <c r="H1221">
        <v>0.25</v>
      </c>
      <c r="I1221" t="s">
        <v>1349</v>
      </c>
      <c r="J1221" s="5">
        <v>1926.15</v>
      </c>
    </row>
    <row r="1222" spans="1:10">
      <c r="A1222" t="s">
        <v>2571</v>
      </c>
      <c r="B1222" s="7">
        <v>45531</v>
      </c>
      <c r="C1222" t="s">
        <v>690</v>
      </c>
      <c r="D1222" t="s">
        <v>1241</v>
      </c>
      <c r="E1222" t="s">
        <v>1304</v>
      </c>
      <c r="F1222">
        <f>Table5[[#This Row],[Total_Amount]]/(G1222*(1-Table5[[#This Row],[Discount]]))</f>
        <v>4.0000000000000009</v>
      </c>
      <c r="G1222" s="5">
        <v>450.83</v>
      </c>
      <c r="H1222">
        <v>0.24</v>
      </c>
      <c r="I1222" t="s">
        <v>1349</v>
      </c>
      <c r="J1222" s="5">
        <v>1370.5232000000001</v>
      </c>
    </row>
    <row r="1223" spans="1:10">
      <c r="A1223" t="s">
        <v>2572</v>
      </c>
      <c r="B1223" s="7">
        <v>45216</v>
      </c>
      <c r="C1223" t="s">
        <v>42</v>
      </c>
      <c r="D1223" t="s">
        <v>1177</v>
      </c>
      <c r="E1223" t="s">
        <v>1338</v>
      </c>
      <c r="F1223">
        <f>Table5[[#This Row],[Total_Amount]]/(G1223*(1-Table5[[#This Row],[Discount]]))</f>
        <v>2</v>
      </c>
      <c r="G1223" s="5">
        <v>441.03</v>
      </c>
      <c r="H1223">
        <v>0.23</v>
      </c>
      <c r="I1223" t="s">
        <v>1354</v>
      </c>
      <c r="J1223" s="5">
        <v>679.18619999999999</v>
      </c>
    </row>
    <row r="1224" spans="1:10">
      <c r="A1224" t="s">
        <v>2573</v>
      </c>
      <c r="B1224" s="7">
        <v>45384</v>
      </c>
      <c r="C1224" t="s">
        <v>218</v>
      </c>
      <c r="D1224" t="s">
        <v>1123</v>
      </c>
      <c r="E1224" t="s">
        <v>1286</v>
      </c>
      <c r="F1224">
        <f>Table5[[#This Row],[Total_Amount]]/(G1224*(1-Table5[[#This Row],[Discount]]))</f>
        <v>3.0000000000000004</v>
      </c>
      <c r="G1224" s="5">
        <v>377.69</v>
      </c>
      <c r="H1224">
        <v>7.0000000000000007E-2</v>
      </c>
      <c r="I1224" t="s">
        <v>1351</v>
      </c>
      <c r="J1224" s="5">
        <v>1053.7551000000001</v>
      </c>
    </row>
    <row r="1225" spans="1:10">
      <c r="A1225" t="s">
        <v>2574</v>
      </c>
      <c r="B1225" s="7">
        <v>45416</v>
      </c>
      <c r="C1225" t="s">
        <v>381</v>
      </c>
      <c r="D1225" t="s">
        <v>1093</v>
      </c>
      <c r="E1225" t="s">
        <v>1304</v>
      </c>
      <c r="F1225">
        <f>Table5[[#This Row],[Total_Amount]]/(G1225*(1-Table5[[#This Row],[Discount]]))</f>
        <v>1.0000000000000002</v>
      </c>
      <c r="G1225" s="5">
        <v>457.33</v>
      </c>
      <c r="H1225">
        <v>0.27</v>
      </c>
      <c r="I1225" t="s">
        <v>1349</v>
      </c>
      <c r="J1225" s="5">
        <v>333.85090000000002</v>
      </c>
    </row>
    <row r="1226" spans="1:10">
      <c r="A1226" t="s">
        <v>2575</v>
      </c>
      <c r="B1226" s="7">
        <v>45880</v>
      </c>
      <c r="C1226" t="s">
        <v>551</v>
      </c>
      <c r="D1226" t="s">
        <v>1225</v>
      </c>
      <c r="E1226" t="s">
        <v>1301</v>
      </c>
      <c r="F1226">
        <f>Table5[[#This Row],[Total_Amount]]/(G1226*(1-Table5[[#This Row],[Discount]]))</f>
        <v>4</v>
      </c>
      <c r="G1226" s="5">
        <v>218.01</v>
      </c>
      <c r="H1226">
        <v>0.06</v>
      </c>
      <c r="I1226" t="s">
        <v>1349</v>
      </c>
      <c r="J1226" s="5">
        <v>819.71759999999995</v>
      </c>
    </row>
    <row r="1227" spans="1:10">
      <c r="A1227" t="s">
        <v>2576</v>
      </c>
      <c r="B1227" s="7">
        <v>45933</v>
      </c>
      <c r="C1227" t="s">
        <v>498</v>
      </c>
      <c r="D1227" t="s">
        <v>1257</v>
      </c>
      <c r="E1227" t="s">
        <v>1335</v>
      </c>
      <c r="F1227">
        <f>Table5[[#This Row],[Total_Amount]]/(G1227*(1-Table5[[#This Row],[Discount]]))</f>
        <v>1.9999999999999996</v>
      </c>
      <c r="G1227" s="5">
        <v>682.7</v>
      </c>
      <c r="H1227">
        <v>0.13</v>
      </c>
      <c r="I1227" t="s">
        <v>1349</v>
      </c>
      <c r="J1227" s="5">
        <v>1187.8979999999999</v>
      </c>
    </row>
    <row r="1228" spans="1:10">
      <c r="A1228" t="s">
        <v>2577</v>
      </c>
      <c r="B1228" s="7">
        <v>45345</v>
      </c>
      <c r="C1228" t="s">
        <v>710</v>
      </c>
      <c r="D1228" t="s">
        <v>1111</v>
      </c>
      <c r="E1228" t="s">
        <v>1335</v>
      </c>
      <c r="F1228">
        <f>Table5[[#This Row],[Total_Amount]]/(G1228*(1-Table5[[#This Row],[Discount]]))</f>
        <v>3</v>
      </c>
      <c r="G1228" s="5">
        <v>726.97</v>
      </c>
      <c r="H1228">
        <v>0.04</v>
      </c>
      <c r="I1228" t="s">
        <v>1351</v>
      </c>
      <c r="J1228" s="5">
        <v>2093.6736000000001</v>
      </c>
    </row>
    <row r="1229" spans="1:10">
      <c r="A1229" t="s">
        <v>2578</v>
      </c>
      <c r="B1229" s="7">
        <v>45681</v>
      </c>
      <c r="C1229" t="s">
        <v>879</v>
      </c>
      <c r="D1229" t="s">
        <v>1191</v>
      </c>
      <c r="E1229" t="s">
        <v>1311</v>
      </c>
      <c r="F1229">
        <f>Table5[[#This Row],[Total_Amount]]/(G1229*(1-Table5[[#This Row],[Discount]]))</f>
        <v>2</v>
      </c>
      <c r="G1229" s="5">
        <v>107.97</v>
      </c>
      <c r="H1229">
        <v>0.06</v>
      </c>
      <c r="I1229" t="s">
        <v>1349</v>
      </c>
      <c r="J1229" s="5">
        <v>202.9836</v>
      </c>
    </row>
    <row r="1230" spans="1:10">
      <c r="A1230" t="s">
        <v>2579</v>
      </c>
      <c r="B1230" s="7">
        <v>45785</v>
      </c>
      <c r="C1230" t="s">
        <v>33</v>
      </c>
      <c r="D1230" t="s">
        <v>1080</v>
      </c>
      <c r="E1230" t="s">
        <v>1324</v>
      </c>
      <c r="F1230">
        <f>Table5[[#This Row],[Total_Amount]]/(G1230*(1-Table5[[#This Row],[Discount]]))</f>
        <v>1</v>
      </c>
      <c r="G1230" s="5">
        <v>38.880000000000003</v>
      </c>
      <c r="H1230">
        <v>0.16</v>
      </c>
      <c r="I1230" t="s">
        <v>1354</v>
      </c>
      <c r="J1230" s="5">
        <v>32.659199999999998</v>
      </c>
    </row>
    <row r="1231" spans="1:10">
      <c r="A1231" t="s">
        <v>2580</v>
      </c>
      <c r="B1231" s="7">
        <v>45823</v>
      </c>
      <c r="C1231" t="s">
        <v>208</v>
      </c>
      <c r="D1231" t="s">
        <v>1105</v>
      </c>
      <c r="E1231" t="s">
        <v>1332</v>
      </c>
      <c r="F1231">
        <f>Table5[[#This Row],[Total_Amount]]/(G1231*(1-Table5[[#This Row],[Discount]]))</f>
        <v>3</v>
      </c>
      <c r="G1231" s="5">
        <v>484.39</v>
      </c>
      <c r="H1231">
        <v>0.28999999999999998</v>
      </c>
      <c r="I1231" t="s">
        <v>1354</v>
      </c>
      <c r="J1231" s="5">
        <v>1031.7507000000001</v>
      </c>
    </row>
    <row r="1232" spans="1:10">
      <c r="A1232" t="s">
        <v>2581</v>
      </c>
      <c r="B1232" s="7">
        <v>45572</v>
      </c>
      <c r="C1232" t="s">
        <v>64</v>
      </c>
      <c r="D1232" t="s">
        <v>1233</v>
      </c>
      <c r="E1232" t="s">
        <v>1326</v>
      </c>
      <c r="F1232">
        <f>Table5[[#This Row],[Total_Amount]]/(G1232*(1-Table5[[#This Row],[Discount]]))</f>
        <v>2</v>
      </c>
      <c r="G1232" s="5">
        <v>949.3</v>
      </c>
      <c r="H1232">
        <v>0.08</v>
      </c>
      <c r="I1232" t="s">
        <v>1354</v>
      </c>
      <c r="J1232" s="5">
        <v>1746.712</v>
      </c>
    </row>
    <row r="1233" spans="1:10">
      <c r="A1233" t="s">
        <v>2582</v>
      </c>
      <c r="B1233" s="7">
        <v>45259</v>
      </c>
      <c r="C1233" t="s">
        <v>929</v>
      </c>
      <c r="D1233" t="s">
        <v>1215</v>
      </c>
      <c r="E1233" t="s">
        <v>1301</v>
      </c>
      <c r="F1233">
        <f>Table5[[#This Row],[Total_Amount]]/(G1233*(1-Table5[[#This Row],[Discount]]))</f>
        <v>3</v>
      </c>
      <c r="G1233" s="5">
        <v>664.75</v>
      </c>
      <c r="H1233">
        <v>0.12</v>
      </c>
      <c r="I1233" t="s">
        <v>1349</v>
      </c>
      <c r="J1233" s="5">
        <v>1754.94</v>
      </c>
    </row>
    <row r="1234" spans="1:10">
      <c r="A1234" t="s">
        <v>2583</v>
      </c>
      <c r="B1234" s="7">
        <v>45740</v>
      </c>
      <c r="C1234" t="s">
        <v>628</v>
      </c>
      <c r="D1234" t="s">
        <v>1213</v>
      </c>
      <c r="E1234" t="s">
        <v>1332</v>
      </c>
      <c r="F1234">
        <f>Table5[[#This Row],[Total_Amount]]/(G1234*(1-Table5[[#This Row],[Discount]]))</f>
        <v>3.0000000000000004</v>
      </c>
      <c r="G1234" s="5">
        <v>190.04</v>
      </c>
      <c r="H1234">
        <v>7.0000000000000007E-2</v>
      </c>
      <c r="I1234" t="s">
        <v>1351</v>
      </c>
      <c r="J1234" s="5">
        <v>530.21159999999998</v>
      </c>
    </row>
    <row r="1235" spans="1:10">
      <c r="A1235" t="s">
        <v>2584</v>
      </c>
      <c r="B1235" s="7">
        <v>45869</v>
      </c>
      <c r="C1235" t="s">
        <v>618</v>
      </c>
      <c r="D1235" t="s">
        <v>1085</v>
      </c>
      <c r="E1235" t="s">
        <v>1326</v>
      </c>
      <c r="F1235">
        <f>Table5[[#This Row],[Total_Amount]]/(G1235*(1-Table5[[#This Row],[Discount]]))</f>
        <v>3</v>
      </c>
      <c r="G1235" s="5">
        <v>754.02</v>
      </c>
      <c r="H1235">
        <v>0.1</v>
      </c>
      <c r="I1235" t="s">
        <v>1354</v>
      </c>
      <c r="J1235" s="5">
        <v>2035.854</v>
      </c>
    </row>
    <row r="1236" spans="1:10">
      <c r="A1236" t="s">
        <v>2585</v>
      </c>
      <c r="B1236" s="7">
        <v>45526</v>
      </c>
      <c r="C1236" t="s">
        <v>831</v>
      </c>
      <c r="D1236" t="s">
        <v>1141</v>
      </c>
      <c r="E1236" t="s">
        <v>1319</v>
      </c>
      <c r="F1236">
        <f>Table5[[#This Row],[Total_Amount]]/(G1236*(1-Table5[[#This Row],[Discount]]))</f>
        <v>4.0000000000000009</v>
      </c>
      <c r="G1236" s="5">
        <v>94.13</v>
      </c>
      <c r="H1236">
        <v>0.04</v>
      </c>
      <c r="I1236" t="s">
        <v>1354</v>
      </c>
      <c r="J1236" s="5">
        <v>361.45920000000001</v>
      </c>
    </row>
    <row r="1237" spans="1:10">
      <c r="A1237" t="s">
        <v>2586</v>
      </c>
      <c r="B1237" s="7">
        <v>45489</v>
      </c>
      <c r="C1237" t="s">
        <v>998</v>
      </c>
      <c r="D1237" t="s">
        <v>1071</v>
      </c>
      <c r="E1237" t="s">
        <v>1326</v>
      </c>
      <c r="F1237">
        <f>Table5[[#This Row],[Total_Amount]]/(G1237*(1-Table5[[#This Row],[Discount]]))</f>
        <v>3.0000000000000004</v>
      </c>
      <c r="G1237" s="5">
        <v>402.3</v>
      </c>
      <c r="H1237">
        <v>0.21</v>
      </c>
      <c r="I1237" t="s">
        <v>1351</v>
      </c>
      <c r="J1237" s="5">
        <v>953.45100000000014</v>
      </c>
    </row>
    <row r="1238" spans="1:10">
      <c r="A1238" t="s">
        <v>2587</v>
      </c>
      <c r="B1238" s="7">
        <v>45908</v>
      </c>
      <c r="C1238" t="s">
        <v>541</v>
      </c>
      <c r="D1238" t="s">
        <v>1245</v>
      </c>
      <c r="E1238" t="s">
        <v>1304</v>
      </c>
      <c r="F1238">
        <f>Table5[[#This Row],[Total_Amount]]/(G1238*(1-Table5[[#This Row],[Discount]]))</f>
        <v>1</v>
      </c>
      <c r="G1238" s="5">
        <v>729.05</v>
      </c>
      <c r="H1238">
        <v>0.06</v>
      </c>
      <c r="I1238" t="s">
        <v>1354</v>
      </c>
      <c r="J1238" s="5">
        <v>685.3069999999999</v>
      </c>
    </row>
    <row r="1239" spans="1:10">
      <c r="A1239" t="s">
        <v>2588</v>
      </c>
      <c r="B1239" s="7">
        <v>45912</v>
      </c>
      <c r="C1239" t="s">
        <v>329</v>
      </c>
      <c r="D1239" t="s">
        <v>1253</v>
      </c>
      <c r="E1239" t="s">
        <v>1322</v>
      </c>
      <c r="F1239">
        <f>Table5[[#This Row],[Total_Amount]]/(G1239*(1-Table5[[#This Row],[Discount]]))</f>
        <v>1</v>
      </c>
      <c r="G1239" s="5">
        <v>822.6</v>
      </c>
      <c r="H1239">
        <v>0.28999999999999998</v>
      </c>
      <c r="I1239" t="s">
        <v>1351</v>
      </c>
      <c r="J1239" s="5">
        <v>584.04599999999994</v>
      </c>
    </row>
    <row r="1240" spans="1:10">
      <c r="A1240" t="s">
        <v>2589</v>
      </c>
      <c r="B1240" s="7">
        <v>45771</v>
      </c>
      <c r="C1240" t="s">
        <v>448</v>
      </c>
      <c r="D1240" t="s">
        <v>1239</v>
      </c>
      <c r="E1240" t="s">
        <v>1307</v>
      </c>
      <c r="F1240">
        <f>Table5[[#This Row],[Total_Amount]]/(G1240*(1-Table5[[#This Row],[Discount]]))</f>
        <v>2</v>
      </c>
      <c r="G1240" s="5">
        <v>327.25</v>
      </c>
      <c r="H1240">
        <v>0.19</v>
      </c>
      <c r="I1240" t="s">
        <v>1351</v>
      </c>
      <c r="J1240" s="5">
        <v>530.14499999999998</v>
      </c>
    </row>
    <row r="1241" spans="1:10">
      <c r="A1241" t="s">
        <v>2590</v>
      </c>
      <c r="B1241" s="7">
        <v>45619</v>
      </c>
      <c r="C1241" t="s">
        <v>222</v>
      </c>
      <c r="D1241" t="s">
        <v>1213</v>
      </c>
      <c r="E1241" t="s">
        <v>1311</v>
      </c>
      <c r="F1241">
        <f>Table5[[#This Row],[Total_Amount]]/(G1241*(1-Table5[[#This Row],[Discount]]))</f>
        <v>4</v>
      </c>
      <c r="G1241" s="5">
        <v>930.38</v>
      </c>
      <c r="H1241">
        <v>0</v>
      </c>
      <c r="I1241" t="s">
        <v>1354</v>
      </c>
      <c r="J1241" s="5">
        <v>3721.52</v>
      </c>
    </row>
    <row r="1242" spans="1:10">
      <c r="A1242" t="s">
        <v>2591</v>
      </c>
      <c r="B1242" s="7">
        <v>45394</v>
      </c>
      <c r="C1242" t="s">
        <v>349</v>
      </c>
      <c r="D1242" t="s">
        <v>1127</v>
      </c>
      <c r="E1242" t="s">
        <v>1298</v>
      </c>
      <c r="F1242">
        <f>Table5[[#This Row],[Total_Amount]]/(G1242*(1-Table5[[#This Row],[Discount]]))</f>
        <v>2</v>
      </c>
      <c r="G1242" s="5">
        <v>437.84</v>
      </c>
      <c r="H1242">
        <v>0.24</v>
      </c>
      <c r="I1242" t="s">
        <v>1349</v>
      </c>
      <c r="J1242" s="5">
        <v>665.51679999999999</v>
      </c>
    </row>
    <row r="1243" spans="1:10">
      <c r="A1243" t="s">
        <v>2592</v>
      </c>
      <c r="B1243" s="7">
        <v>45786</v>
      </c>
      <c r="C1243" t="s">
        <v>190</v>
      </c>
      <c r="D1243" t="s">
        <v>1105</v>
      </c>
      <c r="E1243" t="s">
        <v>1329</v>
      </c>
      <c r="F1243">
        <f>Table5[[#This Row],[Total_Amount]]/(G1243*(1-Table5[[#This Row],[Discount]]))</f>
        <v>2</v>
      </c>
      <c r="G1243" s="5">
        <v>126.02</v>
      </c>
      <c r="H1243">
        <v>0.09</v>
      </c>
      <c r="I1243" t="s">
        <v>1354</v>
      </c>
      <c r="J1243" s="5">
        <v>229.35640000000001</v>
      </c>
    </row>
    <row r="1244" spans="1:10">
      <c r="A1244" t="s">
        <v>2593</v>
      </c>
      <c r="B1244" s="7">
        <v>45692</v>
      </c>
      <c r="C1244" t="s">
        <v>937</v>
      </c>
      <c r="D1244" t="s">
        <v>1239</v>
      </c>
      <c r="E1244" t="s">
        <v>1326</v>
      </c>
      <c r="F1244">
        <f>Table5[[#This Row],[Total_Amount]]/(G1244*(1-Table5[[#This Row],[Discount]]))</f>
        <v>1</v>
      </c>
      <c r="G1244" s="5">
        <v>860.84</v>
      </c>
      <c r="H1244">
        <v>7.0000000000000007E-2</v>
      </c>
      <c r="I1244" t="s">
        <v>1351</v>
      </c>
      <c r="J1244" s="5">
        <v>800.58119999999997</v>
      </c>
    </row>
    <row r="1245" spans="1:10">
      <c r="A1245" t="s">
        <v>2594</v>
      </c>
      <c r="B1245" s="7">
        <v>45677</v>
      </c>
      <c r="C1245" t="s">
        <v>244</v>
      </c>
      <c r="D1245" t="s">
        <v>1169</v>
      </c>
      <c r="E1245" t="s">
        <v>1322</v>
      </c>
      <c r="F1245">
        <f>Table5[[#This Row],[Total_Amount]]/(G1245*(1-Table5[[#This Row],[Discount]]))</f>
        <v>1</v>
      </c>
      <c r="G1245" s="5">
        <v>161.80000000000001</v>
      </c>
      <c r="H1245">
        <v>0.24</v>
      </c>
      <c r="I1245" t="s">
        <v>1351</v>
      </c>
      <c r="J1245" s="5">
        <v>122.968</v>
      </c>
    </row>
    <row r="1246" spans="1:10">
      <c r="A1246" t="s">
        <v>2595</v>
      </c>
      <c r="B1246" s="7">
        <v>45669</v>
      </c>
      <c r="C1246" t="s">
        <v>833</v>
      </c>
      <c r="D1246" t="s">
        <v>1149</v>
      </c>
      <c r="E1246" t="s">
        <v>1332</v>
      </c>
      <c r="F1246">
        <f>Table5[[#This Row],[Total_Amount]]/(G1246*(1-Table5[[#This Row],[Discount]]))</f>
        <v>4.0000000000000009</v>
      </c>
      <c r="G1246" s="5">
        <v>347.82</v>
      </c>
      <c r="H1246">
        <v>0.02</v>
      </c>
      <c r="I1246" t="s">
        <v>1354</v>
      </c>
      <c r="J1246" s="5">
        <v>1363.4544000000001</v>
      </c>
    </row>
    <row r="1247" spans="1:10">
      <c r="A1247" t="s">
        <v>2596</v>
      </c>
      <c r="B1247" s="7">
        <v>45299</v>
      </c>
      <c r="C1247" t="s">
        <v>969</v>
      </c>
      <c r="D1247" t="s">
        <v>1243</v>
      </c>
      <c r="E1247" t="s">
        <v>1329</v>
      </c>
      <c r="F1247">
        <f>Table5[[#This Row],[Total_Amount]]/(G1247*(1-Table5[[#This Row],[Discount]]))</f>
        <v>3</v>
      </c>
      <c r="G1247" s="5">
        <v>416.44</v>
      </c>
      <c r="H1247">
        <v>0.27</v>
      </c>
      <c r="I1247" t="s">
        <v>1349</v>
      </c>
      <c r="J1247" s="5">
        <v>912.00359999999989</v>
      </c>
    </row>
    <row r="1248" spans="1:10">
      <c r="A1248" t="s">
        <v>2597</v>
      </c>
      <c r="B1248" s="7">
        <v>45893</v>
      </c>
      <c r="C1248" t="s">
        <v>27</v>
      </c>
      <c r="D1248" t="s">
        <v>1197</v>
      </c>
      <c r="E1248" t="s">
        <v>1277</v>
      </c>
      <c r="F1248">
        <f>Table5[[#This Row],[Total_Amount]]/(G1248*(1-Table5[[#This Row],[Discount]]))</f>
        <v>1</v>
      </c>
      <c r="G1248" s="5">
        <v>147.96</v>
      </c>
      <c r="H1248">
        <v>0.24</v>
      </c>
      <c r="I1248" t="s">
        <v>1354</v>
      </c>
      <c r="J1248" s="5">
        <v>112.4496</v>
      </c>
    </row>
    <row r="1249" spans="1:10">
      <c r="A1249" t="s">
        <v>2598</v>
      </c>
      <c r="B1249" s="7">
        <v>45560</v>
      </c>
      <c r="C1249" t="s">
        <v>953</v>
      </c>
      <c r="D1249" t="s">
        <v>1109</v>
      </c>
      <c r="E1249" t="s">
        <v>1307</v>
      </c>
      <c r="F1249">
        <f>Table5[[#This Row],[Total_Amount]]/(G1249*(1-Table5[[#This Row],[Discount]]))</f>
        <v>3</v>
      </c>
      <c r="G1249" s="5">
        <v>550.26</v>
      </c>
      <c r="H1249">
        <v>0.22</v>
      </c>
      <c r="I1249" t="s">
        <v>1349</v>
      </c>
      <c r="J1249" s="5">
        <v>1287.6084000000001</v>
      </c>
    </row>
    <row r="1250" spans="1:10">
      <c r="A1250" t="s">
        <v>2599</v>
      </c>
      <c r="B1250" s="7">
        <v>45267</v>
      </c>
      <c r="C1250" t="s">
        <v>805</v>
      </c>
      <c r="D1250" t="s">
        <v>1267</v>
      </c>
      <c r="E1250" t="s">
        <v>1304</v>
      </c>
      <c r="F1250">
        <f>Table5[[#This Row],[Total_Amount]]/(G1250*(1-Table5[[#This Row],[Discount]]))</f>
        <v>4</v>
      </c>
      <c r="G1250" s="5">
        <v>938.21</v>
      </c>
      <c r="H1250">
        <v>0.04</v>
      </c>
      <c r="I1250" t="s">
        <v>1351</v>
      </c>
      <c r="J1250" s="5">
        <v>3602.7264</v>
      </c>
    </row>
    <row r="1251" spans="1:10">
      <c r="A1251" t="s">
        <v>2600</v>
      </c>
      <c r="B1251" s="7">
        <v>45467</v>
      </c>
      <c r="C1251" t="s">
        <v>329</v>
      </c>
      <c r="D1251" t="s">
        <v>1261</v>
      </c>
      <c r="E1251" t="s">
        <v>1329</v>
      </c>
      <c r="F1251">
        <f>Table5[[#This Row],[Total_Amount]]/(G1251*(1-Table5[[#This Row],[Discount]]))</f>
        <v>3</v>
      </c>
      <c r="G1251" s="5">
        <v>517.98</v>
      </c>
      <c r="H1251">
        <v>0.01</v>
      </c>
      <c r="I1251" t="s">
        <v>1351</v>
      </c>
      <c r="J1251" s="5">
        <v>1538.4005999999999</v>
      </c>
    </row>
    <row r="1252" spans="1:10">
      <c r="A1252" t="s">
        <v>2601</v>
      </c>
      <c r="B1252" s="7">
        <v>45847</v>
      </c>
      <c r="C1252" t="s">
        <v>109</v>
      </c>
      <c r="D1252" t="s">
        <v>1082</v>
      </c>
      <c r="E1252" t="s">
        <v>1307</v>
      </c>
      <c r="F1252">
        <f>Table5[[#This Row],[Total_Amount]]/(G1252*(1-Table5[[#This Row],[Discount]]))</f>
        <v>1</v>
      </c>
      <c r="G1252" s="5">
        <v>98.27</v>
      </c>
      <c r="H1252">
        <v>0.16</v>
      </c>
      <c r="I1252" t="s">
        <v>1351</v>
      </c>
      <c r="J1252" s="5">
        <v>82.54679999999999</v>
      </c>
    </row>
    <row r="1253" spans="1:10">
      <c r="A1253" t="s">
        <v>2602</v>
      </c>
      <c r="B1253" s="7">
        <v>45480</v>
      </c>
      <c r="C1253" t="s">
        <v>565</v>
      </c>
      <c r="D1253" t="s">
        <v>1169</v>
      </c>
      <c r="E1253" t="s">
        <v>1317</v>
      </c>
      <c r="F1253">
        <f>Table5[[#This Row],[Total_Amount]]/(G1253*(1-Table5[[#This Row],[Discount]]))</f>
        <v>2</v>
      </c>
      <c r="G1253" s="5">
        <v>875.2</v>
      </c>
      <c r="H1253">
        <v>0.19</v>
      </c>
      <c r="I1253" t="s">
        <v>1349</v>
      </c>
      <c r="J1253" s="5">
        <v>1417.8240000000001</v>
      </c>
    </row>
    <row r="1254" spans="1:10">
      <c r="A1254" t="s">
        <v>2603</v>
      </c>
      <c r="B1254" s="7">
        <v>45345</v>
      </c>
      <c r="C1254" t="s">
        <v>674</v>
      </c>
      <c r="D1254" t="s">
        <v>1245</v>
      </c>
      <c r="E1254" t="s">
        <v>1277</v>
      </c>
      <c r="F1254">
        <f>Table5[[#This Row],[Total_Amount]]/(G1254*(1-Table5[[#This Row],[Discount]]))</f>
        <v>1.0000000000000002</v>
      </c>
      <c r="G1254" s="5">
        <v>227.35</v>
      </c>
      <c r="H1254">
        <v>0.06</v>
      </c>
      <c r="I1254" t="s">
        <v>1354</v>
      </c>
      <c r="J1254" s="5">
        <v>213.709</v>
      </c>
    </row>
    <row r="1255" spans="1:10">
      <c r="A1255" t="s">
        <v>2604</v>
      </c>
      <c r="B1255" s="7">
        <v>45235</v>
      </c>
      <c r="C1255" t="s">
        <v>482</v>
      </c>
      <c r="D1255" t="s">
        <v>1221</v>
      </c>
      <c r="E1255" t="s">
        <v>1282</v>
      </c>
      <c r="F1255">
        <f>Table5[[#This Row],[Total_Amount]]/(G1255*(1-Table5[[#This Row],[Discount]]))</f>
        <v>1</v>
      </c>
      <c r="G1255" s="5">
        <v>842.46</v>
      </c>
      <c r="H1255">
        <v>0.05</v>
      </c>
      <c r="I1255" t="s">
        <v>1354</v>
      </c>
      <c r="J1255" s="5">
        <v>800.33699999999999</v>
      </c>
    </row>
    <row r="1256" spans="1:10">
      <c r="A1256" t="s">
        <v>2605</v>
      </c>
      <c r="B1256" s="7">
        <v>45543</v>
      </c>
      <c r="C1256" t="s">
        <v>486</v>
      </c>
      <c r="D1256" t="s">
        <v>1145</v>
      </c>
      <c r="E1256" t="s">
        <v>1317</v>
      </c>
      <c r="F1256">
        <f>Table5[[#This Row],[Total_Amount]]/(G1256*(1-Table5[[#This Row],[Discount]]))</f>
        <v>2.9999999999999996</v>
      </c>
      <c r="G1256" s="5">
        <v>120.67</v>
      </c>
      <c r="H1256">
        <v>0.08</v>
      </c>
      <c r="I1256" t="s">
        <v>1354</v>
      </c>
      <c r="J1256" s="5">
        <v>333.04919999999998</v>
      </c>
    </row>
    <row r="1257" spans="1:10">
      <c r="A1257" t="s">
        <v>2606</v>
      </c>
      <c r="B1257" s="7">
        <v>45402</v>
      </c>
      <c r="C1257" t="s">
        <v>1055</v>
      </c>
      <c r="D1257" t="s">
        <v>1113</v>
      </c>
      <c r="E1257" t="s">
        <v>1291</v>
      </c>
      <c r="F1257">
        <f>Table5[[#This Row],[Total_Amount]]/(G1257*(1-Table5[[#This Row],[Discount]]))</f>
        <v>4</v>
      </c>
      <c r="G1257" s="5">
        <v>176.13</v>
      </c>
      <c r="H1257">
        <v>0.27</v>
      </c>
      <c r="I1257" t="s">
        <v>1351</v>
      </c>
      <c r="J1257" s="5">
        <v>514.29959999999994</v>
      </c>
    </row>
    <row r="1258" spans="1:10">
      <c r="A1258" t="s">
        <v>2607</v>
      </c>
      <c r="B1258" s="7">
        <v>45671</v>
      </c>
      <c r="C1258" t="s">
        <v>963</v>
      </c>
      <c r="D1258" t="s">
        <v>1199</v>
      </c>
      <c r="E1258" t="s">
        <v>1317</v>
      </c>
      <c r="F1258">
        <f>Table5[[#This Row],[Total_Amount]]/(G1258*(1-Table5[[#This Row],[Discount]]))</f>
        <v>4</v>
      </c>
      <c r="G1258" s="5">
        <v>592.67999999999995</v>
      </c>
      <c r="H1258">
        <v>0.03</v>
      </c>
      <c r="I1258" t="s">
        <v>1349</v>
      </c>
      <c r="J1258" s="5">
        <v>2299.5983999999999</v>
      </c>
    </row>
    <row r="1259" spans="1:10">
      <c r="A1259" t="s">
        <v>2608</v>
      </c>
      <c r="B1259" s="7">
        <v>45367</v>
      </c>
      <c r="C1259" t="s">
        <v>413</v>
      </c>
      <c r="D1259" t="s">
        <v>1213</v>
      </c>
      <c r="E1259" t="s">
        <v>1294</v>
      </c>
      <c r="F1259">
        <f>Table5[[#This Row],[Total_Amount]]/(G1259*(1-Table5[[#This Row],[Discount]]))</f>
        <v>4</v>
      </c>
      <c r="G1259" s="5">
        <v>662.43</v>
      </c>
      <c r="H1259">
        <v>0.24</v>
      </c>
      <c r="I1259" t="s">
        <v>1351</v>
      </c>
      <c r="J1259" s="5">
        <v>2013.7872</v>
      </c>
    </row>
    <row r="1260" spans="1:10">
      <c r="A1260" t="s">
        <v>2609</v>
      </c>
      <c r="B1260" s="7">
        <v>45488</v>
      </c>
      <c r="C1260" t="s">
        <v>317</v>
      </c>
      <c r="D1260" t="s">
        <v>1159</v>
      </c>
      <c r="E1260" t="s">
        <v>1307</v>
      </c>
      <c r="F1260">
        <f>Table5[[#This Row],[Total_Amount]]/(G1260*(1-Table5[[#This Row],[Discount]]))</f>
        <v>2.9999999999999996</v>
      </c>
      <c r="G1260" s="5">
        <v>518.35</v>
      </c>
      <c r="H1260">
        <v>0.21</v>
      </c>
      <c r="I1260" t="s">
        <v>1354</v>
      </c>
      <c r="J1260" s="5">
        <v>1228.4894999999999</v>
      </c>
    </row>
    <row r="1261" spans="1:10">
      <c r="A1261" t="s">
        <v>2610</v>
      </c>
      <c r="B1261" s="7">
        <v>45509</v>
      </c>
      <c r="C1261" t="s">
        <v>684</v>
      </c>
      <c r="D1261" t="s">
        <v>1195</v>
      </c>
      <c r="E1261" t="s">
        <v>1298</v>
      </c>
      <c r="F1261">
        <f>Table5[[#This Row],[Total_Amount]]/(G1261*(1-Table5[[#This Row],[Discount]]))</f>
        <v>1</v>
      </c>
      <c r="G1261" s="5">
        <v>85.58</v>
      </c>
      <c r="H1261">
        <v>0.1</v>
      </c>
      <c r="I1261" t="s">
        <v>1354</v>
      </c>
      <c r="J1261" s="5">
        <v>77.022000000000006</v>
      </c>
    </row>
    <row r="1262" spans="1:10">
      <c r="A1262" t="s">
        <v>2611</v>
      </c>
      <c r="B1262" s="7">
        <v>45323</v>
      </c>
      <c r="C1262" t="s">
        <v>789</v>
      </c>
      <c r="D1262" t="s">
        <v>1247</v>
      </c>
      <c r="E1262" t="s">
        <v>1282</v>
      </c>
      <c r="F1262">
        <f>Table5[[#This Row],[Total_Amount]]/(G1262*(1-Table5[[#This Row],[Discount]]))</f>
        <v>4</v>
      </c>
      <c r="G1262" s="5">
        <v>800</v>
      </c>
      <c r="H1262">
        <v>0.2</v>
      </c>
      <c r="I1262" t="s">
        <v>1349</v>
      </c>
      <c r="J1262" s="5">
        <v>2560</v>
      </c>
    </row>
    <row r="1263" spans="1:10">
      <c r="A1263" t="s">
        <v>2612</v>
      </c>
      <c r="B1263" s="7">
        <v>45889</v>
      </c>
      <c r="C1263" t="s">
        <v>371</v>
      </c>
      <c r="D1263" t="s">
        <v>1193</v>
      </c>
      <c r="E1263" t="s">
        <v>1314</v>
      </c>
      <c r="F1263">
        <f>Table5[[#This Row],[Total_Amount]]/(G1263*(1-Table5[[#This Row],[Discount]]))</f>
        <v>3</v>
      </c>
      <c r="G1263" s="5">
        <v>118.25</v>
      </c>
      <c r="H1263">
        <v>0.26</v>
      </c>
      <c r="I1263" t="s">
        <v>1351</v>
      </c>
      <c r="J1263" s="5">
        <v>262.51499999999999</v>
      </c>
    </row>
    <row r="1264" spans="1:10">
      <c r="A1264" t="s">
        <v>2613</v>
      </c>
      <c r="B1264" s="7">
        <v>45253</v>
      </c>
      <c r="C1264" t="s">
        <v>905</v>
      </c>
      <c r="D1264" t="s">
        <v>1137</v>
      </c>
      <c r="E1264" t="s">
        <v>1326</v>
      </c>
      <c r="F1264">
        <f>Table5[[#This Row],[Total_Amount]]/(G1264*(1-Table5[[#This Row],[Discount]]))</f>
        <v>1</v>
      </c>
      <c r="G1264" s="5">
        <v>223.25</v>
      </c>
      <c r="H1264">
        <v>0.28999999999999998</v>
      </c>
      <c r="I1264" t="s">
        <v>1349</v>
      </c>
      <c r="J1264" s="5">
        <v>158.50749999999999</v>
      </c>
    </row>
    <row r="1265" spans="1:10">
      <c r="A1265" t="s">
        <v>2614</v>
      </c>
      <c r="B1265" s="7">
        <v>45530</v>
      </c>
      <c r="C1265" t="s">
        <v>917</v>
      </c>
      <c r="D1265" t="s">
        <v>1137</v>
      </c>
      <c r="E1265" t="s">
        <v>1294</v>
      </c>
      <c r="F1265">
        <f>Table5[[#This Row],[Total_Amount]]/(G1265*(1-Table5[[#This Row],[Discount]]))</f>
        <v>2.9999999999999996</v>
      </c>
      <c r="G1265" s="5">
        <v>918.76</v>
      </c>
      <c r="H1265">
        <v>0.2</v>
      </c>
      <c r="I1265" t="s">
        <v>1351</v>
      </c>
      <c r="J1265" s="5">
        <v>2205.0239999999999</v>
      </c>
    </row>
    <row r="1266" spans="1:10">
      <c r="A1266" t="s">
        <v>2615</v>
      </c>
      <c r="B1266" s="7">
        <v>45491</v>
      </c>
      <c r="C1266" t="s">
        <v>624</v>
      </c>
      <c r="D1266" t="s">
        <v>1241</v>
      </c>
      <c r="E1266" t="s">
        <v>1322</v>
      </c>
      <c r="F1266">
        <f>Table5[[#This Row],[Total_Amount]]/(G1266*(1-Table5[[#This Row],[Discount]]))</f>
        <v>2</v>
      </c>
      <c r="G1266" s="5">
        <v>905.26</v>
      </c>
      <c r="H1266">
        <v>0.15</v>
      </c>
      <c r="I1266" t="s">
        <v>1354</v>
      </c>
      <c r="J1266" s="5">
        <v>1538.942</v>
      </c>
    </row>
    <row r="1267" spans="1:10">
      <c r="A1267" t="s">
        <v>2616</v>
      </c>
      <c r="B1267" s="7">
        <v>45628</v>
      </c>
      <c r="C1267" t="s">
        <v>688</v>
      </c>
      <c r="D1267" t="s">
        <v>1105</v>
      </c>
      <c r="E1267" t="s">
        <v>1338</v>
      </c>
      <c r="F1267">
        <f>Table5[[#This Row],[Total_Amount]]/(G1267*(1-Table5[[#This Row],[Discount]]))</f>
        <v>4</v>
      </c>
      <c r="G1267" s="5">
        <v>295.39999999999998</v>
      </c>
      <c r="H1267">
        <v>0.23</v>
      </c>
      <c r="I1267" t="s">
        <v>1351</v>
      </c>
      <c r="J1267" s="5">
        <v>909.83199999999999</v>
      </c>
    </row>
    <row r="1268" spans="1:10">
      <c r="A1268" t="s">
        <v>2617</v>
      </c>
      <c r="B1268" s="7">
        <v>45861</v>
      </c>
      <c r="C1268" t="s">
        <v>229</v>
      </c>
      <c r="D1268" t="s">
        <v>1261</v>
      </c>
      <c r="E1268" t="s">
        <v>1298</v>
      </c>
      <c r="F1268">
        <f>Table5[[#This Row],[Total_Amount]]/(G1268*(1-Table5[[#This Row],[Discount]]))</f>
        <v>0.99999999999999989</v>
      </c>
      <c r="G1268" s="5">
        <v>252.18</v>
      </c>
      <c r="H1268">
        <v>0.23</v>
      </c>
      <c r="I1268" t="s">
        <v>1351</v>
      </c>
      <c r="J1268" s="5">
        <v>194.17859999999999</v>
      </c>
    </row>
    <row r="1269" spans="1:10">
      <c r="A1269" t="s">
        <v>2618</v>
      </c>
      <c r="B1269" s="7">
        <v>45878</v>
      </c>
      <c r="C1269" t="s">
        <v>365</v>
      </c>
      <c r="D1269" t="s">
        <v>1267</v>
      </c>
      <c r="E1269" t="s">
        <v>1319</v>
      </c>
      <c r="F1269">
        <f>Table5[[#This Row],[Total_Amount]]/(G1269*(1-Table5[[#This Row],[Discount]]))</f>
        <v>3.9999999999999991</v>
      </c>
      <c r="G1269" s="5">
        <v>792.1</v>
      </c>
      <c r="H1269">
        <v>0.19</v>
      </c>
      <c r="I1269" t="s">
        <v>1354</v>
      </c>
      <c r="J1269" s="5">
        <v>2566.404</v>
      </c>
    </row>
    <row r="1270" spans="1:10">
      <c r="A1270" t="s">
        <v>2619</v>
      </c>
      <c r="B1270" s="7">
        <v>45426</v>
      </c>
      <c r="C1270" t="s">
        <v>204</v>
      </c>
      <c r="D1270" t="s">
        <v>1249</v>
      </c>
      <c r="E1270" t="s">
        <v>1324</v>
      </c>
      <c r="F1270">
        <f>Table5[[#This Row],[Total_Amount]]/(G1270*(1-Table5[[#This Row],[Discount]]))</f>
        <v>1</v>
      </c>
      <c r="G1270" s="5">
        <v>883.36</v>
      </c>
      <c r="H1270">
        <v>0.11</v>
      </c>
      <c r="I1270" t="s">
        <v>1351</v>
      </c>
      <c r="J1270" s="5">
        <v>786.19040000000007</v>
      </c>
    </row>
    <row r="1271" spans="1:10">
      <c r="A1271" t="s">
        <v>2620</v>
      </c>
      <c r="B1271" s="7">
        <v>45231</v>
      </c>
      <c r="C1271" t="s">
        <v>616</v>
      </c>
      <c r="D1271" t="s">
        <v>1211</v>
      </c>
      <c r="E1271" t="s">
        <v>1277</v>
      </c>
      <c r="F1271">
        <f>Table5[[#This Row],[Total_Amount]]/(G1271*(1-Table5[[#This Row],[Discount]]))</f>
        <v>4</v>
      </c>
      <c r="G1271" s="5">
        <v>305.95</v>
      </c>
      <c r="H1271">
        <v>0.08</v>
      </c>
      <c r="I1271" t="s">
        <v>1351</v>
      </c>
      <c r="J1271" s="5">
        <v>1125.896</v>
      </c>
    </row>
    <row r="1272" spans="1:10">
      <c r="A1272" t="s">
        <v>2621</v>
      </c>
      <c r="B1272" s="7">
        <v>45609</v>
      </c>
      <c r="C1272" t="s">
        <v>865</v>
      </c>
      <c r="D1272" t="s">
        <v>1189</v>
      </c>
      <c r="E1272" t="s">
        <v>1304</v>
      </c>
      <c r="F1272">
        <f>Table5[[#This Row],[Total_Amount]]/(G1272*(1-Table5[[#This Row],[Discount]]))</f>
        <v>3</v>
      </c>
      <c r="G1272" s="5">
        <v>742.45</v>
      </c>
      <c r="H1272">
        <v>0.23</v>
      </c>
      <c r="I1272" t="s">
        <v>1354</v>
      </c>
      <c r="J1272" s="5">
        <v>1715.0595000000001</v>
      </c>
    </row>
    <row r="1273" spans="1:10">
      <c r="A1273" t="s">
        <v>2622</v>
      </c>
      <c r="B1273" s="7">
        <v>45392</v>
      </c>
      <c r="C1273" t="s">
        <v>773</v>
      </c>
      <c r="D1273" t="s">
        <v>1123</v>
      </c>
      <c r="E1273" t="s">
        <v>1335</v>
      </c>
      <c r="F1273">
        <f>Table5[[#This Row],[Total_Amount]]/(G1273*(1-Table5[[#This Row],[Discount]]))</f>
        <v>3</v>
      </c>
      <c r="G1273" s="5">
        <v>336.1</v>
      </c>
      <c r="H1273">
        <v>0.12</v>
      </c>
      <c r="I1273" t="s">
        <v>1354</v>
      </c>
      <c r="J1273" s="5">
        <v>887.30400000000009</v>
      </c>
    </row>
    <row r="1274" spans="1:10">
      <c r="A1274" t="s">
        <v>2623</v>
      </c>
      <c r="B1274" s="7">
        <v>45876</v>
      </c>
      <c r="C1274" t="s">
        <v>887</v>
      </c>
      <c r="D1274" t="s">
        <v>1131</v>
      </c>
      <c r="E1274" t="s">
        <v>1304</v>
      </c>
      <c r="F1274">
        <f>Table5[[#This Row],[Total_Amount]]/(G1274*(1-Table5[[#This Row],[Discount]]))</f>
        <v>3</v>
      </c>
      <c r="G1274" s="5">
        <v>310.36</v>
      </c>
      <c r="H1274">
        <v>0.14000000000000001</v>
      </c>
      <c r="I1274" t="s">
        <v>1354</v>
      </c>
      <c r="J1274" s="5">
        <v>800.72879999999998</v>
      </c>
    </row>
    <row r="1275" spans="1:10">
      <c r="A1275" t="s">
        <v>2624</v>
      </c>
      <c r="B1275" s="7">
        <v>45772</v>
      </c>
      <c r="C1275" t="s">
        <v>622</v>
      </c>
      <c r="D1275" t="s">
        <v>1269</v>
      </c>
      <c r="E1275" t="s">
        <v>1307</v>
      </c>
      <c r="F1275">
        <f>Table5[[#This Row],[Total_Amount]]/(G1275*(1-Table5[[#This Row],[Discount]]))</f>
        <v>3.0000000000000004</v>
      </c>
      <c r="G1275" s="5">
        <v>992.81</v>
      </c>
      <c r="H1275">
        <v>0.04</v>
      </c>
      <c r="I1275" t="s">
        <v>1351</v>
      </c>
      <c r="J1275" s="5">
        <v>2859.2928000000002</v>
      </c>
    </row>
    <row r="1276" spans="1:10">
      <c r="A1276" t="s">
        <v>2625</v>
      </c>
      <c r="B1276" s="7">
        <v>45217</v>
      </c>
      <c r="C1276" t="s">
        <v>458</v>
      </c>
      <c r="D1276" t="s">
        <v>1193</v>
      </c>
      <c r="E1276" t="s">
        <v>1317</v>
      </c>
      <c r="F1276">
        <f>Table5[[#This Row],[Total_Amount]]/(G1276*(1-Table5[[#This Row],[Discount]]))</f>
        <v>3</v>
      </c>
      <c r="G1276" s="5">
        <v>257.11</v>
      </c>
      <c r="H1276">
        <v>0.26</v>
      </c>
      <c r="I1276" t="s">
        <v>1354</v>
      </c>
      <c r="J1276" s="5">
        <v>570.78420000000006</v>
      </c>
    </row>
    <row r="1277" spans="1:10">
      <c r="A1277" t="s">
        <v>2626</v>
      </c>
      <c r="B1277" s="7">
        <v>45739</v>
      </c>
      <c r="C1277" t="s">
        <v>502</v>
      </c>
      <c r="D1277" t="s">
        <v>1263</v>
      </c>
      <c r="E1277" t="s">
        <v>1319</v>
      </c>
      <c r="F1277">
        <f>Table5[[#This Row],[Total_Amount]]/(G1277*(1-Table5[[#This Row],[Discount]]))</f>
        <v>4</v>
      </c>
      <c r="G1277" s="5">
        <v>816.29</v>
      </c>
      <c r="H1277">
        <v>0.24</v>
      </c>
      <c r="I1277" t="s">
        <v>1351</v>
      </c>
      <c r="J1277" s="5">
        <v>2481.5216</v>
      </c>
    </row>
    <row r="1278" spans="1:10">
      <c r="A1278" t="s">
        <v>2627</v>
      </c>
      <c r="B1278" s="7">
        <v>45272</v>
      </c>
      <c r="C1278" t="s">
        <v>304</v>
      </c>
      <c r="D1278" t="s">
        <v>1193</v>
      </c>
      <c r="E1278" t="s">
        <v>1319</v>
      </c>
      <c r="F1278">
        <f>Table5[[#This Row],[Total_Amount]]/(G1278*(1-Table5[[#This Row],[Discount]]))</f>
        <v>3.9999999999999991</v>
      </c>
      <c r="G1278" s="5">
        <v>755.82</v>
      </c>
      <c r="H1278">
        <v>0.22</v>
      </c>
      <c r="I1278" t="s">
        <v>1354</v>
      </c>
      <c r="J1278" s="5">
        <v>2358.1583999999998</v>
      </c>
    </row>
    <row r="1279" spans="1:10">
      <c r="A1279" t="s">
        <v>2628</v>
      </c>
      <c r="B1279" s="7">
        <v>45524</v>
      </c>
      <c r="C1279" t="s">
        <v>20</v>
      </c>
      <c r="D1279" t="s">
        <v>1068</v>
      </c>
      <c r="E1279" t="s">
        <v>1324</v>
      </c>
      <c r="F1279">
        <f>Table5[[#This Row],[Total_Amount]]/(G1279*(1-Table5[[#This Row],[Discount]]))</f>
        <v>0.99999999999999989</v>
      </c>
      <c r="G1279" s="5">
        <v>449.6</v>
      </c>
      <c r="H1279">
        <v>0.01</v>
      </c>
      <c r="I1279" t="s">
        <v>1351</v>
      </c>
      <c r="J1279" s="5">
        <v>445.10399999999998</v>
      </c>
    </row>
    <row r="1280" spans="1:10">
      <c r="A1280" t="s">
        <v>2629</v>
      </c>
      <c r="B1280" s="7">
        <v>45481</v>
      </c>
      <c r="C1280" t="s">
        <v>766</v>
      </c>
      <c r="D1280" t="s">
        <v>1101</v>
      </c>
      <c r="E1280" t="s">
        <v>1277</v>
      </c>
      <c r="F1280">
        <f>Table5[[#This Row],[Total_Amount]]/(G1280*(1-Table5[[#This Row],[Discount]]))</f>
        <v>2.0000000000000004</v>
      </c>
      <c r="G1280" s="5">
        <v>779.29</v>
      </c>
      <c r="H1280">
        <v>0.12</v>
      </c>
      <c r="I1280" t="s">
        <v>1354</v>
      </c>
      <c r="J1280" s="5">
        <v>1371.5504000000001</v>
      </c>
    </row>
    <row r="1281" spans="1:10">
      <c r="A1281" t="s">
        <v>2630</v>
      </c>
      <c r="B1281" s="7">
        <v>45267</v>
      </c>
      <c r="C1281" t="s">
        <v>990</v>
      </c>
      <c r="D1281" t="s">
        <v>1227</v>
      </c>
      <c r="E1281" t="s">
        <v>1332</v>
      </c>
      <c r="F1281">
        <f>Table5[[#This Row],[Total_Amount]]/(G1281*(1-Table5[[#This Row],[Discount]]))</f>
        <v>1</v>
      </c>
      <c r="G1281" s="5">
        <v>748.75</v>
      </c>
      <c r="H1281">
        <v>0.1</v>
      </c>
      <c r="I1281" t="s">
        <v>1354</v>
      </c>
      <c r="J1281" s="5">
        <v>673.875</v>
      </c>
    </row>
    <row r="1282" spans="1:10">
      <c r="A1282" t="s">
        <v>2631</v>
      </c>
      <c r="B1282" s="7">
        <v>45328</v>
      </c>
      <c r="C1282" t="s">
        <v>424</v>
      </c>
      <c r="D1282" t="s">
        <v>1251</v>
      </c>
      <c r="E1282" t="s">
        <v>1277</v>
      </c>
      <c r="F1282">
        <f>Table5[[#This Row],[Total_Amount]]/(G1282*(1-Table5[[#This Row],[Discount]]))</f>
        <v>2</v>
      </c>
      <c r="G1282" s="5">
        <v>121.67</v>
      </c>
      <c r="H1282">
        <v>0.08</v>
      </c>
      <c r="I1282" t="s">
        <v>1354</v>
      </c>
      <c r="J1282" s="5">
        <v>223.87280000000001</v>
      </c>
    </row>
    <row r="1283" spans="1:10">
      <c r="A1283" t="s">
        <v>2632</v>
      </c>
      <c r="B1283" s="7">
        <v>45787</v>
      </c>
      <c r="C1283" t="s">
        <v>1045</v>
      </c>
      <c r="D1283" t="s">
        <v>1171</v>
      </c>
      <c r="E1283" t="s">
        <v>1326</v>
      </c>
      <c r="F1283">
        <f>Table5[[#This Row],[Total_Amount]]/(G1283*(1-Table5[[#This Row],[Discount]]))</f>
        <v>3.0000000000000004</v>
      </c>
      <c r="G1283" s="5">
        <v>225.14</v>
      </c>
      <c r="H1283">
        <v>0.15</v>
      </c>
      <c r="I1283" t="s">
        <v>1354</v>
      </c>
      <c r="J1283" s="5">
        <v>574.10699999999997</v>
      </c>
    </row>
    <row r="1284" spans="1:10">
      <c r="A1284" t="s">
        <v>2633</v>
      </c>
      <c r="B1284" s="7">
        <v>45876</v>
      </c>
      <c r="C1284" t="s">
        <v>706</v>
      </c>
      <c r="D1284" t="s">
        <v>1131</v>
      </c>
      <c r="E1284" t="s">
        <v>1338</v>
      </c>
      <c r="F1284">
        <f>Table5[[#This Row],[Total_Amount]]/(G1284*(1-Table5[[#This Row],[Discount]]))</f>
        <v>1</v>
      </c>
      <c r="G1284" s="5">
        <v>654.17999999999995</v>
      </c>
      <c r="H1284">
        <v>0.19</v>
      </c>
      <c r="I1284" t="s">
        <v>1351</v>
      </c>
      <c r="J1284" s="5">
        <v>529.88580000000002</v>
      </c>
    </row>
    <row r="1285" spans="1:10">
      <c r="A1285" t="s">
        <v>2634</v>
      </c>
      <c r="B1285" s="7">
        <v>45552</v>
      </c>
      <c r="C1285" t="s">
        <v>162</v>
      </c>
      <c r="D1285" t="s">
        <v>1215</v>
      </c>
      <c r="E1285" t="s">
        <v>1298</v>
      </c>
      <c r="F1285">
        <f>Table5[[#This Row],[Total_Amount]]/(G1285*(1-Table5[[#This Row],[Discount]]))</f>
        <v>2</v>
      </c>
      <c r="G1285" s="5">
        <v>504.98</v>
      </c>
      <c r="H1285">
        <v>0.08</v>
      </c>
      <c r="I1285" t="s">
        <v>1354</v>
      </c>
      <c r="J1285" s="5">
        <v>929.16320000000007</v>
      </c>
    </row>
    <row r="1286" spans="1:10">
      <c r="A1286" t="s">
        <v>2635</v>
      </c>
      <c r="B1286" s="7">
        <v>45823</v>
      </c>
      <c r="C1286" t="s">
        <v>819</v>
      </c>
      <c r="D1286" t="s">
        <v>1181</v>
      </c>
      <c r="E1286" t="s">
        <v>1307</v>
      </c>
      <c r="F1286">
        <f>Table5[[#This Row],[Total_Amount]]/(G1286*(1-Table5[[#This Row],[Discount]]))</f>
        <v>2</v>
      </c>
      <c r="G1286" s="5">
        <v>623.20000000000005</v>
      </c>
      <c r="H1286">
        <v>0.14000000000000001</v>
      </c>
      <c r="I1286" t="s">
        <v>1354</v>
      </c>
      <c r="J1286" s="5">
        <v>1071.904</v>
      </c>
    </row>
    <row r="1287" spans="1:10">
      <c r="A1287" t="s">
        <v>2636</v>
      </c>
      <c r="B1287" s="7">
        <v>45622</v>
      </c>
      <c r="C1287" t="s">
        <v>714</v>
      </c>
      <c r="D1287" t="s">
        <v>1080</v>
      </c>
      <c r="E1287" t="s">
        <v>1329</v>
      </c>
      <c r="F1287">
        <f>Table5[[#This Row],[Total_Amount]]/(G1287*(1-Table5[[#This Row],[Discount]]))</f>
        <v>2</v>
      </c>
      <c r="G1287" s="5">
        <v>530.54</v>
      </c>
      <c r="H1287">
        <v>0.28000000000000003</v>
      </c>
      <c r="I1287" t="s">
        <v>1354</v>
      </c>
      <c r="J1287" s="5">
        <v>763.97759999999994</v>
      </c>
    </row>
    <row r="1288" spans="1:10">
      <c r="A1288" t="s">
        <v>2637</v>
      </c>
      <c r="B1288" s="7">
        <v>45810</v>
      </c>
      <c r="C1288" t="s">
        <v>793</v>
      </c>
      <c r="D1288" t="s">
        <v>1068</v>
      </c>
      <c r="E1288" t="s">
        <v>1329</v>
      </c>
      <c r="F1288">
        <f>Table5[[#This Row],[Total_Amount]]/(G1288*(1-Table5[[#This Row],[Discount]]))</f>
        <v>2.9999999999999996</v>
      </c>
      <c r="G1288" s="5">
        <v>279.45</v>
      </c>
      <c r="H1288">
        <v>0.15</v>
      </c>
      <c r="I1288" t="s">
        <v>1354</v>
      </c>
      <c r="J1288" s="5">
        <v>712.59749999999985</v>
      </c>
    </row>
    <row r="1289" spans="1:10">
      <c r="A1289" t="s">
        <v>2638</v>
      </c>
      <c r="B1289" s="7">
        <v>45645</v>
      </c>
      <c r="C1289" t="s">
        <v>596</v>
      </c>
      <c r="D1289" t="s">
        <v>1097</v>
      </c>
      <c r="E1289" t="s">
        <v>1307</v>
      </c>
      <c r="F1289">
        <f>Table5[[#This Row],[Total_Amount]]/(G1289*(1-Table5[[#This Row],[Discount]]))</f>
        <v>3</v>
      </c>
      <c r="G1289" s="5">
        <v>906.99</v>
      </c>
      <c r="H1289">
        <v>0.26</v>
      </c>
      <c r="I1289" t="s">
        <v>1354</v>
      </c>
      <c r="J1289" s="5">
        <v>2013.5178000000001</v>
      </c>
    </row>
    <row r="1290" spans="1:10">
      <c r="A1290" t="s">
        <v>2639</v>
      </c>
      <c r="B1290" s="7">
        <v>45749</v>
      </c>
      <c r="C1290" t="s">
        <v>190</v>
      </c>
      <c r="D1290" t="s">
        <v>1233</v>
      </c>
      <c r="E1290" t="s">
        <v>1332</v>
      </c>
      <c r="F1290">
        <f>Table5[[#This Row],[Total_Amount]]/(G1290*(1-Table5[[#This Row],[Discount]]))</f>
        <v>4</v>
      </c>
      <c r="G1290" s="5">
        <v>408.76</v>
      </c>
      <c r="H1290">
        <v>0.12</v>
      </c>
      <c r="I1290" t="s">
        <v>1354</v>
      </c>
      <c r="J1290" s="5">
        <v>1438.8352</v>
      </c>
    </row>
    <row r="1291" spans="1:10">
      <c r="A1291" t="s">
        <v>2640</v>
      </c>
      <c r="B1291" s="7">
        <v>45537</v>
      </c>
      <c r="C1291" t="s">
        <v>415</v>
      </c>
      <c r="D1291" t="s">
        <v>1145</v>
      </c>
      <c r="E1291" t="s">
        <v>1311</v>
      </c>
      <c r="F1291">
        <f>Table5[[#This Row],[Total_Amount]]/(G1291*(1-Table5[[#This Row],[Discount]]))</f>
        <v>1.9999999999999998</v>
      </c>
      <c r="G1291" s="5">
        <v>117.34</v>
      </c>
      <c r="H1291">
        <v>0.09</v>
      </c>
      <c r="I1291" t="s">
        <v>1351</v>
      </c>
      <c r="J1291" s="5">
        <v>213.55879999999999</v>
      </c>
    </row>
    <row r="1292" spans="1:10">
      <c r="A1292" t="s">
        <v>2641</v>
      </c>
      <c r="B1292" s="7">
        <v>45376</v>
      </c>
      <c r="C1292" t="s">
        <v>397</v>
      </c>
      <c r="D1292" t="s">
        <v>1255</v>
      </c>
      <c r="E1292" t="s">
        <v>1324</v>
      </c>
      <c r="F1292">
        <f>Table5[[#This Row],[Total_Amount]]/(G1292*(1-Table5[[#This Row],[Discount]]))</f>
        <v>3</v>
      </c>
      <c r="G1292" s="5">
        <v>690.27</v>
      </c>
      <c r="H1292">
        <v>7.0000000000000007E-2</v>
      </c>
      <c r="I1292" t="s">
        <v>1351</v>
      </c>
      <c r="J1292" s="5">
        <v>1925.8533</v>
      </c>
    </row>
    <row r="1293" spans="1:10">
      <c r="A1293" t="s">
        <v>2642</v>
      </c>
      <c r="B1293" s="7">
        <v>45709</v>
      </c>
      <c r="C1293" t="s">
        <v>275</v>
      </c>
      <c r="D1293" t="s">
        <v>1129</v>
      </c>
      <c r="E1293" t="s">
        <v>1332</v>
      </c>
      <c r="F1293">
        <f>Table5[[#This Row],[Total_Amount]]/(G1293*(1-Table5[[#This Row],[Discount]]))</f>
        <v>3.9999999999999991</v>
      </c>
      <c r="G1293" s="5">
        <v>377.18</v>
      </c>
      <c r="H1293">
        <v>0.24</v>
      </c>
      <c r="I1293" t="s">
        <v>1351</v>
      </c>
      <c r="J1293" s="5">
        <v>1146.6271999999999</v>
      </c>
    </row>
    <row r="1294" spans="1:10">
      <c r="A1294" t="s">
        <v>2643</v>
      </c>
      <c r="B1294" s="7">
        <v>45446</v>
      </c>
      <c r="C1294" t="s">
        <v>283</v>
      </c>
      <c r="D1294" t="s">
        <v>1153</v>
      </c>
      <c r="E1294" t="s">
        <v>1277</v>
      </c>
      <c r="F1294">
        <f>Table5[[#This Row],[Total_Amount]]/(G1294*(1-Table5[[#This Row],[Discount]]))</f>
        <v>1</v>
      </c>
      <c r="G1294" s="5">
        <v>70.52</v>
      </c>
      <c r="H1294">
        <v>0.08</v>
      </c>
      <c r="I1294" t="s">
        <v>1354</v>
      </c>
      <c r="J1294" s="5">
        <v>64.878399999999999</v>
      </c>
    </row>
    <row r="1295" spans="1:10">
      <c r="A1295" t="s">
        <v>2644</v>
      </c>
      <c r="B1295" s="7">
        <v>45330</v>
      </c>
      <c r="C1295" t="s">
        <v>614</v>
      </c>
      <c r="D1295" t="s">
        <v>1149</v>
      </c>
      <c r="E1295" t="s">
        <v>1311</v>
      </c>
      <c r="F1295">
        <f>Table5[[#This Row],[Total_Amount]]/(G1295*(1-Table5[[#This Row],[Discount]]))</f>
        <v>1</v>
      </c>
      <c r="G1295" s="5">
        <v>40.25</v>
      </c>
      <c r="H1295">
        <v>0.1</v>
      </c>
      <c r="I1295" t="s">
        <v>1351</v>
      </c>
      <c r="J1295" s="5">
        <v>36.225000000000001</v>
      </c>
    </row>
    <row r="1296" spans="1:10">
      <c r="A1296" t="s">
        <v>2645</v>
      </c>
      <c r="B1296" s="7">
        <v>45388</v>
      </c>
      <c r="C1296" t="s">
        <v>527</v>
      </c>
      <c r="D1296" t="s">
        <v>1251</v>
      </c>
      <c r="E1296" t="s">
        <v>1317</v>
      </c>
      <c r="F1296">
        <f>Table5[[#This Row],[Total_Amount]]/(G1296*(1-Table5[[#This Row],[Discount]]))</f>
        <v>2.9999999999999996</v>
      </c>
      <c r="G1296" s="5">
        <v>539.44000000000005</v>
      </c>
      <c r="H1296">
        <v>0.05</v>
      </c>
      <c r="I1296" t="s">
        <v>1354</v>
      </c>
      <c r="J1296" s="5">
        <v>1537.404</v>
      </c>
    </row>
    <row r="1297" spans="1:10">
      <c r="A1297" t="s">
        <v>2646</v>
      </c>
      <c r="B1297" s="7">
        <v>45313</v>
      </c>
      <c r="C1297" t="s">
        <v>557</v>
      </c>
      <c r="D1297" t="s">
        <v>1193</v>
      </c>
      <c r="E1297" t="s">
        <v>1294</v>
      </c>
      <c r="F1297">
        <f>Table5[[#This Row],[Total_Amount]]/(G1297*(1-Table5[[#This Row],[Discount]]))</f>
        <v>3.0000000000000004</v>
      </c>
      <c r="G1297" s="5">
        <v>543.49</v>
      </c>
      <c r="H1297">
        <v>0.05</v>
      </c>
      <c r="I1297" t="s">
        <v>1351</v>
      </c>
      <c r="J1297" s="5">
        <v>1548.9465</v>
      </c>
    </row>
    <row r="1298" spans="1:10">
      <c r="A1298" t="s">
        <v>2647</v>
      </c>
      <c r="B1298" s="7">
        <v>45221</v>
      </c>
      <c r="C1298" t="s">
        <v>712</v>
      </c>
      <c r="D1298" t="s">
        <v>1085</v>
      </c>
      <c r="E1298" t="s">
        <v>1301</v>
      </c>
      <c r="F1298">
        <f>Table5[[#This Row],[Total_Amount]]/(G1298*(1-Table5[[#This Row],[Discount]]))</f>
        <v>3.9999999999999996</v>
      </c>
      <c r="G1298" s="5">
        <v>547.21</v>
      </c>
      <c r="H1298">
        <v>0.1</v>
      </c>
      <c r="I1298" t="s">
        <v>1354</v>
      </c>
      <c r="J1298" s="5">
        <v>1969.9559999999999</v>
      </c>
    </row>
    <row r="1299" spans="1:10">
      <c r="A1299" t="s">
        <v>2648</v>
      </c>
      <c r="B1299" s="7">
        <v>45619</v>
      </c>
      <c r="C1299" t="s">
        <v>545</v>
      </c>
      <c r="D1299" t="s">
        <v>1203</v>
      </c>
      <c r="E1299" t="s">
        <v>1282</v>
      </c>
      <c r="F1299">
        <f>Table5[[#This Row],[Total_Amount]]/(G1299*(1-Table5[[#This Row],[Discount]]))</f>
        <v>2</v>
      </c>
      <c r="G1299" s="5">
        <v>892.46</v>
      </c>
      <c r="H1299">
        <v>7.0000000000000007E-2</v>
      </c>
      <c r="I1299" t="s">
        <v>1351</v>
      </c>
      <c r="J1299" s="5">
        <v>1659.9756</v>
      </c>
    </row>
    <row r="1300" spans="1:10">
      <c r="A1300" t="s">
        <v>2649</v>
      </c>
      <c r="B1300" s="7">
        <v>45286</v>
      </c>
      <c r="C1300" t="s">
        <v>837</v>
      </c>
      <c r="D1300" t="s">
        <v>1125</v>
      </c>
      <c r="E1300" t="s">
        <v>1307</v>
      </c>
      <c r="F1300">
        <f>Table5[[#This Row],[Total_Amount]]/(G1300*(1-Table5[[#This Row],[Discount]]))</f>
        <v>2</v>
      </c>
      <c r="G1300" s="5">
        <v>853.41</v>
      </c>
      <c r="H1300">
        <v>0.25</v>
      </c>
      <c r="I1300" t="s">
        <v>1349</v>
      </c>
      <c r="J1300" s="5">
        <v>1280.115</v>
      </c>
    </row>
    <row r="1301" spans="1:10">
      <c r="A1301" t="s">
        <v>2650</v>
      </c>
      <c r="B1301" s="7">
        <v>45451</v>
      </c>
      <c r="C1301" t="s">
        <v>279</v>
      </c>
      <c r="D1301" t="s">
        <v>1237</v>
      </c>
      <c r="E1301" t="s">
        <v>1304</v>
      </c>
      <c r="F1301">
        <f>Table5[[#This Row],[Total_Amount]]/(G1301*(1-Table5[[#This Row],[Discount]]))</f>
        <v>1.0000000000000002</v>
      </c>
      <c r="G1301" s="5">
        <v>162.13999999999999</v>
      </c>
      <c r="H1301">
        <v>7.0000000000000007E-2</v>
      </c>
      <c r="I1301" t="s">
        <v>1351</v>
      </c>
      <c r="J1301" s="5">
        <v>150.7902</v>
      </c>
    </row>
    <row r="1302" spans="1:10">
      <c r="A1302" t="s">
        <v>2651</v>
      </c>
      <c r="B1302" s="7">
        <v>45478</v>
      </c>
      <c r="C1302" t="s">
        <v>355</v>
      </c>
      <c r="D1302" t="s">
        <v>1265</v>
      </c>
      <c r="E1302" t="s">
        <v>1329</v>
      </c>
      <c r="F1302">
        <f>Table5[[#This Row],[Total_Amount]]/(G1302*(1-Table5[[#This Row],[Discount]]))</f>
        <v>1</v>
      </c>
      <c r="G1302" s="5">
        <v>893.14</v>
      </c>
      <c r="H1302">
        <v>0.09</v>
      </c>
      <c r="I1302" t="s">
        <v>1349</v>
      </c>
      <c r="J1302" s="5">
        <v>812.75739999999996</v>
      </c>
    </row>
    <row r="1303" spans="1:10">
      <c r="A1303" t="s">
        <v>2652</v>
      </c>
      <c r="B1303" s="7">
        <v>45528</v>
      </c>
      <c r="C1303" t="s">
        <v>265</v>
      </c>
      <c r="D1303" t="s">
        <v>1141</v>
      </c>
      <c r="E1303" t="s">
        <v>1307</v>
      </c>
      <c r="F1303">
        <f>Table5[[#This Row],[Total_Amount]]/(G1303*(1-Table5[[#This Row],[Discount]]))</f>
        <v>4</v>
      </c>
      <c r="G1303" s="5">
        <v>349.07</v>
      </c>
      <c r="H1303">
        <v>0.28000000000000003</v>
      </c>
      <c r="I1303" t="s">
        <v>1349</v>
      </c>
      <c r="J1303" s="5">
        <v>1005.3216</v>
      </c>
    </row>
    <row r="1304" spans="1:10">
      <c r="A1304" t="s">
        <v>2653</v>
      </c>
      <c r="B1304" s="7">
        <v>45418</v>
      </c>
      <c r="C1304" t="s">
        <v>630</v>
      </c>
      <c r="D1304" t="s">
        <v>1235</v>
      </c>
      <c r="E1304" t="s">
        <v>1322</v>
      </c>
      <c r="F1304">
        <f>Table5[[#This Row],[Total_Amount]]/(G1304*(1-Table5[[#This Row],[Discount]]))</f>
        <v>1</v>
      </c>
      <c r="G1304" s="5">
        <v>747.9</v>
      </c>
      <c r="H1304">
        <v>0.21</v>
      </c>
      <c r="I1304" t="s">
        <v>1354</v>
      </c>
      <c r="J1304" s="5">
        <v>590.84100000000001</v>
      </c>
    </row>
    <row r="1305" spans="1:10">
      <c r="A1305" t="s">
        <v>2654</v>
      </c>
      <c r="B1305" s="7">
        <v>45478</v>
      </c>
      <c r="C1305" t="s">
        <v>96</v>
      </c>
      <c r="D1305" t="s">
        <v>1235</v>
      </c>
      <c r="E1305" t="s">
        <v>1301</v>
      </c>
      <c r="F1305">
        <f>Table5[[#This Row],[Total_Amount]]/(G1305*(1-Table5[[#This Row],[Discount]]))</f>
        <v>2.9999999999999996</v>
      </c>
      <c r="G1305" s="5">
        <v>438.92</v>
      </c>
      <c r="H1305">
        <v>0.21</v>
      </c>
      <c r="I1305" t="s">
        <v>1349</v>
      </c>
      <c r="J1305" s="5">
        <v>1040.2403999999999</v>
      </c>
    </row>
    <row r="1306" spans="1:10">
      <c r="A1306" t="s">
        <v>2655</v>
      </c>
      <c r="B1306" s="7">
        <v>45232</v>
      </c>
      <c r="C1306" t="s">
        <v>306</v>
      </c>
      <c r="D1306" t="s">
        <v>1227</v>
      </c>
      <c r="E1306" t="s">
        <v>1294</v>
      </c>
      <c r="F1306">
        <f>Table5[[#This Row],[Total_Amount]]/(G1306*(1-Table5[[#This Row],[Discount]]))</f>
        <v>3.9999999999999991</v>
      </c>
      <c r="G1306" s="5">
        <v>665.38</v>
      </c>
      <c r="H1306">
        <v>0.18</v>
      </c>
      <c r="I1306" t="s">
        <v>1349</v>
      </c>
      <c r="J1306" s="5">
        <v>2182.4463999999998</v>
      </c>
    </row>
    <row r="1307" spans="1:10">
      <c r="A1307" t="s">
        <v>2656</v>
      </c>
      <c r="B1307" s="7">
        <v>45616</v>
      </c>
      <c r="C1307" t="s">
        <v>20</v>
      </c>
      <c r="D1307" t="s">
        <v>1193</v>
      </c>
      <c r="E1307" t="s">
        <v>1335</v>
      </c>
      <c r="F1307">
        <f>Table5[[#This Row],[Total_Amount]]/(G1307*(1-Table5[[#This Row],[Discount]]))</f>
        <v>1</v>
      </c>
      <c r="G1307" s="5">
        <v>146.49</v>
      </c>
      <c r="H1307">
        <v>0.28000000000000003</v>
      </c>
      <c r="I1307" t="s">
        <v>1349</v>
      </c>
      <c r="J1307" s="5">
        <v>105.47280000000001</v>
      </c>
    </row>
    <row r="1308" spans="1:10">
      <c r="A1308" t="s">
        <v>2657</v>
      </c>
      <c r="B1308" s="7">
        <v>45774</v>
      </c>
      <c r="C1308" t="s">
        <v>339</v>
      </c>
      <c r="D1308" t="s">
        <v>1149</v>
      </c>
      <c r="E1308" t="s">
        <v>1326</v>
      </c>
      <c r="F1308">
        <f>Table5[[#This Row],[Total_Amount]]/(G1308*(1-Table5[[#This Row],[Discount]]))</f>
        <v>2</v>
      </c>
      <c r="G1308" s="5">
        <v>235.39</v>
      </c>
      <c r="H1308">
        <v>0.27</v>
      </c>
      <c r="I1308" t="s">
        <v>1354</v>
      </c>
      <c r="J1308" s="5">
        <v>343.6694</v>
      </c>
    </row>
    <row r="1309" spans="1:10">
      <c r="A1309" t="s">
        <v>2658</v>
      </c>
      <c r="B1309" s="7">
        <v>45651</v>
      </c>
      <c r="C1309" t="s">
        <v>90</v>
      </c>
      <c r="D1309" t="s">
        <v>1195</v>
      </c>
      <c r="E1309" t="s">
        <v>1298</v>
      </c>
      <c r="F1309">
        <f>Table5[[#This Row],[Total_Amount]]/(G1309*(1-Table5[[#This Row],[Discount]]))</f>
        <v>3</v>
      </c>
      <c r="G1309" s="5">
        <v>38.07</v>
      </c>
      <c r="H1309">
        <v>0.09</v>
      </c>
      <c r="I1309" t="s">
        <v>1351</v>
      </c>
      <c r="J1309" s="5">
        <v>103.9311</v>
      </c>
    </row>
    <row r="1310" spans="1:10">
      <c r="A1310" t="s">
        <v>2659</v>
      </c>
      <c r="B1310" s="7">
        <v>45902</v>
      </c>
      <c r="C1310" t="s">
        <v>869</v>
      </c>
      <c r="D1310" t="s">
        <v>1141</v>
      </c>
      <c r="E1310" t="s">
        <v>1294</v>
      </c>
      <c r="F1310">
        <f>Table5[[#This Row],[Total_Amount]]/(G1310*(1-Table5[[#This Row],[Discount]]))</f>
        <v>2</v>
      </c>
      <c r="G1310" s="5">
        <v>511.7</v>
      </c>
      <c r="H1310">
        <v>0.12</v>
      </c>
      <c r="I1310" t="s">
        <v>1354</v>
      </c>
      <c r="J1310" s="5">
        <v>900.59199999999998</v>
      </c>
    </row>
    <row r="1311" spans="1:10">
      <c r="A1311" t="s">
        <v>2660</v>
      </c>
      <c r="B1311" s="7">
        <v>45401</v>
      </c>
      <c r="C1311" t="s">
        <v>242</v>
      </c>
      <c r="D1311" t="s">
        <v>1223</v>
      </c>
      <c r="E1311" t="s">
        <v>1307</v>
      </c>
      <c r="F1311">
        <f>Table5[[#This Row],[Total_Amount]]/(G1311*(1-Table5[[#This Row],[Discount]]))</f>
        <v>3.9999999999999996</v>
      </c>
      <c r="G1311" s="5">
        <v>488.72</v>
      </c>
      <c r="H1311">
        <v>0.23</v>
      </c>
      <c r="I1311" t="s">
        <v>1351</v>
      </c>
      <c r="J1311" s="5">
        <v>1505.2575999999999</v>
      </c>
    </row>
    <row r="1312" spans="1:10">
      <c r="A1312" t="s">
        <v>2661</v>
      </c>
      <c r="B1312" s="7">
        <v>45717</v>
      </c>
      <c r="C1312" t="s">
        <v>845</v>
      </c>
      <c r="D1312" t="s">
        <v>1173</v>
      </c>
      <c r="E1312" t="s">
        <v>1319</v>
      </c>
      <c r="F1312">
        <f>Table5[[#This Row],[Total_Amount]]/(G1312*(1-Table5[[#This Row],[Discount]]))</f>
        <v>2</v>
      </c>
      <c r="G1312" s="5">
        <v>520.45000000000005</v>
      </c>
      <c r="H1312">
        <v>0.11</v>
      </c>
      <c r="I1312" t="s">
        <v>1354</v>
      </c>
      <c r="J1312" s="5">
        <v>926.40100000000007</v>
      </c>
    </row>
    <row r="1313" spans="1:10">
      <c r="A1313" t="s">
        <v>2662</v>
      </c>
      <c r="B1313" s="7">
        <v>45376</v>
      </c>
      <c r="C1313" t="s">
        <v>927</v>
      </c>
      <c r="D1313" t="s">
        <v>1169</v>
      </c>
      <c r="E1313" t="s">
        <v>1298</v>
      </c>
      <c r="F1313">
        <f>Table5[[#This Row],[Total_Amount]]/(G1313*(1-Table5[[#This Row],[Discount]]))</f>
        <v>1.0000000000000002</v>
      </c>
      <c r="G1313" s="5">
        <v>340.9</v>
      </c>
      <c r="H1313">
        <v>0.28999999999999998</v>
      </c>
      <c r="I1313" t="s">
        <v>1349</v>
      </c>
      <c r="J1313" s="5">
        <v>242.03899999999999</v>
      </c>
    </row>
    <row r="1314" spans="1:10">
      <c r="A1314" t="s">
        <v>2663</v>
      </c>
      <c r="B1314" s="7">
        <v>45576</v>
      </c>
      <c r="C1314" t="s">
        <v>756</v>
      </c>
      <c r="D1314" t="s">
        <v>1135</v>
      </c>
      <c r="E1314" t="s">
        <v>1307</v>
      </c>
      <c r="F1314">
        <f>Table5[[#This Row],[Total_Amount]]/(G1314*(1-Table5[[#This Row],[Discount]]))</f>
        <v>3</v>
      </c>
      <c r="G1314" s="5">
        <v>653.59</v>
      </c>
      <c r="H1314">
        <v>0.17</v>
      </c>
      <c r="I1314" t="s">
        <v>1354</v>
      </c>
      <c r="J1314" s="5">
        <v>1627.4391000000001</v>
      </c>
    </row>
    <row r="1315" spans="1:10">
      <c r="A1315" t="s">
        <v>2664</v>
      </c>
      <c r="B1315" s="7">
        <v>45906</v>
      </c>
      <c r="C1315" t="s">
        <v>72</v>
      </c>
      <c r="D1315" t="s">
        <v>1125</v>
      </c>
      <c r="E1315" t="s">
        <v>1335</v>
      </c>
      <c r="F1315">
        <f>Table5[[#This Row],[Total_Amount]]/(G1315*(1-Table5[[#This Row],[Discount]]))</f>
        <v>1</v>
      </c>
      <c r="G1315" s="5">
        <v>179.77</v>
      </c>
      <c r="H1315">
        <v>0.23</v>
      </c>
      <c r="I1315" t="s">
        <v>1354</v>
      </c>
      <c r="J1315" s="5">
        <v>138.4229</v>
      </c>
    </row>
    <row r="1316" spans="1:10">
      <c r="A1316" t="s">
        <v>2665</v>
      </c>
      <c r="B1316" s="7">
        <v>45523</v>
      </c>
      <c r="C1316" t="s">
        <v>36</v>
      </c>
      <c r="D1316" t="s">
        <v>1068</v>
      </c>
      <c r="E1316" t="s">
        <v>1311</v>
      </c>
      <c r="F1316">
        <f>Table5[[#This Row],[Total_Amount]]/(G1316*(1-Table5[[#This Row],[Discount]]))</f>
        <v>2.0000000000000004</v>
      </c>
      <c r="G1316" s="5">
        <v>943.8</v>
      </c>
      <c r="H1316">
        <v>0.06</v>
      </c>
      <c r="I1316" t="s">
        <v>1349</v>
      </c>
      <c r="J1316" s="5">
        <v>1774.3440000000001</v>
      </c>
    </row>
    <row r="1317" spans="1:10">
      <c r="A1317" t="s">
        <v>2666</v>
      </c>
      <c r="B1317" s="7">
        <v>45234</v>
      </c>
      <c r="C1317" t="s">
        <v>881</v>
      </c>
      <c r="D1317" t="s">
        <v>1215</v>
      </c>
      <c r="E1317" t="s">
        <v>1326</v>
      </c>
      <c r="F1317">
        <f>Table5[[#This Row],[Total_Amount]]/(G1317*(1-Table5[[#This Row],[Discount]]))</f>
        <v>2</v>
      </c>
      <c r="G1317" s="5">
        <v>985</v>
      </c>
      <c r="H1317">
        <v>0.25</v>
      </c>
      <c r="I1317" t="s">
        <v>1349</v>
      </c>
      <c r="J1317" s="5">
        <v>1477.5</v>
      </c>
    </row>
    <row r="1318" spans="1:10">
      <c r="A1318" t="s">
        <v>2667</v>
      </c>
      <c r="B1318" s="7">
        <v>45405</v>
      </c>
      <c r="C1318" t="s">
        <v>1031</v>
      </c>
      <c r="D1318" t="s">
        <v>1249</v>
      </c>
      <c r="E1318" t="s">
        <v>1314</v>
      </c>
      <c r="F1318">
        <f>Table5[[#This Row],[Total_Amount]]/(G1318*(1-Table5[[#This Row],[Discount]]))</f>
        <v>4</v>
      </c>
      <c r="G1318" s="5">
        <v>216.81</v>
      </c>
      <c r="H1318">
        <v>0.28999999999999998</v>
      </c>
      <c r="I1318" t="s">
        <v>1349</v>
      </c>
      <c r="J1318" s="5">
        <v>615.74040000000002</v>
      </c>
    </row>
    <row r="1319" spans="1:10">
      <c r="A1319" t="s">
        <v>2668</v>
      </c>
      <c r="B1319" s="7">
        <v>45223</v>
      </c>
      <c r="C1319" t="s">
        <v>294</v>
      </c>
      <c r="D1319" t="s">
        <v>1201</v>
      </c>
      <c r="E1319" t="s">
        <v>1286</v>
      </c>
      <c r="F1319">
        <f>Table5[[#This Row],[Total_Amount]]/(G1319*(1-Table5[[#This Row],[Discount]]))</f>
        <v>3.9999999999999996</v>
      </c>
      <c r="G1319" s="5">
        <v>950.21</v>
      </c>
      <c r="H1319">
        <v>0.27</v>
      </c>
      <c r="I1319" t="s">
        <v>1354</v>
      </c>
      <c r="J1319" s="5">
        <v>2774.6131999999998</v>
      </c>
    </row>
    <row r="1320" spans="1:10">
      <c r="A1320" t="s">
        <v>2669</v>
      </c>
      <c r="B1320" s="7">
        <v>45838</v>
      </c>
      <c r="C1320" t="s">
        <v>575</v>
      </c>
      <c r="D1320" t="s">
        <v>1169</v>
      </c>
      <c r="E1320" t="s">
        <v>1304</v>
      </c>
      <c r="F1320">
        <f>Table5[[#This Row],[Total_Amount]]/(G1320*(1-Table5[[#This Row],[Discount]]))</f>
        <v>1.9999999999999998</v>
      </c>
      <c r="G1320" s="5">
        <v>271.39999999999998</v>
      </c>
      <c r="H1320">
        <v>0.17</v>
      </c>
      <c r="I1320" t="s">
        <v>1351</v>
      </c>
      <c r="J1320" s="5">
        <v>450.52399999999989</v>
      </c>
    </row>
    <row r="1321" spans="1:10">
      <c r="A1321" t="s">
        <v>2670</v>
      </c>
      <c r="B1321" s="7">
        <v>45883</v>
      </c>
      <c r="C1321" t="s">
        <v>397</v>
      </c>
      <c r="D1321" t="s">
        <v>1151</v>
      </c>
      <c r="E1321" t="s">
        <v>1307</v>
      </c>
      <c r="F1321">
        <f>Table5[[#This Row],[Total_Amount]]/(G1321*(1-Table5[[#This Row],[Discount]]))</f>
        <v>3.9999999999999991</v>
      </c>
      <c r="G1321" s="5">
        <v>708.19</v>
      </c>
      <c r="H1321">
        <v>0.1</v>
      </c>
      <c r="I1321" t="s">
        <v>1351</v>
      </c>
      <c r="J1321" s="5">
        <v>2549.4839999999999</v>
      </c>
    </row>
    <row r="1322" spans="1:10">
      <c r="A1322" t="s">
        <v>2671</v>
      </c>
      <c r="B1322" s="7">
        <v>45788</v>
      </c>
      <c r="C1322" t="s">
        <v>951</v>
      </c>
      <c r="D1322" t="s">
        <v>1181</v>
      </c>
      <c r="E1322" t="s">
        <v>1291</v>
      </c>
      <c r="F1322">
        <f>Table5[[#This Row],[Total_Amount]]/(G1322*(1-Table5[[#This Row],[Discount]]))</f>
        <v>3</v>
      </c>
      <c r="G1322" s="5">
        <v>477.05</v>
      </c>
      <c r="H1322">
        <v>0.05</v>
      </c>
      <c r="I1322" t="s">
        <v>1351</v>
      </c>
      <c r="J1322" s="5">
        <v>1359.5925</v>
      </c>
    </row>
    <row r="1323" spans="1:10">
      <c r="A1323" t="s">
        <v>2672</v>
      </c>
      <c r="B1323" s="7">
        <v>45383</v>
      </c>
      <c r="C1323" t="s">
        <v>678</v>
      </c>
      <c r="D1323" t="s">
        <v>1221</v>
      </c>
      <c r="E1323" t="s">
        <v>1311</v>
      </c>
      <c r="F1323">
        <f>Table5[[#This Row],[Total_Amount]]/(G1323*(1-Table5[[#This Row],[Discount]]))</f>
        <v>3.0000000000000004</v>
      </c>
      <c r="G1323" s="5">
        <v>627.29</v>
      </c>
      <c r="H1323">
        <v>0.27</v>
      </c>
      <c r="I1323" t="s">
        <v>1354</v>
      </c>
      <c r="J1323" s="5">
        <v>1373.7651000000001</v>
      </c>
    </row>
    <row r="1324" spans="1:10">
      <c r="A1324" t="s">
        <v>2673</v>
      </c>
      <c r="B1324" s="7">
        <v>45335</v>
      </c>
      <c r="C1324" t="s">
        <v>672</v>
      </c>
      <c r="D1324" t="s">
        <v>1261</v>
      </c>
      <c r="E1324" t="s">
        <v>1317</v>
      </c>
      <c r="F1324">
        <f>Table5[[#This Row],[Total_Amount]]/(G1324*(1-Table5[[#This Row],[Discount]]))</f>
        <v>3</v>
      </c>
      <c r="G1324" s="5">
        <v>206.84</v>
      </c>
      <c r="H1324">
        <v>0.19</v>
      </c>
      <c r="I1324" t="s">
        <v>1351</v>
      </c>
      <c r="J1324" s="5">
        <v>502.62119999999999</v>
      </c>
    </row>
    <row r="1325" spans="1:10">
      <c r="A1325" t="s">
        <v>2674</v>
      </c>
      <c r="B1325" s="7">
        <v>45304</v>
      </c>
      <c r="C1325" t="s">
        <v>565</v>
      </c>
      <c r="D1325" t="s">
        <v>1133</v>
      </c>
      <c r="E1325" t="s">
        <v>1282</v>
      </c>
      <c r="F1325">
        <f>Table5[[#This Row],[Total_Amount]]/(G1325*(1-Table5[[#This Row],[Discount]]))</f>
        <v>4.0000000000000009</v>
      </c>
      <c r="G1325" s="5">
        <v>629.04999999999995</v>
      </c>
      <c r="H1325">
        <v>0.26</v>
      </c>
      <c r="I1325" t="s">
        <v>1349</v>
      </c>
      <c r="J1325" s="5">
        <v>1861.9880000000001</v>
      </c>
    </row>
    <row r="1326" spans="1:10">
      <c r="A1326" t="s">
        <v>2675</v>
      </c>
      <c r="B1326" s="7">
        <v>45543</v>
      </c>
      <c r="C1326" t="s">
        <v>939</v>
      </c>
      <c r="D1326" t="s">
        <v>1221</v>
      </c>
      <c r="E1326" t="s">
        <v>1332</v>
      </c>
      <c r="F1326">
        <f>Table5[[#This Row],[Total_Amount]]/(G1326*(1-Table5[[#This Row],[Discount]]))</f>
        <v>4.0000000000000009</v>
      </c>
      <c r="G1326" s="5">
        <v>529.04</v>
      </c>
      <c r="H1326">
        <v>0.1</v>
      </c>
      <c r="I1326" t="s">
        <v>1351</v>
      </c>
      <c r="J1326" s="5">
        <v>1904.5440000000001</v>
      </c>
    </row>
    <row r="1327" spans="1:10">
      <c r="A1327" t="s">
        <v>2676</v>
      </c>
      <c r="B1327" s="7">
        <v>45326</v>
      </c>
      <c r="C1327" t="s">
        <v>762</v>
      </c>
      <c r="D1327" t="s">
        <v>1133</v>
      </c>
      <c r="E1327" t="s">
        <v>1332</v>
      </c>
      <c r="F1327">
        <f>Table5[[#This Row],[Total_Amount]]/(G1327*(1-Table5[[#This Row],[Discount]]))</f>
        <v>1</v>
      </c>
      <c r="G1327" s="5">
        <v>350.67</v>
      </c>
      <c r="H1327">
        <v>0.22</v>
      </c>
      <c r="I1327" t="s">
        <v>1351</v>
      </c>
      <c r="J1327" s="5">
        <v>273.52260000000001</v>
      </c>
    </row>
    <row r="1328" spans="1:10">
      <c r="A1328" t="s">
        <v>2677</v>
      </c>
      <c r="B1328" s="7">
        <v>45498</v>
      </c>
      <c r="C1328" t="s">
        <v>805</v>
      </c>
      <c r="D1328" t="s">
        <v>1263</v>
      </c>
      <c r="E1328" t="s">
        <v>1282</v>
      </c>
      <c r="F1328">
        <f>Table5[[#This Row],[Total_Amount]]/(G1328*(1-Table5[[#This Row],[Discount]]))</f>
        <v>1</v>
      </c>
      <c r="G1328" s="5">
        <v>128.93</v>
      </c>
      <c r="H1328">
        <v>0.26</v>
      </c>
      <c r="I1328" t="s">
        <v>1349</v>
      </c>
      <c r="J1328" s="5">
        <v>95.408200000000008</v>
      </c>
    </row>
    <row r="1329" spans="1:10">
      <c r="A1329" t="s">
        <v>2678</v>
      </c>
      <c r="B1329" s="7">
        <v>45544</v>
      </c>
      <c r="C1329" t="s">
        <v>351</v>
      </c>
      <c r="D1329" t="s">
        <v>1245</v>
      </c>
      <c r="E1329" t="s">
        <v>1326</v>
      </c>
      <c r="F1329">
        <f>Table5[[#This Row],[Total_Amount]]/(G1329*(1-Table5[[#This Row],[Discount]]))</f>
        <v>2</v>
      </c>
      <c r="G1329" s="5">
        <v>384.92</v>
      </c>
      <c r="H1329">
        <v>0.09</v>
      </c>
      <c r="I1329" t="s">
        <v>1349</v>
      </c>
      <c r="J1329" s="5">
        <v>700.5544000000001</v>
      </c>
    </row>
    <row r="1330" spans="1:10">
      <c r="A1330" t="s">
        <v>2679</v>
      </c>
      <c r="B1330" s="7">
        <v>45268</v>
      </c>
      <c r="C1330" t="s">
        <v>732</v>
      </c>
      <c r="D1330" t="s">
        <v>1080</v>
      </c>
      <c r="E1330" t="s">
        <v>1307</v>
      </c>
      <c r="F1330">
        <f>Table5[[#This Row],[Total_Amount]]/(G1330*(1-Table5[[#This Row],[Discount]]))</f>
        <v>3</v>
      </c>
      <c r="G1330" s="5">
        <v>120.77</v>
      </c>
      <c r="H1330">
        <v>0.28999999999999998</v>
      </c>
      <c r="I1330" t="s">
        <v>1351</v>
      </c>
      <c r="J1330" s="5">
        <v>257.24009999999998</v>
      </c>
    </row>
    <row r="1331" spans="1:10">
      <c r="A1331" t="s">
        <v>2680</v>
      </c>
      <c r="B1331" s="7">
        <v>45824</v>
      </c>
      <c r="C1331" t="s">
        <v>507</v>
      </c>
      <c r="D1331" t="s">
        <v>1225</v>
      </c>
      <c r="E1331" t="s">
        <v>1332</v>
      </c>
      <c r="F1331">
        <f>Table5[[#This Row],[Total_Amount]]/(G1331*(1-Table5[[#This Row],[Discount]]))</f>
        <v>4.0000000000000009</v>
      </c>
      <c r="G1331" s="5">
        <v>661.39</v>
      </c>
      <c r="H1331">
        <v>7.0000000000000007E-2</v>
      </c>
      <c r="I1331" t="s">
        <v>1349</v>
      </c>
      <c r="J1331" s="5">
        <v>2460.3708000000001</v>
      </c>
    </row>
    <row r="1332" spans="1:10">
      <c r="A1332" t="s">
        <v>2681</v>
      </c>
      <c r="B1332" s="7">
        <v>45261</v>
      </c>
      <c r="C1332" t="s">
        <v>961</v>
      </c>
      <c r="D1332" t="s">
        <v>1197</v>
      </c>
      <c r="E1332" t="s">
        <v>1286</v>
      </c>
      <c r="F1332">
        <f>Table5[[#This Row],[Total_Amount]]/(G1332*(1-Table5[[#This Row],[Discount]]))</f>
        <v>1</v>
      </c>
      <c r="G1332" s="5">
        <v>195.24</v>
      </c>
      <c r="H1332">
        <v>0.27</v>
      </c>
      <c r="I1332" t="s">
        <v>1351</v>
      </c>
      <c r="J1332" s="5">
        <v>142.52520000000001</v>
      </c>
    </row>
    <row r="1333" spans="1:10">
      <c r="A1333" t="s">
        <v>2682</v>
      </c>
      <c r="B1333" s="7">
        <v>45233</v>
      </c>
      <c r="C1333" t="s">
        <v>23</v>
      </c>
      <c r="D1333" t="s">
        <v>1257</v>
      </c>
      <c r="E1333" t="s">
        <v>1335</v>
      </c>
      <c r="F1333">
        <f>Table5[[#This Row],[Total_Amount]]/(G1333*(1-Table5[[#This Row],[Discount]]))</f>
        <v>1.9999999999999996</v>
      </c>
      <c r="G1333" s="5">
        <v>177.4</v>
      </c>
      <c r="H1333">
        <v>0.19</v>
      </c>
      <c r="I1333" t="s">
        <v>1351</v>
      </c>
      <c r="J1333" s="5">
        <v>287.38799999999998</v>
      </c>
    </row>
    <row r="1334" spans="1:10">
      <c r="A1334" t="s">
        <v>2683</v>
      </c>
      <c r="B1334" s="7">
        <v>45673</v>
      </c>
      <c r="C1334" t="s">
        <v>159</v>
      </c>
      <c r="D1334" t="s">
        <v>1269</v>
      </c>
      <c r="E1334" t="s">
        <v>1317</v>
      </c>
      <c r="F1334">
        <f>Table5[[#This Row],[Total_Amount]]/(G1334*(1-Table5[[#This Row],[Discount]]))</f>
        <v>4</v>
      </c>
      <c r="G1334" s="5">
        <v>862.67</v>
      </c>
      <c r="H1334">
        <v>0.2</v>
      </c>
      <c r="I1334" t="s">
        <v>1351</v>
      </c>
      <c r="J1334" s="5">
        <v>2760.5439999999999</v>
      </c>
    </row>
    <row r="1335" spans="1:10">
      <c r="A1335" t="s">
        <v>2684</v>
      </c>
      <c r="B1335" s="7">
        <v>45565</v>
      </c>
      <c r="C1335" t="s">
        <v>951</v>
      </c>
      <c r="D1335" t="s">
        <v>1107</v>
      </c>
      <c r="E1335" t="s">
        <v>1301</v>
      </c>
      <c r="F1335">
        <f>Table5[[#This Row],[Total_Amount]]/(G1335*(1-Table5[[#This Row],[Discount]]))</f>
        <v>1.0000000000000002</v>
      </c>
      <c r="G1335" s="5">
        <v>55.04</v>
      </c>
      <c r="H1335">
        <v>0.01</v>
      </c>
      <c r="I1335" t="s">
        <v>1354</v>
      </c>
      <c r="J1335" s="5">
        <v>54.489600000000003</v>
      </c>
    </row>
    <row r="1336" spans="1:10">
      <c r="A1336" t="s">
        <v>2685</v>
      </c>
      <c r="B1336" s="7">
        <v>45646</v>
      </c>
      <c r="C1336" t="s">
        <v>140</v>
      </c>
      <c r="D1336" t="s">
        <v>1163</v>
      </c>
      <c r="E1336" t="s">
        <v>1277</v>
      </c>
      <c r="F1336">
        <f>Table5[[#This Row],[Total_Amount]]/(G1336*(1-Table5[[#This Row],[Discount]]))</f>
        <v>1.9999999999999998</v>
      </c>
      <c r="G1336" s="5">
        <v>905.47</v>
      </c>
      <c r="H1336">
        <v>0.2</v>
      </c>
      <c r="I1336" t="s">
        <v>1354</v>
      </c>
      <c r="J1336" s="5">
        <v>1448.752</v>
      </c>
    </row>
    <row r="1337" spans="1:10">
      <c r="A1337" t="s">
        <v>2686</v>
      </c>
      <c r="B1337" s="7">
        <v>45539</v>
      </c>
      <c r="C1337" t="s">
        <v>984</v>
      </c>
      <c r="D1337" t="s">
        <v>1199</v>
      </c>
      <c r="E1337" t="s">
        <v>1322</v>
      </c>
      <c r="F1337">
        <f>Table5[[#This Row],[Total_Amount]]/(G1337*(1-Table5[[#This Row],[Discount]]))</f>
        <v>3.0000000000000004</v>
      </c>
      <c r="G1337" s="5">
        <v>217.13</v>
      </c>
      <c r="H1337">
        <v>0.28000000000000003</v>
      </c>
      <c r="I1337" t="s">
        <v>1349</v>
      </c>
      <c r="J1337" s="5">
        <v>469.00080000000003</v>
      </c>
    </row>
    <row r="1338" spans="1:10">
      <c r="A1338" t="s">
        <v>2687</v>
      </c>
      <c r="B1338" s="7">
        <v>45936</v>
      </c>
      <c r="C1338" t="s">
        <v>841</v>
      </c>
      <c r="D1338" t="s">
        <v>1223</v>
      </c>
      <c r="E1338" t="s">
        <v>1277</v>
      </c>
      <c r="F1338">
        <f>Table5[[#This Row],[Total_Amount]]/(G1338*(1-Table5[[#This Row],[Discount]]))</f>
        <v>2.9999999999999996</v>
      </c>
      <c r="G1338" s="5">
        <v>580.45000000000005</v>
      </c>
      <c r="H1338">
        <v>0</v>
      </c>
      <c r="I1338" t="s">
        <v>1351</v>
      </c>
      <c r="J1338" s="5">
        <v>1741.35</v>
      </c>
    </row>
    <row r="1339" spans="1:10">
      <c r="A1339" t="s">
        <v>2688</v>
      </c>
      <c r="B1339" s="7">
        <v>45854</v>
      </c>
      <c r="C1339" t="s">
        <v>265</v>
      </c>
      <c r="D1339" t="s">
        <v>1078</v>
      </c>
      <c r="E1339" t="s">
        <v>1332</v>
      </c>
      <c r="F1339">
        <f>Table5[[#This Row],[Total_Amount]]/(G1339*(1-Table5[[#This Row],[Discount]]))</f>
        <v>2.0000000000000004</v>
      </c>
      <c r="G1339" s="5">
        <v>892.88</v>
      </c>
      <c r="H1339">
        <v>0.17</v>
      </c>
      <c r="I1339" t="s">
        <v>1351</v>
      </c>
      <c r="J1339" s="5">
        <v>1482.1808000000001</v>
      </c>
    </row>
    <row r="1340" spans="1:10">
      <c r="A1340" t="s">
        <v>2689</v>
      </c>
      <c r="B1340" s="7">
        <v>45936</v>
      </c>
      <c r="C1340" t="s">
        <v>240</v>
      </c>
      <c r="D1340" t="s">
        <v>1153</v>
      </c>
      <c r="E1340" t="s">
        <v>1335</v>
      </c>
      <c r="F1340">
        <f>Table5[[#This Row],[Total_Amount]]/(G1340*(1-Table5[[#This Row],[Discount]]))</f>
        <v>2</v>
      </c>
      <c r="G1340" s="5">
        <v>356.28</v>
      </c>
      <c r="H1340">
        <v>0.11</v>
      </c>
      <c r="I1340" t="s">
        <v>1354</v>
      </c>
      <c r="J1340" s="5">
        <v>634.17840000000001</v>
      </c>
    </row>
    <row r="1341" spans="1:10">
      <c r="A1341" t="s">
        <v>2690</v>
      </c>
      <c r="B1341" s="7">
        <v>45921</v>
      </c>
      <c r="C1341" t="s">
        <v>831</v>
      </c>
      <c r="D1341" t="s">
        <v>1233</v>
      </c>
      <c r="E1341" t="s">
        <v>1286</v>
      </c>
      <c r="F1341">
        <f>Table5[[#This Row],[Total_Amount]]/(G1341*(1-Table5[[#This Row],[Discount]]))</f>
        <v>4</v>
      </c>
      <c r="G1341" s="5">
        <v>806.99</v>
      </c>
      <c r="H1341">
        <v>0.06</v>
      </c>
      <c r="I1341" t="s">
        <v>1349</v>
      </c>
      <c r="J1341" s="5">
        <v>3034.2824000000001</v>
      </c>
    </row>
    <row r="1342" spans="1:10">
      <c r="A1342" t="s">
        <v>2691</v>
      </c>
      <c r="B1342" s="7">
        <v>45855</v>
      </c>
      <c r="C1342" t="s">
        <v>941</v>
      </c>
      <c r="D1342" t="s">
        <v>1113</v>
      </c>
      <c r="E1342" t="s">
        <v>1282</v>
      </c>
      <c r="F1342">
        <f>Table5[[#This Row],[Total_Amount]]/(G1342*(1-Table5[[#This Row],[Discount]]))</f>
        <v>2.9999999999999996</v>
      </c>
      <c r="G1342" s="5">
        <v>684.22</v>
      </c>
      <c r="H1342">
        <v>0.09</v>
      </c>
      <c r="I1342" t="s">
        <v>1349</v>
      </c>
      <c r="J1342" s="5">
        <v>1867.9205999999999</v>
      </c>
    </row>
    <row r="1343" spans="1:10">
      <c r="A1343" t="s">
        <v>2692</v>
      </c>
      <c r="B1343" s="7">
        <v>45837</v>
      </c>
      <c r="C1343" t="s">
        <v>949</v>
      </c>
      <c r="D1343" t="s">
        <v>1259</v>
      </c>
      <c r="E1343" t="s">
        <v>1304</v>
      </c>
      <c r="F1343">
        <f>Table5[[#This Row],[Total_Amount]]/(G1343*(1-Table5[[#This Row],[Discount]]))</f>
        <v>4</v>
      </c>
      <c r="G1343" s="5">
        <v>763.34</v>
      </c>
      <c r="H1343">
        <v>7.0000000000000007E-2</v>
      </c>
      <c r="I1343" t="s">
        <v>1351</v>
      </c>
      <c r="J1343" s="5">
        <v>2839.6248000000001</v>
      </c>
    </row>
    <row r="1344" spans="1:10">
      <c r="A1344" t="s">
        <v>2693</v>
      </c>
      <c r="B1344" s="7">
        <v>45738</v>
      </c>
      <c r="C1344" t="s">
        <v>785</v>
      </c>
      <c r="D1344" t="s">
        <v>1173</v>
      </c>
      <c r="E1344" t="s">
        <v>1291</v>
      </c>
      <c r="F1344">
        <f>Table5[[#This Row],[Total_Amount]]/(G1344*(1-Table5[[#This Row],[Discount]]))</f>
        <v>2.9999999999999996</v>
      </c>
      <c r="G1344" s="5">
        <v>721.94</v>
      </c>
      <c r="H1344">
        <v>0.26</v>
      </c>
      <c r="I1344" t="s">
        <v>1349</v>
      </c>
      <c r="J1344" s="5">
        <v>1602.7067999999999</v>
      </c>
    </row>
    <row r="1345" spans="1:10">
      <c r="A1345" t="s">
        <v>2694</v>
      </c>
      <c r="B1345" s="7">
        <v>45323</v>
      </c>
      <c r="C1345" t="s">
        <v>875</v>
      </c>
      <c r="D1345" t="s">
        <v>1267</v>
      </c>
      <c r="E1345" t="s">
        <v>1282</v>
      </c>
      <c r="F1345">
        <f>Table5[[#This Row],[Total_Amount]]/(G1345*(1-Table5[[#This Row],[Discount]]))</f>
        <v>3</v>
      </c>
      <c r="G1345" s="5">
        <v>760.38</v>
      </c>
      <c r="H1345">
        <v>0</v>
      </c>
      <c r="I1345" t="s">
        <v>1354</v>
      </c>
      <c r="J1345" s="5">
        <v>2281.14</v>
      </c>
    </row>
    <row r="1346" spans="1:10">
      <c r="A1346" t="s">
        <v>2695</v>
      </c>
      <c r="B1346" s="7">
        <v>45362</v>
      </c>
      <c r="C1346" t="s">
        <v>660</v>
      </c>
      <c r="D1346" t="s">
        <v>1267</v>
      </c>
      <c r="E1346" t="s">
        <v>1301</v>
      </c>
      <c r="F1346">
        <f>Table5[[#This Row],[Total_Amount]]/(G1346*(1-Table5[[#This Row],[Discount]]))</f>
        <v>2.9999999999999996</v>
      </c>
      <c r="G1346" s="5">
        <v>612.53</v>
      </c>
      <c r="H1346">
        <v>0.21</v>
      </c>
      <c r="I1346" t="s">
        <v>1354</v>
      </c>
      <c r="J1346" s="5">
        <v>1451.6960999999999</v>
      </c>
    </row>
    <row r="1347" spans="1:10">
      <c r="A1347" t="s">
        <v>2696</v>
      </c>
      <c r="B1347" s="7">
        <v>45544</v>
      </c>
      <c r="C1347" t="s">
        <v>120</v>
      </c>
      <c r="D1347" t="s">
        <v>1199</v>
      </c>
      <c r="E1347" t="s">
        <v>1329</v>
      </c>
      <c r="F1347">
        <f>Table5[[#This Row],[Total_Amount]]/(G1347*(1-Table5[[#This Row],[Discount]]))</f>
        <v>3</v>
      </c>
      <c r="G1347" s="5">
        <v>841.37</v>
      </c>
      <c r="H1347">
        <v>0.28999999999999998</v>
      </c>
      <c r="I1347" t="s">
        <v>1351</v>
      </c>
      <c r="J1347" s="5">
        <v>1792.1180999999999</v>
      </c>
    </row>
    <row r="1348" spans="1:10">
      <c r="A1348" t="s">
        <v>2697</v>
      </c>
      <c r="B1348" s="7">
        <v>45249</v>
      </c>
      <c r="C1348" t="s">
        <v>585</v>
      </c>
      <c r="D1348" t="s">
        <v>1169</v>
      </c>
      <c r="E1348" t="s">
        <v>1311</v>
      </c>
      <c r="F1348">
        <f>Table5[[#This Row],[Total_Amount]]/(G1348*(1-Table5[[#This Row],[Discount]]))</f>
        <v>2</v>
      </c>
      <c r="G1348" s="5">
        <v>636.51</v>
      </c>
      <c r="H1348">
        <v>0.25</v>
      </c>
      <c r="I1348" t="s">
        <v>1349</v>
      </c>
      <c r="J1348" s="5">
        <v>954.76499999999999</v>
      </c>
    </row>
    <row r="1349" spans="1:10">
      <c r="A1349" t="s">
        <v>2698</v>
      </c>
      <c r="B1349" s="7">
        <v>45659</v>
      </c>
      <c r="C1349" t="s">
        <v>240</v>
      </c>
      <c r="D1349" t="s">
        <v>1163</v>
      </c>
      <c r="E1349" t="s">
        <v>1307</v>
      </c>
      <c r="F1349">
        <f>Table5[[#This Row],[Total_Amount]]/(G1349*(1-Table5[[#This Row],[Discount]]))</f>
        <v>2</v>
      </c>
      <c r="G1349" s="5">
        <v>732.37</v>
      </c>
      <c r="H1349">
        <v>0.22</v>
      </c>
      <c r="I1349" t="s">
        <v>1354</v>
      </c>
      <c r="J1349" s="5">
        <v>1142.4972</v>
      </c>
    </row>
    <row r="1350" spans="1:10">
      <c r="A1350" t="s">
        <v>2699</v>
      </c>
      <c r="B1350" s="7">
        <v>45927</v>
      </c>
      <c r="C1350" t="s">
        <v>389</v>
      </c>
      <c r="D1350" t="s">
        <v>1181</v>
      </c>
      <c r="E1350" t="s">
        <v>1329</v>
      </c>
      <c r="F1350">
        <f>Table5[[#This Row],[Total_Amount]]/(G1350*(1-Table5[[#This Row],[Discount]]))</f>
        <v>2.9999999999999996</v>
      </c>
      <c r="G1350" s="5">
        <v>183.44</v>
      </c>
      <c r="H1350">
        <v>0.28000000000000003</v>
      </c>
      <c r="I1350" t="s">
        <v>1354</v>
      </c>
      <c r="J1350" s="5">
        <v>396.23039999999992</v>
      </c>
    </row>
    <row r="1351" spans="1:10">
      <c r="A1351" t="s">
        <v>2700</v>
      </c>
      <c r="B1351" s="7">
        <v>45373</v>
      </c>
      <c r="C1351" t="s">
        <v>178</v>
      </c>
      <c r="D1351" t="s">
        <v>1095</v>
      </c>
      <c r="E1351" t="s">
        <v>1322</v>
      </c>
      <c r="F1351">
        <f>Table5[[#This Row],[Total_Amount]]/(G1351*(1-Table5[[#This Row],[Discount]]))</f>
        <v>4</v>
      </c>
      <c r="G1351" s="5">
        <v>898.58</v>
      </c>
      <c r="H1351">
        <v>0.16</v>
      </c>
      <c r="I1351" t="s">
        <v>1351</v>
      </c>
      <c r="J1351" s="5">
        <v>3019.2287999999999</v>
      </c>
    </row>
    <row r="1352" spans="1:10">
      <c r="A1352" t="s">
        <v>2701</v>
      </c>
      <c r="B1352" s="7">
        <v>45529</v>
      </c>
      <c r="C1352" t="s">
        <v>843</v>
      </c>
      <c r="D1352" t="s">
        <v>1119</v>
      </c>
      <c r="E1352" t="s">
        <v>1286</v>
      </c>
      <c r="F1352">
        <f>Table5[[#This Row],[Total_Amount]]/(G1352*(1-Table5[[#This Row],[Discount]]))</f>
        <v>3</v>
      </c>
      <c r="G1352" s="5">
        <v>152.41</v>
      </c>
      <c r="H1352">
        <v>0.25</v>
      </c>
      <c r="I1352" t="s">
        <v>1349</v>
      </c>
      <c r="J1352" s="5">
        <v>342.92250000000001</v>
      </c>
    </row>
    <row r="1353" spans="1:10">
      <c r="A1353" t="s">
        <v>2702</v>
      </c>
      <c r="B1353" s="7">
        <v>45872</v>
      </c>
      <c r="C1353" t="s">
        <v>509</v>
      </c>
      <c r="D1353" t="s">
        <v>1257</v>
      </c>
      <c r="E1353" t="s">
        <v>1324</v>
      </c>
      <c r="F1353">
        <f>Table5[[#This Row],[Total_Amount]]/(G1353*(1-Table5[[#This Row],[Discount]]))</f>
        <v>3</v>
      </c>
      <c r="G1353" s="5">
        <v>972.58</v>
      </c>
      <c r="H1353">
        <v>0.28000000000000003</v>
      </c>
      <c r="I1353" t="s">
        <v>1354</v>
      </c>
      <c r="J1353" s="5">
        <v>2100.7728000000002</v>
      </c>
    </row>
    <row r="1354" spans="1:10">
      <c r="A1354" t="s">
        <v>2703</v>
      </c>
      <c r="B1354" s="7">
        <v>45267</v>
      </c>
      <c r="C1354" t="s">
        <v>994</v>
      </c>
      <c r="D1354" t="s">
        <v>1211</v>
      </c>
      <c r="E1354" t="s">
        <v>1317</v>
      </c>
      <c r="F1354">
        <f>Table5[[#This Row],[Total_Amount]]/(G1354*(1-Table5[[#This Row],[Discount]]))</f>
        <v>4</v>
      </c>
      <c r="G1354" s="5">
        <v>136.4</v>
      </c>
      <c r="H1354">
        <v>0.04</v>
      </c>
      <c r="I1354" t="s">
        <v>1354</v>
      </c>
      <c r="J1354" s="5">
        <v>523.77599999999995</v>
      </c>
    </row>
    <row r="1355" spans="1:10">
      <c r="A1355" t="s">
        <v>2704</v>
      </c>
      <c r="B1355" s="7">
        <v>45894</v>
      </c>
      <c r="C1355" t="s">
        <v>863</v>
      </c>
      <c r="D1355" t="s">
        <v>1261</v>
      </c>
      <c r="E1355" t="s">
        <v>1326</v>
      </c>
      <c r="F1355">
        <f>Table5[[#This Row],[Total_Amount]]/(G1355*(1-Table5[[#This Row],[Discount]]))</f>
        <v>1</v>
      </c>
      <c r="G1355" s="5">
        <v>509.63</v>
      </c>
      <c r="H1355">
        <v>0.27</v>
      </c>
      <c r="I1355" t="s">
        <v>1354</v>
      </c>
      <c r="J1355" s="5">
        <v>372.0299</v>
      </c>
    </row>
    <row r="1356" spans="1:10">
      <c r="A1356" t="s">
        <v>2705</v>
      </c>
      <c r="B1356" s="7">
        <v>45331</v>
      </c>
      <c r="C1356" t="s">
        <v>20</v>
      </c>
      <c r="D1356" t="s">
        <v>1267</v>
      </c>
      <c r="E1356" t="s">
        <v>1291</v>
      </c>
      <c r="F1356">
        <f>Table5[[#This Row],[Total_Amount]]/(G1356*(1-Table5[[#This Row],[Discount]]))</f>
        <v>4</v>
      </c>
      <c r="G1356" s="5">
        <v>360.28</v>
      </c>
      <c r="H1356">
        <v>0.09</v>
      </c>
      <c r="I1356" t="s">
        <v>1354</v>
      </c>
      <c r="J1356" s="5">
        <v>1311.4192</v>
      </c>
    </row>
    <row r="1357" spans="1:10">
      <c r="A1357" t="s">
        <v>2706</v>
      </c>
      <c r="B1357" s="7">
        <v>45910</v>
      </c>
      <c r="C1357" t="s">
        <v>214</v>
      </c>
      <c r="D1357" t="s">
        <v>1251</v>
      </c>
      <c r="E1357" t="s">
        <v>1326</v>
      </c>
      <c r="F1357">
        <f>Table5[[#This Row],[Total_Amount]]/(G1357*(1-Table5[[#This Row],[Discount]]))</f>
        <v>2.9999999999999991</v>
      </c>
      <c r="G1357" s="5">
        <v>882.05</v>
      </c>
      <c r="H1357">
        <v>0.06</v>
      </c>
      <c r="I1357" t="s">
        <v>1351</v>
      </c>
      <c r="J1357" s="5">
        <v>2487.3809999999989</v>
      </c>
    </row>
    <row r="1358" spans="1:10">
      <c r="A1358" t="s">
        <v>2707</v>
      </c>
      <c r="B1358" s="7">
        <v>45564</v>
      </c>
      <c r="C1358" t="s">
        <v>452</v>
      </c>
      <c r="D1358" t="s">
        <v>1231</v>
      </c>
      <c r="E1358" t="s">
        <v>1307</v>
      </c>
      <c r="F1358">
        <f>Table5[[#This Row],[Total_Amount]]/(G1358*(1-Table5[[#This Row],[Discount]]))</f>
        <v>3</v>
      </c>
      <c r="G1358" s="5">
        <v>141.54</v>
      </c>
      <c r="H1358">
        <v>0.12</v>
      </c>
      <c r="I1358" t="s">
        <v>1351</v>
      </c>
      <c r="J1358" s="5">
        <v>373.66559999999998</v>
      </c>
    </row>
    <row r="1359" spans="1:10">
      <c r="A1359" t="s">
        <v>2708</v>
      </c>
      <c r="B1359" s="7">
        <v>45461</v>
      </c>
      <c r="C1359" t="s">
        <v>126</v>
      </c>
      <c r="D1359" t="s">
        <v>1103</v>
      </c>
      <c r="E1359" t="s">
        <v>1294</v>
      </c>
      <c r="F1359">
        <f>Table5[[#This Row],[Total_Amount]]/(G1359*(1-Table5[[#This Row],[Discount]]))</f>
        <v>3</v>
      </c>
      <c r="G1359" s="5">
        <v>83.5</v>
      </c>
      <c r="H1359">
        <v>0.23</v>
      </c>
      <c r="I1359" t="s">
        <v>1354</v>
      </c>
      <c r="J1359" s="5">
        <v>192.88499999999999</v>
      </c>
    </row>
    <row r="1360" spans="1:10">
      <c r="A1360" t="s">
        <v>2709</v>
      </c>
      <c r="B1360" s="7">
        <v>45258</v>
      </c>
      <c r="C1360" t="s">
        <v>306</v>
      </c>
      <c r="D1360" t="s">
        <v>1101</v>
      </c>
      <c r="E1360" t="s">
        <v>1301</v>
      </c>
      <c r="F1360">
        <f>Table5[[#This Row],[Total_Amount]]/(G1360*(1-Table5[[#This Row],[Discount]]))</f>
        <v>2</v>
      </c>
      <c r="G1360" s="5">
        <v>629.73</v>
      </c>
      <c r="H1360">
        <v>7.0000000000000007E-2</v>
      </c>
      <c r="I1360" t="s">
        <v>1351</v>
      </c>
      <c r="J1360" s="5">
        <v>1171.2978000000001</v>
      </c>
    </row>
    <row r="1361" spans="1:10">
      <c r="A1361" t="s">
        <v>2710</v>
      </c>
      <c r="B1361" s="7">
        <v>45228</v>
      </c>
      <c r="C1361" t="s">
        <v>47</v>
      </c>
      <c r="D1361" t="s">
        <v>1139</v>
      </c>
      <c r="E1361" t="s">
        <v>1301</v>
      </c>
      <c r="F1361">
        <f>Table5[[#This Row],[Total_Amount]]/(G1361*(1-Table5[[#This Row],[Discount]]))</f>
        <v>1.9999999999999998</v>
      </c>
      <c r="G1361" s="5">
        <v>159.93</v>
      </c>
      <c r="H1361">
        <v>0.2</v>
      </c>
      <c r="I1361" t="s">
        <v>1354</v>
      </c>
      <c r="J1361" s="5">
        <v>255.88800000000001</v>
      </c>
    </row>
    <row r="1362" spans="1:10">
      <c r="A1362" t="s">
        <v>2711</v>
      </c>
      <c r="B1362" s="7">
        <v>45858</v>
      </c>
      <c r="C1362" t="s">
        <v>47</v>
      </c>
      <c r="D1362" t="s">
        <v>1163</v>
      </c>
      <c r="E1362" t="s">
        <v>1335</v>
      </c>
      <c r="F1362">
        <f>Table5[[#This Row],[Total_Amount]]/(G1362*(1-Table5[[#This Row],[Discount]]))</f>
        <v>1</v>
      </c>
      <c r="G1362" s="5">
        <v>459.89</v>
      </c>
      <c r="H1362">
        <v>0.18</v>
      </c>
      <c r="I1362" t="s">
        <v>1354</v>
      </c>
      <c r="J1362" s="5">
        <v>377.10980000000001</v>
      </c>
    </row>
    <row r="1363" spans="1:10">
      <c r="A1363" t="s">
        <v>2712</v>
      </c>
      <c r="B1363" s="7">
        <v>45532</v>
      </c>
      <c r="C1363" t="s">
        <v>438</v>
      </c>
      <c r="D1363" t="s">
        <v>1139</v>
      </c>
      <c r="E1363" t="s">
        <v>1338</v>
      </c>
      <c r="F1363">
        <f>Table5[[#This Row],[Total_Amount]]/(G1363*(1-Table5[[#This Row],[Discount]]))</f>
        <v>4</v>
      </c>
      <c r="G1363" s="5">
        <v>885.57</v>
      </c>
      <c r="H1363">
        <v>0.27</v>
      </c>
      <c r="I1363" t="s">
        <v>1349</v>
      </c>
      <c r="J1363" s="5">
        <v>2585.8643999999999</v>
      </c>
    </row>
    <row r="1364" spans="1:10">
      <c r="A1364" t="s">
        <v>2713</v>
      </c>
      <c r="B1364" s="7">
        <v>45454</v>
      </c>
      <c r="C1364" t="s">
        <v>867</v>
      </c>
      <c r="D1364" t="s">
        <v>1181</v>
      </c>
      <c r="E1364" t="s">
        <v>1326</v>
      </c>
      <c r="F1364">
        <f>Table5[[#This Row],[Total_Amount]]/(G1364*(1-Table5[[#This Row],[Discount]]))</f>
        <v>3.0000000000000004</v>
      </c>
      <c r="G1364" s="5">
        <v>789.05</v>
      </c>
      <c r="H1364">
        <v>0</v>
      </c>
      <c r="I1364" t="s">
        <v>1351</v>
      </c>
      <c r="J1364" s="5">
        <v>2367.15</v>
      </c>
    </row>
    <row r="1365" spans="1:10">
      <c r="A1365" t="s">
        <v>2714</v>
      </c>
      <c r="B1365" s="7">
        <v>45244</v>
      </c>
      <c r="C1365" t="s">
        <v>369</v>
      </c>
      <c r="D1365" t="s">
        <v>1205</v>
      </c>
      <c r="E1365" t="s">
        <v>1277</v>
      </c>
      <c r="F1365">
        <f>Table5[[#This Row],[Total_Amount]]/(G1365*(1-Table5[[#This Row],[Discount]]))</f>
        <v>1</v>
      </c>
      <c r="G1365" s="5">
        <v>570.52</v>
      </c>
      <c r="H1365">
        <v>0</v>
      </c>
      <c r="I1365" t="s">
        <v>1351</v>
      </c>
      <c r="J1365" s="5">
        <v>570.52</v>
      </c>
    </row>
    <row r="1366" spans="1:10">
      <c r="A1366" t="s">
        <v>2715</v>
      </c>
      <c r="B1366" s="7">
        <v>45322</v>
      </c>
      <c r="C1366" t="s">
        <v>420</v>
      </c>
      <c r="D1366" t="s">
        <v>1127</v>
      </c>
      <c r="E1366" t="s">
        <v>1329</v>
      </c>
      <c r="F1366">
        <f>Table5[[#This Row],[Total_Amount]]/(G1366*(1-Table5[[#This Row],[Discount]]))</f>
        <v>4</v>
      </c>
      <c r="G1366" s="5">
        <v>310.79000000000002</v>
      </c>
      <c r="H1366">
        <v>0.22</v>
      </c>
      <c r="I1366" t="s">
        <v>1354</v>
      </c>
      <c r="J1366" s="5">
        <v>969.66480000000013</v>
      </c>
    </row>
    <row r="1367" spans="1:10">
      <c r="A1367" t="s">
        <v>2716</v>
      </c>
      <c r="B1367" s="7">
        <v>45757</v>
      </c>
      <c r="C1367" t="s">
        <v>159</v>
      </c>
      <c r="D1367" t="s">
        <v>1209</v>
      </c>
      <c r="E1367" t="s">
        <v>1332</v>
      </c>
      <c r="F1367">
        <f>Table5[[#This Row],[Total_Amount]]/(G1367*(1-Table5[[#This Row],[Discount]]))</f>
        <v>4</v>
      </c>
      <c r="G1367" s="5">
        <v>255.67</v>
      </c>
      <c r="H1367">
        <v>0.17</v>
      </c>
      <c r="I1367" t="s">
        <v>1349</v>
      </c>
      <c r="J1367" s="5">
        <v>848.82439999999997</v>
      </c>
    </row>
    <row r="1368" spans="1:10">
      <c r="A1368" t="s">
        <v>2717</v>
      </c>
      <c r="B1368" s="7">
        <v>45397</v>
      </c>
      <c r="C1368" t="s">
        <v>319</v>
      </c>
      <c r="D1368" t="s">
        <v>1127</v>
      </c>
      <c r="E1368" t="s">
        <v>1329</v>
      </c>
      <c r="F1368">
        <f>Table5[[#This Row],[Total_Amount]]/(G1368*(1-Table5[[#This Row],[Discount]]))</f>
        <v>1.9999999999999998</v>
      </c>
      <c r="G1368" s="5">
        <v>270.66000000000003</v>
      </c>
      <c r="H1368">
        <v>0.1</v>
      </c>
      <c r="I1368" t="s">
        <v>1354</v>
      </c>
      <c r="J1368" s="5">
        <v>487.18799999999999</v>
      </c>
    </row>
    <row r="1369" spans="1:10">
      <c r="A1369" t="s">
        <v>2718</v>
      </c>
      <c r="B1369" s="7">
        <v>45914</v>
      </c>
      <c r="C1369" t="s">
        <v>662</v>
      </c>
      <c r="D1369" t="s">
        <v>1119</v>
      </c>
      <c r="E1369" t="s">
        <v>1332</v>
      </c>
      <c r="F1369">
        <f>Table5[[#This Row],[Total_Amount]]/(G1369*(1-Table5[[#This Row],[Discount]]))</f>
        <v>3.0000000000000004</v>
      </c>
      <c r="G1369" s="5">
        <v>373.35</v>
      </c>
      <c r="H1369">
        <v>0.2</v>
      </c>
      <c r="I1369" t="s">
        <v>1354</v>
      </c>
      <c r="J1369" s="5">
        <v>896.04000000000019</v>
      </c>
    </row>
    <row r="1370" spans="1:10">
      <c r="A1370" t="s">
        <v>2719</v>
      </c>
      <c r="B1370" s="7">
        <v>45432</v>
      </c>
      <c r="C1370" t="s">
        <v>109</v>
      </c>
      <c r="D1370" t="s">
        <v>1191</v>
      </c>
      <c r="E1370" t="s">
        <v>1317</v>
      </c>
      <c r="F1370">
        <f>Table5[[#This Row],[Total_Amount]]/(G1370*(1-Table5[[#This Row],[Discount]]))</f>
        <v>2</v>
      </c>
      <c r="G1370" s="5">
        <v>23.58</v>
      </c>
      <c r="H1370">
        <v>0.02</v>
      </c>
      <c r="I1370" t="s">
        <v>1351</v>
      </c>
      <c r="J1370" s="5">
        <v>46.216799999999999</v>
      </c>
    </row>
    <row r="1371" spans="1:10">
      <c r="A1371" t="s">
        <v>2720</v>
      </c>
      <c r="B1371" s="7">
        <v>45798</v>
      </c>
      <c r="C1371" t="s">
        <v>27</v>
      </c>
      <c r="D1371" t="s">
        <v>1143</v>
      </c>
      <c r="E1371" t="s">
        <v>1304</v>
      </c>
      <c r="F1371">
        <f>Table5[[#This Row],[Total_Amount]]/(G1371*(1-Table5[[#This Row],[Discount]]))</f>
        <v>4</v>
      </c>
      <c r="G1371" s="5">
        <v>185.67</v>
      </c>
      <c r="H1371">
        <v>0.21</v>
      </c>
      <c r="I1371" t="s">
        <v>1351</v>
      </c>
      <c r="J1371" s="5">
        <v>586.71719999999993</v>
      </c>
    </row>
    <row r="1372" spans="1:10">
      <c r="A1372" t="s">
        <v>2721</v>
      </c>
      <c r="B1372" s="7">
        <v>45396</v>
      </c>
      <c r="C1372" t="s">
        <v>300</v>
      </c>
      <c r="D1372" t="s">
        <v>1109</v>
      </c>
      <c r="E1372" t="s">
        <v>1322</v>
      </c>
      <c r="F1372">
        <f>Table5[[#This Row],[Total_Amount]]/(G1372*(1-Table5[[#This Row],[Discount]]))</f>
        <v>3</v>
      </c>
      <c r="G1372" s="5">
        <v>928.74</v>
      </c>
      <c r="H1372">
        <v>0.27</v>
      </c>
      <c r="I1372" t="s">
        <v>1351</v>
      </c>
      <c r="J1372" s="5">
        <v>2033.9405999999999</v>
      </c>
    </row>
    <row r="1373" spans="1:10">
      <c r="A1373" t="s">
        <v>2722</v>
      </c>
      <c r="B1373" s="7">
        <v>45235</v>
      </c>
      <c r="C1373" t="s">
        <v>92</v>
      </c>
      <c r="D1373" t="s">
        <v>1241</v>
      </c>
      <c r="E1373" t="s">
        <v>1298</v>
      </c>
      <c r="F1373">
        <f>Table5[[#This Row],[Total_Amount]]/(G1373*(1-Table5[[#This Row],[Discount]]))</f>
        <v>3</v>
      </c>
      <c r="G1373" s="5">
        <v>923.38</v>
      </c>
      <c r="H1373">
        <v>7.0000000000000007E-2</v>
      </c>
      <c r="I1373" t="s">
        <v>1354</v>
      </c>
      <c r="J1373" s="5">
        <v>2576.2302</v>
      </c>
    </row>
    <row r="1374" spans="1:10">
      <c r="A1374" t="s">
        <v>2723</v>
      </c>
      <c r="B1374" s="7">
        <v>45499</v>
      </c>
      <c r="C1374" t="s">
        <v>986</v>
      </c>
      <c r="D1374" t="s">
        <v>1078</v>
      </c>
      <c r="E1374" t="s">
        <v>1311</v>
      </c>
      <c r="F1374">
        <f>Table5[[#This Row],[Total_Amount]]/(G1374*(1-Table5[[#This Row],[Discount]]))</f>
        <v>2</v>
      </c>
      <c r="G1374" s="5">
        <v>409.26</v>
      </c>
      <c r="H1374">
        <v>0.1</v>
      </c>
      <c r="I1374" t="s">
        <v>1351</v>
      </c>
      <c r="J1374" s="5">
        <v>736.66800000000001</v>
      </c>
    </row>
    <row r="1375" spans="1:10">
      <c r="A1375" t="s">
        <v>2724</v>
      </c>
      <c r="B1375" s="7">
        <v>45272</v>
      </c>
      <c r="C1375" t="s">
        <v>571</v>
      </c>
      <c r="D1375" t="s">
        <v>1119</v>
      </c>
      <c r="E1375" t="s">
        <v>1304</v>
      </c>
      <c r="F1375">
        <f>Table5[[#This Row],[Total_Amount]]/(G1375*(1-Table5[[#This Row],[Discount]]))</f>
        <v>2</v>
      </c>
      <c r="G1375" s="5">
        <v>608.46</v>
      </c>
      <c r="H1375">
        <v>0.16</v>
      </c>
      <c r="I1375" t="s">
        <v>1349</v>
      </c>
      <c r="J1375" s="5">
        <v>1022.2128</v>
      </c>
    </row>
    <row r="1376" spans="1:10">
      <c r="A1376" t="s">
        <v>2725</v>
      </c>
      <c r="B1376" s="7">
        <v>45785</v>
      </c>
      <c r="C1376" t="s">
        <v>486</v>
      </c>
      <c r="D1376" t="s">
        <v>1157</v>
      </c>
      <c r="E1376" t="s">
        <v>1338</v>
      </c>
      <c r="F1376">
        <f>Table5[[#This Row],[Total_Amount]]/(G1376*(1-Table5[[#This Row],[Discount]]))</f>
        <v>4</v>
      </c>
      <c r="G1376" s="5">
        <v>150.47999999999999</v>
      </c>
      <c r="H1376">
        <v>0.09</v>
      </c>
      <c r="I1376" t="s">
        <v>1349</v>
      </c>
      <c r="J1376" s="5">
        <v>547.74720000000002</v>
      </c>
    </row>
    <row r="1377" spans="1:10">
      <c r="A1377" t="s">
        <v>2726</v>
      </c>
      <c r="B1377" s="7">
        <v>45534</v>
      </c>
      <c r="C1377" t="s">
        <v>553</v>
      </c>
      <c r="D1377" t="s">
        <v>1209</v>
      </c>
      <c r="E1377" t="s">
        <v>1324</v>
      </c>
      <c r="F1377">
        <f>Table5[[#This Row],[Total_Amount]]/(G1377*(1-Table5[[#This Row],[Discount]]))</f>
        <v>4</v>
      </c>
      <c r="G1377" s="5">
        <v>207.41</v>
      </c>
      <c r="H1377">
        <v>0.02</v>
      </c>
      <c r="I1377" t="s">
        <v>1349</v>
      </c>
      <c r="J1377" s="5">
        <v>813.04719999999998</v>
      </c>
    </row>
    <row r="1378" spans="1:10">
      <c r="A1378" t="s">
        <v>2727</v>
      </c>
      <c r="B1378" s="7">
        <v>45803</v>
      </c>
      <c r="C1378" t="s">
        <v>405</v>
      </c>
      <c r="D1378" t="s">
        <v>1095</v>
      </c>
      <c r="E1378" t="s">
        <v>1301</v>
      </c>
      <c r="F1378">
        <f>Table5[[#This Row],[Total_Amount]]/(G1378*(1-Table5[[#This Row],[Discount]]))</f>
        <v>1</v>
      </c>
      <c r="G1378" s="5">
        <v>56.59</v>
      </c>
      <c r="H1378">
        <v>0.15</v>
      </c>
      <c r="I1378" t="s">
        <v>1351</v>
      </c>
      <c r="J1378" s="5">
        <v>48.101500000000001</v>
      </c>
    </row>
    <row r="1379" spans="1:10">
      <c r="A1379" t="s">
        <v>2728</v>
      </c>
      <c r="B1379" s="7">
        <v>45667</v>
      </c>
      <c r="C1379" t="s">
        <v>873</v>
      </c>
      <c r="D1379" t="s">
        <v>1151</v>
      </c>
      <c r="E1379" t="s">
        <v>1294</v>
      </c>
      <c r="F1379">
        <f>Table5[[#This Row],[Total_Amount]]/(G1379*(1-Table5[[#This Row],[Discount]]))</f>
        <v>4.0000000000000009</v>
      </c>
      <c r="G1379" s="5">
        <v>995.4</v>
      </c>
      <c r="H1379">
        <v>0.27</v>
      </c>
      <c r="I1379" t="s">
        <v>1349</v>
      </c>
      <c r="J1379" s="5">
        <v>2906.5680000000002</v>
      </c>
    </row>
    <row r="1380" spans="1:10">
      <c r="A1380" t="s">
        <v>2729</v>
      </c>
      <c r="B1380" s="7">
        <v>45656</v>
      </c>
      <c r="C1380" t="s">
        <v>176</v>
      </c>
      <c r="D1380" t="s">
        <v>1167</v>
      </c>
      <c r="E1380" t="s">
        <v>1319</v>
      </c>
      <c r="F1380">
        <f>Table5[[#This Row],[Total_Amount]]/(G1380*(1-Table5[[#This Row],[Discount]]))</f>
        <v>2</v>
      </c>
      <c r="G1380" s="5">
        <v>591.33000000000004</v>
      </c>
      <c r="H1380">
        <v>0.24</v>
      </c>
      <c r="I1380" t="s">
        <v>1349</v>
      </c>
      <c r="J1380" s="5">
        <v>898.8216000000001</v>
      </c>
    </row>
    <row r="1381" spans="1:10">
      <c r="A1381" t="s">
        <v>2730</v>
      </c>
      <c r="B1381" s="7">
        <v>45869</v>
      </c>
      <c r="C1381" t="s">
        <v>819</v>
      </c>
      <c r="D1381" t="s">
        <v>1169</v>
      </c>
      <c r="E1381" t="s">
        <v>1332</v>
      </c>
      <c r="F1381">
        <f>Table5[[#This Row],[Total_Amount]]/(G1381*(1-Table5[[#This Row],[Discount]]))</f>
        <v>2</v>
      </c>
      <c r="G1381" s="5">
        <v>204.89</v>
      </c>
      <c r="H1381">
        <v>0.24</v>
      </c>
      <c r="I1381" t="s">
        <v>1349</v>
      </c>
      <c r="J1381" s="5">
        <v>311.43279999999999</v>
      </c>
    </row>
    <row r="1382" spans="1:10">
      <c r="A1382" t="s">
        <v>2731</v>
      </c>
      <c r="B1382" s="7">
        <v>45549</v>
      </c>
      <c r="C1382" t="s">
        <v>237</v>
      </c>
      <c r="D1382" t="s">
        <v>1203</v>
      </c>
      <c r="E1382" t="s">
        <v>1324</v>
      </c>
      <c r="F1382">
        <f>Table5[[#This Row],[Total_Amount]]/(G1382*(1-Table5[[#This Row],[Discount]]))</f>
        <v>2</v>
      </c>
      <c r="G1382" s="5">
        <v>546.41</v>
      </c>
      <c r="H1382">
        <v>0.08</v>
      </c>
      <c r="I1382" t="s">
        <v>1354</v>
      </c>
      <c r="J1382" s="5">
        <v>1005.3944</v>
      </c>
    </row>
    <row r="1383" spans="1:10">
      <c r="A1383" t="s">
        <v>2732</v>
      </c>
      <c r="B1383" s="7">
        <v>45409</v>
      </c>
      <c r="C1383" t="s">
        <v>157</v>
      </c>
      <c r="D1383" t="s">
        <v>1109</v>
      </c>
      <c r="E1383" t="s">
        <v>1319</v>
      </c>
      <c r="F1383">
        <f>Table5[[#This Row],[Total_Amount]]/(G1383*(1-Table5[[#This Row],[Discount]]))</f>
        <v>4</v>
      </c>
      <c r="G1383" s="5">
        <v>455.49</v>
      </c>
      <c r="H1383">
        <v>0.17</v>
      </c>
      <c r="I1383" t="s">
        <v>1349</v>
      </c>
      <c r="J1383" s="5">
        <v>1512.2267999999999</v>
      </c>
    </row>
    <row r="1384" spans="1:10">
      <c r="A1384" t="s">
        <v>2733</v>
      </c>
      <c r="B1384" s="7">
        <v>45374</v>
      </c>
      <c r="C1384" t="s">
        <v>907</v>
      </c>
      <c r="D1384" t="s">
        <v>1093</v>
      </c>
      <c r="E1384" t="s">
        <v>1329</v>
      </c>
      <c r="F1384">
        <f>Table5[[#This Row],[Total_Amount]]/(G1384*(1-Table5[[#This Row],[Discount]]))</f>
        <v>2.0000000000000004</v>
      </c>
      <c r="G1384" s="5">
        <v>700.27</v>
      </c>
      <c r="H1384">
        <v>0.16</v>
      </c>
      <c r="I1384" t="s">
        <v>1349</v>
      </c>
      <c r="J1384" s="5">
        <v>1176.4536000000001</v>
      </c>
    </row>
    <row r="1385" spans="1:10">
      <c r="A1385" t="s">
        <v>2734</v>
      </c>
      <c r="B1385" s="7">
        <v>45282</v>
      </c>
      <c r="C1385" t="s">
        <v>754</v>
      </c>
      <c r="D1385" t="s">
        <v>1237</v>
      </c>
      <c r="E1385" t="s">
        <v>1332</v>
      </c>
      <c r="F1385">
        <f>Table5[[#This Row],[Total_Amount]]/(G1385*(1-Table5[[#This Row],[Discount]]))</f>
        <v>2</v>
      </c>
      <c r="G1385" s="5">
        <v>160.21</v>
      </c>
      <c r="H1385">
        <v>0.09</v>
      </c>
      <c r="I1385" t="s">
        <v>1349</v>
      </c>
      <c r="J1385" s="5">
        <v>291.5822</v>
      </c>
    </row>
    <row r="1386" spans="1:10">
      <c r="A1386" t="s">
        <v>2735</v>
      </c>
      <c r="B1386" s="7">
        <v>45742</v>
      </c>
      <c r="C1386" t="s">
        <v>96</v>
      </c>
      <c r="D1386" t="s">
        <v>1167</v>
      </c>
      <c r="E1386" t="s">
        <v>1317</v>
      </c>
      <c r="F1386">
        <f>Table5[[#This Row],[Total_Amount]]/(G1386*(1-Table5[[#This Row],[Discount]]))</f>
        <v>1</v>
      </c>
      <c r="G1386" s="5">
        <v>713.63</v>
      </c>
      <c r="H1386">
        <v>0.28000000000000003</v>
      </c>
      <c r="I1386" t="s">
        <v>1354</v>
      </c>
      <c r="J1386" s="5">
        <v>513.81359999999995</v>
      </c>
    </row>
    <row r="1387" spans="1:10">
      <c r="A1387" t="s">
        <v>2736</v>
      </c>
      <c r="B1387" s="7">
        <v>45447</v>
      </c>
      <c r="C1387" t="s">
        <v>517</v>
      </c>
      <c r="D1387" t="s">
        <v>1259</v>
      </c>
      <c r="E1387" t="s">
        <v>1304</v>
      </c>
      <c r="F1387">
        <f>Table5[[#This Row],[Total_Amount]]/(G1387*(1-Table5[[#This Row],[Discount]]))</f>
        <v>2</v>
      </c>
      <c r="G1387" s="5">
        <v>224.69</v>
      </c>
      <c r="H1387">
        <v>0.2</v>
      </c>
      <c r="I1387" t="s">
        <v>1354</v>
      </c>
      <c r="J1387" s="5">
        <v>359.50400000000002</v>
      </c>
    </row>
    <row r="1388" spans="1:10">
      <c r="A1388" t="s">
        <v>2737</v>
      </c>
      <c r="B1388" s="7">
        <v>45733</v>
      </c>
      <c r="C1388" t="s">
        <v>969</v>
      </c>
      <c r="D1388" t="s">
        <v>1113</v>
      </c>
      <c r="E1388" t="s">
        <v>1324</v>
      </c>
      <c r="F1388">
        <f>Table5[[#This Row],[Total_Amount]]/(G1388*(1-Table5[[#This Row],[Discount]]))</f>
        <v>2</v>
      </c>
      <c r="G1388" s="5">
        <v>740.57</v>
      </c>
      <c r="H1388">
        <v>0.06</v>
      </c>
      <c r="I1388" t="s">
        <v>1349</v>
      </c>
      <c r="J1388" s="5">
        <v>1392.2716</v>
      </c>
    </row>
    <row r="1389" spans="1:10">
      <c r="A1389" t="s">
        <v>2738</v>
      </c>
      <c r="B1389" s="7">
        <v>45373</v>
      </c>
      <c r="C1389" t="s">
        <v>345</v>
      </c>
      <c r="D1389" t="s">
        <v>1095</v>
      </c>
      <c r="E1389" t="s">
        <v>1291</v>
      </c>
      <c r="F1389">
        <f>Table5[[#This Row],[Total_Amount]]/(G1389*(1-Table5[[#This Row],[Discount]]))</f>
        <v>3</v>
      </c>
      <c r="G1389" s="5">
        <v>250.14</v>
      </c>
      <c r="H1389">
        <v>0.23</v>
      </c>
      <c r="I1389" t="s">
        <v>1351</v>
      </c>
      <c r="J1389" s="5">
        <v>577.82339999999999</v>
      </c>
    </row>
    <row r="1390" spans="1:10">
      <c r="A1390" t="s">
        <v>2739</v>
      </c>
      <c r="B1390" s="7">
        <v>45655</v>
      </c>
      <c r="C1390" t="s">
        <v>69</v>
      </c>
      <c r="D1390" t="s">
        <v>1269</v>
      </c>
      <c r="E1390" t="s">
        <v>1338</v>
      </c>
      <c r="F1390">
        <f>Table5[[#This Row],[Total_Amount]]/(G1390*(1-Table5[[#This Row],[Discount]]))</f>
        <v>3</v>
      </c>
      <c r="G1390" s="5">
        <v>34.97</v>
      </c>
      <c r="H1390">
        <v>0.01</v>
      </c>
      <c r="I1390" t="s">
        <v>1349</v>
      </c>
      <c r="J1390" s="5">
        <v>103.8609</v>
      </c>
    </row>
    <row r="1391" spans="1:10">
      <c r="A1391" t="s">
        <v>2740</v>
      </c>
      <c r="B1391" s="7">
        <v>45868</v>
      </c>
      <c r="C1391" t="s">
        <v>672</v>
      </c>
      <c r="D1391" t="s">
        <v>1157</v>
      </c>
      <c r="E1391" t="s">
        <v>1329</v>
      </c>
      <c r="F1391">
        <f>Table5[[#This Row],[Total_Amount]]/(G1391*(1-Table5[[#This Row],[Discount]]))</f>
        <v>1.0000000000000002</v>
      </c>
      <c r="G1391" s="5">
        <v>653.91</v>
      </c>
      <c r="H1391">
        <v>0.3</v>
      </c>
      <c r="I1391" t="s">
        <v>1351</v>
      </c>
      <c r="J1391" s="5">
        <v>457.73700000000002</v>
      </c>
    </row>
    <row r="1392" spans="1:10">
      <c r="A1392" t="s">
        <v>2741</v>
      </c>
      <c r="B1392" s="7">
        <v>45338</v>
      </c>
      <c r="C1392" t="s">
        <v>789</v>
      </c>
      <c r="D1392" t="s">
        <v>1205</v>
      </c>
      <c r="E1392" t="s">
        <v>1291</v>
      </c>
      <c r="F1392">
        <f>Table5[[#This Row],[Total_Amount]]/(G1392*(1-Table5[[#This Row],[Discount]]))</f>
        <v>1</v>
      </c>
      <c r="G1392" s="5">
        <v>997.87</v>
      </c>
      <c r="H1392">
        <v>0.24</v>
      </c>
      <c r="I1392" t="s">
        <v>1349</v>
      </c>
      <c r="J1392" s="5">
        <v>758.38120000000004</v>
      </c>
    </row>
    <row r="1393" spans="1:10">
      <c r="A1393" t="s">
        <v>2742</v>
      </c>
      <c r="B1393" s="7">
        <v>45349</v>
      </c>
      <c r="C1393" t="s">
        <v>478</v>
      </c>
      <c r="D1393" t="s">
        <v>1251</v>
      </c>
      <c r="E1393" t="s">
        <v>1324</v>
      </c>
      <c r="F1393">
        <f>Table5[[#This Row],[Total_Amount]]/(G1393*(1-Table5[[#This Row],[Discount]]))</f>
        <v>1</v>
      </c>
      <c r="G1393" s="5">
        <v>174.27</v>
      </c>
      <c r="H1393">
        <v>0.27</v>
      </c>
      <c r="I1393" t="s">
        <v>1354</v>
      </c>
      <c r="J1393" s="5">
        <v>127.2171</v>
      </c>
    </row>
    <row r="1394" spans="1:10">
      <c r="A1394" t="s">
        <v>2743</v>
      </c>
      <c r="B1394" s="7">
        <v>45368</v>
      </c>
      <c r="C1394" t="s">
        <v>290</v>
      </c>
      <c r="D1394" t="s">
        <v>1171</v>
      </c>
      <c r="E1394" t="s">
        <v>1304</v>
      </c>
      <c r="F1394">
        <f>Table5[[#This Row],[Total_Amount]]/(G1394*(1-Table5[[#This Row],[Discount]]))</f>
        <v>2.9999999999999996</v>
      </c>
      <c r="G1394" s="5">
        <v>847.44</v>
      </c>
      <c r="H1394">
        <v>0.17</v>
      </c>
      <c r="I1394" t="s">
        <v>1349</v>
      </c>
      <c r="J1394" s="5">
        <v>2110.1255999999998</v>
      </c>
    </row>
    <row r="1395" spans="1:10">
      <c r="A1395" t="s">
        <v>2744</v>
      </c>
      <c r="B1395" s="7">
        <v>45243</v>
      </c>
      <c r="C1395" t="s">
        <v>919</v>
      </c>
      <c r="D1395" t="s">
        <v>1074</v>
      </c>
      <c r="E1395" t="s">
        <v>1286</v>
      </c>
      <c r="F1395">
        <f>Table5[[#This Row],[Total_Amount]]/(G1395*(1-Table5[[#This Row],[Discount]]))</f>
        <v>0.99999999999999989</v>
      </c>
      <c r="G1395" s="5">
        <v>493.45</v>
      </c>
      <c r="H1395">
        <v>0.09</v>
      </c>
      <c r="I1395" t="s">
        <v>1349</v>
      </c>
      <c r="J1395" s="5">
        <v>449.03949999999998</v>
      </c>
    </row>
    <row r="1396" spans="1:10">
      <c r="A1396" t="s">
        <v>2745</v>
      </c>
      <c r="B1396" s="7">
        <v>45577</v>
      </c>
      <c r="C1396" t="s">
        <v>527</v>
      </c>
      <c r="D1396" t="s">
        <v>1197</v>
      </c>
      <c r="E1396" t="s">
        <v>1286</v>
      </c>
      <c r="F1396">
        <f>Table5[[#This Row],[Total_Amount]]/(G1396*(1-Table5[[#This Row],[Discount]]))</f>
        <v>4.0000000000000009</v>
      </c>
      <c r="G1396" s="5">
        <v>111.66</v>
      </c>
      <c r="H1396">
        <v>0.14000000000000001</v>
      </c>
      <c r="I1396" t="s">
        <v>1349</v>
      </c>
      <c r="J1396" s="5">
        <v>384.11040000000003</v>
      </c>
    </row>
    <row r="1397" spans="1:10">
      <c r="A1397" t="s">
        <v>2746</v>
      </c>
      <c r="B1397" s="7">
        <v>45343</v>
      </c>
      <c r="C1397" t="s">
        <v>620</v>
      </c>
      <c r="D1397" t="s">
        <v>1253</v>
      </c>
      <c r="E1397" t="s">
        <v>1317</v>
      </c>
      <c r="F1397">
        <f>Table5[[#This Row],[Total_Amount]]/(G1397*(1-Table5[[#This Row],[Discount]]))</f>
        <v>1.0000000000000002</v>
      </c>
      <c r="G1397" s="5">
        <v>413.65</v>
      </c>
      <c r="H1397">
        <v>0.1</v>
      </c>
      <c r="I1397" t="s">
        <v>1354</v>
      </c>
      <c r="J1397" s="5">
        <v>372.28500000000003</v>
      </c>
    </row>
    <row r="1398" spans="1:10">
      <c r="A1398" t="s">
        <v>2747</v>
      </c>
      <c r="B1398" s="7">
        <v>45744</v>
      </c>
      <c r="C1398" t="s">
        <v>1012</v>
      </c>
      <c r="D1398" t="s">
        <v>1251</v>
      </c>
      <c r="E1398" t="s">
        <v>1311</v>
      </c>
      <c r="F1398">
        <f>Table5[[#This Row],[Total_Amount]]/(G1398*(1-Table5[[#This Row],[Discount]]))</f>
        <v>1</v>
      </c>
      <c r="G1398" s="5">
        <v>317.14999999999998</v>
      </c>
      <c r="H1398">
        <v>0.24</v>
      </c>
      <c r="I1398" t="s">
        <v>1354</v>
      </c>
      <c r="J1398" s="5">
        <v>241.03399999999999</v>
      </c>
    </row>
    <row r="1399" spans="1:10">
      <c r="A1399" t="s">
        <v>2748</v>
      </c>
      <c r="B1399" s="7">
        <v>45873</v>
      </c>
      <c r="C1399" t="s">
        <v>781</v>
      </c>
      <c r="D1399" t="s">
        <v>1249</v>
      </c>
      <c r="E1399" t="s">
        <v>1282</v>
      </c>
      <c r="F1399">
        <f>Table5[[#This Row],[Total_Amount]]/(G1399*(1-Table5[[#This Row],[Discount]]))</f>
        <v>3</v>
      </c>
      <c r="G1399" s="5">
        <v>642.94000000000005</v>
      </c>
      <c r="H1399">
        <v>0.05</v>
      </c>
      <c r="I1399" t="s">
        <v>1354</v>
      </c>
      <c r="J1399" s="5">
        <v>1832.3789999999999</v>
      </c>
    </row>
    <row r="1400" spans="1:10">
      <c r="A1400" t="s">
        <v>2749</v>
      </c>
      <c r="B1400" s="7">
        <v>45601</v>
      </c>
      <c r="C1400" t="s">
        <v>327</v>
      </c>
      <c r="D1400" t="s">
        <v>1187</v>
      </c>
      <c r="E1400" t="s">
        <v>1314</v>
      </c>
      <c r="F1400">
        <f>Table5[[#This Row],[Total_Amount]]/(G1400*(1-Table5[[#This Row],[Discount]]))</f>
        <v>3.9999999999999996</v>
      </c>
      <c r="G1400" s="5">
        <v>559.59</v>
      </c>
      <c r="H1400">
        <v>0.19</v>
      </c>
      <c r="I1400" t="s">
        <v>1354</v>
      </c>
      <c r="J1400" s="5">
        <v>1813.0716</v>
      </c>
    </row>
    <row r="1401" spans="1:10">
      <c r="A1401" t="s">
        <v>2750</v>
      </c>
      <c r="B1401" s="7">
        <v>45458</v>
      </c>
      <c r="C1401" t="s">
        <v>288</v>
      </c>
      <c r="D1401" t="s">
        <v>1131</v>
      </c>
      <c r="E1401" t="s">
        <v>1335</v>
      </c>
      <c r="F1401">
        <f>Table5[[#This Row],[Total_Amount]]/(G1401*(1-Table5[[#This Row],[Discount]]))</f>
        <v>1</v>
      </c>
      <c r="G1401" s="5">
        <v>758.54</v>
      </c>
      <c r="H1401">
        <v>0.28999999999999998</v>
      </c>
      <c r="I1401" t="s">
        <v>1351</v>
      </c>
      <c r="J1401" s="5">
        <v>538.5634</v>
      </c>
    </row>
    <row r="1402" spans="1:10">
      <c r="A1402" t="s">
        <v>2751</v>
      </c>
      <c r="B1402" s="7">
        <v>45649</v>
      </c>
      <c r="C1402" t="s">
        <v>986</v>
      </c>
      <c r="D1402" t="s">
        <v>1233</v>
      </c>
      <c r="E1402" t="s">
        <v>1326</v>
      </c>
      <c r="F1402">
        <f>Table5[[#This Row],[Total_Amount]]/(G1402*(1-Table5[[#This Row],[Discount]]))</f>
        <v>3.9999999999999991</v>
      </c>
      <c r="G1402" s="5">
        <v>643.96</v>
      </c>
      <c r="H1402">
        <v>0.16</v>
      </c>
      <c r="I1402" t="s">
        <v>1351</v>
      </c>
      <c r="J1402" s="5">
        <v>2163.7055999999998</v>
      </c>
    </row>
    <row r="1403" spans="1:10">
      <c r="A1403" t="s">
        <v>2752</v>
      </c>
      <c r="B1403" s="7">
        <v>45653</v>
      </c>
      <c r="C1403" t="s">
        <v>549</v>
      </c>
      <c r="D1403" t="s">
        <v>1121</v>
      </c>
      <c r="E1403" t="s">
        <v>1311</v>
      </c>
      <c r="F1403">
        <f>Table5[[#This Row],[Total_Amount]]/(G1403*(1-Table5[[#This Row],[Discount]]))</f>
        <v>1</v>
      </c>
      <c r="G1403" s="5">
        <v>882.73</v>
      </c>
      <c r="H1403">
        <v>0.1</v>
      </c>
      <c r="I1403" t="s">
        <v>1349</v>
      </c>
      <c r="J1403" s="5">
        <v>794.45699999999999</v>
      </c>
    </row>
    <row r="1404" spans="1:10">
      <c r="A1404" t="s">
        <v>2753</v>
      </c>
      <c r="B1404" s="7">
        <v>45378</v>
      </c>
      <c r="C1404" t="s">
        <v>714</v>
      </c>
      <c r="D1404" t="s">
        <v>1255</v>
      </c>
      <c r="E1404" t="s">
        <v>1338</v>
      </c>
      <c r="F1404">
        <f>Table5[[#This Row],[Total_Amount]]/(G1404*(1-Table5[[#This Row],[Discount]]))</f>
        <v>2</v>
      </c>
      <c r="G1404" s="5">
        <v>600.03</v>
      </c>
      <c r="H1404">
        <v>0.26</v>
      </c>
      <c r="I1404" t="s">
        <v>1351</v>
      </c>
      <c r="J1404" s="5">
        <v>888.0444</v>
      </c>
    </row>
    <row r="1405" spans="1:10">
      <c r="A1405" t="s">
        <v>2754</v>
      </c>
      <c r="B1405" s="7">
        <v>45638</v>
      </c>
      <c r="C1405" t="s">
        <v>375</v>
      </c>
      <c r="D1405" t="s">
        <v>1181</v>
      </c>
      <c r="E1405" t="s">
        <v>1298</v>
      </c>
      <c r="F1405">
        <f>Table5[[#This Row],[Total_Amount]]/(G1405*(1-Table5[[#This Row],[Discount]]))</f>
        <v>2</v>
      </c>
      <c r="G1405" s="5">
        <v>628.83000000000004</v>
      </c>
      <c r="H1405">
        <v>7.0000000000000007E-2</v>
      </c>
      <c r="I1405" t="s">
        <v>1351</v>
      </c>
      <c r="J1405" s="5">
        <v>1169.6238000000001</v>
      </c>
    </row>
    <row r="1406" spans="1:10">
      <c r="A1406" t="s">
        <v>2755</v>
      </c>
      <c r="B1406" s="7">
        <v>45277</v>
      </c>
      <c r="C1406" t="s">
        <v>411</v>
      </c>
      <c r="D1406" t="s">
        <v>1235</v>
      </c>
      <c r="E1406" t="s">
        <v>1311</v>
      </c>
      <c r="F1406">
        <f>Table5[[#This Row],[Total_Amount]]/(G1406*(1-Table5[[#This Row],[Discount]]))</f>
        <v>2.9999999999999996</v>
      </c>
      <c r="G1406" s="5">
        <v>113.87</v>
      </c>
      <c r="H1406">
        <v>0.21</v>
      </c>
      <c r="I1406" t="s">
        <v>1354</v>
      </c>
      <c r="J1406" s="5">
        <v>269.87189999999998</v>
      </c>
    </row>
    <row r="1407" spans="1:10">
      <c r="A1407" t="s">
        <v>2756</v>
      </c>
      <c r="B1407" s="7">
        <v>45351</v>
      </c>
      <c r="C1407" t="s">
        <v>899</v>
      </c>
      <c r="D1407" t="s">
        <v>1217</v>
      </c>
      <c r="E1407" t="s">
        <v>1304</v>
      </c>
      <c r="F1407">
        <f>Table5[[#This Row],[Total_Amount]]/(G1407*(1-Table5[[#This Row],[Discount]]))</f>
        <v>4</v>
      </c>
      <c r="G1407" s="5">
        <v>282.07</v>
      </c>
      <c r="H1407">
        <v>0.18</v>
      </c>
      <c r="I1407" t="s">
        <v>1351</v>
      </c>
      <c r="J1407" s="5">
        <v>925.18960000000004</v>
      </c>
    </row>
    <row r="1408" spans="1:10">
      <c r="A1408" t="s">
        <v>2757</v>
      </c>
      <c r="B1408" s="7">
        <v>45290</v>
      </c>
      <c r="C1408" t="s">
        <v>373</v>
      </c>
      <c r="D1408" t="s">
        <v>1181</v>
      </c>
      <c r="E1408" t="s">
        <v>1301</v>
      </c>
      <c r="F1408">
        <f>Table5[[#This Row],[Total_Amount]]/(G1408*(1-Table5[[#This Row],[Discount]]))</f>
        <v>3.0000000000000004</v>
      </c>
      <c r="G1408" s="5">
        <v>676.77</v>
      </c>
      <c r="H1408">
        <v>0.17</v>
      </c>
      <c r="I1408" t="s">
        <v>1351</v>
      </c>
      <c r="J1408" s="5">
        <v>1685.1573000000001</v>
      </c>
    </row>
    <row r="1409" spans="1:10">
      <c r="A1409" t="s">
        <v>2758</v>
      </c>
      <c r="B1409" s="7">
        <v>45638</v>
      </c>
      <c r="C1409" t="s">
        <v>502</v>
      </c>
      <c r="D1409" t="s">
        <v>1085</v>
      </c>
      <c r="E1409" t="s">
        <v>1329</v>
      </c>
      <c r="F1409">
        <f>Table5[[#This Row],[Total_Amount]]/(G1409*(1-Table5[[#This Row],[Discount]]))</f>
        <v>2</v>
      </c>
      <c r="G1409" s="5">
        <v>362.7</v>
      </c>
      <c r="H1409">
        <v>0.09</v>
      </c>
      <c r="I1409" t="s">
        <v>1349</v>
      </c>
      <c r="J1409" s="5">
        <v>660.11400000000003</v>
      </c>
    </row>
    <row r="1410" spans="1:10">
      <c r="A1410" t="s">
        <v>2759</v>
      </c>
      <c r="B1410" s="7">
        <v>45679</v>
      </c>
      <c r="C1410" t="s">
        <v>331</v>
      </c>
      <c r="D1410" t="s">
        <v>1099</v>
      </c>
      <c r="E1410" t="s">
        <v>1286</v>
      </c>
      <c r="F1410">
        <f>Table5[[#This Row],[Total_Amount]]/(G1410*(1-Table5[[#This Row],[Discount]]))</f>
        <v>1</v>
      </c>
      <c r="G1410" s="5">
        <v>908.5</v>
      </c>
      <c r="H1410">
        <v>0.2</v>
      </c>
      <c r="I1410" t="s">
        <v>1354</v>
      </c>
      <c r="J1410" s="5">
        <v>726.80000000000007</v>
      </c>
    </row>
    <row r="1411" spans="1:10">
      <c r="A1411" t="s">
        <v>2760</v>
      </c>
      <c r="B1411" s="7">
        <v>45296</v>
      </c>
      <c r="C1411" t="s">
        <v>182</v>
      </c>
      <c r="D1411" t="s">
        <v>1123</v>
      </c>
      <c r="E1411" t="s">
        <v>1326</v>
      </c>
      <c r="F1411">
        <f>Table5[[#This Row],[Total_Amount]]/(G1411*(1-Table5[[#This Row],[Discount]]))</f>
        <v>2</v>
      </c>
      <c r="G1411" s="5">
        <v>795.37</v>
      </c>
      <c r="H1411">
        <v>0.2</v>
      </c>
      <c r="I1411" t="s">
        <v>1354</v>
      </c>
      <c r="J1411" s="5">
        <v>1272.5920000000001</v>
      </c>
    </row>
    <row r="1412" spans="1:10">
      <c r="A1412" t="s">
        <v>2761</v>
      </c>
      <c r="B1412" s="7">
        <v>45760</v>
      </c>
      <c r="C1412" t="s">
        <v>349</v>
      </c>
      <c r="D1412" t="s">
        <v>1143</v>
      </c>
      <c r="E1412" t="s">
        <v>1294</v>
      </c>
      <c r="F1412">
        <f>Table5[[#This Row],[Total_Amount]]/(G1412*(1-Table5[[#This Row],[Discount]]))</f>
        <v>2</v>
      </c>
      <c r="G1412" s="5">
        <v>326.85000000000002</v>
      </c>
      <c r="H1412">
        <v>0.17</v>
      </c>
      <c r="I1412" t="s">
        <v>1354</v>
      </c>
      <c r="J1412" s="5">
        <v>542.57100000000003</v>
      </c>
    </row>
    <row r="1413" spans="1:10">
      <c r="A1413" t="s">
        <v>2762</v>
      </c>
      <c r="B1413" s="7">
        <v>45603</v>
      </c>
      <c r="C1413" t="s">
        <v>764</v>
      </c>
      <c r="D1413" t="s">
        <v>1185</v>
      </c>
      <c r="E1413" t="s">
        <v>1324</v>
      </c>
      <c r="F1413">
        <f>Table5[[#This Row],[Total_Amount]]/(G1413*(1-Table5[[#This Row],[Discount]]))</f>
        <v>3.0000000000000004</v>
      </c>
      <c r="G1413" s="5">
        <v>169.43</v>
      </c>
      <c r="H1413">
        <v>0.19</v>
      </c>
      <c r="I1413" t="s">
        <v>1349</v>
      </c>
      <c r="J1413" s="5">
        <v>411.71490000000011</v>
      </c>
    </row>
    <row r="1414" spans="1:10">
      <c r="A1414" t="s">
        <v>2763</v>
      </c>
      <c r="B1414" s="7">
        <v>45413</v>
      </c>
      <c r="C1414" t="s">
        <v>387</v>
      </c>
      <c r="D1414" t="s">
        <v>1239</v>
      </c>
      <c r="E1414" t="s">
        <v>1301</v>
      </c>
      <c r="F1414">
        <f>Table5[[#This Row],[Total_Amount]]/(G1414*(1-Table5[[#This Row],[Discount]]))</f>
        <v>1</v>
      </c>
      <c r="G1414" s="5">
        <v>254.47</v>
      </c>
      <c r="H1414">
        <v>0.1</v>
      </c>
      <c r="I1414" t="s">
        <v>1349</v>
      </c>
      <c r="J1414" s="5">
        <v>229.023</v>
      </c>
    </row>
    <row r="1415" spans="1:10">
      <c r="A1415" t="s">
        <v>2764</v>
      </c>
      <c r="B1415" s="7">
        <v>45506</v>
      </c>
      <c r="C1415" t="s">
        <v>899</v>
      </c>
      <c r="D1415" t="s">
        <v>1123</v>
      </c>
      <c r="E1415" t="s">
        <v>1329</v>
      </c>
      <c r="F1415">
        <f>Table5[[#This Row],[Total_Amount]]/(G1415*(1-Table5[[#This Row],[Discount]]))</f>
        <v>4</v>
      </c>
      <c r="G1415" s="5">
        <v>627.73</v>
      </c>
      <c r="H1415">
        <v>0.11</v>
      </c>
      <c r="I1415" t="s">
        <v>1354</v>
      </c>
      <c r="J1415" s="5">
        <v>2234.7188000000001</v>
      </c>
    </row>
    <row r="1416" spans="1:10">
      <c r="A1416" t="s">
        <v>2765</v>
      </c>
      <c r="B1416" s="7">
        <v>45394</v>
      </c>
      <c r="C1416" t="s">
        <v>805</v>
      </c>
      <c r="D1416" t="s">
        <v>1135</v>
      </c>
      <c r="E1416" t="s">
        <v>1338</v>
      </c>
      <c r="F1416">
        <f>Table5[[#This Row],[Total_Amount]]/(G1416*(1-Table5[[#This Row],[Discount]]))</f>
        <v>4</v>
      </c>
      <c r="G1416" s="5">
        <v>327.25</v>
      </c>
      <c r="H1416">
        <v>0.13</v>
      </c>
      <c r="I1416" t="s">
        <v>1354</v>
      </c>
      <c r="J1416" s="5">
        <v>1138.83</v>
      </c>
    </row>
    <row r="1417" spans="1:10">
      <c r="A1417" t="s">
        <v>2766</v>
      </c>
      <c r="B1417" s="7">
        <v>45755</v>
      </c>
      <c r="C1417" t="s">
        <v>351</v>
      </c>
      <c r="D1417" t="s">
        <v>1191</v>
      </c>
      <c r="E1417" t="s">
        <v>1317</v>
      </c>
      <c r="F1417">
        <f>Table5[[#This Row],[Total_Amount]]/(G1417*(1-Table5[[#This Row],[Discount]]))</f>
        <v>3.9999999999999996</v>
      </c>
      <c r="G1417" s="5">
        <v>511.43</v>
      </c>
      <c r="H1417">
        <v>0.18</v>
      </c>
      <c r="I1417" t="s">
        <v>1354</v>
      </c>
      <c r="J1417" s="5">
        <v>1677.4903999999999</v>
      </c>
    </row>
    <row r="1418" spans="1:10">
      <c r="A1418" t="s">
        <v>2767</v>
      </c>
      <c r="B1418" s="7">
        <v>45473</v>
      </c>
      <c r="C1418" t="s">
        <v>391</v>
      </c>
      <c r="D1418" t="s">
        <v>1199</v>
      </c>
      <c r="E1418" t="s">
        <v>1332</v>
      </c>
      <c r="F1418">
        <f>Table5[[#This Row],[Total_Amount]]/(G1418*(1-Table5[[#This Row],[Discount]]))</f>
        <v>4</v>
      </c>
      <c r="G1418" s="5">
        <v>194.67</v>
      </c>
      <c r="H1418">
        <v>0.23</v>
      </c>
      <c r="I1418" t="s">
        <v>1351</v>
      </c>
      <c r="J1418" s="5">
        <v>599.58359999999993</v>
      </c>
    </row>
    <row r="1419" spans="1:10">
      <c r="A1419" t="s">
        <v>2768</v>
      </c>
      <c r="B1419" s="7">
        <v>45304</v>
      </c>
      <c r="C1419" t="s">
        <v>164</v>
      </c>
      <c r="D1419" t="s">
        <v>1119</v>
      </c>
      <c r="E1419" t="s">
        <v>1282</v>
      </c>
      <c r="F1419">
        <f>Table5[[#This Row],[Total_Amount]]/(G1419*(1-Table5[[#This Row],[Discount]]))</f>
        <v>2.0000000000000004</v>
      </c>
      <c r="G1419" s="5">
        <v>54.51</v>
      </c>
      <c r="H1419">
        <v>7.0000000000000007E-2</v>
      </c>
      <c r="I1419" t="s">
        <v>1349</v>
      </c>
      <c r="J1419" s="5">
        <v>101.3886</v>
      </c>
    </row>
    <row r="1420" spans="1:10">
      <c r="A1420" t="s">
        <v>2769</v>
      </c>
      <c r="B1420" s="7">
        <v>45557</v>
      </c>
      <c r="C1420" t="s">
        <v>204</v>
      </c>
      <c r="D1420" t="s">
        <v>1197</v>
      </c>
      <c r="E1420" t="s">
        <v>1317</v>
      </c>
      <c r="F1420">
        <f>Table5[[#This Row],[Total_Amount]]/(G1420*(1-Table5[[#This Row],[Discount]]))</f>
        <v>4</v>
      </c>
      <c r="G1420" s="5">
        <v>964</v>
      </c>
      <c r="H1420">
        <v>0.14000000000000001</v>
      </c>
      <c r="I1420" t="s">
        <v>1351</v>
      </c>
      <c r="J1420" s="5">
        <v>3316.16</v>
      </c>
    </row>
    <row r="1421" spans="1:10">
      <c r="A1421" t="s">
        <v>2770</v>
      </c>
      <c r="B1421" s="7">
        <v>45527</v>
      </c>
      <c r="C1421" t="s">
        <v>118</v>
      </c>
      <c r="D1421" t="s">
        <v>1251</v>
      </c>
      <c r="E1421" t="s">
        <v>1294</v>
      </c>
      <c r="F1421">
        <f>Table5[[#This Row],[Total_Amount]]/(G1421*(1-Table5[[#This Row],[Discount]]))</f>
        <v>1</v>
      </c>
      <c r="G1421" s="5">
        <v>170.12</v>
      </c>
      <c r="H1421">
        <v>0.26</v>
      </c>
      <c r="I1421" t="s">
        <v>1351</v>
      </c>
      <c r="J1421" s="5">
        <v>125.8888</v>
      </c>
    </row>
    <row r="1422" spans="1:10">
      <c r="A1422" t="s">
        <v>2771</v>
      </c>
      <c r="B1422" s="7">
        <v>45875</v>
      </c>
      <c r="C1422" t="s">
        <v>365</v>
      </c>
      <c r="D1422" t="s">
        <v>1179</v>
      </c>
      <c r="E1422" t="s">
        <v>1338</v>
      </c>
      <c r="F1422">
        <f>Table5[[#This Row],[Total_Amount]]/(G1422*(1-Table5[[#This Row],[Discount]]))</f>
        <v>2</v>
      </c>
      <c r="G1422" s="5">
        <v>664.5</v>
      </c>
      <c r="H1422">
        <v>0.23</v>
      </c>
      <c r="I1422" t="s">
        <v>1349</v>
      </c>
      <c r="J1422" s="5">
        <v>1023.33</v>
      </c>
    </row>
    <row r="1423" spans="1:10">
      <c r="A1423" t="s">
        <v>2772</v>
      </c>
      <c r="B1423" s="7">
        <v>45936</v>
      </c>
      <c r="C1423" t="s">
        <v>805</v>
      </c>
      <c r="D1423" t="s">
        <v>1163</v>
      </c>
      <c r="E1423" t="s">
        <v>1314</v>
      </c>
      <c r="F1423">
        <f>Table5[[#This Row],[Total_Amount]]/(G1423*(1-Table5[[#This Row],[Discount]]))</f>
        <v>4</v>
      </c>
      <c r="G1423" s="5">
        <v>557.51</v>
      </c>
      <c r="H1423">
        <v>0.11</v>
      </c>
      <c r="I1423" t="s">
        <v>1349</v>
      </c>
      <c r="J1423" s="5">
        <v>1984.7356</v>
      </c>
    </row>
    <row r="1424" spans="1:10">
      <c r="A1424" t="s">
        <v>2773</v>
      </c>
      <c r="B1424" s="7">
        <v>45807</v>
      </c>
      <c r="C1424" t="s">
        <v>857</v>
      </c>
      <c r="D1424" t="s">
        <v>1253</v>
      </c>
      <c r="E1424" t="s">
        <v>1282</v>
      </c>
      <c r="F1424">
        <f>Table5[[#This Row],[Total_Amount]]/(G1424*(1-Table5[[#This Row],[Discount]]))</f>
        <v>2</v>
      </c>
      <c r="G1424" s="5">
        <v>410</v>
      </c>
      <c r="H1424">
        <v>0.13</v>
      </c>
      <c r="I1424" t="s">
        <v>1354</v>
      </c>
      <c r="J1424" s="5">
        <v>713.4</v>
      </c>
    </row>
    <row r="1425" spans="1:10">
      <c r="A1425" t="s">
        <v>2774</v>
      </c>
      <c r="B1425" s="7">
        <v>45473</v>
      </c>
      <c r="C1425" t="s">
        <v>676</v>
      </c>
      <c r="D1425" t="s">
        <v>1239</v>
      </c>
      <c r="E1425" t="s">
        <v>1298</v>
      </c>
      <c r="F1425">
        <f>Table5[[#This Row],[Total_Amount]]/(G1425*(1-Table5[[#This Row],[Discount]]))</f>
        <v>2.0000000000000004</v>
      </c>
      <c r="G1425" s="5">
        <v>879.93</v>
      </c>
      <c r="H1425">
        <v>0.28999999999999998</v>
      </c>
      <c r="I1425" t="s">
        <v>1354</v>
      </c>
      <c r="J1425" s="5">
        <v>1249.5006000000001</v>
      </c>
    </row>
    <row r="1426" spans="1:10">
      <c r="A1426" t="s">
        <v>2775</v>
      </c>
      <c r="B1426" s="7">
        <v>45664</v>
      </c>
      <c r="C1426" t="s">
        <v>33</v>
      </c>
      <c r="D1426" t="s">
        <v>1099</v>
      </c>
      <c r="E1426" t="s">
        <v>1335</v>
      </c>
      <c r="F1426">
        <f>Table5[[#This Row],[Total_Amount]]/(G1426*(1-Table5[[#This Row],[Discount]]))</f>
        <v>1</v>
      </c>
      <c r="G1426" s="5">
        <v>350.58</v>
      </c>
      <c r="H1426">
        <v>0.03</v>
      </c>
      <c r="I1426" t="s">
        <v>1354</v>
      </c>
      <c r="J1426" s="5">
        <v>340.06259999999997</v>
      </c>
    </row>
    <row r="1427" spans="1:10">
      <c r="A1427" t="s">
        <v>2776</v>
      </c>
      <c r="B1427" s="7">
        <v>45633</v>
      </c>
      <c r="C1427" t="s">
        <v>764</v>
      </c>
      <c r="D1427" t="s">
        <v>1189</v>
      </c>
      <c r="E1427" t="s">
        <v>1291</v>
      </c>
      <c r="F1427">
        <v>4</v>
      </c>
      <c r="G1427" s="5">
        <v>348.58</v>
      </c>
      <c r="H1427">
        <v>0.16</v>
      </c>
      <c r="I1427" t="s">
        <v>1349</v>
      </c>
      <c r="J1427" s="5">
        <v>1171.2288000000001</v>
      </c>
    </row>
    <row r="1428" spans="1:10">
      <c r="A1428" t="s">
        <v>2777</v>
      </c>
      <c r="B1428" s="7">
        <v>45548</v>
      </c>
      <c r="C1428" t="s">
        <v>981</v>
      </c>
      <c r="D1428" t="s">
        <v>1123</v>
      </c>
      <c r="E1428" t="s">
        <v>1291</v>
      </c>
      <c r="F1428">
        <v>3</v>
      </c>
      <c r="G1428" s="5">
        <v>247.66</v>
      </c>
      <c r="H1428">
        <v>0.02</v>
      </c>
      <c r="I1428" t="s">
        <v>1354</v>
      </c>
      <c r="J1428" s="5">
        <v>728.12040000000002</v>
      </c>
    </row>
    <row r="1429" spans="1:10">
      <c r="A1429" t="s">
        <v>2778</v>
      </c>
      <c r="B1429" s="7">
        <v>45244</v>
      </c>
      <c r="C1429" t="s">
        <v>839</v>
      </c>
      <c r="D1429" t="s">
        <v>1151</v>
      </c>
      <c r="E1429" t="s">
        <v>1326</v>
      </c>
      <c r="F1429">
        <v>3</v>
      </c>
      <c r="G1429" s="5">
        <v>836.27</v>
      </c>
      <c r="H1429">
        <v>0.16</v>
      </c>
      <c r="I1429" t="s">
        <v>1349</v>
      </c>
      <c r="J1429" s="5">
        <v>2107.4004</v>
      </c>
    </row>
    <row r="1430" spans="1:10">
      <c r="A1430" t="s">
        <v>2779</v>
      </c>
      <c r="B1430" s="7">
        <v>45753</v>
      </c>
      <c r="C1430" t="s">
        <v>452</v>
      </c>
      <c r="D1430" t="s">
        <v>1101</v>
      </c>
      <c r="E1430" t="s">
        <v>1314</v>
      </c>
      <c r="F1430">
        <v>3</v>
      </c>
      <c r="G1430" s="5">
        <v>696.74</v>
      </c>
      <c r="H1430">
        <v>0.13</v>
      </c>
      <c r="I1430" t="s">
        <v>1354</v>
      </c>
      <c r="J1430" s="5">
        <v>1818.4914000000001</v>
      </c>
    </row>
    <row r="1431" spans="1:10">
      <c r="A1431" t="s">
        <v>2780</v>
      </c>
      <c r="B1431" s="7">
        <v>45804</v>
      </c>
      <c r="C1431" t="s">
        <v>553</v>
      </c>
      <c r="D1431" t="s">
        <v>1261</v>
      </c>
      <c r="E1431" t="s">
        <v>1322</v>
      </c>
      <c r="F1431">
        <v>2</v>
      </c>
      <c r="G1431" s="5">
        <v>822.59</v>
      </c>
      <c r="H1431">
        <v>0.22</v>
      </c>
      <c r="I1431" t="s">
        <v>1351</v>
      </c>
      <c r="J1431" s="5">
        <v>1283.2403999999999</v>
      </c>
    </row>
    <row r="1432" spans="1:10">
      <c r="A1432" t="s">
        <v>2781</v>
      </c>
      <c r="B1432" s="7">
        <v>45263</v>
      </c>
      <c r="C1432" t="s">
        <v>507</v>
      </c>
      <c r="D1432" t="s">
        <v>1231</v>
      </c>
      <c r="E1432" t="s">
        <v>1286</v>
      </c>
      <c r="F1432">
        <v>1</v>
      </c>
      <c r="G1432" s="5">
        <v>462.23</v>
      </c>
      <c r="H1432">
        <v>0.3</v>
      </c>
      <c r="I1432" t="s">
        <v>1351</v>
      </c>
      <c r="J1432" s="5">
        <v>323.56099999999998</v>
      </c>
    </row>
    <row r="1433" spans="1:10">
      <c r="A1433" t="s">
        <v>2782</v>
      </c>
      <c r="B1433" s="7">
        <v>45906</v>
      </c>
      <c r="C1433" t="s">
        <v>957</v>
      </c>
      <c r="D1433" t="s">
        <v>1157</v>
      </c>
      <c r="E1433" t="s">
        <v>1332</v>
      </c>
      <c r="F1433">
        <v>1</v>
      </c>
      <c r="G1433" s="5">
        <v>361.09</v>
      </c>
      <c r="H1433">
        <v>0.06</v>
      </c>
      <c r="I1433" t="s">
        <v>1351</v>
      </c>
      <c r="J1433" s="5">
        <v>339.42459999999988</v>
      </c>
    </row>
    <row r="1434" spans="1:10">
      <c r="A1434" t="s">
        <v>2783</v>
      </c>
      <c r="B1434" s="7">
        <v>45243</v>
      </c>
      <c r="C1434" t="s">
        <v>829</v>
      </c>
      <c r="D1434" t="s">
        <v>1219</v>
      </c>
      <c r="E1434" t="s">
        <v>1338</v>
      </c>
      <c r="F1434">
        <v>3</v>
      </c>
      <c r="G1434" s="5">
        <v>59.37</v>
      </c>
      <c r="H1434">
        <v>0.03</v>
      </c>
      <c r="I1434" t="s">
        <v>1351</v>
      </c>
      <c r="J1434" s="5">
        <v>172.76669999999999</v>
      </c>
    </row>
    <row r="1435" spans="1:10">
      <c r="A1435" t="s">
        <v>2784</v>
      </c>
      <c r="B1435" s="7">
        <v>45686</v>
      </c>
      <c r="C1435" t="s">
        <v>109</v>
      </c>
      <c r="D1435" t="s">
        <v>1153</v>
      </c>
      <c r="E1435" t="s">
        <v>1282</v>
      </c>
      <c r="F1435">
        <v>3</v>
      </c>
      <c r="G1435" s="5">
        <v>765.21</v>
      </c>
      <c r="H1435">
        <v>0.14000000000000001</v>
      </c>
      <c r="I1435" t="s">
        <v>1354</v>
      </c>
      <c r="J1435" s="5">
        <v>1974.2418</v>
      </c>
    </row>
    <row r="1436" spans="1:10">
      <c r="A1436" t="s">
        <v>2785</v>
      </c>
      <c r="B1436" s="7">
        <v>45472</v>
      </c>
      <c r="C1436" t="s">
        <v>549</v>
      </c>
      <c r="D1436" t="s">
        <v>1137</v>
      </c>
      <c r="E1436" t="s">
        <v>1319</v>
      </c>
      <c r="F1436">
        <v>4</v>
      </c>
      <c r="G1436" s="5">
        <v>303.56</v>
      </c>
      <c r="H1436">
        <v>0.2</v>
      </c>
      <c r="I1436" t="s">
        <v>1354</v>
      </c>
      <c r="J1436" s="5">
        <v>971.39200000000005</v>
      </c>
    </row>
    <row r="1437" spans="1:10">
      <c r="A1437" t="s">
        <v>2786</v>
      </c>
      <c r="B1437" s="7">
        <v>45779</v>
      </c>
      <c r="C1437" t="s">
        <v>949</v>
      </c>
      <c r="D1437" t="s">
        <v>1127</v>
      </c>
      <c r="E1437" t="s">
        <v>1277</v>
      </c>
      <c r="F1437">
        <v>1</v>
      </c>
      <c r="G1437" s="5">
        <v>640.92999999999995</v>
      </c>
      <c r="H1437">
        <v>0.19</v>
      </c>
      <c r="I1437" t="s">
        <v>1351</v>
      </c>
      <c r="J1437" s="5">
        <v>519.15329999999994</v>
      </c>
    </row>
    <row r="1438" spans="1:10">
      <c r="A1438" t="s">
        <v>2787</v>
      </c>
      <c r="B1438" s="7">
        <v>45830</v>
      </c>
      <c r="C1438" t="s">
        <v>409</v>
      </c>
      <c r="D1438" t="s">
        <v>1245</v>
      </c>
      <c r="E1438" t="s">
        <v>1314</v>
      </c>
      <c r="F1438">
        <v>2</v>
      </c>
      <c r="G1438" s="5">
        <v>611.25</v>
      </c>
      <c r="H1438">
        <v>0.22</v>
      </c>
      <c r="I1438" t="s">
        <v>1349</v>
      </c>
      <c r="J1438" s="5">
        <v>953.55000000000007</v>
      </c>
    </row>
    <row r="1439" spans="1:10">
      <c r="A1439" t="s">
        <v>2788</v>
      </c>
      <c r="B1439" s="7">
        <v>45756</v>
      </c>
      <c r="C1439" t="s">
        <v>984</v>
      </c>
      <c r="D1439" t="s">
        <v>1205</v>
      </c>
      <c r="E1439" t="s">
        <v>1282</v>
      </c>
      <c r="F1439">
        <v>1</v>
      </c>
      <c r="G1439" s="5">
        <v>209.93</v>
      </c>
      <c r="H1439">
        <v>0.21</v>
      </c>
      <c r="I1439" t="s">
        <v>1349</v>
      </c>
      <c r="J1439" s="5">
        <v>165.84469999999999</v>
      </c>
    </row>
    <row r="1440" spans="1:10">
      <c r="A1440" t="s">
        <v>2789</v>
      </c>
      <c r="B1440" s="7">
        <v>45847</v>
      </c>
      <c r="C1440" t="s">
        <v>279</v>
      </c>
      <c r="D1440" t="s">
        <v>1271</v>
      </c>
      <c r="E1440" t="s">
        <v>1314</v>
      </c>
      <c r="F1440">
        <v>3</v>
      </c>
      <c r="G1440" s="5">
        <v>130.38999999999999</v>
      </c>
      <c r="H1440">
        <v>0.24</v>
      </c>
      <c r="I1440" t="s">
        <v>1351</v>
      </c>
      <c r="J1440" s="5">
        <v>297.28919999999999</v>
      </c>
    </row>
    <row r="1441" spans="1:10">
      <c r="A1441" t="s">
        <v>2790</v>
      </c>
      <c r="B1441" s="7">
        <v>45322</v>
      </c>
      <c r="C1441" t="s">
        <v>646</v>
      </c>
      <c r="D1441" t="s">
        <v>1259</v>
      </c>
      <c r="E1441" t="s">
        <v>1304</v>
      </c>
      <c r="F1441">
        <v>2</v>
      </c>
      <c r="G1441" s="5">
        <v>846.18</v>
      </c>
      <c r="H1441">
        <v>0.1</v>
      </c>
      <c r="I1441" t="s">
        <v>1354</v>
      </c>
      <c r="J1441" s="5">
        <v>1523.124</v>
      </c>
    </row>
    <row r="1442" spans="1:10">
      <c r="A1442" t="s">
        <v>2791</v>
      </c>
      <c r="B1442" s="7">
        <v>45829</v>
      </c>
      <c r="C1442" t="s">
        <v>771</v>
      </c>
      <c r="D1442" t="s">
        <v>1213</v>
      </c>
      <c r="E1442" t="s">
        <v>1324</v>
      </c>
      <c r="F1442">
        <v>2</v>
      </c>
      <c r="G1442" s="5">
        <v>424.53</v>
      </c>
      <c r="H1442">
        <v>0.14000000000000001</v>
      </c>
      <c r="I1442" t="s">
        <v>1354</v>
      </c>
      <c r="J1442" s="5">
        <v>730.19159999999999</v>
      </c>
    </row>
    <row r="1443" spans="1:10">
      <c r="A1443" t="s">
        <v>2792</v>
      </c>
      <c r="B1443" s="7">
        <v>45539</v>
      </c>
      <c r="C1443" t="s">
        <v>579</v>
      </c>
      <c r="D1443" t="s">
        <v>1249</v>
      </c>
      <c r="E1443" t="s">
        <v>1324</v>
      </c>
      <c r="F1443">
        <v>4</v>
      </c>
      <c r="G1443" s="5">
        <v>450.42</v>
      </c>
      <c r="H1443">
        <v>0.08</v>
      </c>
      <c r="I1443" t="s">
        <v>1354</v>
      </c>
      <c r="J1443" s="5">
        <v>1657.5455999999999</v>
      </c>
    </row>
    <row r="1444" spans="1:10">
      <c r="A1444" t="s">
        <v>2793</v>
      </c>
      <c r="B1444" s="7">
        <v>45893</v>
      </c>
      <c r="C1444" t="s">
        <v>373</v>
      </c>
      <c r="D1444" t="s">
        <v>1125</v>
      </c>
      <c r="E1444" t="s">
        <v>1311</v>
      </c>
      <c r="F1444">
        <v>4</v>
      </c>
      <c r="G1444" s="5">
        <v>896.91</v>
      </c>
      <c r="H1444">
        <v>0.1</v>
      </c>
      <c r="I1444" t="s">
        <v>1349</v>
      </c>
      <c r="J1444" s="5">
        <v>3228.8760000000002</v>
      </c>
    </row>
    <row r="1445" spans="1:10">
      <c r="A1445" t="s">
        <v>2794</v>
      </c>
      <c r="B1445" s="7">
        <v>45814</v>
      </c>
      <c r="C1445" t="s">
        <v>1031</v>
      </c>
      <c r="D1445" t="s">
        <v>1267</v>
      </c>
      <c r="E1445" t="s">
        <v>1314</v>
      </c>
      <c r="F1445">
        <v>3</v>
      </c>
      <c r="G1445" s="5">
        <v>679.38</v>
      </c>
      <c r="H1445">
        <v>0.3</v>
      </c>
      <c r="I1445" t="s">
        <v>1354</v>
      </c>
      <c r="J1445" s="5">
        <v>1426.6980000000001</v>
      </c>
    </row>
    <row r="1446" spans="1:10">
      <c r="A1446" t="s">
        <v>2795</v>
      </c>
      <c r="B1446" s="7">
        <v>45571</v>
      </c>
      <c r="C1446" t="s">
        <v>59</v>
      </c>
      <c r="D1446" t="s">
        <v>1233</v>
      </c>
      <c r="E1446" t="s">
        <v>1329</v>
      </c>
      <c r="F1446">
        <v>3</v>
      </c>
      <c r="G1446" s="5">
        <v>483.63</v>
      </c>
      <c r="H1446">
        <v>0</v>
      </c>
      <c r="I1446" t="s">
        <v>1349</v>
      </c>
      <c r="J1446" s="5">
        <v>1450.89</v>
      </c>
    </row>
    <row r="1447" spans="1:10">
      <c r="A1447" t="s">
        <v>2796</v>
      </c>
      <c r="B1447" s="7">
        <v>45542</v>
      </c>
      <c r="C1447" t="s">
        <v>94</v>
      </c>
      <c r="D1447" t="s">
        <v>1151</v>
      </c>
      <c r="E1447" t="s">
        <v>1277</v>
      </c>
      <c r="F1447">
        <v>3</v>
      </c>
      <c r="G1447" s="5">
        <v>158.27000000000001</v>
      </c>
      <c r="H1447">
        <v>0.24</v>
      </c>
      <c r="I1447" t="s">
        <v>1354</v>
      </c>
      <c r="J1447" s="5">
        <v>360.85559999999998</v>
      </c>
    </row>
    <row r="1448" spans="1:10">
      <c r="A1448" t="s">
        <v>2797</v>
      </c>
      <c r="B1448" s="7">
        <v>45758</v>
      </c>
      <c r="C1448" t="s">
        <v>290</v>
      </c>
      <c r="D1448" t="s">
        <v>1074</v>
      </c>
      <c r="E1448" t="s">
        <v>1326</v>
      </c>
      <c r="F1448">
        <v>4</v>
      </c>
      <c r="G1448" s="5">
        <v>601.5</v>
      </c>
      <c r="H1448">
        <v>0.18</v>
      </c>
      <c r="I1448" t="s">
        <v>1349</v>
      </c>
      <c r="J1448" s="5">
        <v>1972.92</v>
      </c>
    </row>
    <row r="1449" spans="1:10">
      <c r="A1449" t="s">
        <v>2798</v>
      </c>
      <c r="B1449" s="7">
        <v>45709</v>
      </c>
      <c r="C1449" t="s">
        <v>188</v>
      </c>
      <c r="D1449" t="s">
        <v>1135</v>
      </c>
      <c r="E1449" t="s">
        <v>1335</v>
      </c>
      <c r="F1449">
        <v>2</v>
      </c>
      <c r="G1449" s="5">
        <v>46.39</v>
      </c>
      <c r="H1449">
        <v>7.0000000000000007E-2</v>
      </c>
      <c r="I1449" t="s">
        <v>1349</v>
      </c>
      <c r="J1449" s="5">
        <v>86.285399999999996</v>
      </c>
    </row>
    <row r="1450" spans="1:10">
      <c r="A1450" t="s">
        <v>2799</v>
      </c>
      <c r="B1450" s="7">
        <v>45587</v>
      </c>
      <c r="C1450" t="s">
        <v>298</v>
      </c>
      <c r="D1450" t="s">
        <v>1237</v>
      </c>
      <c r="E1450" t="s">
        <v>1307</v>
      </c>
      <c r="F1450">
        <v>4</v>
      </c>
      <c r="G1450" s="5">
        <v>892.28</v>
      </c>
      <c r="H1450">
        <v>0.23</v>
      </c>
      <c r="I1450" t="s">
        <v>1349</v>
      </c>
      <c r="J1450" s="5">
        <v>2748.2224000000001</v>
      </c>
    </row>
    <row r="1451" spans="1:10">
      <c r="A1451" t="s">
        <v>2800</v>
      </c>
      <c r="B1451" s="7">
        <v>45494</v>
      </c>
      <c r="C1451" t="s">
        <v>505</v>
      </c>
      <c r="D1451" t="s">
        <v>1093</v>
      </c>
      <c r="E1451" t="s">
        <v>1304</v>
      </c>
      <c r="F1451">
        <v>2</v>
      </c>
      <c r="G1451" s="5">
        <v>164.23</v>
      </c>
      <c r="H1451">
        <v>0.17</v>
      </c>
      <c r="I1451" t="s">
        <v>1349</v>
      </c>
      <c r="J1451" s="5">
        <v>272.62180000000001</v>
      </c>
    </row>
    <row r="1452" spans="1:10">
      <c r="A1452" t="s">
        <v>2801</v>
      </c>
      <c r="B1452" s="7">
        <v>45305</v>
      </c>
      <c r="C1452" t="s">
        <v>967</v>
      </c>
      <c r="D1452" t="s">
        <v>1090</v>
      </c>
      <c r="E1452" t="s">
        <v>1304</v>
      </c>
      <c r="F1452">
        <v>1</v>
      </c>
      <c r="G1452" s="5">
        <v>484.23</v>
      </c>
      <c r="H1452">
        <v>0.12</v>
      </c>
      <c r="I1452" t="s">
        <v>1354</v>
      </c>
      <c r="J1452" s="5">
        <v>426.12240000000003</v>
      </c>
    </row>
    <row r="1453" spans="1:10">
      <c r="A1453" t="s">
        <v>2802</v>
      </c>
      <c r="B1453" s="7">
        <v>45383</v>
      </c>
      <c r="C1453" t="s">
        <v>27</v>
      </c>
      <c r="D1453" t="s">
        <v>1143</v>
      </c>
      <c r="E1453" t="s">
        <v>1335</v>
      </c>
      <c r="F1453">
        <v>3</v>
      </c>
      <c r="G1453" s="5">
        <v>341.51</v>
      </c>
      <c r="H1453">
        <v>0.22</v>
      </c>
      <c r="I1453" t="s">
        <v>1354</v>
      </c>
      <c r="J1453" s="5">
        <v>799.13340000000005</v>
      </c>
    </row>
    <row r="1454" spans="1:10">
      <c r="A1454" t="s">
        <v>2803</v>
      </c>
      <c r="B1454" s="7">
        <v>45788</v>
      </c>
      <c r="C1454" t="s">
        <v>277</v>
      </c>
      <c r="D1454" t="s">
        <v>1269</v>
      </c>
      <c r="E1454" t="s">
        <v>1322</v>
      </c>
      <c r="F1454">
        <v>3</v>
      </c>
      <c r="G1454" s="5">
        <v>758.87</v>
      </c>
      <c r="H1454">
        <v>0.11</v>
      </c>
      <c r="I1454" t="s">
        <v>1351</v>
      </c>
      <c r="J1454" s="5">
        <v>2026.1829</v>
      </c>
    </row>
    <row r="1455" spans="1:10">
      <c r="A1455" t="s">
        <v>2804</v>
      </c>
      <c r="B1455" s="7">
        <v>45855</v>
      </c>
      <c r="C1455" t="s">
        <v>1002</v>
      </c>
      <c r="D1455" t="s">
        <v>1185</v>
      </c>
      <c r="E1455" t="s">
        <v>1319</v>
      </c>
      <c r="F1455">
        <v>3</v>
      </c>
      <c r="G1455" s="5">
        <v>560.52</v>
      </c>
      <c r="H1455">
        <v>0.17</v>
      </c>
      <c r="I1455" t="s">
        <v>1349</v>
      </c>
      <c r="J1455" s="5">
        <v>1395.6948</v>
      </c>
    </row>
    <row r="1456" spans="1:10">
      <c r="A1456" t="s">
        <v>2805</v>
      </c>
      <c r="B1456" s="7">
        <v>45533</v>
      </c>
      <c r="C1456" t="s">
        <v>766</v>
      </c>
      <c r="D1456" t="s">
        <v>1265</v>
      </c>
      <c r="E1456" t="s">
        <v>1332</v>
      </c>
      <c r="F1456">
        <v>2</v>
      </c>
      <c r="G1456" s="5">
        <v>977.18</v>
      </c>
      <c r="H1456">
        <v>0.19</v>
      </c>
      <c r="I1456" t="s">
        <v>1349</v>
      </c>
      <c r="J1456" s="5">
        <v>1583.0316</v>
      </c>
    </row>
    <row r="1457" spans="1:10">
      <c r="A1457" t="s">
        <v>2806</v>
      </c>
      <c r="B1457" s="7">
        <v>45763</v>
      </c>
      <c r="C1457" t="s">
        <v>535</v>
      </c>
      <c r="D1457" t="s">
        <v>1105</v>
      </c>
      <c r="E1457" t="s">
        <v>1324</v>
      </c>
      <c r="F1457">
        <v>4</v>
      </c>
      <c r="G1457" s="5">
        <v>761.35</v>
      </c>
      <c r="H1457">
        <v>0.08</v>
      </c>
      <c r="I1457" t="s">
        <v>1349</v>
      </c>
      <c r="J1457" s="5">
        <v>2801.768</v>
      </c>
    </row>
    <row r="1458" spans="1:10">
      <c r="A1458" t="s">
        <v>2807</v>
      </c>
      <c r="B1458" s="7">
        <v>45900</v>
      </c>
      <c r="C1458" t="s">
        <v>420</v>
      </c>
      <c r="D1458" t="s">
        <v>1207</v>
      </c>
      <c r="E1458" t="s">
        <v>1335</v>
      </c>
      <c r="F1458">
        <v>2</v>
      </c>
      <c r="G1458" s="5">
        <v>947.56</v>
      </c>
      <c r="H1458">
        <v>0.02</v>
      </c>
      <c r="I1458" t="s">
        <v>1354</v>
      </c>
      <c r="J1458" s="5">
        <v>1857.2175999999999</v>
      </c>
    </row>
    <row r="1459" spans="1:10">
      <c r="A1459" t="s">
        <v>2808</v>
      </c>
      <c r="B1459" s="7">
        <v>45943</v>
      </c>
      <c r="C1459" t="s">
        <v>539</v>
      </c>
      <c r="D1459" t="s">
        <v>1159</v>
      </c>
      <c r="E1459" t="s">
        <v>1335</v>
      </c>
      <c r="F1459">
        <v>4</v>
      </c>
      <c r="G1459" s="5">
        <v>975.47</v>
      </c>
      <c r="H1459">
        <v>0.04</v>
      </c>
      <c r="I1459" t="s">
        <v>1349</v>
      </c>
      <c r="J1459" s="5">
        <v>3745.8047999999999</v>
      </c>
    </row>
    <row r="1460" spans="1:10">
      <c r="A1460" t="s">
        <v>2809</v>
      </c>
      <c r="B1460" s="7">
        <v>45448</v>
      </c>
      <c r="C1460" t="s">
        <v>1016</v>
      </c>
      <c r="D1460" t="s">
        <v>1099</v>
      </c>
      <c r="E1460" t="s">
        <v>1311</v>
      </c>
      <c r="F1460">
        <v>3</v>
      </c>
      <c r="G1460" s="5">
        <v>769.06</v>
      </c>
      <c r="H1460">
        <v>0.23</v>
      </c>
      <c r="I1460" t="s">
        <v>1354</v>
      </c>
      <c r="J1460" s="5">
        <v>1776.5286000000001</v>
      </c>
    </row>
    <row r="1461" spans="1:10">
      <c r="A1461" t="s">
        <v>2810</v>
      </c>
      <c r="B1461" s="7">
        <v>45929</v>
      </c>
      <c r="C1461" t="s">
        <v>1033</v>
      </c>
      <c r="D1461" t="s">
        <v>1151</v>
      </c>
      <c r="E1461" t="s">
        <v>1286</v>
      </c>
      <c r="F1461">
        <v>3</v>
      </c>
      <c r="G1461" s="5">
        <v>824.75</v>
      </c>
      <c r="H1461">
        <v>0.23</v>
      </c>
      <c r="I1461" t="s">
        <v>1349</v>
      </c>
      <c r="J1461" s="5">
        <v>1905.1724999999999</v>
      </c>
    </row>
    <row r="1462" spans="1:10">
      <c r="A1462" t="s">
        <v>2811</v>
      </c>
      <c r="B1462" s="7">
        <v>45478</v>
      </c>
      <c r="C1462" t="s">
        <v>865</v>
      </c>
      <c r="D1462" t="s">
        <v>1209</v>
      </c>
      <c r="E1462" t="s">
        <v>1294</v>
      </c>
      <c r="F1462">
        <v>2</v>
      </c>
      <c r="G1462" s="5">
        <v>821.35</v>
      </c>
      <c r="H1462">
        <v>0.11</v>
      </c>
      <c r="I1462" t="s">
        <v>1351</v>
      </c>
      <c r="J1462" s="5">
        <v>1462.0029999999999</v>
      </c>
    </row>
    <row r="1463" spans="1:10">
      <c r="A1463" t="s">
        <v>2812</v>
      </c>
      <c r="B1463" s="7">
        <v>45723</v>
      </c>
      <c r="C1463" t="s">
        <v>873</v>
      </c>
      <c r="D1463" t="s">
        <v>1099</v>
      </c>
      <c r="E1463" t="s">
        <v>1314</v>
      </c>
      <c r="F1463">
        <v>1</v>
      </c>
      <c r="G1463" s="5">
        <v>120.57</v>
      </c>
      <c r="H1463">
        <v>0.06</v>
      </c>
      <c r="I1463" t="s">
        <v>1351</v>
      </c>
      <c r="J1463" s="5">
        <v>113.33580000000001</v>
      </c>
    </row>
    <row r="1464" spans="1:10">
      <c r="A1464" t="s">
        <v>2813</v>
      </c>
      <c r="B1464" s="7">
        <v>45240</v>
      </c>
      <c r="C1464" t="s">
        <v>734</v>
      </c>
      <c r="D1464" t="s">
        <v>1251</v>
      </c>
      <c r="E1464" t="s">
        <v>1282</v>
      </c>
      <c r="F1464">
        <v>1</v>
      </c>
      <c r="G1464" s="5">
        <v>122.27</v>
      </c>
      <c r="H1464">
        <v>0.26</v>
      </c>
      <c r="I1464" t="s">
        <v>1351</v>
      </c>
      <c r="J1464" s="5">
        <v>90.479799999999997</v>
      </c>
    </row>
    <row r="1465" spans="1:10">
      <c r="A1465" t="s">
        <v>2814</v>
      </c>
      <c r="B1465" s="7">
        <v>45890</v>
      </c>
      <c r="C1465" t="s">
        <v>401</v>
      </c>
      <c r="D1465" t="s">
        <v>1125</v>
      </c>
      <c r="E1465" t="s">
        <v>1286</v>
      </c>
      <c r="F1465">
        <v>2</v>
      </c>
      <c r="G1465" s="5">
        <v>182.89</v>
      </c>
      <c r="H1465">
        <v>0.11</v>
      </c>
      <c r="I1465" t="s">
        <v>1349</v>
      </c>
      <c r="J1465" s="5">
        <v>325.54419999999999</v>
      </c>
    </row>
    <row r="1466" spans="1:10">
      <c r="A1466" t="s">
        <v>2815</v>
      </c>
      <c r="B1466" s="7">
        <v>45796</v>
      </c>
      <c r="C1466" t="s">
        <v>805</v>
      </c>
      <c r="D1466" t="s">
        <v>1165</v>
      </c>
      <c r="E1466" t="s">
        <v>1294</v>
      </c>
      <c r="F1466">
        <v>1</v>
      </c>
      <c r="G1466" s="5">
        <v>695.26</v>
      </c>
      <c r="H1466">
        <v>0.23</v>
      </c>
      <c r="I1466" t="s">
        <v>1351</v>
      </c>
      <c r="J1466" s="5">
        <v>535.35019999999997</v>
      </c>
    </row>
    <row r="1467" spans="1:10">
      <c r="A1467" t="s">
        <v>2816</v>
      </c>
      <c r="B1467" s="7">
        <v>45895</v>
      </c>
      <c r="C1467" t="s">
        <v>87</v>
      </c>
      <c r="D1467" t="s">
        <v>1131</v>
      </c>
      <c r="E1467" t="s">
        <v>1301</v>
      </c>
      <c r="F1467">
        <v>2</v>
      </c>
      <c r="G1467" s="5">
        <v>408.8</v>
      </c>
      <c r="H1467">
        <v>0.17</v>
      </c>
      <c r="I1467" t="s">
        <v>1354</v>
      </c>
      <c r="J1467" s="5">
        <v>678.60799999999995</v>
      </c>
    </row>
    <row r="1468" spans="1:10">
      <c r="A1468" t="s">
        <v>2817</v>
      </c>
      <c r="B1468" s="7">
        <v>45676</v>
      </c>
      <c r="C1468" t="s">
        <v>515</v>
      </c>
      <c r="D1468" t="s">
        <v>1171</v>
      </c>
      <c r="E1468" t="s">
        <v>1307</v>
      </c>
      <c r="F1468">
        <v>3</v>
      </c>
      <c r="G1468" s="5">
        <v>512.15</v>
      </c>
      <c r="H1468">
        <v>0.12</v>
      </c>
      <c r="I1468" t="s">
        <v>1349</v>
      </c>
      <c r="J1468" s="5">
        <v>1352.076</v>
      </c>
    </row>
    <row r="1469" spans="1:10">
      <c r="A1469" t="s">
        <v>2818</v>
      </c>
      <c r="B1469" s="7">
        <v>45568</v>
      </c>
      <c r="C1469" t="s">
        <v>881</v>
      </c>
      <c r="D1469" t="s">
        <v>1090</v>
      </c>
      <c r="E1469" t="s">
        <v>1307</v>
      </c>
      <c r="F1469">
        <v>3</v>
      </c>
      <c r="G1469" s="5">
        <v>136.4</v>
      </c>
      <c r="H1469">
        <v>0.15</v>
      </c>
      <c r="I1469" t="s">
        <v>1351</v>
      </c>
      <c r="J1469" s="5">
        <v>347.82000000000011</v>
      </c>
    </row>
    <row r="1470" spans="1:10">
      <c r="A1470" t="s">
        <v>2819</v>
      </c>
      <c r="B1470" s="7">
        <v>45272</v>
      </c>
      <c r="C1470" t="s">
        <v>411</v>
      </c>
      <c r="D1470" t="s">
        <v>1082</v>
      </c>
      <c r="E1470" t="s">
        <v>1291</v>
      </c>
      <c r="F1470">
        <v>2</v>
      </c>
      <c r="G1470" s="5">
        <v>42.51</v>
      </c>
      <c r="H1470">
        <v>0.04</v>
      </c>
      <c r="I1470" t="s">
        <v>1354</v>
      </c>
      <c r="J1470" s="5">
        <v>81.619199999999992</v>
      </c>
    </row>
    <row r="1471" spans="1:10">
      <c r="A1471" t="s">
        <v>2820</v>
      </c>
      <c r="B1471" s="7">
        <v>45718</v>
      </c>
      <c r="C1471" t="s">
        <v>781</v>
      </c>
      <c r="D1471" t="s">
        <v>1223</v>
      </c>
      <c r="E1471" t="s">
        <v>1304</v>
      </c>
      <c r="F1471">
        <v>3</v>
      </c>
      <c r="G1471" s="5">
        <v>582.1</v>
      </c>
      <c r="H1471">
        <v>0.12</v>
      </c>
      <c r="I1471" t="s">
        <v>1351</v>
      </c>
      <c r="J1471" s="5">
        <v>1536.7439999999999</v>
      </c>
    </row>
    <row r="1472" spans="1:10">
      <c r="A1472" t="s">
        <v>2821</v>
      </c>
      <c r="B1472" s="7">
        <v>45356</v>
      </c>
      <c r="C1472" t="s">
        <v>500</v>
      </c>
      <c r="D1472" t="s">
        <v>1237</v>
      </c>
      <c r="E1472" t="s">
        <v>1332</v>
      </c>
      <c r="F1472">
        <v>4</v>
      </c>
      <c r="G1472" s="5">
        <v>461.52</v>
      </c>
      <c r="H1472">
        <v>0</v>
      </c>
      <c r="I1472" t="s">
        <v>1354</v>
      </c>
      <c r="J1472" s="5">
        <v>1846.08</v>
      </c>
    </row>
    <row r="1473" spans="1:10">
      <c r="A1473" t="s">
        <v>2822</v>
      </c>
      <c r="B1473" s="7">
        <v>45552</v>
      </c>
      <c r="C1473" t="s">
        <v>1053</v>
      </c>
      <c r="D1473" t="s">
        <v>1105</v>
      </c>
      <c r="E1473" t="s">
        <v>1317</v>
      </c>
      <c r="F1473">
        <v>1</v>
      </c>
      <c r="G1473" s="5">
        <v>558.41999999999996</v>
      </c>
      <c r="H1473">
        <v>0.03</v>
      </c>
      <c r="I1473" t="s">
        <v>1349</v>
      </c>
      <c r="J1473" s="5">
        <v>541.66739999999993</v>
      </c>
    </row>
    <row r="1474" spans="1:10">
      <c r="A1474" t="s">
        <v>2823</v>
      </c>
      <c r="B1474" s="7">
        <v>45288</v>
      </c>
      <c r="C1474" t="s">
        <v>589</v>
      </c>
      <c r="D1474" t="s">
        <v>1097</v>
      </c>
      <c r="E1474" t="s">
        <v>1335</v>
      </c>
      <c r="F1474">
        <v>4</v>
      </c>
      <c r="G1474" s="5">
        <v>700.98</v>
      </c>
      <c r="H1474">
        <v>0.12</v>
      </c>
      <c r="I1474" t="s">
        <v>1351</v>
      </c>
      <c r="J1474" s="5">
        <v>2467.4495999999999</v>
      </c>
    </row>
    <row r="1475" spans="1:10">
      <c r="A1475" t="s">
        <v>2824</v>
      </c>
      <c r="B1475" s="7">
        <v>45605</v>
      </c>
      <c r="C1475" t="s">
        <v>873</v>
      </c>
      <c r="D1475" t="s">
        <v>1243</v>
      </c>
      <c r="E1475" t="s">
        <v>1335</v>
      </c>
      <c r="F1475">
        <v>2</v>
      </c>
      <c r="G1475" s="5">
        <v>227.97</v>
      </c>
      <c r="H1475">
        <v>0.08</v>
      </c>
      <c r="I1475" t="s">
        <v>1354</v>
      </c>
      <c r="J1475" s="5">
        <v>419.46480000000003</v>
      </c>
    </row>
    <row r="1476" spans="1:10">
      <c r="A1476" t="s">
        <v>2825</v>
      </c>
      <c r="B1476" s="7">
        <v>45516</v>
      </c>
      <c r="C1476" t="s">
        <v>1010</v>
      </c>
      <c r="D1476" t="s">
        <v>1151</v>
      </c>
      <c r="E1476" t="s">
        <v>1317</v>
      </c>
      <c r="F1476">
        <v>4</v>
      </c>
      <c r="G1476" s="5">
        <v>278.70999999999998</v>
      </c>
      <c r="H1476">
        <v>0.2</v>
      </c>
      <c r="I1476" t="s">
        <v>1351</v>
      </c>
      <c r="J1476" s="5">
        <v>891.87199999999996</v>
      </c>
    </row>
    <row r="1477" spans="1:10">
      <c r="A1477" t="s">
        <v>2826</v>
      </c>
      <c r="B1477" s="7">
        <v>45379</v>
      </c>
      <c r="C1477" t="s">
        <v>581</v>
      </c>
      <c r="D1477" t="s">
        <v>1271</v>
      </c>
      <c r="E1477" t="s">
        <v>1307</v>
      </c>
      <c r="F1477">
        <v>2</v>
      </c>
      <c r="G1477" s="5">
        <v>916.12</v>
      </c>
      <c r="H1477">
        <v>0.05</v>
      </c>
      <c r="I1477" t="s">
        <v>1351</v>
      </c>
      <c r="J1477" s="5">
        <v>1740.6279999999999</v>
      </c>
    </row>
    <row r="1478" spans="1:10">
      <c r="A1478" t="s">
        <v>2827</v>
      </c>
      <c r="B1478" s="7">
        <v>45567</v>
      </c>
      <c r="C1478" t="s">
        <v>327</v>
      </c>
      <c r="D1478" t="s">
        <v>1093</v>
      </c>
      <c r="E1478" t="s">
        <v>1319</v>
      </c>
      <c r="F1478">
        <v>4</v>
      </c>
      <c r="G1478" s="5">
        <v>228.98</v>
      </c>
      <c r="H1478">
        <v>0.22</v>
      </c>
      <c r="I1478" t="s">
        <v>1351</v>
      </c>
      <c r="J1478" s="5">
        <v>714.41759999999999</v>
      </c>
    </row>
    <row r="1479" spans="1:10">
      <c r="A1479" t="s">
        <v>2828</v>
      </c>
      <c r="B1479" s="7">
        <v>45510</v>
      </c>
      <c r="C1479" t="s">
        <v>531</v>
      </c>
      <c r="D1479" t="s">
        <v>1251</v>
      </c>
      <c r="E1479" t="s">
        <v>1326</v>
      </c>
      <c r="F1479">
        <v>4</v>
      </c>
      <c r="G1479" s="5">
        <v>904.82</v>
      </c>
      <c r="H1479">
        <v>0.09</v>
      </c>
      <c r="I1479" t="s">
        <v>1351</v>
      </c>
      <c r="J1479" s="5">
        <v>3293.5448000000001</v>
      </c>
    </row>
    <row r="1480" spans="1:10">
      <c r="A1480" t="s">
        <v>2829</v>
      </c>
      <c r="B1480" s="7">
        <v>45806</v>
      </c>
      <c r="C1480" t="s">
        <v>216</v>
      </c>
      <c r="D1480" t="s">
        <v>1119</v>
      </c>
      <c r="E1480" t="s">
        <v>1317</v>
      </c>
      <c r="F1480">
        <v>1</v>
      </c>
      <c r="G1480" s="5">
        <v>588.61</v>
      </c>
      <c r="H1480">
        <v>0.1</v>
      </c>
      <c r="I1480" t="s">
        <v>1351</v>
      </c>
      <c r="J1480" s="5">
        <v>529.74900000000002</v>
      </c>
    </row>
    <row r="1481" spans="1:10">
      <c r="A1481" t="s">
        <v>2830</v>
      </c>
      <c r="B1481" s="7">
        <v>45240</v>
      </c>
      <c r="C1481" t="s">
        <v>286</v>
      </c>
      <c r="D1481" t="s">
        <v>1139</v>
      </c>
      <c r="E1481" t="s">
        <v>1291</v>
      </c>
      <c r="F1481">
        <v>4</v>
      </c>
      <c r="G1481" s="5">
        <v>695.97</v>
      </c>
      <c r="H1481">
        <v>0.02</v>
      </c>
      <c r="I1481" t="s">
        <v>1349</v>
      </c>
      <c r="J1481" s="5">
        <v>2728.2024000000001</v>
      </c>
    </row>
    <row r="1482" spans="1:10">
      <c r="A1482" t="s">
        <v>2831</v>
      </c>
      <c r="B1482" s="7">
        <v>45309</v>
      </c>
      <c r="C1482" t="s">
        <v>666</v>
      </c>
      <c r="D1482" t="s">
        <v>1267</v>
      </c>
      <c r="E1482" t="s">
        <v>1317</v>
      </c>
      <c r="F1482">
        <v>2</v>
      </c>
      <c r="G1482" s="5">
        <v>181.42</v>
      </c>
      <c r="H1482">
        <v>0.08</v>
      </c>
      <c r="I1482" t="s">
        <v>1351</v>
      </c>
      <c r="J1482" s="5">
        <v>333.81279999999998</v>
      </c>
    </row>
    <row r="1483" spans="1:10">
      <c r="A1483" t="s">
        <v>2832</v>
      </c>
      <c r="B1483" s="7">
        <v>45375</v>
      </c>
      <c r="C1483" t="s">
        <v>77</v>
      </c>
      <c r="D1483" t="s">
        <v>1267</v>
      </c>
      <c r="E1483" t="s">
        <v>1322</v>
      </c>
      <c r="F1483">
        <v>1</v>
      </c>
      <c r="G1483" s="5">
        <v>439.55</v>
      </c>
      <c r="H1483">
        <v>0.28999999999999998</v>
      </c>
      <c r="I1483" t="s">
        <v>1354</v>
      </c>
      <c r="J1483" s="5">
        <v>312.08049999999997</v>
      </c>
    </row>
    <row r="1484" spans="1:10">
      <c r="A1484" t="s">
        <v>2833</v>
      </c>
      <c r="B1484" s="7">
        <v>45733</v>
      </c>
      <c r="C1484" t="s">
        <v>288</v>
      </c>
      <c r="D1484" t="s">
        <v>1183</v>
      </c>
      <c r="E1484" t="s">
        <v>1335</v>
      </c>
      <c r="F1484">
        <v>3</v>
      </c>
      <c r="G1484" s="5">
        <v>471.27</v>
      </c>
      <c r="H1484">
        <v>0.27</v>
      </c>
      <c r="I1484" t="s">
        <v>1354</v>
      </c>
      <c r="J1484" s="5">
        <v>1032.0813000000001</v>
      </c>
    </row>
    <row r="1485" spans="1:10">
      <c r="A1485" t="s">
        <v>2834</v>
      </c>
      <c r="B1485" s="7">
        <v>45435</v>
      </c>
      <c r="C1485" t="s">
        <v>129</v>
      </c>
      <c r="D1485" t="s">
        <v>1191</v>
      </c>
      <c r="E1485" t="s">
        <v>1319</v>
      </c>
      <c r="F1485">
        <v>1</v>
      </c>
      <c r="G1485" s="5">
        <v>758.89</v>
      </c>
      <c r="H1485">
        <v>0.1</v>
      </c>
      <c r="I1485" t="s">
        <v>1349</v>
      </c>
      <c r="J1485" s="5">
        <v>683.00099999999998</v>
      </c>
    </row>
    <row r="1486" spans="1:10">
      <c r="A1486" t="s">
        <v>2835</v>
      </c>
      <c r="B1486" s="7">
        <v>45864</v>
      </c>
      <c r="C1486" t="s">
        <v>1031</v>
      </c>
      <c r="D1486" t="s">
        <v>1263</v>
      </c>
      <c r="E1486" t="s">
        <v>1326</v>
      </c>
      <c r="F1486">
        <v>4</v>
      </c>
      <c r="G1486" s="5">
        <v>918.1</v>
      </c>
      <c r="H1486">
        <v>0.19</v>
      </c>
      <c r="I1486" t="s">
        <v>1354</v>
      </c>
      <c r="J1486" s="5">
        <v>2974.6439999999998</v>
      </c>
    </row>
    <row r="1487" spans="1:10">
      <c r="A1487" t="s">
        <v>2836</v>
      </c>
      <c r="B1487" s="7">
        <v>45569</v>
      </c>
      <c r="C1487" t="s">
        <v>581</v>
      </c>
      <c r="D1487" t="s">
        <v>1261</v>
      </c>
      <c r="E1487" t="s">
        <v>1317</v>
      </c>
      <c r="F1487">
        <v>1</v>
      </c>
      <c r="G1487" s="5">
        <v>861.5</v>
      </c>
      <c r="H1487">
        <v>0.05</v>
      </c>
      <c r="I1487" t="s">
        <v>1354</v>
      </c>
      <c r="J1487" s="5">
        <v>818.42499999999995</v>
      </c>
    </row>
    <row r="1488" spans="1:10">
      <c r="A1488" t="s">
        <v>2837</v>
      </c>
      <c r="B1488" s="7">
        <v>45664</v>
      </c>
      <c r="C1488" t="s">
        <v>986</v>
      </c>
      <c r="D1488" t="s">
        <v>1117</v>
      </c>
      <c r="E1488" t="s">
        <v>1324</v>
      </c>
      <c r="F1488">
        <v>1</v>
      </c>
      <c r="G1488" s="5">
        <v>588.29999999999995</v>
      </c>
      <c r="H1488">
        <v>0.26</v>
      </c>
      <c r="I1488" t="s">
        <v>1354</v>
      </c>
      <c r="J1488" s="5">
        <v>435.34199999999998</v>
      </c>
    </row>
    <row r="1489" spans="1:10">
      <c r="A1489" t="s">
        <v>2838</v>
      </c>
      <c r="B1489" s="7">
        <v>45645</v>
      </c>
      <c r="C1489" t="s">
        <v>986</v>
      </c>
      <c r="D1489" t="s">
        <v>1183</v>
      </c>
      <c r="E1489" t="s">
        <v>1304</v>
      </c>
      <c r="F1489">
        <v>1</v>
      </c>
      <c r="G1489" s="5">
        <v>917.26</v>
      </c>
      <c r="H1489">
        <v>0.05</v>
      </c>
      <c r="I1489" t="s">
        <v>1351</v>
      </c>
      <c r="J1489" s="5">
        <v>871.39699999999993</v>
      </c>
    </row>
    <row r="1490" spans="1:10">
      <c r="A1490" t="s">
        <v>2839</v>
      </c>
      <c r="B1490" s="7">
        <v>45449</v>
      </c>
      <c r="C1490" t="s">
        <v>529</v>
      </c>
      <c r="D1490" t="s">
        <v>1082</v>
      </c>
      <c r="E1490" t="s">
        <v>1335</v>
      </c>
      <c r="F1490">
        <v>4</v>
      </c>
      <c r="G1490" s="5">
        <v>96.78</v>
      </c>
      <c r="H1490">
        <v>0.11</v>
      </c>
      <c r="I1490" t="s">
        <v>1351</v>
      </c>
      <c r="J1490" s="5">
        <v>344.53680000000003</v>
      </c>
    </row>
    <row r="1491" spans="1:10">
      <c r="A1491" t="s">
        <v>2840</v>
      </c>
      <c r="B1491" s="7">
        <v>45629</v>
      </c>
      <c r="C1491" t="s">
        <v>1018</v>
      </c>
      <c r="D1491" t="s">
        <v>1129</v>
      </c>
      <c r="E1491" t="s">
        <v>1294</v>
      </c>
      <c r="F1491">
        <v>3</v>
      </c>
      <c r="G1491" s="5">
        <v>199.41</v>
      </c>
      <c r="H1491">
        <v>0.16</v>
      </c>
      <c r="I1491" t="s">
        <v>1354</v>
      </c>
      <c r="J1491" s="5">
        <v>502.51319999999998</v>
      </c>
    </row>
    <row r="1492" spans="1:10">
      <c r="A1492" t="s">
        <v>2841</v>
      </c>
      <c r="B1492" s="7">
        <v>45739</v>
      </c>
      <c r="C1492" t="s">
        <v>66</v>
      </c>
      <c r="D1492" t="s">
        <v>1181</v>
      </c>
      <c r="E1492" t="s">
        <v>1311</v>
      </c>
      <c r="F1492">
        <v>1</v>
      </c>
      <c r="G1492" s="5">
        <v>687.91</v>
      </c>
      <c r="H1492">
        <v>0.25</v>
      </c>
      <c r="I1492" t="s">
        <v>1349</v>
      </c>
      <c r="J1492" s="5">
        <v>515.9325</v>
      </c>
    </row>
    <row r="1493" spans="1:10">
      <c r="A1493" t="s">
        <v>2842</v>
      </c>
      <c r="B1493" s="7">
        <v>45849</v>
      </c>
      <c r="C1493" t="s">
        <v>115</v>
      </c>
      <c r="D1493" t="s">
        <v>1215</v>
      </c>
      <c r="E1493" t="s">
        <v>1286</v>
      </c>
      <c r="F1493">
        <v>3</v>
      </c>
      <c r="G1493" s="5">
        <v>769.62</v>
      </c>
      <c r="H1493">
        <v>0.09</v>
      </c>
      <c r="I1493" t="s">
        <v>1351</v>
      </c>
      <c r="J1493" s="5">
        <v>2101.0626000000002</v>
      </c>
    </row>
    <row r="1494" spans="1:10">
      <c r="A1494" t="s">
        <v>2843</v>
      </c>
      <c r="B1494" s="7">
        <v>45230</v>
      </c>
      <c r="C1494" t="s">
        <v>502</v>
      </c>
      <c r="D1494" t="s">
        <v>1078</v>
      </c>
      <c r="E1494" t="s">
        <v>1291</v>
      </c>
      <c r="F1494">
        <v>1</v>
      </c>
      <c r="G1494" s="5">
        <v>492.05</v>
      </c>
      <c r="H1494">
        <v>0.27</v>
      </c>
      <c r="I1494" t="s">
        <v>1349</v>
      </c>
      <c r="J1494" s="5">
        <v>359.19650000000001</v>
      </c>
    </row>
    <row r="1495" spans="1:10">
      <c r="A1495" t="s">
        <v>2844</v>
      </c>
      <c r="B1495" s="7">
        <v>45292</v>
      </c>
      <c r="C1495" t="s">
        <v>267</v>
      </c>
      <c r="D1495" t="s">
        <v>1107</v>
      </c>
      <c r="E1495" t="s">
        <v>1319</v>
      </c>
      <c r="F1495">
        <v>2</v>
      </c>
      <c r="G1495" s="5">
        <v>428.55</v>
      </c>
      <c r="H1495">
        <v>0</v>
      </c>
      <c r="I1495" t="s">
        <v>1351</v>
      </c>
      <c r="J1495" s="5">
        <v>857.1</v>
      </c>
    </row>
    <row r="1496" spans="1:10">
      <c r="A1496" t="s">
        <v>2845</v>
      </c>
      <c r="B1496" s="7">
        <v>45251</v>
      </c>
      <c r="C1496" t="s">
        <v>521</v>
      </c>
      <c r="D1496" t="s">
        <v>1093</v>
      </c>
      <c r="E1496" t="s">
        <v>1326</v>
      </c>
      <c r="F1496">
        <v>4</v>
      </c>
      <c r="G1496" s="5">
        <v>316.18</v>
      </c>
      <c r="H1496">
        <v>0.12</v>
      </c>
      <c r="I1496" t="s">
        <v>1349</v>
      </c>
      <c r="J1496" s="5">
        <v>1112.9536000000001</v>
      </c>
    </row>
    <row r="1497" spans="1:10">
      <c r="A1497" t="s">
        <v>2846</v>
      </c>
      <c r="B1497" s="7">
        <v>45555</v>
      </c>
      <c r="C1497" t="s">
        <v>33</v>
      </c>
      <c r="D1497" t="s">
        <v>1099</v>
      </c>
      <c r="E1497" t="s">
        <v>1291</v>
      </c>
      <c r="F1497">
        <v>3</v>
      </c>
      <c r="G1497" s="5">
        <v>162.16999999999999</v>
      </c>
      <c r="H1497">
        <v>0.15</v>
      </c>
      <c r="I1497" t="s">
        <v>1351</v>
      </c>
      <c r="J1497" s="5">
        <v>413.5335</v>
      </c>
    </row>
    <row r="1498" spans="1:10">
      <c r="A1498" t="s">
        <v>2847</v>
      </c>
      <c r="B1498" s="7">
        <v>45385</v>
      </c>
      <c r="C1498" t="s">
        <v>726</v>
      </c>
      <c r="D1498" t="s">
        <v>1078</v>
      </c>
      <c r="E1498" t="s">
        <v>1291</v>
      </c>
      <c r="F1498">
        <v>3</v>
      </c>
      <c r="G1498" s="5">
        <v>698.14</v>
      </c>
      <c r="H1498">
        <v>0.04</v>
      </c>
      <c r="I1498" t="s">
        <v>1351</v>
      </c>
      <c r="J1498" s="5">
        <v>2010.6432</v>
      </c>
    </row>
    <row r="1499" spans="1:10">
      <c r="A1499" t="s">
        <v>2848</v>
      </c>
      <c r="B1499" s="7">
        <v>45787</v>
      </c>
      <c r="C1499" t="s">
        <v>684</v>
      </c>
      <c r="D1499" t="s">
        <v>1221</v>
      </c>
      <c r="E1499" t="s">
        <v>1335</v>
      </c>
      <c r="F1499">
        <v>1</v>
      </c>
      <c r="G1499" s="5">
        <v>478.08</v>
      </c>
      <c r="H1499">
        <v>7.0000000000000007E-2</v>
      </c>
      <c r="I1499" t="s">
        <v>1354</v>
      </c>
      <c r="J1499" s="5">
        <v>444.61439999999988</v>
      </c>
    </row>
    <row r="1500" spans="1:10">
      <c r="A1500" t="s">
        <v>2849</v>
      </c>
      <c r="B1500" s="7">
        <v>45822</v>
      </c>
      <c r="C1500" t="s">
        <v>478</v>
      </c>
      <c r="D1500" t="s">
        <v>1191</v>
      </c>
      <c r="E1500" t="s">
        <v>1304</v>
      </c>
      <c r="F1500">
        <v>2</v>
      </c>
      <c r="G1500" s="5">
        <v>958.64</v>
      </c>
      <c r="H1500">
        <v>0.2</v>
      </c>
      <c r="I1500" t="s">
        <v>1351</v>
      </c>
      <c r="J1500" s="5">
        <v>1533.8240000000001</v>
      </c>
    </row>
    <row r="1501" spans="1:10">
      <c r="A1501" t="s">
        <v>2850</v>
      </c>
      <c r="B1501" s="7">
        <v>45590</v>
      </c>
      <c r="C1501" t="s">
        <v>990</v>
      </c>
      <c r="D1501" t="s">
        <v>1155</v>
      </c>
      <c r="E1501" t="s">
        <v>1319</v>
      </c>
      <c r="F1501">
        <v>2</v>
      </c>
      <c r="G1501" s="5">
        <v>581.19000000000005</v>
      </c>
      <c r="H1501">
        <v>7.0000000000000007E-2</v>
      </c>
      <c r="I1501" t="s">
        <v>1354</v>
      </c>
      <c r="J1501" s="5">
        <v>1081.0134</v>
      </c>
    </row>
    <row r="1502" spans="1:10">
      <c r="A1502" t="s">
        <v>2851</v>
      </c>
      <c r="B1502" s="7">
        <v>45618</v>
      </c>
      <c r="C1502" t="s">
        <v>283</v>
      </c>
      <c r="D1502" t="s">
        <v>1271</v>
      </c>
      <c r="E1502" t="s">
        <v>1317</v>
      </c>
      <c r="F1502">
        <v>1</v>
      </c>
      <c r="G1502" s="5">
        <v>736.54</v>
      </c>
      <c r="H1502">
        <v>0.16</v>
      </c>
      <c r="I1502" t="s">
        <v>1351</v>
      </c>
      <c r="J1502" s="5">
        <v>618.69359999999995</v>
      </c>
    </row>
    <row r="1503" spans="1:10">
      <c r="A1503" t="s">
        <v>2852</v>
      </c>
      <c r="B1503" s="7">
        <v>45586</v>
      </c>
      <c r="C1503" t="s">
        <v>865</v>
      </c>
      <c r="D1503" t="s">
        <v>1203</v>
      </c>
      <c r="E1503" t="s">
        <v>1326</v>
      </c>
      <c r="F1503">
        <v>1</v>
      </c>
      <c r="G1503" s="5">
        <v>524</v>
      </c>
      <c r="H1503">
        <v>0.28000000000000003</v>
      </c>
      <c r="I1503" t="s">
        <v>1349</v>
      </c>
      <c r="J1503" s="5">
        <v>377.28</v>
      </c>
    </row>
    <row r="1504" spans="1:10">
      <c r="A1504" t="s">
        <v>2853</v>
      </c>
      <c r="B1504" s="7">
        <v>45548</v>
      </c>
      <c r="C1504" t="s">
        <v>133</v>
      </c>
      <c r="D1504" t="s">
        <v>1129</v>
      </c>
      <c r="E1504" t="s">
        <v>1291</v>
      </c>
      <c r="F1504">
        <v>4</v>
      </c>
      <c r="G1504" s="5">
        <v>566.09</v>
      </c>
      <c r="H1504">
        <v>0.28000000000000003</v>
      </c>
      <c r="I1504" t="s">
        <v>1354</v>
      </c>
      <c r="J1504" s="5">
        <v>1630.3391999999999</v>
      </c>
    </row>
    <row r="1505" spans="1:10">
      <c r="A1505" t="s">
        <v>2854</v>
      </c>
      <c r="B1505" s="7">
        <v>45772</v>
      </c>
      <c r="C1505" t="s">
        <v>581</v>
      </c>
      <c r="D1505" t="s">
        <v>1115</v>
      </c>
      <c r="E1505" t="s">
        <v>1314</v>
      </c>
      <c r="F1505">
        <v>1</v>
      </c>
      <c r="G1505" s="5">
        <v>251.99</v>
      </c>
      <c r="H1505">
        <v>0.09</v>
      </c>
      <c r="I1505" t="s">
        <v>1349</v>
      </c>
      <c r="J1505" s="5">
        <v>229.3109</v>
      </c>
    </row>
    <row r="1506" spans="1:10">
      <c r="A1506" t="s">
        <v>2855</v>
      </c>
      <c r="B1506" s="7">
        <v>45361</v>
      </c>
      <c r="C1506" t="s">
        <v>505</v>
      </c>
      <c r="D1506" t="s">
        <v>1107</v>
      </c>
      <c r="E1506" t="s">
        <v>1338</v>
      </c>
      <c r="F1506">
        <v>1</v>
      </c>
      <c r="G1506" s="5">
        <v>259.2</v>
      </c>
      <c r="H1506">
        <v>0.27</v>
      </c>
      <c r="I1506" t="s">
        <v>1354</v>
      </c>
      <c r="J1506" s="5">
        <v>189.21600000000001</v>
      </c>
    </row>
    <row r="1507" spans="1:10">
      <c r="A1507" t="s">
        <v>2856</v>
      </c>
      <c r="B1507" s="7">
        <v>45235</v>
      </c>
      <c r="C1507" t="s">
        <v>955</v>
      </c>
      <c r="D1507" t="s">
        <v>1191</v>
      </c>
      <c r="E1507" t="s">
        <v>1326</v>
      </c>
      <c r="F1507">
        <v>1</v>
      </c>
      <c r="G1507" s="5">
        <v>935.66</v>
      </c>
      <c r="H1507">
        <v>0.26</v>
      </c>
      <c r="I1507" t="s">
        <v>1351</v>
      </c>
      <c r="J1507" s="5">
        <v>692.38839999999993</v>
      </c>
    </row>
    <row r="1508" spans="1:10">
      <c r="A1508" t="s">
        <v>2857</v>
      </c>
      <c r="B1508" s="7">
        <v>45864</v>
      </c>
      <c r="C1508" t="s">
        <v>1000</v>
      </c>
      <c r="D1508" t="s">
        <v>1143</v>
      </c>
      <c r="E1508" t="s">
        <v>1307</v>
      </c>
      <c r="F1508">
        <v>4</v>
      </c>
      <c r="G1508" s="5">
        <v>480.75</v>
      </c>
      <c r="H1508">
        <v>0.02</v>
      </c>
      <c r="I1508" t="s">
        <v>1349</v>
      </c>
      <c r="J1508" s="5">
        <v>1884.54</v>
      </c>
    </row>
    <row r="1509" spans="1:10">
      <c r="A1509" t="s">
        <v>2858</v>
      </c>
      <c r="B1509" s="7">
        <v>45681</v>
      </c>
      <c r="C1509" t="s">
        <v>801</v>
      </c>
      <c r="D1509" t="s">
        <v>1235</v>
      </c>
      <c r="E1509" t="s">
        <v>1326</v>
      </c>
      <c r="F1509">
        <v>2</v>
      </c>
      <c r="G1509" s="5">
        <v>457.83</v>
      </c>
      <c r="H1509">
        <v>0.01</v>
      </c>
      <c r="I1509" t="s">
        <v>1354</v>
      </c>
      <c r="J1509" s="5">
        <v>906.50339999999994</v>
      </c>
    </row>
    <row r="1510" spans="1:10">
      <c r="A1510" t="s">
        <v>2859</v>
      </c>
      <c r="B1510" s="7">
        <v>45905</v>
      </c>
      <c r="C1510" t="s">
        <v>389</v>
      </c>
      <c r="D1510" t="s">
        <v>1169</v>
      </c>
      <c r="E1510" t="s">
        <v>1324</v>
      </c>
      <c r="F1510">
        <v>1</v>
      </c>
      <c r="G1510" s="5">
        <v>994.63</v>
      </c>
      <c r="H1510">
        <v>0.28000000000000003</v>
      </c>
      <c r="I1510" t="s">
        <v>1349</v>
      </c>
      <c r="J1510" s="5">
        <v>716.1336</v>
      </c>
    </row>
    <row r="1511" spans="1:10">
      <c r="A1511" t="s">
        <v>2860</v>
      </c>
      <c r="B1511" s="7">
        <v>45765</v>
      </c>
      <c r="C1511" t="s">
        <v>553</v>
      </c>
      <c r="D1511" t="s">
        <v>1253</v>
      </c>
      <c r="E1511" t="s">
        <v>1277</v>
      </c>
      <c r="F1511">
        <v>3</v>
      </c>
      <c r="G1511" s="5">
        <v>65.569999999999993</v>
      </c>
      <c r="H1511">
        <v>0.3</v>
      </c>
      <c r="I1511" t="s">
        <v>1354</v>
      </c>
      <c r="J1511" s="5">
        <v>137.697</v>
      </c>
    </row>
    <row r="1512" spans="1:10">
      <c r="A1512" t="s">
        <v>2861</v>
      </c>
      <c r="B1512" s="7">
        <v>45821</v>
      </c>
      <c r="C1512" t="s">
        <v>381</v>
      </c>
      <c r="D1512" t="s">
        <v>1189</v>
      </c>
      <c r="E1512" t="s">
        <v>1332</v>
      </c>
      <c r="F1512">
        <v>3</v>
      </c>
      <c r="G1512" s="5">
        <v>622.98</v>
      </c>
      <c r="H1512">
        <v>0.28000000000000003</v>
      </c>
      <c r="I1512" t="s">
        <v>1351</v>
      </c>
      <c r="J1512" s="5">
        <v>1345.6368</v>
      </c>
    </row>
    <row r="1513" spans="1:10">
      <c r="A1513" t="s">
        <v>2862</v>
      </c>
      <c r="B1513" s="7">
        <v>45691</v>
      </c>
      <c r="C1513" t="s">
        <v>563</v>
      </c>
      <c r="D1513" t="s">
        <v>1183</v>
      </c>
      <c r="E1513" t="s">
        <v>1322</v>
      </c>
      <c r="F1513">
        <v>1</v>
      </c>
      <c r="G1513" s="5">
        <v>170.68</v>
      </c>
      <c r="H1513">
        <v>0.13</v>
      </c>
      <c r="I1513" t="s">
        <v>1351</v>
      </c>
      <c r="J1513" s="5">
        <v>148.49160000000001</v>
      </c>
    </row>
    <row r="1514" spans="1:10">
      <c r="A1514" t="s">
        <v>2863</v>
      </c>
      <c r="B1514" s="7">
        <v>45860</v>
      </c>
      <c r="C1514" t="s">
        <v>250</v>
      </c>
      <c r="D1514" t="s">
        <v>1085</v>
      </c>
      <c r="E1514" t="s">
        <v>1307</v>
      </c>
      <c r="F1514">
        <v>4</v>
      </c>
      <c r="G1514" s="5">
        <v>797.83</v>
      </c>
      <c r="H1514">
        <v>0.08</v>
      </c>
      <c r="I1514" t="s">
        <v>1349</v>
      </c>
      <c r="J1514" s="5">
        <v>2936.0144</v>
      </c>
    </row>
    <row r="1515" spans="1:10">
      <c r="A1515" t="s">
        <v>2864</v>
      </c>
      <c r="B1515" s="7">
        <v>45922</v>
      </c>
      <c r="C1515" t="s">
        <v>254</v>
      </c>
      <c r="D1515" t="s">
        <v>1074</v>
      </c>
      <c r="E1515" t="s">
        <v>1329</v>
      </c>
      <c r="F1515">
        <v>1</v>
      </c>
      <c r="G1515" s="5">
        <v>372.75</v>
      </c>
      <c r="H1515">
        <v>0.12</v>
      </c>
      <c r="I1515" t="s">
        <v>1349</v>
      </c>
      <c r="J1515" s="5">
        <v>328.02</v>
      </c>
    </row>
    <row r="1516" spans="1:10">
      <c r="A1516" t="s">
        <v>2865</v>
      </c>
      <c r="B1516" s="7">
        <v>45477</v>
      </c>
      <c r="C1516" t="s">
        <v>855</v>
      </c>
      <c r="D1516" t="s">
        <v>1195</v>
      </c>
      <c r="E1516" t="s">
        <v>1294</v>
      </c>
      <c r="F1516">
        <v>1</v>
      </c>
      <c r="G1516" s="5">
        <v>994.18</v>
      </c>
      <c r="H1516">
        <v>0.05</v>
      </c>
      <c r="I1516" t="s">
        <v>1351</v>
      </c>
      <c r="J1516" s="5">
        <v>944.47099999999989</v>
      </c>
    </row>
    <row r="1517" spans="1:10">
      <c r="A1517" t="s">
        <v>2866</v>
      </c>
      <c r="B1517" s="7">
        <v>45504</v>
      </c>
      <c r="C1517" t="s">
        <v>907</v>
      </c>
      <c r="D1517" t="s">
        <v>1113</v>
      </c>
      <c r="E1517" t="s">
        <v>1322</v>
      </c>
      <c r="F1517">
        <v>1</v>
      </c>
      <c r="G1517" s="5">
        <v>136.12</v>
      </c>
      <c r="H1517">
        <v>7.0000000000000007E-2</v>
      </c>
      <c r="I1517" t="s">
        <v>1349</v>
      </c>
      <c r="J1517" s="5">
        <v>126.5916</v>
      </c>
    </row>
    <row r="1518" spans="1:10">
      <c r="A1518" t="s">
        <v>2867</v>
      </c>
      <c r="B1518" s="7">
        <v>45862</v>
      </c>
      <c r="C1518" t="s">
        <v>94</v>
      </c>
      <c r="D1518" t="s">
        <v>1177</v>
      </c>
      <c r="E1518" t="s">
        <v>1335</v>
      </c>
      <c r="F1518">
        <v>3</v>
      </c>
      <c r="G1518" s="5">
        <v>634.45000000000005</v>
      </c>
      <c r="H1518">
        <v>0.17</v>
      </c>
      <c r="I1518" t="s">
        <v>1351</v>
      </c>
      <c r="J1518" s="5">
        <v>1579.7805000000001</v>
      </c>
    </row>
    <row r="1519" spans="1:10">
      <c r="A1519" t="s">
        <v>2868</v>
      </c>
      <c r="B1519" s="7">
        <v>45579</v>
      </c>
      <c r="C1519" t="s">
        <v>722</v>
      </c>
      <c r="D1519" t="s">
        <v>1201</v>
      </c>
      <c r="E1519" t="s">
        <v>1277</v>
      </c>
      <c r="F1519">
        <v>4</v>
      </c>
      <c r="G1519" s="5">
        <v>179.62</v>
      </c>
      <c r="H1519">
        <v>0.05</v>
      </c>
      <c r="I1519" t="s">
        <v>1349</v>
      </c>
      <c r="J1519" s="5">
        <v>682.55600000000004</v>
      </c>
    </row>
    <row r="1520" spans="1:10">
      <c r="A1520" t="s">
        <v>2869</v>
      </c>
      <c r="B1520" s="7">
        <v>45658</v>
      </c>
      <c r="C1520" t="s">
        <v>652</v>
      </c>
      <c r="D1520" t="s">
        <v>1113</v>
      </c>
      <c r="E1520" t="s">
        <v>1335</v>
      </c>
      <c r="F1520">
        <v>4</v>
      </c>
      <c r="G1520" s="5">
        <v>558.83000000000004</v>
      </c>
      <c r="H1520">
        <v>0.16</v>
      </c>
      <c r="I1520" t="s">
        <v>1351</v>
      </c>
      <c r="J1520" s="5">
        <v>1877.6687999999999</v>
      </c>
    </row>
    <row r="1521" spans="1:10">
      <c r="A1521" t="s">
        <v>2870</v>
      </c>
      <c r="B1521" s="7">
        <v>45664</v>
      </c>
      <c r="C1521" t="s">
        <v>403</v>
      </c>
      <c r="D1521" t="s">
        <v>1261</v>
      </c>
      <c r="E1521" t="s">
        <v>1301</v>
      </c>
      <c r="F1521">
        <v>2</v>
      </c>
      <c r="G1521" s="5">
        <v>859.74</v>
      </c>
      <c r="H1521">
        <v>0.25</v>
      </c>
      <c r="I1521" t="s">
        <v>1354</v>
      </c>
      <c r="J1521" s="5">
        <v>1289.6099999999999</v>
      </c>
    </row>
    <row r="1522" spans="1:10">
      <c r="A1522" t="s">
        <v>2871</v>
      </c>
      <c r="B1522" s="7">
        <v>45936</v>
      </c>
      <c r="C1522" t="s">
        <v>271</v>
      </c>
      <c r="D1522" t="s">
        <v>1203</v>
      </c>
      <c r="E1522" t="s">
        <v>1329</v>
      </c>
      <c r="F1522">
        <v>3</v>
      </c>
      <c r="G1522" s="5">
        <v>578.47</v>
      </c>
      <c r="H1522">
        <v>0.06</v>
      </c>
      <c r="I1522" t="s">
        <v>1354</v>
      </c>
      <c r="J1522" s="5">
        <v>1631.2854</v>
      </c>
    </row>
    <row r="1523" spans="1:10">
      <c r="A1523" t="s">
        <v>2872</v>
      </c>
      <c r="B1523" s="7">
        <v>45344</v>
      </c>
      <c r="C1523" t="s">
        <v>155</v>
      </c>
      <c r="D1523" t="s">
        <v>1115</v>
      </c>
      <c r="E1523" t="s">
        <v>1319</v>
      </c>
      <c r="F1523">
        <v>1</v>
      </c>
      <c r="G1523" s="5">
        <v>440.48</v>
      </c>
      <c r="H1523">
        <v>0.11</v>
      </c>
      <c r="I1523" t="s">
        <v>1354</v>
      </c>
      <c r="J1523" s="5">
        <v>392.02720000000011</v>
      </c>
    </row>
    <row r="1524" spans="1:10">
      <c r="A1524" t="s">
        <v>2873</v>
      </c>
      <c r="B1524" s="7">
        <v>45329</v>
      </c>
      <c r="C1524" t="s">
        <v>59</v>
      </c>
      <c r="D1524" t="s">
        <v>1105</v>
      </c>
      <c r="E1524" t="s">
        <v>1338</v>
      </c>
      <c r="F1524">
        <v>2</v>
      </c>
      <c r="G1524" s="5">
        <v>303.67</v>
      </c>
      <c r="H1524">
        <v>0.05</v>
      </c>
      <c r="I1524" t="s">
        <v>1351</v>
      </c>
      <c r="J1524" s="5">
        <v>576.97299999999996</v>
      </c>
    </row>
    <row r="1525" spans="1:10">
      <c r="A1525" t="s">
        <v>2874</v>
      </c>
      <c r="B1525" s="7">
        <v>45895</v>
      </c>
      <c r="C1525" t="s">
        <v>736</v>
      </c>
      <c r="D1525" t="s">
        <v>1221</v>
      </c>
      <c r="E1525" t="s">
        <v>1324</v>
      </c>
      <c r="F1525">
        <v>2</v>
      </c>
      <c r="G1525" s="5">
        <v>611.21</v>
      </c>
      <c r="H1525">
        <v>0.22</v>
      </c>
      <c r="I1525" t="s">
        <v>1354</v>
      </c>
      <c r="J1525" s="5">
        <v>953.48760000000004</v>
      </c>
    </row>
    <row r="1526" spans="1:10">
      <c r="A1526" t="s">
        <v>2875</v>
      </c>
      <c r="B1526" s="7">
        <v>45239</v>
      </c>
      <c r="C1526" t="s">
        <v>466</v>
      </c>
      <c r="D1526" t="s">
        <v>1151</v>
      </c>
      <c r="E1526" t="s">
        <v>1326</v>
      </c>
      <c r="F1526">
        <v>2</v>
      </c>
      <c r="G1526" s="5">
        <v>768.08</v>
      </c>
      <c r="H1526">
        <v>0.26</v>
      </c>
      <c r="I1526" t="s">
        <v>1351</v>
      </c>
      <c r="J1526" s="5">
        <v>1136.7583999999999</v>
      </c>
    </row>
    <row r="1527" spans="1:10">
      <c r="A1527" t="s">
        <v>2876</v>
      </c>
      <c r="B1527" s="7">
        <v>45296</v>
      </c>
      <c r="C1527" t="s">
        <v>656</v>
      </c>
      <c r="D1527" t="s">
        <v>1119</v>
      </c>
      <c r="E1527" t="s">
        <v>1335</v>
      </c>
      <c r="F1527">
        <v>1</v>
      </c>
      <c r="G1527" s="5">
        <v>616.82000000000005</v>
      </c>
      <c r="H1527">
        <v>0.24</v>
      </c>
      <c r="I1527" t="s">
        <v>1349</v>
      </c>
      <c r="J1527" s="5">
        <v>468.78320000000002</v>
      </c>
    </row>
    <row r="1528" spans="1:10">
      <c r="A1528" t="s">
        <v>2877</v>
      </c>
      <c r="B1528" s="7">
        <v>45672</v>
      </c>
      <c r="C1528" t="s">
        <v>428</v>
      </c>
      <c r="D1528" t="s">
        <v>1153</v>
      </c>
      <c r="E1528" t="s">
        <v>1335</v>
      </c>
      <c r="F1528">
        <v>1</v>
      </c>
      <c r="G1528" s="5">
        <v>470.34</v>
      </c>
      <c r="H1528">
        <v>0.18</v>
      </c>
      <c r="I1528" t="s">
        <v>1354</v>
      </c>
      <c r="J1528" s="5">
        <v>385.67880000000002</v>
      </c>
    </row>
    <row r="1529" spans="1:10">
      <c r="A1529" t="s">
        <v>2878</v>
      </c>
      <c r="B1529" s="7">
        <v>45499</v>
      </c>
      <c r="C1529" t="s">
        <v>500</v>
      </c>
      <c r="D1529" t="s">
        <v>1179</v>
      </c>
      <c r="E1529" t="s">
        <v>1307</v>
      </c>
      <c r="F1529">
        <v>2</v>
      </c>
      <c r="G1529" s="5">
        <v>616.36</v>
      </c>
      <c r="H1529">
        <v>0.12</v>
      </c>
      <c r="I1529" t="s">
        <v>1351</v>
      </c>
      <c r="J1529" s="5">
        <v>1084.7936</v>
      </c>
    </row>
    <row r="1530" spans="1:10">
      <c r="A1530" t="s">
        <v>2879</v>
      </c>
      <c r="B1530" s="7">
        <v>45434</v>
      </c>
      <c r="C1530" t="s">
        <v>218</v>
      </c>
      <c r="D1530" t="s">
        <v>1076</v>
      </c>
      <c r="E1530" t="s">
        <v>1311</v>
      </c>
      <c r="F1530">
        <v>3</v>
      </c>
      <c r="G1530" s="5">
        <v>657.24</v>
      </c>
      <c r="H1530">
        <v>0.18</v>
      </c>
      <c r="I1530" t="s">
        <v>1351</v>
      </c>
      <c r="J1530" s="5">
        <v>1616.8104000000001</v>
      </c>
    </row>
    <row r="1531" spans="1:10">
      <c r="A1531" t="s">
        <v>2880</v>
      </c>
      <c r="B1531" s="7">
        <v>45893</v>
      </c>
      <c r="C1531" t="s">
        <v>104</v>
      </c>
      <c r="D1531" t="s">
        <v>1155</v>
      </c>
      <c r="E1531" t="s">
        <v>1338</v>
      </c>
      <c r="F1531">
        <v>2</v>
      </c>
      <c r="G1531" s="5">
        <v>392.45</v>
      </c>
      <c r="H1531">
        <v>0.04</v>
      </c>
      <c r="I1531" t="s">
        <v>1351</v>
      </c>
      <c r="J1531" s="5">
        <v>753.50399999999991</v>
      </c>
    </row>
    <row r="1532" spans="1:10">
      <c r="A1532" t="s">
        <v>2881</v>
      </c>
      <c r="B1532" s="7">
        <v>45346</v>
      </c>
      <c r="C1532" t="s">
        <v>553</v>
      </c>
      <c r="D1532" t="s">
        <v>1153</v>
      </c>
      <c r="E1532" t="s">
        <v>1324</v>
      </c>
      <c r="F1532">
        <v>3</v>
      </c>
      <c r="G1532" s="5">
        <v>62.03</v>
      </c>
      <c r="H1532">
        <v>0.01</v>
      </c>
      <c r="I1532" t="s">
        <v>1354</v>
      </c>
      <c r="J1532" s="5">
        <v>184.22909999999999</v>
      </c>
    </row>
    <row r="1533" spans="1:10">
      <c r="A1533" t="s">
        <v>2882</v>
      </c>
      <c r="B1533" s="7">
        <v>45613</v>
      </c>
      <c r="C1533" t="s">
        <v>242</v>
      </c>
      <c r="D1533" t="s">
        <v>1265</v>
      </c>
      <c r="E1533" t="s">
        <v>1291</v>
      </c>
      <c r="F1533">
        <v>4</v>
      </c>
      <c r="G1533" s="5">
        <v>933.73</v>
      </c>
      <c r="H1533">
        <v>0.25</v>
      </c>
      <c r="I1533" t="s">
        <v>1351</v>
      </c>
      <c r="J1533" s="5">
        <v>2801.19</v>
      </c>
    </row>
    <row r="1534" spans="1:10">
      <c r="A1534" t="s">
        <v>2883</v>
      </c>
      <c r="B1534" s="7">
        <v>45928</v>
      </c>
      <c r="C1534" t="s">
        <v>371</v>
      </c>
      <c r="D1534" t="s">
        <v>1243</v>
      </c>
      <c r="E1534" t="s">
        <v>1329</v>
      </c>
      <c r="F1534">
        <v>3</v>
      </c>
      <c r="G1534" s="5">
        <v>615.30999999999995</v>
      </c>
      <c r="H1534">
        <v>0.14000000000000001</v>
      </c>
      <c r="I1534" t="s">
        <v>1351</v>
      </c>
      <c r="J1534" s="5">
        <v>1587.4998000000001</v>
      </c>
    </row>
    <row r="1535" spans="1:10">
      <c r="A1535" t="s">
        <v>2884</v>
      </c>
      <c r="B1535" s="7">
        <v>45619</v>
      </c>
      <c r="C1535" t="s">
        <v>809</v>
      </c>
      <c r="D1535" t="s">
        <v>1191</v>
      </c>
      <c r="E1535" t="s">
        <v>1335</v>
      </c>
      <c r="F1535">
        <v>4</v>
      </c>
      <c r="G1535" s="5">
        <v>790.38</v>
      </c>
      <c r="H1535">
        <v>0.22</v>
      </c>
      <c r="I1535" t="s">
        <v>1354</v>
      </c>
      <c r="J1535" s="5">
        <v>2465.9856</v>
      </c>
    </row>
    <row r="1536" spans="1:10">
      <c r="A1536" t="s">
        <v>2885</v>
      </c>
      <c r="B1536" s="7">
        <v>45533</v>
      </c>
      <c r="C1536" t="s">
        <v>602</v>
      </c>
      <c r="D1536" t="s">
        <v>1191</v>
      </c>
      <c r="E1536" t="s">
        <v>1332</v>
      </c>
      <c r="F1536">
        <v>2</v>
      </c>
      <c r="G1536" s="5">
        <v>102.85</v>
      </c>
      <c r="H1536">
        <v>0.08</v>
      </c>
      <c r="I1536" t="s">
        <v>1351</v>
      </c>
      <c r="J1536" s="5">
        <v>189.244</v>
      </c>
    </row>
    <row r="1537" spans="1:10">
      <c r="A1537" t="s">
        <v>2886</v>
      </c>
      <c r="B1537" s="7">
        <v>45781</v>
      </c>
      <c r="C1537" t="s">
        <v>115</v>
      </c>
      <c r="D1537" t="s">
        <v>1095</v>
      </c>
      <c r="E1537" t="s">
        <v>1329</v>
      </c>
      <c r="F1537">
        <v>3</v>
      </c>
      <c r="G1537" s="5">
        <v>866.78</v>
      </c>
      <c r="H1537">
        <v>0.27</v>
      </c>
      <c r="I1537" t="s">
        <v>1351</v>
      </c>
      <c r="J1537" s="5">
        <v>1898.2482</v>
      </c>
    </row>
    <row r="1538" spans="1:10">
      <c r="A1538" t="s">
        <v>2887</v>
      </c>
      <c r="B1538" s="7">
        <v>45378</v>
      </c>
      <c r="C1538" t="s">
        <v>478</v>
      </c>
      <c r="D1538" t="s">
        <v>1229</v>
      </c>
      <c r="E1538" t="s">
        <v>1329</v>
      </c>
      <c r="F1538">
        <v>3</v>
      </c>
      <c r="G1538" s="5">
        <v>392.84</v>
      </c>
      <c r="H1538">
        <v>0.27</v>
      </c>
      <c r="I1538" t="s">
        <v>1351</v>
      </c>
      <c r="J1538" s="5">
        <v>860.31959999999992</v>
      </c>
    </row>
    <row r="1539" spans="1:10">
      <c r="A1539" t="s">
        <v>2888</v>
      </c>
      <c r="B1539" s="7">
        <v>45688</v>
      </c>
      <c r="C1539" t="s">
        <v>710</v>
      </c>
      <c r="D1539" t="s">
        <v>1090</v>
      </c>
      <c r="E1539" t="s">
        <v>1298</v>
      </c>
      <c r="F1539">
        <v>2</v>
      </c>
      <c r="G1539" s="5">
        <v>753.1</v>
      </c>
      <c r="H1539">
        <v>0.19</v>
      </c>
      <c r="I1539" t="s">
        <v>1351</v>
      </c>
      <c r="J1539" s="5">
        <v>1220.0219999999999</v>
      </c>
    </row>
    <row r="1540" spans="1:10">
      <c r="A1540" t="s">
        <v>2889</v>
      </c>
      <c r="B1540" s="7">
        <v>45927</v>
      </c>
      <c r="C1540" t="s">
        <v>33</v>
      </c>
      <c r="D1540" t="s">
        <v>1181</v>
      </c>
      <c r="E1540" t="s">
        <v>1332</v>
      </c>
      <c r="F1540">
        <v>2</v>
      </c>
      <c r="G1540" s="5">
        <v>700.91</v>
      </c>
      <c r="H1540">
        <v>0.1</v>
      </c>
      <c r="I1540" t="s">
        <v>1351</v>
      </c>
      <c r="J1540" s="5">
        <v>1261.6379999999999</v>
      </c>
    </row>
    <row r="1541" spans="1:10">
      <c r="A1541" t="s">
        <v>2890</v>
      </c>
      <c r="B1541" s="7">
        <v>45775</v>
      </c>
      <c r="C1541" t="s">
        <v>194</v>
      </c>
      <c r="D1541" t="s">
        <v>1103</v>
      </c>
      <c r="E1541" t="s">
        <v>1319</v>
      </c>
      <c r="F1541">
        <v>4</v>
      </c>
      <c r="G1541" s="5">
        <v>935.98</v>
      </c>
      <c r="H1541">
        <v>0.11</v>
      </c>
      <c r="I1541" t="s">
        <v>1351</v>
      </c>
      <c r="J1541" s="5">
        <v>3332.0888</v>
      </c>
    </row>
    <row r="1542" spans="1:10">
      <c r="A1542" t="s">
        <v>2891</v>
      </c>
      <c r="B1542" s="7">
        <v>45849</v>
      </c>
      <c r="C1542" t="s">
        <v>1031</v>
      </c>
      <c r="D1542" t="s">
        <v>1225</v>
      </c>
      <c r="E1542" t="s">
        <v>1329</v>
      </c>
      <c r="F1542">
        <v>1</v>
      </c>
      <c r="G1542" s="5">
        <v>539.9</v>
      </c>
      <c r="H1542">
        <v>7.0000000000000007E-2</v>
      </c>
      <c r="I1542" t="s">
        <v>1349</v>
      </c>
      <c r="J1542" s="5">
        <v>502.10700000000003</v>
      </c>
    </row>
    <row r="1543" spans="1:10">
      <c r="A1543" t="s">
        <v>2892</v>
      </c>
      <c r="B1543" s="7">
        <v>45573</v>
      </c>
      <c r="C1543" t="s">
        <v>403</v>
      </c>
      <c r="D1543" t="s">
        <v>1153</v>
      </c>
      <c r="E1543" t="s">
        <v>1301</v>
      </c>
      <c r="F1543">
        <v>1</v>
      </c>
      <c r="G1543" s="5">
        <v>312.81</v>
      </c>
      <c r="H1543">
        <v>0.14000000000000001</v>
      </c>
      <c r="I1543" t="s">
        <v>1351</v>
      </c>
      <c r="J1543" s="5">
        <v>269.01659999999998</v>
      </c>
    </row>
    <row r="1544" spans="1:10">
      <c r="A1544" t="s">
        <v>2893</v>
      </c>
      <c r="B1544" s="7">
        <v>45356</v>
      </c>
      <c r="C1544" t="s">
        <v>561</v>
      </c>
      <c r="D1544" t="s">
        <v>1169</v>
      </c>
      <c r="E1544" t="s">
        <v>1304</v>
      </c>
      <c r="F1544">
        <v>3</v>
      </c>
      <c r="G1544" s="5">
        <v>855.96</v>
      </c>
      <c r="H1544">
        <v>0.28999999999999998</v>
      </c>
      <c r="I1544" t="s">
        <v>1354</v>
      </c>
      <c r="J1544" s="5">
        <v>1823.1948</v>
      </c>
    </row>
    <row r="1545" spans="1:10">
      <c r="A1545" t="s">
        <v>2894</v>
      </c>
      <c r="B1545" s="7">
        <v>45326</v>
      </c>
      <c r="C1545" t="s">
        <v>773</v>
      </c>
      <c r="D1545" t="s">
        <v>1071</v>
      </c>
      <c r="E1545" t="s">
        <v>1317</v>
      </c>
      <c r="F1545">
        <v>3</v>
      </c>
      <c r="G1545" s="5">
        <v>305</v>
      </c>
      <c r="H1545">
        <v>0.01</v>
      </c>
      <c r="I1545" t="s">
        <v>1354</v>
      </c>
      <c r="J1545" s="5">
        <v>905.85</v>
      </c>
    </row>
    <row r="1546" spans="1:10">
      <c r="A1546" t="s">
        <v>2895</v>
      </c>
      <c r="B1546" s="7">
        <v>45361</v>
      </c>
      <c r="C1546" t="s">
        <v>998</v>
      </c>
      <c r="D1546" t="s">
        <v>1271</v>
      </c>
      <c r="E1546" t="s">
        <v>1319</v>
      </c>
      <c r="F1546">
        <v>3</v>
      </c>
      <c r="G1546" s="5">
        <v>831.15</v>
      </c>
      <c r="H1546">
        <v>0.19</v>
      </c>
      <c r="I1546" t="s">
        <v>1349</v>
      </c>
      <c r="J1546" s="5">
        <v>2019.6945000000001</v>
      </c>
    </row>
    <row r="1547" spans="1:10">
      <c r="A1547" t="s">
        <v>2896</v>
      </c>
      <c r="B1547" s="7">
        <v>45926</v>
      </c>
      <c r="C1547" t="s">
        <v>476</v>
      </c>
      <c r="D1547" t="s">
        <v>1265</v>
      </c>
      <c r="E1547" t="s">
        <v>1291</v>
      </c>
      <c r="F1547">
        <v>2</v>
      </c>
      <c r="G1547" s="5">
        <v>644.97</v>
      </c>
      <c r="H1547">
        <v>0.24</v>
      </c>
      <c r="I1547" t="s">
        <v>1354</v>
      </c>
      <c r="J1547" s="5">
        <v>980.35440000000006</v>
      </c>
    </row>
    <row r="1548" spans="1:10">
      <c r="A1548" t="s">
        <v>2897</v>
      </c>
      <c r="B1548" s="7">
        <v>45839</v>
      </c>
      <c r="C1548" t="s">
        <v>248</v>
      </c>
      <c r="D1548" t="s">
        <v>1249</v>
      </c>
      <c r="E1548" t="s">
        <v>1282</v>
      </c>
      <c r="F1548">
        <v>1</v>
      </c>
      <c r="G1548" s="5">
        <v>149.56</v>
      </c>
      <c r="H1548">
        <v>0.09</v>
      </c>
      <c r="I1548" t="s">
        <v>1349</v>
      </c>
      <c r="J1548" s="5">
        <v>136.09960000000001</v>
      </c>
    </row>
    <row r="1549" spans="1:10">
      <c r="A1549" t="s">
        <v>2898</v>
      </c>
      <c r="B1549" s="7">
        <v>45434</v>
      </c>
      <c r="C1549" t="s">
        <v>496</v>
      </c>
      <c r="D1549" t="s">
        <v>1159</v>
      </c>
      <c r="E1549" t="s">
        <v>1338</v>
      </c>
      <c r="F1549">
        <v>1</v>
      </c>
      <c r="G1549" s="5">
        <v>661.77</v>
      </c>
      <c r="H1549">
        <v>0.03</v>
      </c>
      <c r="I1549" t="s">
        <v>1351</v>
      </c>
      <c r="J1549" s="5">
        <v>641.91689999999994</v>
      </c>
    </row>
    <row r="1550" spans="1:10">
      <c r="A1550" t="s">
        <v>2899</v>
      </c>
      <c r="B1550" s="7">
        <v>45819</v>
      </c>
      <c r="C1550" t="s">
        <v>275</v>
      </c>
      <c r="D1550" t="s">
        <v>1261</v>
      </c>
      <c r="E1550" t="s">
        <v>1304</v>
      </c>
      <c r="F1550">
        <v>3</v>
      </c>
      <c r="G1550" s="5">
        <v>99.67</v>
      </c>
      <c r="H1550">
        <v>0.17</v>
      </c>
      <c r="I1550" t="s">
        <v>1349</v>
      </c>
      <c r="J1550" s="5">
        <v>248.17830000000001</v>
      </c>
    </row>
    <row r="1551" spans="1:10">
      <c r="A1551" t="s">
        <v>2900</v>
      </c>
      <c r="B1551" s="7">
        <v>45553</v>
      </c>
      <c r="C1551" t="s">
        <v>505</v>
      </c>
      <c r="D1551" t="s">
        <v>1197</v>
      </c>
      <c r="E1551" t="s">
        <v>1282</v>
      </c>
      <c r="F1551">
        <v>3</v>
      </c>
      <c r="G1551" s="5">
        <v>103.66</v>
      </c>
      <c r="H1551">
        <v>0.26</v>
      </c>
      <c r="I1551" t="s">
        <v>1354</v>
      </c>
      <c r="J1551" s="5">
        <v>230.12520000000001</v>
      </c>
    </row>
    <row r="1552" spans="1:10">
      <c r="A1552" t="s">
        <v>2901</v>
      </c>
      <c r="B1552" s="7">
        <v>45258</v>
      </c>
      <c r="C1552" t="s">
        <v>935</v>
      </c>
      <c r="D1552" t="s">
        <v>1153</v>
      </c>
      <c r="E1552" t="s">
        <v>1286</v>
      </c>
      <c r="F1552">
        <v>4</v>
      </c>
      <c r="G1552" s="5">
        <v>54.4</v>
      </c>
      <c r="H1552">
        <v>0.22</v>
      </c>
      <c r="I1552" t="s">
        <v>1349</v>
      </c>
      <c r="J1552" s="5">
        <v>169.72800000000001</v>
      </c>
    </row>
    <row r="1553" spans="1:10">
      <c r="A1553" t="s">
        <v>2902</v>
      </c>
      <c r="B1553" s="7">
        <v>45435</v>
      </c>
      <c r="C1553" t="s">
        <v>1041</v>
      </c>
      <c r="D1553" t="s">
        <v>1241</v>
      </c>
      <c r="E1553" t="s">
        <v>1324</v>
      </c>
      <c r="F1553">
        <v>1</v>
      </c>
      <c r="G1553" s="5">
        <v>46.66</v>
      </c>
      <c r="H1553">
        <v>0.2</v>
      </c>
      <c r="I1553" t="s">
        <v>1349</v>
      </c>
      <c r="J1553" s="5">
        <v>37.328000000000003</v>
      </c>
    </row>
    <row r="1554" spans="1:10">
      <c r="A1554" t="s">
        <v>2903</v>
      </c>
      <c r="B1554" s="7">
        <v>45447</v>
      </c>
      <c r="C1554" t="s">
        <v>33</v>
      </c>
      <c r="D1554" t="s">
        <v>1219</v>
      </c>
      <c r="E1554" t="s">
        <v>1317</v>
      </c>
      <c r="F1554">
        <v>4</v>
      </c>
      <c r="G1554" s="5">
        <v>871.2</v>
      </c>
      <c r="H1554">
        <v>0.28999999999999998</v>
      </c>
      <c r="I1554" t="s">
        <v>1349</v>
      </c>
      <c r="J1554" s="5">
        <v>2474.2080000000001</v>
      </c>
    </row>
    <row r="1555" spans="1:10">
      <c r="A1555" t="s">
        <v>2904</v>
      </c>
      <c r="B1555" s="7">
        <v>45724</v>
      </c>
      <c r="C1555" t="s">
        <v>821</v>
      </c>
      <c r="D1555" t="s">
        <v>1109</v>
      </c>
      <c r="E1555" t="s">
        <v>1324</v>
      </c>
      <c r="F1555">
        <v>4</v>
      </c>
      <c r="G1555" s="5">
        <v>317.11</v>
      </c>
      <c r="H1555">
        <v>0.16</v>
      </c>
      <c r="I1555" t="s">
        <v>1351</v>
      </c>
      <c r="J1555" s="5">
        <v>1065.4896000000001</v>
      </c>
    </row>
    <row r="1556" spans="1:10">
      <c r="A1556" t="s">
        <v>2905</v>
      </c>
      <c r="B1556" s="7">
        <v>45338</v>
      </c>
      <c r="C1556" t="s">
        <v>579</v>
      </c>
      <c r="D1556" t="s">
        <v>1123</v>
      </c>
      <c r="E1556" t="s">
        <v>1322</v>
      </c>
      <c r="F1556">
        <v>2</v>
      </c>
      <c r="G1556" s="5">
        <v>388.34</v>
      </c>
      <c r="H1556">
        <v>0.09</v>
      </c>
      <c r="I1556" t="s">
        <v>1351</v>
      </c>
      <c r="J1556" s="5">
        <v>706.77879999999993</v>
      </c>
    </row>
    <row r="1557" spans="1:10">
      <c r="A1557" t="s">
        <v>2906</v>
      </c>
      <c r="B1557" s="7">
        <v>45252</v>
      </c>
      <c r="C1557" t="s">
        <v>702</v>
      </c>
      <c r="D1557" t="s">
        <v>1133</v>
      </c>
      <c r="E1557" t="s">
        <v>1301</v>
      </c>
      <c r="F1557">
        <v>4</v>
      </c>
      <c r="G1557" s="5">
        <v>998.2</v>
      </c>
      <c r="H1557">
        <v>0.15</v>
      </c>
      <c r="I1557" t="s">
        <v>1349</v>
      </c>
      <c r="J1557" s="5">
        <v>3393.88</v>
      </c>
    </row>
    <row r="1558" spans="1:10">
      <c r="A1558" t="s">
        <v>2907</v>
      </c>
      <c r="B1558" s="7">
        <v>45606</v>
      </c>
      <c r="C1558" t="s">
        <v>1047</v>
      </c>
      <c r="D1558" t="s">
        <v>1145</v>
      </c>
      <c r="E1558" t="s">
        <v>1277</v>
      </c>
      <c r="F1558">
        <v>1</v>
      </c>
      <c r="G1558" s="5">
        <v>887.38</v>
      </c>
      <c r="H1558">
        <v>0.01</v>
      </c>
      <c r="I1558" t="s">
        <v>1354</v>
      </c>
      <c r="J1558" s="5">
        <v>878.50620000000004</v>
      </c>
    </row>
    <row r="1559" spans="1:10">
      <c r="A1559" t="s">
        <v>2908</v>
      </c>
      <c r="B1559" s="7">
        <v>45524</v>
      </c>
      <c r="C1559" t="s">
        <v>688</v>
      </c>
      <c r="D1559" t="s">
        <v>1147</v>
      </c>
      <c r="E1559" t="s">
        <v>1319</v>
      </c>
      <c r="F1559">
        <v>4</v>
      </c>
      <c r="G1559" s="5">
        <v>332.97</v>
      </c>
      <c r="H1559">
        <v>0.28000000000000003</v>
      </c>
      <c r="I1559" t="s">
        <v>1349</v>
      </c>
      <c r="J1559" s="5">
        <v>958.95360000000005</v>
      </c>
    </row>
    <row r="1560" spans="1:10">
      <c r="A1560" t="s">
        <v>2909</v>
      </c>
      <c r="B1560" s="7">
        <v>45934</v>
      </c>
      <c r="C1560" t="s">
        <v>72</v>
      </c>
      <c r="D1560" t="s">
        <v>1165</v>
      </c>
      <c r="E1560" t="s">
        <v>1277</v>
      </c>
      <c r="F1560">
        <v>2</v>
      </c>
      <c r="G1560" s="5">
        <v>157.91</v>
      </c>
      <c r="H1560">
        <v>0.09</v>
      </c>
      <c r="I1560" t="s">
        <v>1354</v>
      </c>
      <c r="J1560" s="5">
        <v>287.39620000000002</v>
      </c>
    </row>
    <row r="1561" spans="1:10">
      <c r="A1561" t="s">
        <v>2910</v>
      </c>
      <c r="B1561" s="7">
        <v>45539</v>
      </c>
      <c r="C1561" t="s">
        <v>775</v>
      </c>
      <c r="D1561" t="s">
        <v>1097</v>
      </c>
      <c r="E1561" t="s">
        <v>1335</v>
      </c>
      <c r="F1561">
        <v>1</v>
      </c>
      <c r="G1561" s="5">
        <v>548.15</v>
      </c>
      <c r="H1561">
        <v>0.11</v>
      </c>
      <c r="I1561" t="s">
        <v>1349</v>
      </c>
      <c r="J1561" s="5">
        <v>487.8535</v>
      </c>
    </row>
    <row r="1562" spans="1:10">
      <c r="A1562" t="s">
        <v>2911</v>
      </c>
      <c r="B1562" s="7">
        <v>45555</v>
      </c>
      <c r="C1562" t="s">
        <v>480</v>
      </c>
      <c r="D1562" t="s">
        <v>1169</v>
      </c>
      <c r="E1562" t="s">
        <v>1326</v>
      </c>
      <c r="F1562">
        <v>1</v>
      </c>
      <c r="G1562" s="5">
        <v>135.13</v>
      </c>
      <c r="H1562">
        <v>0.04</v>
      </c>
      <c r="I1562" t="s">
        <v>1349</v>
      </c>
      <c r="J1562" s="5">
        <v>129.72479999999999</v>
      </c>
    </row>
    <row r="1563" spans="1:10">
      <c r="A1563" t="s">
        <v>2912</v>
      </c>
      <c r="B1563" s="7">
        <v>45281</v>
      </c>
      <c r="C1563" t="s">
        <v>500</v>
      </c>
      <c r="D1563" t="s">
        <v>1185</v>
      </c>
      <c r="E1563" t="s">
        <v>1291</v>
      </c>
      <c r="F1563">
        <v>3</v>
      </c>
      <c r="G1563" s="5">
        <v>579.26</v>
      </c>
      <c r="H1563">
        <v>0.19</v>
      </c>
      <c r="I1563" t="s">
        <v>1349</v>
      </c>
      <c r="J1563" s="5">
        <v>1407.6017999999999</v>
      </c>
    </row>
    <row r="1564" spans="1:10">
      <c r="A1564" t="s">
        <v>2913</v>
      </c>
      <c r="B1564" s="7">
        <v>45582</v>
      </c>
      <c r="C1564" t="s">
        <v>841</v>
      </c>
      <c r="D1564" t="s">
        <v>1107</v>
      </c>
      <c r="E1564" t="s">
        <v>1277</v>
      </c>
      <c r="F1564">
        <v>1</v>
      </c>
      <c r="G1564" s="5">
        <v>465.63</v>
      </c>
      <c r="H1564">
        <v>0.25</v>
      </c>
      <c r="I1564" t="s">
        <v>1349</v>
      </c>
      <c r="J1564" s="5">
        <v>349.22250000000003</v>
      </c>
    </row>
    <row r="1565" spans="1:10">
      <c r="A1565" t="s">
        <v>2914</v>
      </c>
      <c r="B1565" s="7">
        <v>45372</v>
      </c>
      <c r="C1565" t="s">
        <v>135</v>
      </c>
      <c r="D1565" t="s">
        <v>1225</v>
      </c>
      <c r="E1565" t="s">
        <v>1329</v>
      </c>
      <c r="F1565">
        <v>2</v>
      </c>
      <c r="G1565" s="5">
        <v>675.61</v>
      </c>
      <c r="H1565">
        <v>0.08</v>
      </c>
      <c r="I1565" t="s">
        <v>1354</v>
      </c>
      <c r="J1565" s="5">
        <v>1243.1224</v>
      </c>
    </row>
    <row r="1566" spans="1:10">
      <c r="A1566" t="s">
        <v>2915</v>
      </c>
      <c r="B1566" s="7">
        <v>45458</v>
      </c>
      <c r="C1566" t="s">
        <v>895</v>
      </c>
      <c r="D1566" t="s">
        <v>1139</v>
      </c>
      <c r="E1566" t="s">
        <v>1301</v>
      </c>
      <c r="F1566">
        <v>1</v>
      </c>
      <c r="G1566" s="5">
        <v>718.99</v>
      </c>
      <c r="H1566">
        <v>0.08</v>
      </c>
      <c r="I1566" t="s">
        <v>1351</v>
      </c>
      <c r="J1566" s="5">
        <v>661.47080000000005</v>
      </c>
    </row>
    <row r="1567" spans="1:10">
      <c r="A1567" t="s">
        <v>2916</v>
      </c>
      <c r="B1567" s="7">
        <v>45943</v>
      </c>
      <c r="C1567" t="s">
        <v>815</v>
      </c>
      <c r="D1567" t="s">
        <v>1101</v>
      </c>
      <c r="E1567" t="s">
        <v>1314</v>
      </c>
      <c r="F1567">
        <v>2</v>
      </c>
      <c r="G1567" s="5">
        <v>675.65</v>
      </c>
      <c r="H1567">
        <v>0.2</v>
      </c>
      <c r="I1567" t="s">
        <v>1354</v>
      </c>
      <c r="J1567" s="5">
        <v>1081.04</v>
      </c>
    </row>
    <row r="1568" spans="1:10">
      <c r="A1568" t="s">
        <v>2917</v>
      </c>
      <c r="B1568" s="7">
        <v>45374</v>
      </c>
      <c r="C1568" t="s">
        <v>736</v>
      </c>
      <c r="D1568" t="s">
        <v>1263</v>
      </c>
      <c r="E1568" t="s">
        <v>1326</v>
      </c>
      <c r="F1568">
        <v>4</v>
      </c>
      <c r="G1568" s="5">
        <v>284.24</v>
      </c>
      <c r="H1568">
        <v>0.1</v>
      </c>
      <c r="I1568" t="s">
        <v>1349</v>
      </c>
      <c r="J1568" s="5">
        <v>1023.264</v>
      </c>
    </row>
    <row r="1569" spans="1:10">
      <c r="A1569" t="s">
        <v>2918</v>
      </c>
      <c r="B1569" s="7">
        <v>45374</v>
      </c>
      <c r="C1569" t="s">
        <v>488</v>
      </c>
      <c r="D1569" t="s">
        <v>1071</v>
      </c>
      <c r="E1569" t="s">
        <v>1291</v>
      </c>
      <c r="F1569">
        <v>1</v>
      </c>
      <c r="G1569" s="5">
        <v>94.26</v>
      </c>
      <c r="H1569">
        <v>0.18</v>
      </c>
      <c r="I1569" t="s">
        <v>1351</v>
      </c>
      <c r="J1569" s="5">
        <v>77.293200000000013</v>
      </c>
    </row>
    <row r="1570" spans="1:10">
      <c r="A1570" t="s">
        <v>2919</v>
      </c>
      <c r="B1570" s="7">
        <v>45789</v>
      </c>
      <c r="C1570" t="s">
        <v>895</v>
      </c>
      <c r="D1570" t="s">
        <v>1082</v>
      </c>
      <c r="E1570" t="s">
        <v>1314</v>
      </c>
      <c r="F1570">
        <v>4</v>
      </c>
      <c r="G1570" s="5">
        <v>458.58</v>
      </c>
      <c r="H1570">
        <v>0.28999999999999998</v>
      </c>
      <c r="I1570" t="s">
        <v>1354</v>
      </c>
      <c r="J1570" s="5">
        <v>1302.3671999999999</v>
      </c>
    </row>
    <row r="1571" spans="1:10">
      <c r="A1571" t="s">
        <v>2920</v>
      </c>
      <c r="B1571" s="7">
        <v>45452</v>
      </c>
      <c r="C1571" t="s">
        <v>286</v>
      </c>
      <c r="D1571" t="s">
        <v>1203</v>
      </c>
      <c r="E1571" t="s">
        <v>1314</v>
      </c>
      <c r="F1571">
        <v>4</v>
      </c>
      <c r="G1571" s="5">
        <v>704.49</v>
      </c>
      <c r="H1571">
        <v>0.05</v>
      </c>
      <c r="I1571" t="s">
        <v>1354</v>
      </c>
      <c r="J1571" s="5">
        <v>2677.0619999999999</v>
      </c>
    </row>
    <row r="1572" spans="1:10">
      <c r="A1572" t="s">
        <v>2921</v>
      </c>
      <c r="B1572" s="7">
        <v>45284</v>
      </c>
      <c r="C1572" t="s">
        <v>99</v>
      </c>
      <c r="D1572" t="s">
        <v>1127</v>
      </c>
      <c r="E1572" t="s">
        <v>1338</v>
      </c>
      <c r="F1572">
        <v>4</v>
      </c>
      <c r="G1572" s="5">
        <v>822.32</v>
      </c>
      <c r="H1572">
        <v>0.26</v>
      </c>
      <c r="I1572" t="s">
        <v>1351</v>
      </c>
      <c r="J1572" s="5">
        <v>2434.0672</v>
      </c>
    </row>
    <row r="1573" spans="1:10">
      <c r="A1573" t="s">
        <v>2922</v>
      </c>
      <c r="B1573" s="7">
        <v>45325</v>
      </c>
      <c r="C1573" t="s">
        <v>553</v>
      </c>
      <c r="D1573" t="s">
        <v>1076</v>
      </c>
      <c r="E1573" t="s">
        <v>1322</v>
      </c>
      <c r="F1573">
        <v>4</v>
      </c>
      <c r="G1573" s="5">
        <v>785.41</v>
      </c>
      <c r="H1573">
        <v>0.13</v>
      </c>
      <c r="I1573" t="s">
        <v>1354</v>
      </c>
      <c r="J1573" s="5">
        <v>2733.2267999999999</v>
      </c>
    </row>
    <row r="1574" spans="1:10">
      <c r="A1574" t="s">
        <v>2923</v>
      </c>
      <c r="B1574" s="7">
        <v>45465</v>
      </c>
      <c r="C1574" t="s">
        <v>96</v>
      </c>
      <c r="D1574" t="s">
        <v>1151</v>
      </c>
      <c r="E1574" t="s">
        <v>1324</v>
      </c>
      <c r="F1574">
        <v>1</v>
      </c>
      <c r="G1574" s="5">
        <v>405.8</v>
      </c>
      <c r="H1574">
        <v>0.11</v>
      </c>
      <c r="I1574" t="s">
        <v>1351</v>
      </c>
      <c r="J1574" s="5">
        <v>361.16199999999998</v>
      </c>
    </row>
    <row r="1575" spans="1:10">
      <c r="A1575" t="s">
        <v>2924</v>
      </c>
      <c r="B1575" s="7">
        <v>45612</v>
      </c>
      <c r="C1575" t="s">
        <v>929</v>
      </c>
      <c r="D1575" t="s">
        <v>1255</v>
      </c>
      <c r="E1575" t="s">
        <v>1311</v>
      </c>
      <c r="F1575">
        <v>2</v>
      </c>
      <c r="G1575" s="5">
        <v>976.83</v>
      </c>
      <c r="H1575">
        <v>0.1</v>
      </c>
      <c r="I1575" t="s">
        <v>1351</v>
      </c>
      <c r="J1575" s="5">
        <v>1758.2940000000001</v>
      </c>
    </row>
    <row r="1576" spans="1:10">
      <c r="A1576" t="s">
        <v>2925</v>
      </c>
      <c r="B1576" s="7">
        <v>45472</v>
      </c>
      <c r="C1576" t="s">
        <v>610</v>
      </c>
      <c r="D1576" t="s">
        <v>1201</v>
      </c>
      <c r="E1576" t="s">
        <v>1286</v>
      </c>
      <c r="F1576">
        <v>1</v>
      </c>
      <c r="G1576" s="5">
        <v>644.15</v>
      </c>
      <c r="H1576">
        <v>0.06</v>
      </c>
      <c r="I1576" t="s">
        <v>1349</v>
      </c>
      <c r="J1576" s="5">
        <v>605.50099999999998</v>
      </c>
    </row>
    <row r="1577" spans="1:10">
      <c r="A1577" t="s">
        <v>2926</v>
      </c>
      <c r="B1577" s="7">
        <v>45897</v>
      </c>
      <c r="C1577" t="s">
        <v>738</v>
      </c>
      <c r="D1577" t="s">
        <v>1207</v>
      </c>
      <c r="E1577" t="s">
        <v>1322</v>
      </c>
      <c r="F1577">
        <v>1</v>
      </c>
      <c r="G1577" s="5">
        <v>470.55</v>
      </c>
      <c r="H1577">
        <v>0.23</v>
      </c>
      <c r="I1577" t="s">
        <v>1351</v>
      </c>
      <c r="J1577" s="5">
        <v>362.32350000000002</v>
      </c>
    </row>
    <row r="1578" spans="1:10">
      <c r="A1578" t="s">
        <v>2927</v>
      </c>
      <c r="B1578" s="7">
        <v>45241</v>
      </c>
      <c r="C1578" t="s">
        <v>1018</v>
      </c>
      <c r="D1578" t="s">
        <v>1085</v>
      </c>
      <c r="E1578" t="s">
        <v>1301</v>
      </c>
      <c r="F1578">
        <v>3</v>
      </c>
      <c r="G1578" s="5">
        <v>598.82000000000005</v>
      </c>
      <c r="H1578">
        <v>0.19</v>
      </c>
      <c r="I1578" t="s">
        <v>1354</v>
      </c>
      <c r="J1578" s="5">
        <v>1455.1325999999999</v>
      </c>
    </row>
    <row r="1579" spans="1:10">
      <c r="A1579" t="s">
        <v>2928</v>
      </c>
      <c r="B1579" s="7">
        <v>45851</v>
      </c>
      <c r="C1579" t="s">
        <v>261</v>
      </c>
      <c r="D1579" t="s">
        <v>1113</v>
      </c>
      <c r="E1579" t="s">
        <v>1319</v>
      </c>
      <c r="F1579">
        <v>4</v>
      </c>
      <c r="G1579" s="5">
        <v>659.17</v>
      </c>
      <c r="H1579">
        <v>0.12</v>
      </c>
      <c r="I1579" t="s">
        <v>1349</v>
      </c>
      <c r="J1579" s="5">
        <v>2320.2784000000001</v>
      </c>
    </row>
    <row r="1580" spans="1:10">
      <c r="A1580" t="s">
        <v>2929</v>
      </c>
      <c r="B1580" s="7">
        <v>45572</v>
      </c>
      <c r="C1580" t="s">
        <v>267</v>
      </c>
      <c r="D1580" t="s">
        <v>1165</v>
      </c>
      <c r="E1580" t="s">
        <v>1282</v>
      </c>
      <c r="F1580">
        <v>2</v>
      </c>
      <c r="G1580" s="5">
        <v>216.02</v>
      </c>
      <c r="H1580">
        <v>0.25</v>
      </c>
      <c r="I1580" t="s">
        <v>1349</v>
      </c>
      <c r="J1580" s="5">
        <v>324.02999999999997</v>
      </c>
    </row>
    <row r="1581" spans="1:10">
      <c r="A1581" t="s">
        <v>2930</v>
      </c>
      <c r="B1581" s="7">
        <v>45774</v>
      </c>
      <c r="C1581" t="s">
        <v>94</v>
      </c>
      <c r="D1581" t="s">
        <v>1135</v>
      </c>
      <c r="E1581" t="s">
        <v>1314</v>
      </c>
      <c r="F1581">
        <v>2</v>
      </c>
      <c r="G1581" s="5">
        <v>613.47</v>
      </c>
      <c r="H1581">
        <v>0.02</v>
      </c>
      <c r="I1581" t="s">
        <v>1351</v>
      </c>
      <c r="J1581" s="5">
        <v>1202.4012</v>
      </c>
    </row>
    <row r="1582" spans="1:10">
      <c r="A1582" t="s">
        <v>2931</v>
      </c>
      <c r="B1582" s="7">
        <v>45921</v>
      </c>
      <c r="C1582" t="s">
        <v>254</v>
      </c>
      <c r="D1582" t="s">
        <v>1189</v>
      </c>
      <c r="E1582" t="s">
        <v>1319</v>
      </c>
      <c r="F1582">
        <v>2</v>
      </c>
      <c r="G1582" s="5">
        <v>485.17</v>
      </c>
      <c r="H1582">
        <v>0.11</v>
      </c>
      <c r="I1582" t="s">
        <v>1351</v>
      </c>
      <c r="J1582" s="5">
        <v>863.60260000000005</v>
      </c>
    </row>
    <row r="1583" spans="1:10">
      <c r="A1583" t="s">
        <v>2932</v>
      </c>
      <c r="B1583" s="7">
        <v>45268</v>
      </c>
      <c r="C1583" t="s">
        <v>678</v>
      </c>
      <c r="D1583" t="s">
        <v>1165</v>
      </c>
      <c r="E1583" t="s">
        <v>1314</v>
      </c>
      <c r="F1583">
        <v>1</v>
      </c>
      <c r="G1583" s="5">
        <v>209.7</v>
      </c>
      <c r="H1583">
        <v>0.2</v>
      </c>
      <c r="I1583" t="s">
        <v>1351</v>
      </c>
      <c r="J1583" s="5">
        <v>167.76</v>
      </c>
    </row>
    <row r="1584" spans="1:10">
      <c r="A1584" t="s">
        <v>2933</v>
      </c>
      <c r="B1584" s="7">
        <v>45402</v>
      </c>
      <c r="C1584" t="s">
        <v>716</v>
      </c>
      <c r="D1584" t="s">
        <v>1257</v>
      </c>
      <c r="E1584" t="s">
        <v>1277</v>
      </c>
      <c r="F1584">
        <v>1</v>
      </c>
      <c r="G1584" s="5">
        <v>681.47</v>
      </c>
      <c r="H1584">
        <v>0.15</v>
      </c>
      <c r="I1584" t="s">
        <v>1349</v>
      </c>
      <c r="J1584" s="5">
        <v>579.24950000000001</v>
      </c>
    </row>
    <row r="1585" spans="1:10">
      <c r="A1585" t="s">
        <v>2934</v>
      </c>
      <c r="B1585" s="7">
        <v>45667</v>
      </c>
      <c r="C1585" t="s">
        <v>943</v>
      </c>
      <c r="D1585" t="s">
        <v>1225</v>
      </c>
      <c r="E1585" t="s">
        <v>1332</v>
      </c>
      <c r="F1585">
        <v>2</v>
      </c>
      <c r="G1585" s="5">
        <v>877.21</v>
      </c>
      <c r="H1585">
        <v>0.1</v>
      </c>
      <c r="I1585" t="s">
        <v>1349</v>
      </c>
      <c r="J1585" s="5">
        <v>1578.9780000000001</v>
      </c>
    </row>
    <row r="1586" spans="1:10">
      <c r="A1586" t="s">
        <v>2935</v>
      </c>
      <c r="B1586" s="7">
        <v>45902</v>
      </c>
      <c r="C1586" t="s">
        <v>700</v>
      </c>
      <c r="D1586" t="s">
        <v>1229</v>
      </c>
      <c r="E1586" t="s">
        <v>1298</v>
      </c>
      <c r="F1586">
        <v>2</v>
      </c>
      <c r="G1586" s="5">
        <v>479.77</v>
      </c>
      <c r="H1586">
        <v>0.21</v>
      </c>
      <c r="I1586" t="s">
        <v>1351</v>
      </c>
      <c r="J1586" s="5">
        <v>758.03660000000002</v>
      </c>
    </row>
    <row r="1587" spans="1:10">
      <c r="A1587" t="s">
        <v>2936</v>
      </c>
      <c r="B1587" s="7">
        <v>45589</v>
      </c>
      <c r="C1587" t="s">
        <v>708</v>
      </c>
      <c r="D1587" t="s">
        <v>1239</v>
      </c>
      <c r="E1587" t="s">
        <v>1326</v>
      </c>
      <c r="F1587">
        <v>1</v>
      </c>
      <c r="G1587" s="5">
        <v>140.72</v>
      </c>
      <c r="H1587">
        <v>0</v>
      </c>
      <c r="I1587" t="s">
        <v>1354</v>
      </c>
      <c r="J1587" s="5">
        <v>140.72</v>
      </c>
    </row>
    <row r="1588" spans="1:10">
      <c r="A1588" t="s">
        <v>2937</v>
      </c>
      <c r="B1588" s="7">
        <v>45668</v>
      </c>
      <c r="C1588" t="s">
        <v>87</v>
      </c>
      <c r="D1588" t="s">
        <v>1111</v>
      </c>
      <c r="E1588" t="s">
        <v>1301</v>
      </c>
      <c r="F1588">
        <v>2</v>
      </c>
      <c r="G1588" s="5">
        <v>764.25</v>
      </c>
      <c r="H1588">
        <v>0.23</v>
      </c>
      <c r="I1588" t="s">
        <v>1351</v>
      </c>
      <c r="J1588" s="5">
        <v>1176.9449999999999</v>
      </c>
    </row>
    <row r="1589" spans="1:10">
      <c r="A1589" t="s">
        <v>2938</v>
      </c>
      <c r="B1589" s="7">
        <v>45300</v>
      </c>
      <c r="C1589" t="s">
        <v>507</v>
      </c>
      <c r="D1589" t="s">
        <v>1239</v>
      </c>
      <c r="E1589" t="s">
        <v>1298</v>
      </c>
      <c r="F1589">
        <v>3</v>
      </c>
      <c r="G1589" s="5">
        <v>107.8</v>
      </c>
      <c r="H1589">
        <v>0.28999999999999998</v>
      </c>
      <c r="I1589" t="s">
        <v>1351</v>
      </c>
      <c r="J1589" s="5">
        <v>229.614</v>
      </c>
    </row>
    <row r="1590" spans="1:10">
      <c r="A1590" t="s">
        <v>2939</v>
      </c>
      <c r="B1590" s="7">
        <v>45757</v>
      </c>
      <c r="C1590" t="s">
        <v>355</v>
      </c>
      <c r="D1590" t="s">
        <v>1117</v>
      </c>
      <c r="E1590" t="s">
        <v>1307</v>
      </c>
      <c r="F1590">
        <v>4</v>
      </c>
      <c r="G1590" s="5">
        <v>565.37</v>
      </c>
      <c r="H1590">
        <v>7.0000000000000007E-2</v>
      </c>
      <c r="I1590" t="s">
        <v>1351</v>
      </c>
      <c r="J1590" s="5">
        <v>2103.1763999999998</v>
      </c>
    </row>
    <row r="1591" spans="1:10">
      <c r="A1591" t="s">
        <v>2940</v>
      </c>
      <c r="B1591" s="7">
        <v>45235</v>
      </c>
      <c r="C1591" t="s">
        <v>104</v>
      </c>
      <c r="D1591" t="s">
        <v>1145</v>
      </c>
      <c r="E1591" t="s">
        <v>1294</v>
      </c>
      <c r="F1591">
        <v>3</v>
      </c>
      <c r="G1591" s="5">
        <v>811.45</v>
      </c>
      <c r="H1591">
        <v>0.26</v>
      </c>
      <c r="I1591" t="s">
        <v>1349</v>
      </c>
      <c r="J1591" s="5">
        <v>1801.4190000000001</v>
      </c>
    </row>
    <row r="1592" spans="1:10">
      <c r="A1592" t="s">
        <v>2941</v>
      </c>
      <c r="B1592" s="7">
        <v>45749</v>
      </c>
      <c r="C1592" t="s">
        <v>883</v>
      </c>
      <c r="D1592" t="s">
        <v>1139</v>
      </c>
      <c r="E1592" t="s">
        <v>1338</v>
      </c>
      <c r="F1592">
        <v>4</v>
      </c>
      <c r="G1592" s="5">
        <v>62.25</v>
      </c>
      <c r="H1592">
        <v>0.11</v>
      </c>
      <c r="I1592" t="s">
        <v>1351</v>
      </c>
      <c r="J1592" s="5">
        <v>221.61</v>
      </c>
    </row>
    <row r="1593" spans="1:10">
      <c r="A1593" t="s">
        <v>2942</v>
      </c>
      <c r="B1593" s="7">
        <v>45807</v>
      </c>
      <c r="C1593" t="s">
        <v>82</v>
      </c>
      <c r="D1593" t="s">
        <v>1263</v>
      </c>
      <c r="E1593" t="s">
        <v>1314</v>
      </c>
      <c r="F1593">
        <v>1</v>
      </c>
      <c r="G1593" s="5">
        <v>749.78</v>
      </c>
      <c r="H1593">
        <v>0.03</v>
      </c>
      <c r="I1593" t="s">
        <v>1349</v>
      </c>
      <c r="J1593" s="5">
        <v>727.28659999999991</v>
      </c>
    </row>
    <row r="1594" spans="1:10">
      <c r="A1594" t="s">
        <v>2943</v>
      </c>
      <c r="B1594" s="7">
        <v>45496</v>
      </c>
      <c r="C1594" t="s">
        <v>764</v>
      </c>
      <c r="D1594" t="s">
        <v>1191</v>
      </c>
      <c r="E1594" t="s">
        <v>1298</v>
      </c>
      <c r="F1594">
        <v>3</v>
      </c>
      <c r="G1594" s="5">
        <v>630.28</v>
      </c>
      <c r="H1594">
        <v>7.0000000000000007E-2</v>
      </c>
      <c r="I1594" t="s">
        <v>1354</v>
      </c>
      <c r="J1594" s="5">
        <v>1758.4811999999999</v>
      </c>
    </row>
    <row r="1595" spans="1:10">
      <c r="A1595" t="s">
        <v>2944</v>
      </c>
      <c r="B1595" s="7">
        <v>45355</v>
      </c>
      <c r="C1595" t="s">
        <v>347</v>
      </c>
      <c r="D1595" t="s">
        <v>1133</v>
      </c>
      <c r="E1595" t="s">
        <v>1329</v>
      </c>
      <c r="F1595">
        <v>1</v>
      </c>
      <c r="G1595" s="5">
        <v>101.84</v>
      </c>
      <c r="H1595">
        <v>0.17</v>
      </c>
      <c r="I1595" t="s">
        <v>1349</v>
      </c>
      <c r="J1595" s="5">
        <v>84.527199999999993</v>
      </c>
    </row>
    <row r="1596" spans="1:10">
      <c r="A1596" t="s">
        <v>2945</v>
      </c>
      <c r="B1596" s="7">
        <v>45256</v>
      </c>
      <c r="C1596" t="s">
        <v>155</v>
      </c>
      <c r="D1596" t="s">
        <v>1121</v>
      </c>
      <c r="E1596" t="s">
        <v>1335</v>
      </c>
      <c r="F1596">
        <v>4</v>
      </c>
      <c r="G1596" s="5">
        <v>641.45000000000005</v>
      </c>
      <c r="H1596">
        <v>0.16</v>
      </c>
      <c r="I1596" t="s">
        <v>1354</v>
      </c>
      <c r="J1596" s="5">
        <v>2155.2719999999999</v>
      </c>
    </row>
    <row r="1597" spans="1:10">
      <c r="A1597" t="s">
        <v>2946</v>
      </c>
      <c r="B1597" s="7">
        <v>45849</v>
      </c>
      <c r="C1597" t="s">
        <v>1004</v>
      </c>
      <c r="D1597" t="s">
        <v>1159</v>
      </c>
      <c r="E1597" t="s">
        <v>1282</v>
      </c>
      <c r="F1597">
        <v>1</v>
      </c>
      <c r="G1597" s="5">
        <v>135.87</v>
      </c>
      <c r="H1597">
        <v>0.23</v>
      </c>
      <c r="I1597" t="s">
        <v>1351</v>
      </c>
      <c r="J1597" s="5">
        <v>104.6199</v>
      </c>
    </row>
    <row r="1598" spans="1:10">
      <c r="A1598" t="s">
        <v>2947</v>
      </c>
      <c r="B1598" s="7">
        <v>45344</v>
      </c>
      <c r="C1598" t="s">
        <v>248</v>
      </c>
      <c r="D1598" t="s">
        <v>1115</v>
      </c>
      <c r="E1598" t="s">
        <v>1301</v>
      </c>
      <c r="F1598">
        <v>1</v>
      </c>
      <c r="G1598" s="5">
        <v>388.35</v>
      </c>
      <c r="H1598">
        <v>0.01</v>
      </c>
      <c r="I1598" t="s">
        <v>1351</v>
      </c>
      <c r="J1598" s="5">
        <v>384.4665</v>
      </c>
    </row>
    <row r="1599" spans="1:10">
      <c r="A1599" t="s">
        <v>2948</v>
      </c>
      <c r="B1599" s="7">
        <v>45367</v>
      </c>
      <c r="C1599" t="s">
        <v>1033</v>
      </c>
      <c r="D1599" t="s">
        <v>1149</v>
      </c>
      <c r="E1599" t="s">
        <v>1311</v>
      </c>
      <c r="F1599">
        <v>2</v>
      </c>
      <c r="G1599" s="5">
        <v>999.08</v>
      </c>
      <c r="H1599">
        <v>0.3</v>
      </c>
      <c r="I1599" t="s">
        <v>1351</v>
      </c>
      <c r="J1599" s="5">
        <v>1398.712</v>
      </c>
    </row>
    <row r="1600" spans="1:10">
      <c r="A1600" t="s">
        <v>2949</v>
      </c>
      <c r="B1600" s="7">
        <v>45887</v>
      </c>
      <c r="C1600" t="s">
        <v>401</v>
      </c>
      <c r="D1600" t="s">
        <v>1149</v>
      </c>
      <c r="E1600" t="s">
        <v>1332</v>
      </c>
      <c r="F1600">
        <v>3</v>
      </c>
      <c r="G1600" s="5">
        <v>453.19</v>
      </c>
      <c r="H1600">
        <v>0.08</v>
      </c>
      <c r="I1600" t="s">
        <v>1354</v>
      </c>
      <c r="J1600" s="5">
        <v>1250.8044</v>
      </c>
    </row>
    <row r="1601" spans="1:10">
      <c r="A1601" t="s">
        <v>2950</v>
      </c>
      <c r="B1601" s="7">
        <v>45567</v>
      </c>
      <c r="C1601" t="s">
        <v>533</v>
      </c>
      <c r="D1601" t="s">
        <v>1233</v>
      </c>
      <c r="E1601" t="s">
        <v>1314</v>
      </c>
      <c r="F1601">
        <v>2</v>
      </c>
      <c r="G1601" s="5">
        <v>61.31</v>
      </c>
      <c r="H1601">
        <v>0.15</v>
      </c>
      <c r="I1601" t="s">
        <v>1354</v>
      </c>
      <c r="J1601" s="5">
        <v>104.227</v>
      </c>
    </row>
    <row r="1602" spans="1:10">
      <c r="A1602" t="s">
        <v>2951</v>
      </c>
      <c r="B1602" s="7">
        <v>45223</v>
      </c>
      <c r="C1602" t="s">
        <v>748</v>
      </c>
      <c r="D1602" t="s">
        <v>1235</v>
      </c>
      <c r="E1602" t="s">
        <v>1314</v>
      </c>
      <c r="F1602">
        <v>2</v>
      </c>
      <c r="G1602" s="5">
        <v>870.13</v>
      </c>
      <c r="H1602">
        <v>0.23</v>
      </c>
      <c r="I1602" t="s">
        <v>1349</v>
      </c>
      <c r="J1602" s="5">
        <v>1340.0001999999999</v>
      </c>
    </row>
    <row r="1603" spans="1:10">
      <c r="A1603" t="s">
        <v>2952</v>
      </c>
      <c r="B1603" s="7">
        <v>45664</v>
      </c>
      <c r="C1603" t="s">
        <v>182</v>
      </c>
      <c r="D1603" t="s">
        <v>1103</v>
      </c>
      <c r="E1603" t="s">
        <v>1338</v>
      </c>
      <c r="F1603">
        <v>1</v>
      </c>
      <c r="G1603" s="5">
        <v>336.51</v>
      </c>
      <c r="H1603">
        <v>0.11</v>
      </c>
      <c r="I1603" t="s">
        <v>1351</v>
      </c>
      <c r="J1603" s="5">
        <v>299.4939</v>
      </c>
    </row>
    <row r="1604" spans="1:10">
      <c r="A1604" t="s">
        <v>2953</v>
      </c>
      <c r="B1604" s="7">
        <v>45313</v>
      </c>
      <c r="C1604" t="s">
        <v>424</v>
      </c>
      <c r="D1604" t="s">
        <v>1207</v>
      </c>
      <c r="E1604" t="s">
        <v>1277</v>
      </c>
      <c r="F1604">
        <v>1</v>
      </c>
      <c r="G1604" s="5">
        <v>305.70999999999998</v>
      </c>
      <c r="H1604">
        <v>0.26</v>
      </c>
      <c r="I1604" t="s">
        <v>1354</v>
      </c>
      <c r="J1604" s="5">
        <v>226.22540000000001</v>
      </c>
    </row>
    <row r="1605" spans="1:10">
      <c r="A1605" t="s">
        <v>2954</v>
      </c>
      <c r="B1605" s="7">
        <v>45224</v>
      </c>
      <c r="C1605" t="s">
        <v>302</v>
      </c>
      <c r="D1605" t="s">
        <v>1093</v>
      </c>
      <c r="E1605" t="s">
        <v>1335</v>
      </c>
      <c r="F1605">
        <v>2</v>
      </c>
      <c r="G1605" s="5">
        <v>635.39</v>
      </c>
      <c r="H1605">
        <v>0.28999999999999998</v>
      </c>
      <c r="I1605" t="s">
        <v>1354</v>
      </c>
      <c r="J1605" s="5">
        <v>902.25379999999996</v>
      </c>
    </row>
    <row r="1606" spans="1:10">
      <c r="A1606" t="s">
        <v>2955</v>
      </c>
      <c r="B1606" s="7">
        <v>45491</v>
      </c>
      <c r="C1606" t="s">
        <v>292</v>
      </c>
      <c r="D1606" t="s">
        <v>1257</v>
      </c>
      <c r="E1606" t="s">
        <v>1338</v>
      </c>
      <c r="F1606">
        <v>2</v>
      </c>
      <c r="G1606" s="5">
        <v>253.87</v>
      </c>
      <c r="H1606">
        <v>0.23</v>
      </c>
      <c r="I1606" t="s">
        <v>1354</v>
      </c>
      <c r="J1606" s="5">
        <v>390.95979999999997</v>
      </c>
    </row>
    <row r="1607" spans="1:10">
      <c r="A1607" t="s">
        <v>2956</v>
      </c>
      <c r="B1607" s="7">
        <v>45472</v>
      </c>
      <c r="C1607" t="s">
        <v>1029</v>
      </c>
      <c r="D1607" t="s">
        <v>1225</v>
      </c>
      <c r="E1607" t="s">
        <v>1332</v>
      </c>
      <c r="F1607">
        <v>3</v>
      </c>
      <c r="G1607" s="5">
        <v>915.81</v>
      </c>
      <c r="H1607">
        <v>0.17</v>
      </c>
      <c r="I1607" t="s">
        <v>1354</v>
      </c>
      <c r="J1607" s="5">
        <v>2280.3669</v>
      </c>
    </row>
    <row r="1608" spans="1:10">
      <c r="A1608" t="s">
        <v>2957</v>
      </c>
      <c r="B1608" s="7">
        <v>45795</v>
      </c>
      <c r="C1608" t="s">
        <v>480</v>
      </c>
      <c r="D1608" t="s">
        <v>1157</v>
      </c>
      <c r="E1608" t="s">
        <v>1307</v>
      </c>
      <c r="F1608">
        <v>3</v>
      </c>
      <c r="G1608" s="5">
        <v>779.5</v>
      </c>
      <c r="H1608">
        <v>0.02</v>
      </c>
      <c r="I1608" t="s">
        <v>1349</v>
      </c>
      <c r="J1608" s="5">
        <v>2291.73</v>
      </c>
    </row>
    <row r="1609" spans="1:10">
      <c r="A1609" t="s">
        <v>2958</v>
      </c>
      <c r="B1609" s="7">
        <v>45470</v>
      </c>
      <c r="C1609" t="s">
        <v>1000</v>
      </c>
      <c r="D1609" t="s">
        <v>1195</v>
      </c>
      <c r="E1609" t="s">
        <v>1329</v>
      </c>
      <c r="F1609">
        <v>2</v>
      </c>
      <c r="G1609" s="5">
        <v>780.57</v>
      </c>
      <c r="H1609">
        <v>0.26</v>
      </c>
      <c r="I1609" t="s">
        <v>1349</v>
      </c>
      <c r="J1609" s="5">
        <v>1155.2436</v>
      </c>
    </row>
    <row r="1610" spans="1:10">
      <c r="A1610" t="s">
        <v>2959</v>
      </c>
      <c r="B1610" s="7">
        <v>45390</v>
      </c>
      <c r="C1610" t="s">
        <v>829</v>
      </c>
      <c r="D1610" t="s">
        <v>1263</v>
      </c>
      <c r="E1610" t="s">
        <v>1338</v>
      </c>
      <c r="F1610">
        <v>1</v>
      </c>
      <c r="G1610" s="5">
        <v>511.35</v>
      </c>
      <c r="H1610">
        <v>0</v>
      </c>
      <c r="I1610" t="s">
        <v>1349</v>
      </c>
      <c r="J1610" s="5">
        <v>511.35</v>
      </c>
    </row>
    <row r="1611" spans="1:10">
      <c r="A1611" t="s">
        <v>2960</v>
      </c>
      <c r="B1611" s="7">
        <v>45803</v>
      </c>
      <c r="C1611" t="s">
        <v>59</v>
      </c>
      <c r="D1611" t="s">
        <v>1267</v>
      </c>
      <c r="E1611" t="s">
        <v>1291</v>
      </c>
      <c r="F1611">
        <v>4</v>
      </c>
      <c r="G1611" s="5">
        <v>44.07</v>
      </c>
      <c r="H1611">
        <v>0.28999999999999998</v>
      </c>
      <c r="I1611" t="s">
        <v>1354</v>
      </c>
      <c r="J1611" s="5">
        <v>125.1588</v>
      </c>
    </row>
    <row r="1612" spans="1:10">
      <c r="A1612" t="s">
        <v>2961</v>
      </c>
      <c r="B1612" s="7">
        <v>45320</v>
      </c>
      <c r="C1612" t="s">
        <v>456</v>
      </c>
      <c r="D1612" t="s">
        <v>1211</v>
      </c>
      <c r="E1612" t="s">
        <v>1317</v>
      </c>
      <c r="F1612">
        <v>2</v>
      </c>
      <c r="G1612" s="5">
        <v>895.92</v>
      </c>
      <c r="H1612">
        <v>0.15</v>
      </c>
      <c r="I1612" t="s">
        <v>1349</v>
      </c>
      <c r="J1612" s="5">
        <v>1523.0640000000001</v>
      </c>
    </row>
    <row r="1613" spans="1:10">
      <c r="A1613" t="s">
        <v>2962</v>
      </c>
      <c r="B1613" s="7">
        <v>45619</v>
      </c>
      <c r="C1613" t="s">
        <v>674</v>
      </c>
      <c r="D1613" t="s">
        <v>1179</v>
      </c>
      <c r="E1613" t="s">
        <v>1286</v>
      </c>
      <c r="F1613">
        <v>4</v>
      </c>
      <c r="G1613" s="5">
        <v>456.32</v>
      </c>
      <c r="H1613">
        <v>0.22</v>
      </c>
      <c r="I1613" t="s">
        <v>1354</v>
      </c>
      <c r="J1613" s="5">
        <v>1423.7184</v>
      </c>
    </row>
    <row r="1614" spans="1:10">
      <c r="A1614" t="s">
        <v>2963</v>
      </c>
      <c r="B1614" s="7">
        <v>45777</v>
      </c>
      <c r="C1614" t="s">
        <v>903</v>
      </c>
      <c r="D1614" t="s">
        <v>1141</v>
      </c>
      <c r="E1614" t="s">
        <v>1277</v>
      </c>
      <c r="F1614">
        <v>1</v>
      </c>
      <c r="G1614" s="5">
        <v>905.5</v>
      </c>
      <c r="H1614">
        <v>0.28999999999999998</v>
      </c>
      <c r="I1614" t="s">
        <v>1354</v>
      </c>
      <c r="J1614" s="5">
        <v>642.90499999999997</v>
      </c>
    </row>
    <row r="1615" spans="1:10">
      <c r="A1615" t="s">
        <v>2964</v>
      </c>
      <c r="B1615" s="7">
        <v>45523</v>
      </c>
      <c r="C1615" t="s">
        <v>470</v>
      </c>
      <c r="D1615" t="s">
        <v>1105</v>
      </c>
      <c r="E1615" t="s">
        <v>1322</v>
      </c>
      <c r="F1615">
        <v>3</v>
      </c>
      <c r="G1615" s="5">
        <v>63.19</v>
      </c>
      <c r="H1615">
        <v>0.08</v>
      </c>
      <c r="I1615" t="s">
        <v>1349</v>
      </c>
      <c r="J1615" s="5">
        <v>174.40440000000001</v>
      </c>
    </row>
    <row r="1616" spans="1:10">
      <c r="A1616" t="s">
        <v>2965</v>
      </c>
      <c r="B1616" s="7">
        <v>45628</v>
      </c>
      <c r="C1616" t="s">
        <v>142</v>
      </c>
      <c r="D1616" t="s">
        <v>1213</v>
      </c>
      <c r="E1616" t="s">
        <v>1304</v>
      </c>
      <c r="F1616">
        <v>3</v>
      </c>
      <c r="G1616" s="5">
        <v>687.66</v>
      </c>
      <c r="H1616">
        <v>0.06</v>
      </c>
      <c r="I1616" t="s">
        <v>1351</v>
      </c>
      <c r="J1616" s="5">
        <v>1939.2012</v>
      </c>
    </row>
    <row r="1617" spans="1:10">
      <c r="A1617" t="s">
        <v>2966</v>
      </c>
      <c r="B1617" s="7">
        <v>45742</v>
      </c>
      <c r="C1617" t="s">
        <v>500</v>
      </c>
      <c r="D1617" t="s">
        <v>1159</v>
      </c>
      <c r="E1617" t="s">
        <v>1311</v>
      </c>
      <c r="F1617">
        <v>4</v>
      </c>
      <c r="G1617" s="5">
        <v>639.05999999999995</v>
      </c>
      <c r="H1617">
        <v>0.12</v>
      </c>
      <c r="I1617" t="s">
        <v>1351</v>
      </c>
      <c r="J1617" s="5">
        <v>2249.4911999999999</v>
      </c>
    </row>
    <row r="1618" spans="1:10">
      <c r="A1618" t="s">
        <v>2967</v>
      </c>
      <c r="B1618" s="7">
        <v>45456</v>
      </c>
      <c r="C1618" t="s">
        <v>182</v>
      </c>
      <c r="D1618" t="s">
        <v>1215</v>
      </c>
      <c r="E1618" t="s">
        <v>1304</v>
      </c>
      <c r="F1618">
        <v>1</v>
      </c>
      <c r="G1618" s="5">
        <v>475.15</v>
      </c>
      <c r="H1618">
        <v>0.04</v>
      </c>
      <c r="I1618" t="s">
        <v>1354</v>
      </c>
      <c r="J1618" s="5">
        <v>456.14399999999989</v>
      </c>
    </row>
    <row r="1619" spans="1:10">
      <c r="A1619" t="s">
        <v>2968</v>
      </c>
      <c r="B1619" s="7">
        <v>45534</v>
      </c>
      <c r="C1619" t="s">
        <v>442</v>
      </c>
      <c r="D1619" t="s">
        <v>1161</v>
      </c>
      <c r="E1619" t="s">
        <v>1301</v>
      </c>
      <c r="F1619">
        <v>1</v>
      </c>
      <c r="G1619" s="5">
        <v>62.38</v>
      </c>
      <c r="H1619">
        <v>0.08</v>
      </c>
      <c r="I1619" t="s">
        <v>1354</v>
      </c>
      <c r="J1619" s="5">
        <v>57.389600000000002</v>
      </c>
    </row>
    <row r="1620" spans="1:10">
      <c r="A1620" t="s">
        <v>2969</v>
      </c>
      <c r="B1620" s="7">
        <v>45375</v>
      </c>
      <c r="C1620" t="s">
        <v>771</v>
      </c>
      <c r="D1620" t="s">
        <v>1103</v>
      </c>
      <c r="E1620" t="s">
        <v>1304</v>
      </c>
      <c r="F1620">
        <v>1</v>
      </c>
      <c r="G1620" s="5">
        <v>977.02</v>
      </c>
      <c r="H1620">
        <v>0.2</v>
      </c>
      <c r="I1620" t="s">
        <v>1354</v>
      </c>
      <c r="J1620" s="5">
        <v>781.61599999999999</v>
      </c>
    </row>
    <row r="1621" spans="1:10">
      <c r="A1621" t="s">
        <v>2970</v>
      </c>
      <c r="B1621" s="7">
        <v>45546</v>
      </c>
      <c r="C1621" t="s">
        <v>199</v>
      </c>
      <c r="D1621" t="s">
        <v>1239</v>
      </c>
      <c r="E1621" t="s">
        <v>1294</v>
      </c>
      <c r="F1621">
        <v>2</v>
      </c>
      <c r="G1621" s="5">
        <v>898.81</v>
      </c>
      <c r="H1621">
        <v>0.25</v>
      </c>
      <c r="I1621" t="s">
        <v>1349</v>
      </c>
      <c r="J1621" s="5">
        <v>1348.2149999999999</v>
      </c>
    </row>
    <row r="1622" spans="1:10">
      <c r="A1622" t="s">
        <v>2971</v>
      </c>
      <c r="B1622" s="7">
        <v>45769</v>
      </c>
      <c r="C1622" t="s">
        <v>766</v>
      </c>
      <c r="D1622" t="s">
        <v>1187</v>
      </c>
      <c r="E1622" t="s">
        <v>1291</v>
      </c>
      <c r="F1622">
        <v>2</v>
      </c>
      <c r="G1622" s="5">
        <v>422.13</v>
      </c>
      <c r="H1622">
        <v>0.28000000000000003</v>
      </c>
      <c r="I1622" t="s">
        <v>1349</v>
      </c>
      <c r="J1622" s="5">
        <v>607.86720000000003</v>
      </c>
    </row>
    <row r="1623" spans="1:10">
      <c r="A1623" t="s">
        <v>2972</v>
      </c>
      <c r="B1623" s="7">
        <v>45524</v>
      </c>
      <c r="C1623" t="s">
        <v>142</v>
      </c>
      <c r="D1623" t="s">
        <v>1141</v>
      </c>
      <c r="E1623" t="s">
        <v>1317</v>
      </c>
      <c r="F1623">
        <v>1</v>
      </c>
      <c r="G1623" s="5">
        <v>324.56</v>
      </c>
      <c r="H1623">
        <v>0.03</v>
      </c>
      <c r="I1623" t="s">
        <v>1354</v>
      </c>
      <c r="J1623" s="5">
        <v>314.82319999999999</v>
      </c>
    </row>
    <row r="1624" spans="1:10">
      <c r="A1624" t="s">
        <v>2973</v>
      </c>
      <c r="B1624" s="7">
        <v>45531</v>
      </c>
      <c r="C1624" t="s">
        <v>998</v>
      </c>
      <c r="D1624" t="s">
        <v>1183</v>
      </c>
      <c r="E1624" t="s">
        <v>1329</v>
      </c>
      <c r="F1624">
        <v>4</v>
      </c>
      <c r="G1624" s="5">
        <v>570.38</v>
      </c>
      <c r="H1624">
        <v>0.26</v>
      </c>
      <c r="I1624" t="s">
        <v>1351</v>
      </c>
      <c r="J1624" s="5">
        <v>1688.3248000000001</v>
      </c>
    </row>
    <row r="1625" spans="1:10">
      <c r="A1625" t="s">
        <v>2974</v>
      </c>
      <c r="B1625" s="7">
        <v>45479</v>
      </c>
      <c r="C1625" t="s">
        <v>851</v>
      </c>
      <c r="D1625" t="s">
        <v>1141</v>
      </c>
      <c r="E1625" t="s">
        <v>1326</v>
      </c>
      <c r="F1625">
        <v>2</v>
      </c>
      <c r="G1625" s="5">
        <v>223.73</v>
      </c>
      <c r="H1625">
        <v>0.11</v>
      </c>
      <c r="I1625" t="s">
        <v>1351</v>
      </c>
      <c r="J1625" s="5">
        <v>398.23939999999999</v>
      </c>
    </row>
    <row r="1626" spans="1:10">
      <c r="A1626" t="s">
        <v>2975</v>
      </c>
      <c r="B1626" s="7">
        <v>45868</v>
      </c>
      <c r="C1626" t="s">
        <v>766</v>
      </c>
      <c r="D1626" t="s">
        <v>1245</v>
      </c>
      <c r="E1626" t="s">
        <v>1329</v>
      </c>
      <c r="F1626">
        <v>4</v>
      </c>
      <c r="G1626" s="5">
        <v>164.93</v>
      </c>
      <c r="H1626">
        <v>0.11</v>
      </c>
      <c r="I1626" t="s">
        <v>1349</v>
      </c>
      <c r="J1626" s="5">
        <v>587.1508</v>
      </c>
    </row>
    <row r="1627" spans="1:10">
      <c r="A1627" t="s">
        <v>2976</v>
      </c>
      <c r="B1627" s="7">
        <v>45569</v>
      </c>
      <c r="C1627" t="s">
        <v>561</v>
      </c>
      <c r="D1627" t="s">
        <v>1103</v>
      </c>
      <c r="E1627" t="s">
        <v>1304</v>
      </c>
      <c r="F1627">
        <v>3</v>
      </c>
      <c r="G1627" s="5">
        <v>326.66000000000003</v>
      </c>
      <c r="H1627">
        <v>0.28000000000000003</v>
      </c>
      <c r="I1627" t="s">
        <v>1354</v>
      </c>
      <c r="J1627" s="5">
        <v>705.5856</v>
      </c>
    </row>
    <row r="1628" spans="1:10">
      <c r="A1628" t="s">
        <v>2977</v>
      </c>
      <c r="B1628" s="7">
        <v>45382</v>
      </c>
      <c r="C1628" t="s">
        <v>426</v>
      </c>
      <c r="D1628" t="s">
        <v>1071</v>
      </c>
      <c r="E1628" t="s">
        <v>1326</v>
      </c>
      <c r="F1628">
        <v>2</v>
      </c>
      <c r="G1628" s="5">
        <v>462.93</v>
      </c>
      <c r="H1628">
        <v>0.17</v>
      </c>
      <c r="I1628" t="s">
        <v>1351</v>
      </c>
      <c r="J1628" s="5">
        <v>768.46379999999999</v>
      </c>
    </row>
    <row r="1629" spans="1:10">
      <c r="A1629" t="s">
        <v>2978</v>
      </c>
      <c r="B1629" s="7">
        <v>45885</v>
      </c>
      <c r="C1629" t="s">
        <v>355</v>
      </c>
      <c r="D1629" t="s">
        <v>1068</v>
      </c>
      <c r="E1629" t="s">
        <v>1329</v>
      </c>
      <c r="F1629">
        <v>3</v>
      </c>
      <c r="G1629" s="5">
        <v>60.26</v>
      </c>
      <c r="H1629">
        <v>0.04</v>
      </c>
      <c r="I1629" t="s">
        <v>1349</v>
      </c>
      <c r="J1629" s="5">
        <v>173.5488</v>
      </c>
    </row>
    <row r="1630" spans="1:10">
      <c r="A1630" t="s">
        <v>2979</v>
      </c>
      <c r="B1630" s="7">
        <v>45829</v>
      </c>
      <c r="C1630" t="s">
        <v>192</v>
      </c>
      <c r="D1630" t="s">
        <v>1141</v>
      </c>
      <c r="E1630" t="s">
        <v>1311</v>
      </c>
      <c r="F1630">
        <v>3</v>
      </c>
      <c r="G1630" s="5">
        <v>109.5</v>
      </c>
      <c r="H1630">
        <v>0.06</v>
      </c>
      <c r="I1630" t="s">
        <v>1354</v>
      </c>
      <c r="J1630" s="5">
        <v>308.79000000000002</v>
      </c>
    </row>
    <row r="1631" spans="1:10">
      <c r="A1631" t="s">
        <v>2980</v>
      </c>
      <c r="B1631" s="7">
        <v>45721</v>
      </c>
      <c r="C1631" t="s">
        <v>827</v>
      </c>
      <c r="D1631" t="s">
        <v>1213</v>
      </c>
      <c r="E1631" t="s">
        <v>1329</v>
      </c>
      <c r="F1631">
        <v>1</v>
      </c>
      <c r="G1631" s="5">
        <v>505.83</v>
      </c>
      <c r="H1631">
        <v>0.14000000000000001</v>
      </c>
      <c r="I1631" t="s">
        <v>1354</v>
      </c>
      <c r="J1631" s="5">
        <v>435.0138</v>
      </c>
    </row>
    <row r="1632" spans="1:10">
      <c r="A1632" t="s">
        <v>2981</v>
      </c>
      <c r="B1632" s="7">
        <v>45511</v>
      </c>
      <c r="C1632" t="s">
        <v>387</v>
      </c>
      <c r="D1632" t="s">
        <v>1269</v>
      </c>
      <c r="E1632" t="s">
        <v>1314</v>
      </c>
      <c r="F1632">
        <v>2</v>
      </c>
      <c r="G1632" s="5">
        <v>443.15</v>
      </c>
      <c r="H1632">
        <v>0.27</v>
      </c>
      <c r="I1632" t="s">
        <v>1351</v>
      </c>
      <c r="J1632" s="5">
        <v>646.99899999999991</v>
      </c>
    </row>
    <row r="1633" spans="1:10">
      <c r="A1633" t="s">
        <v>2982</v>
      </c>
      <c r="B1633" s="7">
        <v>45739</v>
      </c>
      <c r="C1633" t="s">
        <v>1055</v>
      </c>
      <c r="D1633" t="s">
        <v>1085</v>
      </c>
      <c r="E1633" t="s">
        <v>1304</v>
      </c>
      <c r="F1633">
        <v>2</v>
      </c>
      <c r="G1633" s="5">
        <v>784.26</v>
      </c>
      <c r="H1633">
        <v>0.23</v>
      </c>
      <c r="I1633" t="s">
        <v>1351</v>
      </c>
      <c r="J1633" s="5">
        <v>1207.7603999999999</v>
      </c>
    </row>
    <row r="1634" spans="1:10">
      <c r="A1634" t="s">
        <v>2983</v>
      </c>
      <c r="B1634" s="7">
        <v>45533</v>
      </c>
      <c r="C1634" t="s">
        <v>973</v>
      </c>
      <c r="D1634" t="s">
        <v>1151</v>
      </c>
      <c r="E1634" t="s">
        <v>1317</v>
      </c>
      <c r="F1634">
        <v>3</v>
      </c>
      <c r="G1634" s="5">
        <v>590.30999999999995</v>
      </c>
      <c r="H1634">
        <v>0.17</v>
      </c>
      <c r="I1634" t="s">
        <v>1351</v>
      </c>
      <c r="J1634" s="5">
        <v>1469.8719000000001</v>
      </c>
    </row>
    <row r="1635" spans="1:10">
      <c r="A1635" t="s">
        <v>2984</v>
      </c>
      <c r="B1635" s="7">
        <v>45553</v>
      </c>
      <c r="C1635" t="s">
        <v>300</v>
      </c>
      <c r="D1635" t="s">
        <v>1211</v>
      </c>
      <c r="E1635" t="s">
        <v>1329</v>
      </c>
      <c r="F1635">
        <v>1</v>
      </c>
      <c r="G1635" s="5">
        <v>696.13</v>
      </c>
      <c r="H1635">
        <v>0.06</v>
      </c>
      <c r="I1635" t="s">
        <v>1354</v>
      </c>
      <c r="J1635" s="5">
        <v>654.36219999999992</v>
      </c>
    </row>
    <row r="1636" spans="1:10">
      <c r="A1636" t="s">
        <v>2985</v>
      </c>
      <c r="B1636" s="7">
        <v>45341</v>
      </c>
      <c r="C1636" t="s">
        <v>267</v>
      </c>
      <c r="D1636" t="s">
        <v>1175</v>
      </c>
      <c r="E1636" t="s">
        <v>1301</v>
      </c>
      <c r="F1636">
        <v>4</v>
      </c>
      <c r="G1636" s="5">
        <v>194.39</v>
      </c>
      <c r="H1636">
        <v>0.25</v>
      </c>
      <c r="I1636" t="s">
        <v>1349</v>
      </c>
      <c r="J1636" s="5">
        <v>583.16999999999996</v>
      </c>
    </row>
    <row r="1637" spans="1:10">
      <c r="A1637" t="s">
        <v>2986</v>
      </c>
      <c r="B1637" s="7">
        <v>45430</v>
      </c>
      <c r="C1637" t="s">
        <v>724</v>
      </c>
      <c r="D1637" t="s">
        <v>1139</v>
      </c>
      <c r="E1637" t="s">
        <v>1282</v>
      </c>
      <c r="F1637">
        <v>1</v>
      </c>
      <c r="G1637" s="5">
        <v>339.7</v>
      </c>
      <c r="H1637">
        <v>0.1</v>
      </c>
      <c r="I1637" t="s">
        <v>1349</v>
      </c>
      <c r="J1637" s="5">
        <v>305.73</v>
      </c>
    </row>
    <row r="1638" spans="1:10">
      <c r="A1638" t="s">
        <v>2987</v>
      </c>
      <c r="B1638" s="7">
        <v>45912</v>
      </c>
      <c r="C1638" t="s">
        <v>138</v>
      </c>
      <c r="D1638" t="s">
        <v>1209</v>
      </c>
      <c r="E1638" t="s">
        <v>1322</v>
      </c>
      <c r="F1638">
        <v>4</v>
      </c>
      <c r="G1638" s="5">
        <v>463.16</v>
      </c>
      <c r="H1638">
        <v>0.27</v>
      </c>
      <c r="I1638" t="s">
        <v>1351</v>
      </c>
      <c r="J1638" s="5">
        <v>1352.4272000000001</v>
      </c>
    </row>
    <row r="1639" spans="1:10">
      <c r="A1639" t="s">
        <v>2988</v>
      </c>
      <c r="B1639" s="7">
        <v>45709</v>
      </c>
      <c r="C1639" t="s">
        <v>273</v>
      </c>
      <c r="D1639" t="s">
        <v>1080</v>
      </c>
      <c r="E1639" t="s">
        <v>1314</v>
      </c>
      <c r="F1639">
        <v>2</v>
      </c>
      <c r="G1639" s="5">
        <v>824.91</v>
      </c>
      <c r="H1639">
        <v>0.09</v>
      </c>
      <c r="I1639" t="s">
        <v>1349</v>
      </c>
      <c r="J1639" s="5">
        <v>1501.3362</v>
      </c>
    </row>
    <row r="1640" spans="1:10">
      <c r="A1640" t="s">
        <v>2989</v>
      </c>
      <c r="B1640" s="7">
        <v>45520</v>
      </c>
      <c r="C1640" t="s">
        <v>190</v>
      </c>
      <c r="D1640" t="s">
        <v>1080</v>
      </c>
      <c r="E1640" t="s">
        <v>1286</v>
      </c>
      <c r="F1640">
        <v>4</v>
      </c>
      <c r="G1640" s="5">
        <v>796.89</v>
      </c>
      <c r="H1640">
        <v>0.17</v>
      </c>
      <c r="I1640" t="s">
        <v>1349</v>
      </c>
      <c r="J1640" s="5">
        <v>2645.6747999999998</v>
      </c>
    </row>
    <row r="1641" spans="1:10">
      <c r="A1641" t="s">
        <v>2990</v>
      </c>
      <c r="B1641" s="7">
        <v>45478</v>
      </c>
      <c r="C1641" t="s">
        <v>543</v>
      </c>
      <c r="D1641" t="s">
        <v>1125</v>
      </c>
      <c r="E1641" t="s">
        <v>1332</v>
      </c>
      <c r="F1641">
        <v>3</v>
      </c>
      <c r="G1641" s="5">
        <v>543.92999999999995</v>
      </c>
      <c r="H1641">
        <v>0.3</v>
      </c>
      <c r="I1641" t="s">
        <v>1354</v>
      </c>
      <c r="J1641" s="5">
        <v>1142.2529999999999</v>
      </c>
    </row>
    <row r="1642" spans="1:10">
      <c r="A1642" t="s">
        <v>2991</v>
      </c>
      <c r="B1642" s="7">
        <v>45496</v>
      </c>
      <c r="C1642" t="s">
        <v>407</v>
      </c>
      <c r="D1642" t="s">
        <v>1101</v>
      </c>
      <c r="E1642" t="s">
        <v>1304</v>
      </c>
      <c r="F1642">
        <v>2</v>
      </c>
      <c r="G1642" s="5">
        <v>44.65</v>
      </c>
      <c r="H1642">
        <v>0.03</v>
      </c>
      <c r="I1642" t="s">
        <v>1351</v>
      </c>
      <c r="J1642" s="5">
        <v>86.620999999999995</v>
      </c>
    </row>
    <row r="1643" spans="1:10">
      <c r="A1643" t="s">
        <v>2992</v>
      </c>
      <c r="B1643" s="7">
        <v>45742</v>
      </c>
      <c r="C1643" t="s">
        <v>563</v>
      </c>
      <c r="D1643" t="s">
        <v>1185</v>
      </c>
      <c r="E1643" t="s">
        <v>1277</v>
      </c>
      <c r="F1643">
        <v>4</v>
      </c>
      <c r="G1643" s="5">
        <v>827.39</v>
      </c>
      <c r="H1643">
        <v>0.06</v>
      </c>
      <c r="I1643" t="s">
        <v>1354</v>
      </c>
      <c r="J1643" s="5">
        <v>3110.9863999999998</v>
      </c>
    </row>
    <row r="1644" spans="1:10">
      <c r="A1644" t="s">
        <v>2993</v>
      </c>
      <c r="B1644" s="7">
        <v>45301</v>
      </c>
      <c r="C1644" t="s">
        <v>680</v>
      </c>
      <c r="D1644" t="s">
        <v>1101</v>
      </c>
      <c r="E1644" t="s">
        <v>1319</v>
      </c>
      <c r="F1644">
        <v>2</v>
      </c>
      <c r="G1644" s="5">
        <v>403.2</v>
      </c>
      <c r="H1644">
        <v>0.21</v>
      </c>
      <c r="I1644" t="s">
        <v>1351</v>
      </c>
      <c r="J1644" s="5">
        <v>637.05600000000004</v>
      </c>
    </row>
    <row r="1645" spans="1:10">
      <c r="A1645" t="s">
        <v>2994</v>
      </c>
      <c r="B1645" s="7">
        <v>45547</v>
      </c>
      <c r="C1645" t="s">
        <v>61</v>
      </c>
      <c r="D1645" t="s">
        <v>1245</v>
      </c>
      <c r="E1645" t="s">
        <v>1322</v>
      </c>
      <c r="F1645">
        <v>4</v>
      </c>
      <c r="G1645" s="5">
        <v>292.31</v>
      </c>
      <c r="H1645">
        <v>0.27</v>
      </c>
      <c r="I1645" t="s">
        <v>1351</v>
      </c>
      <c r="J1645" s="5">
        <v>853.54520000000002</v>
      </c>
    </row>
    <row r="1646" spans="1:10">
      <c r="A1646" t="s">
        <v>2995</v>
      </c>
      <c r="B1646" s="7">
        <v>45806</v>
      </c>
      <c r="C1646" t="s">
        <v>1045</v>
      </c>
      <c r="D1646" t="s">
        <v>1074</v>
      </c>
      <c r="E1646" t="s">
        <v>1314</v>
      </c>
      <c r="F1646">
        <v>1</v>
      </c>
      <c r="G1646" s="5">
        <v>948.33</v>
      </c>
      <c r="H1646">
        <v>0.11</v>
      </c>
      <c r="I1646" t="s">
        <v>1349</v>
      </c>
      <c r="J1646" s="5">
        <v>844.01370000000009</v>
      </c>
    </row>
    <row r="1647" spans="1:10">
      <c r="A1647" t="s">
        <v>2996</v>
      </c>
      <c r="B1647" s="7">
        <v>45294</v>
      </c>
      <c r="C1647" t="s">
        <v>750</v>
      </c>
      <c r="D1647" t="s">
        <v>1151</v>
      </c>
      <c r="E1647" t="s">
        <v>1298</v>
      </c>
      <c r="F1647">
        <v>1</v>
      </c>
      <c r="G1647" s="5">
        <v>702.27</v>
      </c>
      <c r="H1647">
        <v>0.17</v>
      </c>
      <c r="I1647" t="s">
        <v>1354</v>
      </c>
      <c r="J1647" s="5">
        <v>582.88409999999999</v>
      </c>
    </row>
    <row r="1648" spans="1:10">
      <c r="A1648" t="s">
        <v>2997</v>
      </c>
      <c r="B1648" s="7">
        <v>45875</v>
      </c>
      <c r="C1648" t="s">
        <v>120</v>
      </c>
      <c r="D1648" t="s">
        <v>1133</v>
      </c>
      <c r="E1648" t="s">
        <v>1291</v>
      </c>
      <c r="F1648">
        <v>2</v>
      </c>
      <c r="G1648" s="5">
        <v>379.28</v>
      </c>
      <c r="H1648">
        <v>0.26</v>
      </c>
      <c r="I1648" t="s">
        <v>1349</v>
      </c>
      <c r="J1648" s="5">
        <v>561.33439999999996</v>
      </c>
    </row>
    <row r="1649" spans="1:10">
      <c r="A1649" t="s">
        <v>2998</v>
      </c>
      <c r="B1649" s="7">
        <v>45669</v>
      </c>
      <c r="C1649" t="s">
        <v>325</v>
      </c>
      <c r="D1649" t="s">
        <v>1167</v>
      </c>
      <c r="E1649" t="s">
        <v>1277</v>
      </c>
      <c r="F1649">
        <v>4</v>
      </c>
      <c r="G1649" s="5">
        <v>92.35</v>
      </c>
      <c r="H1649">
        <v>0.15</v>
      </c>
      <c r="I1649" t="s">
        <v>1349</v>
      </c>
      <c r="J1649" s="5">
        <v>313.99</v>
      </c>
    </row>
    <row r="1650" spans="1:10">
      <c r="A1650" t="s">
        <v>2999</v>
      </c>
      <c r="B1650" s="7">
        <v>45606</v>
      </c>
      <c r="C1650" t="s">
        <v>500</v>
      </c>
      <c r="D1650" t="s">
        <v>1151</v>
      </c>
      <c r="E1650" t="s">
        <v>1319</v>
      </c>
      <c r="F1650">
        <v>4</v>
      </c>
      <c r="G1650" s="5">
        <v>721.54</v>
      </c>
      <c r="H1650">
        <v>0.21</v>
      </c>
      <c r="I1650" t="s">
        <v>1349</v>
      </c>
      <c r="J1650" s="5">
        <v>2280.0664000000002</v>
      </c>
    </row>
    <row r="1651" spans="1:10">
      <c r="A1651" t="s">
        <v>3000</v>
      </c>
      <c r="B1651" s="7">
        <v>45787</v>
      </c>
      <c r="C1651" t="s">
        <v>150</v>
      </c>
      <c r="D1651" t="s">
        <v>1149</v>
      </c>
      <c r="E1651" t="s">
        <v>1311</v>
      </c>
      <c r="F1651">
        <v>1</v>
      </c>
      <c r="G1651" s="5">
        <v>228.69</v>
      </c>
      <c r="H1651">
        <v>0.14000000000000001</v>
      </c>
      <c r="I1651" t="s">
        <v>1349</v>
      </c>
      <c r="J1651" s="5">
        <v>196.67339999999999</v>
      </c>
    </row>
    <row r="1652" spans="1:10">
      <c r="A1652" t="s">
        <v>3001</v>
      </c>
      <c r="B1652" s="7">
        <v>45929</v>
      </c>
      <c r="C1652" t="s">
        <v>773</v>
      </c>
      <c r="D1652" t="s">
        <v>1179</v>
      </c>
      <c r="E1652" t="s">
        <v>1314</v>
      </c>
      <c r="F1652">
        <v>1</v>
      </c>
      <c r="G1652" s="5">
        <v>899.09</v>
      </c>
      <c r="H1652">
        <v>0.2</v>
      </c>
      <c r="I1652" t="s">
        <v>1351</v>
      </c>
      <c r="J1652" s="5">
        <v>719.27200000000005</v>
      </c>
    </row>
    <row r="1653" spans="1:10">
      <c r="A1653" t="s">
        <v>3002</v>
      </c>
      <c r="B1653" s="7">
        <v>45379</v>
      </c>
      <c r="C1653" t="s">
        <v>831</v>
      </c>
      <c r="D1653" t="s">
        <v>1087</v>
      </c>
      <c r="E1653" t="s">
        <v>1307</v>
      </c>
      <c r="F1653">
        <v>4</v>
      </c>
      <c r="G1653" s="5">
        <v>195.75</v>
      </c>
      <c r="H1653">
        <v>0.17</v>
      </c>
      <c r="I1653" t="s">
        <v>1349</v>
      </c>
      <c r="J1653" s="5">
        <v>649.89</v>
      </c>
    </row>
    <row r="1654" spans="1:10">
      <c r="A1654" t="s">
        <v>3003</v>
      </c>
      <c r="B1654" s="7">
        <v>45532</v>
      </c>
      <c r="C1654" t="s">
        <v>915</v>
      </c>
      <c r="D1654" t="s">
        <v>1259</v>
      </c>
      <c r="E1654" t="s">
        <v>1326</v>
      </c>
      <c r="F1654">
        <v>3</v>
      </c>
      <c r="G1654" s="5">
        <v>199.13</v>
      </c>
      <c r="H1654">
        <v>0.24</v>
      </c>
      <c r="I1654" t="s">
        <v>1349</v>
      </c>
      <c r="J1654" s="5">
        <v>454.01639999999998</v>
      </c>
    </row>
    <row r="1655" spans="1:10">
      <c r="A1655" t="s">
        <v>3004</v>
      </c>
      <c r="B1655" s="7">
        <v>45466</v>
      </c>
      <c r="C1655" t="s">
        <v>381</v>
      </c>
      <c r="D1655" t="s">
        <v>1117</v>
      </c>
      <c r="E1655" t="s">
        <v>1324</v>
      </c>
      <c r="F1655">
        <v>2</v>
      </c>
      <c r="G1655" s="5">
        <v>833.62</v>
      </c>
      <c r="H1655">
        <v>0.18</v>
      </c>
      <c r="I1655" t="s">
        <v>1349</v>
      </c>
      <c r="J1655" s="5">
        <v>1367.1368</v>
      </c>
    </row>
    <row r="1656" spans="1:10">
      <c r="A1656" t="s">
        <v>3005</v>
      </c>
      <c r="B1656" s="7">
        <v>45395</v>
      </c>
      <c r="C1656" t="s">
        <v>1029</v>
      </c>
      <c r="D1656" t="s">
        <v>1223</v>
      </c>
      <c r="E1656" t="s">
        <v>1277</v>
      </c>
      <c r="F1656">
        <v>1</v>
      </c>
      <c r="G1656" s="5">
        <v>676.26</v>
      </c>
      <c r="H1656">
        <v>0.14000000000000001</v>
      </c>
      <c r="I1656" t="s">
        <v>1349</v>
      </c>
      <c r="J1656" s="5">
        <v>581.58359999999993</v>
      </c>
    </row>
    <row r="1657" spans="1:10">
      <c r="A1657" t="s">
        <v>3006</v>
      </c>
      <c r="B1657" s="7">
        <v>45708</v>
      </c>
      <c r="C1657" t="s">
        <v>99</v>
      </c>
      <c r="D1657" t="s">
        <v>1193</v>
      </c>
      <c r="E1657" t="s">
        <v>1311</v>
      </c>
      <c r="F1657">
        <v>2</v>
      </c>
      <c r="G1657" s="5">
        <v>666.49</v>
      </c>
      <c r="H1657">
        <v>0.06</v>
      </c>
      <c r="I1657" t="s">
        <v>1349</v>
      </c>
      <c r="J1657" s="5">
        <v>1253.0011999999999</v>
      </c>
    </row>
    <row r="1658" spans="1:10">
      <c r="A1658" t="s">
        <v>3007</v>
      </c>
      <c r="B1658" s="7">
        <v>45735</v>
      </c>
      <c r="C1658" t="s">
        <v>982</v>
      </c>
      <c r="D1658" t="s">
        <v>1103</v>
      </c>
      <c r="E1658" t="s">
        <v>1294</v>
      </c>
      <c r="F1658">
        <v>3</v>
      </c>
      <c r="G1658" s="5">
        <v>471.19</v>
      </c>
      <c r="H1658">
        <v>0.28000000000000003</v>
      </c>
      <c r="I1658" t="s">
        <v>1354</v>
      </c>
      <c r="J1658" s="5">
        <v>1017.7704</v>
      </c>
    </row>
    <row r="1659" spans="1:10">
      <c r="A1659" t="s">
        <v>3008</v>
      </c>
      <c r="B1659" s="7">
        <v>45237</v>
      </c>
      <c r="C1659" t="s">
        <v>298</v>
      </c>
      <c r="D1659" t="s">
        <v>1087</v>
      </c>
      <c r="E1659" t="s">
        <v>1291</v>
      </c>
      <c r="F1659">
        <v>4</v>
      </c>
      <c r="G1659" s="5">
        <v>555.65</v>
      </c>
      <c r="H1659">
        <v>0.25</v>
      </c>
      <c r="I1659" t="s">
        <v>1354</v>
      </c>
      <c r="J1659" s="5">
        <v>1666.95</v>
      </c>
    </row>
    <row r="1660" spans="1:10">
      <c r="A1660" t="s">
        <v>3009</v>
      </c>
      <c r="B1660" s="7">
        <v>45282</v>
      </c>
      <c r="C1660" t="s">
        <v>107</v>
      </c>
      <c r="D1660" t="s">
        <v>1263</v>
      </c>
      <c r="E1660" t="s">
        <v>1324</v>
      </c>
      <c r="F1660">
        <v>2</v>
      </c>
      <c r="G1660" s="5">
        <v>100.42</v>
      </c>
      <c r="H1660">
        <v>0.06</v>
      </c>
      <c r="I1660" t="s">
        <v>1349</v>
      </c>
      <c r="J1660" s="5">
        <v>188.78960000000001</v>
      </c>
    </row>
    <row r="1661" spans="1:10">
      <c r="A1661" t="s">
        <v>3010</v>
      </c>
      <c r="B1661" s="7">
        <v>45337</v>
      </c>
      <c r="C1661" t="s">
        <v>142</v>
      </c>
      <c r="D1661" t="s">
        <v>1269</v>
      </c>
      <c r="E1661" t="s">
        <v>1335</v>
      </c>
      <c r="F1661">
        <v>3</v>
      </c>
      <c r="G1661" s="5">
        <v>981.69</v>
      </c>
      <c r="H1661">
        <v>0.05</v>
      </c>
      <c r="I1661" t="s">
        <v>1354</v>
      </c>
      <c r="J1661" s="5">
        <v>2797.8164999999999</v>
      </c>
    </row>
    <row r="1662" spans="1:10">
      <c r="A1662" t="s">
        <v>3011</v>
      </c>
      <c r="B1662" s="7">
        <v>45310</v>
      </c>
      <c r="C1662" t="s">
        <v>718</v>
      </c>
      <c r="D1662" t="s">
        <v>1093</v>
      </c>
      <c r="E1662" t="s">
        <v>1329</v>
      </c>
      <c r="F1662">
        <v>2</v>
      </c>
      <c r="G1662" s="5">
        <v>848.87</v>
      </c>
      <c r="H1662">
        <v>0.09</v>
      </c>
      <c r="I1662" t="s">
        <v>1354</v>
      </c>
      <c r="J1662" s="5">
        <v>1544.9434000000001</v>
      </c>
    </row>
    <row r="1663" spans="1:10">
      <c r="A1663" t="s">
        <v>3012</v>
      </c>
      <c r="B1663" s="7">
        <v>45230</v>
      </c>
      <c r="C1663" t="s">
        <v>813</v>
      </c>
      <c r="D1663" t="s">
        <v>1265</v>
      </c>
      <c r="E1663" t="s">
        <v>1314</v>
      </c>
      <c r="F1663">
        <v>3</v>
      </c>
      <c r="G1663" s="5">
        <v>582.32000000000005</v>
      </c>
      <c r="H1663">
        <v>0</v>
      </c>
      <c r="I1663" t="s">
        <v>1351</v>
      </c>
      <c r="J1663" s="5">
        <v>1746.96</v>
      </c>
    </row>
    <row r="1664" spans="1:10">
      <c r="A1664" t="s">
        <v>3013</v>
      </c>
      <c r="B1664" s="7">
        <v>45341</v>
      </c>
      <c r="C1664" t="s">
        <v>403</v>
      </c>
      <c r="D1664" t="s">
        <v>1171</v>
      </c>
      <c r="E1664" t="s">
        <v>1332</v>
      </c>
      <c r="F1664">
        <v>2</v>
      </c>
      <c r="G1664" s="5">
        <v>869.43</v>
      </c>
      <c r="H1664">
        <v>0.24</v>
      </c>
      <c r="I1664" t="s">
        <v>1354</v>
      </c>
      <c r="J1664" s="5">
        <v>1321.5336</v>
      </c>
    </row>
    <row r="1665" spans="1:10">
      <c r="A1665" t="s">
        <v>3014</v>
      </c>
      <c r="B1665" s="7">
        <v>45440</v>
      </c>
      <c r="C1665" t="s">
        <v>72</v>
      </c>
      <c r="D1665" t="s">
        <v>1181</v>
      </c>
      <c r="E1665" t="s">
        <v>1294</v>
      </c>
      <c r="F1665">
        <v>1</v>
      </c>
      <c r="G1665" s="5">
        <v>62.26</v>
      </c>
      <c r="H1665">
        <v>0.03</v>
      </c>
      <c r="I1665" t="s">
        <v>1354</v>
      </c>
      <c r="J1665" s="5">
        <v>60.392200000000003</v>
      </c>
    </row>
    <row r="1666" spans="1:10">
      <c r="A1666" t="s">
        <v>3015</v>
      </c>
      <c r="B1666" s="7">
        <v>45798</v>
      </c>
      <c r="C1666" t="s">
        <v>365</v>
      </c>
      <c r="D1666" t="s">
        <v>1151</v>
      </c>
      <c r="E1666" t="s">
        <v>1324</v>
      </c>
      <c r="F1666">
        <v>3</v>
      </c>
      <c r="G1666" s="5">
        <v>343.97</v>
      </c>
      <c r="H1666">
        <v>0.04</v>
      </c>
      <c r="I1666" t="s">
        <v>1354</v>
      </c>
      <c r="J1666" s="5">
        <v>990.6336</v>
      </c>
    </row>
    <row r="1667" spans="1:10">
      <c r="A1667" t="s">
        <v>3016</v>
      </c>
      <c r="B1667" s="7">
        <v>45293</v>
      </c>
      <c r="C1667" t="s">
        <v>670</v>
      </c>
      <c r="D1667" t="s">
        <v>1121</v>
      </c>
      <c r="E1667" t="s">
        <v>1319</v>
      </c>
      <c r="F1667">
        <v>3</v>
      </c>
      <c r="G1667" s="5">
        <v>304.67</v>
      </c>
      <c r="H1667">
        <v>0.11</v>
      </c>
      <c r="I1667" t="s">
        <v>1349</v>
      </c>
      <c r="J1667" s="5">
        <v>813.46889999999996</v>
      </c>
    </row>
    <row r="1668" spans="1:10">
      <c r="A1668" t="s">
        <v>3017</v>
      </c>
      <c r="B1668" s="7">
        <v>45296</v>
      </c>
      <c r="C1668" t="s">
        <v>793</v>
      </c>
      <c r="D1668" t="s">
        <v>1127</v>
      </c>
      <c r="E1668" t="s">
        <v>1311</v>
      </c>
      <c r="F1668">
        <v>4</v>
      </c>
      <c r="G1668" s="5">
        <v>208.34</v>
      </c>
      <c r="H1668">
        <v>0.01</v>
      </c>
      <c r="I1668" t="s">
        <v>1351</v>
      </c>
      <c r="J1668" s="5">
        <v>825.02639999999997</v>
      </c>
    </row>
    <row r="1669" spans="1:10">
      <c r="A1669" t="s">
        <v>3018</v>
      </c>
      <c r="B1669" s="7">
        <v>45860</v>
      </c>
      <c r="C1669" t="s">
        <v>688</v>
      </c>
      <c r="D1669" t="s">
        <v>1245</v>
      </c>
      <c r="E1669" t="s">
        <v>1282</v>
      </c>
      <c r="F1669">
        <v>1</v>
      </c>
      <c r="G1669" s="5">
        <v>119.04</v>
      </c>
      <c r="H1669">
        <v>0.13</v>
      </c>
      <c r="I1669" t="s">
        <v>1354</v>
      </c>
      <c r="J1669" s="5">
        <v>103.56480000000001</v>
      </c>
    </row>
    <row r="1670" spans="1:10">
      <c r="A1670" t="s">
        <v>3019</v>
      </c>
      <c r="B1670" s="7">
        <v>45843</v>
      </c>
      <c r="C1670" t="s">
        <v>706</v>
      </c>
      <c r="D1670" t="s">
        <v>1161</v>
      </c>
      <c r="E1670" t="s">
        <v>1311</v>
      </c>
      <c r="F1670">
        <v>4</v>
      </c>
      <c r="G1670" s="5">
        <v>791.65</v>
      </c>
      <c r="H1670">
        <v>0.06</v>
      </c>
      <c r="I1670" t="s">
        <v>1354</v>
      </c>
      <c r="J1670" s="5">
        <v>2976.6039999999998</v>
      </c>
    </row>
    <row r="1671" spans="1:10">
      <c r="A1671" t="s">
        <v>3020</v>
      </c>
      <c r="B1671" s="7">
        <v>45862</v>
      </c>
      <c r="C1671" t="s">
        <v>147</v>
      </c>
      <c r="D1671" t="s">
        <v>1101</v>
      </c>
      <c r="E1671" t="s">
        <v>1286</v>
      </c>
      <c r="F1671">
        <v>2</v>
      </c>
      <c r="G1671" s="5">
        <v>414.86</v>
      </c>
      <c r="H1671">
        <v>0.23</v>
      </c>
      <c r="I1671" t="s">
        <v>1349</v>
      </c>
      <c r="J1671" s="5">
        <v>638.88440000000003</v>
      </c>
    </row>
    <row r="1672" spans="1:10">
      <c r="A1672" t="s">
        <v>3021</v>
      </c>
      <c r="B1672" s="7">
        <v>45385</v>
      </c>
      <c r="C1672" t="s">
        <v>1018</v>
      </c>
      <c r="D1672" t="s">
        <v>1149</v>
      </c>
      <c r="E1672" t="s">
        <v>1319</v>
      </c>
      <c r="F1672">
        <v>2</v>
      </c>
      <c r="G1672" s="5">
        <v>960.81</v>
      </c>
      <c r="H1672">
        <v>0.28000000000000003</v>
      </c>
      <c r="I1672" t="s">
        <v>1351</v>
      </c>
      <c r="J1672" s="5">
        <v>1383.5663999999999</v>
      </c>
    </row>
    <row r="1673" spans="1:10">
      <c r="A1673" t="s">
        <v>3022</v>
      </c>
      <c r="B1673" s="7">
        <v>45668</v>
      </c>
      <c r="C1673" t="s">
        <v>486</v>
      </c>
      <c r="D1673" t="s">
        <v>1173</v>
      </c>
      <c r="E1673" t="s">
        <v>1294</v>
      </c>
      <c r="F1673">
        <v>4</v>
      </c>
      <c r="G1673" s="5">
        <v>943.36</v>
      </c>
      <c r="H1673">
        <v>0.18</v>
      </c>
      <c r="I1673" t="s">
        <v>1351</v>
      </c>
      <c r="J1673" s="5">
        <v>3094.2208000000001</v>
      </c>
    </row>
    <row r="1674" spans="1:10">
      <c r="A1674" t="s">
        <v>3023</v>
      </c>
      <c r="B1674" s="7">
        <v>45561</v>
      </c>
      <c r="C1674" t="s">
        <v>488</v>
      </c>
      <c r="D1674" t="s">
        <v>1076</v>
      </c>
      <c r="E1674" t="s">
        <v>1322</v>
      </c>
      <c r="F1674">
        <v>1</v>
      </c>
      <c r="G1674" s="5">
        <v>830.42</v>
      </c>
      <c r="H1674">
        <v>0.26</v>
      </c>
      <c r="I1674" t="s">
        <v>1354</v>
      </c>
      <c r="J1674" s="5">
        <v>614.51080000000002</v>
      </c>
    </row>
    <row r="1675" spans="1:10">
      <c r="A1675" t="s">
        <v>3024</v>
      </c>
      <c r="B1675" s="7">
        <v>45637</v>
      </c>
      <c r="C1675" t="s">
        <v>770</v>
      </c>
      <c r="D1675" t="s">
        <v>1207</v>
      </c>
      <c r="E1675" t="s">
        <v>1332</v>
      </c>
      <c r="F1675">
        <v>1</v>
      </c>
      <c r="G1675" s="5">
        <v>762.55</v>
      </c>
      <c r="H1675">
        <v>0.19</v>
      </c>
      <c r="I1675" t="s">
        <v>1349</v>
      </c>
      <c r="J1675" s="5">
        <v>617.66549999999995</v>
      </c>
    </row>
    <row r="1676" spans="1:10">
      <c r="A1676" t="s">
        <v>3025</v>
      </c>
      <c r="B1676" s="7">
        <v>45839</v>
      </c>
      <c r="C1676" t="s">
        <v>750</v>
      </c>
      <c r="D1676" t="s">
        <v>1221</v>
      </c>
      <c r="E1676" t="s">
        <v>1335</v>
      </c>
      <c r="F1676">
        <v>2</v>
      </c>
      <c r="G1676" s="5">
        <v>464.43</v>
      </c>
      <c r="H1676">
        <v>0.24</v>
      </c>
      <c r="I1676" t="s">
        <v>1354</v>
      </c>
      <c r="J1676" s="5">
        <v>705.93360000000007</v>
      </c>
    </row>
    <row r="1677" spans="1:10">
      <c r="A1677" t="s">
        <v>3026</v>
      </c>
      <c r="B1677" s="7">
        <v>45851</v>
      </c>
      <c r="C1677" t="s">
        <v>59</v>
      </c>
      <c r="D1677" t="s">
        <v>1201</v>
      </c>
      <c r="E1677" t="s">
        <v>1335</v>
      </c>
      <c r="F1677">
        <v>1</v>
      </c>
      <c r="G1677" s="5">
        <v>711.08</v>
      </c>
      <c r="H1677">
        <v>0.24</v>
      </c>
      <c r="I1677" t="s">
        <v>1351</v>
      </c>
      <c r="J1677" s="5">
        <v>540.42079999999999</v>
      </c>
    </row>
    <row r="1678" spans="1:10">
      <c r="A1678" t="s">
        <v>3027</v>
      </c>
      <c r="B1678" s="7">
        <v>45656</v>
      </c>
      <c r="C1678" t="s">
        <v>565</v>
      </c>
      <c r="D1678" t="s">
        <v>1163</v>
      </c>
      <c r="E1678" t="s">
        <v>1324</v>
      </c>
      <c r="F1678">
        <v>2</v>
      </c>
      <c r="G1678" s="5">
        <v>984.96</v>
      </c>
      <c r="H1678">
        <v>0.16</v>
      </c>
      <c r="I1678" t="s">
        <v>1351</v>
      </c>
      <c r="J1678" s="5">
        <v>1654.7328</v>
      </c>
    </row>
    <row r="1679" spans="1:10">
      <c r="A1679" t="s">
        <v>3028</v>
      </c>
      <c r="B1679" s="7">
        <v>45759</v>
      </c>
      <c r="C1679" t="s">
        <v>750</v>
      </c>
      <c r="D1679" t="s">
        <v>1149</v>
      </c>
      <c r="E1679" t="s">
        <v>1319</v>
      </c>
      <c r="F1679">
        <v>1</v>
      </c>
      <c r="G1679" s="5">
        <v>21.14</v>
      </c>
      <c r="H1679">
        <v>0.06</v>
      </c>
      <c r="I1679" t="s">
        <v>1354</v>
      </c>
      <c r="J1679" s="5">
        <v>19.871600000000001</v>
      </c>
    </row>
    <row r="1680" spans="1:10">
      <c r="A1680" t="s">
        <v>3029</v>
      </c>
      <c r="B1680" s="7">
        <v>45679</v>
      </c>
      <c r="C1680" t="s">
        <v>271</v>
      </c>
      <c r="D1680" t="s">
        <v>1269</v>
      </c>
      <c r="E1680" t="s">
        <v>1307</v>
      </c>
      <c r="F1680">
        <v>1</v>
      </c>
      <c r="G1680" s="5">
        <v>343.03</v>
      </c>
      <c r="H1680">
        <v>0.16</v>
      </c>
      <c r="I1680" t="s">
        <v>1349</v>
      </c>
      <c r="J1680" s="5">
        <v>288.14519999999999</v>
      </c>
    </row>
    <row r="1681" spans="1:10">
      <c r="A1681" t="s">
        <v>3030</v>
      </c>
      <c r="B1681" s="7">
        <v>45237</v>
      </c>
      <c r="C1681" t="s">
        <v>557</v>
      </c>
      <c r="D1681" t="s">
        <v>1113</v>
      </c>
      <c r="E1681" t="s">
        <v>1335</v>
      </c>
      <c r="F1681">
        <v>3</v>
      </c>
      <c r="G1681" s="5">
        <v>94.83</v>
      </c>
      <c r="H1681">
        <v>0.16</v>
      </c>
      <c r="I1681" t="s">
        <v>1354</v>
      </c>
      <c r="J1681" s="5">
        <v>238.9716</v>
      </c>
    </row>
    <row r="1682" spans="1:10">
      <c r="A1682" t="s">
        <v>3031</v>
      </c>
      <c r="B1682" s="7">
        <v>45790</v>
      </c>
      <c r="C1682" t="s">
        <v>64</v>
      </c>
      <c r="D1682" t="s">
        <v>1211</v>
      </c>
      <c r="E1682" t="s">
        <v>1338</v>
      </c>
      <c r="F1682">
        <v>3</v>
      </c>
      <c r="G1682" s="5">
        <v>74.66</v>
      </c>
      <c r="H1682">
        <v>0.03</v>
      </c>
      <c r="I1682" t="s">
        <v>1351</v>
      </c>
      <c r="J1682" s="5">
        <v>217.26060000000001</v>
      </c>
    </row>
    <row r="1683" spans="1:10">
      <c r="A1683" t="s">
        <v>3032</v>
      </c>
      <c r="B1683" s="7">
        <v>45268</v>
      </c>
      <c r="C1683" t="s">
        <v>333</v>
      </c>
      <c r="D1683" t="s">
        <v>1147</v>
      </c>
      <c r="E1683" t="s">
        <v>1326</v>
      </c>
      <c r="F1683">
        <v>3</v>
      </c>
      <c r="G1683" s="5">
        <v>281.95999999999998</v>
      </c>
      <c r="H1683">
        <v>0.01</v>
      </c>
      <c r="I1683" t="s">
        <v>1354</v>
      </c>
      <c r="J1683" s="5">
        <v>837.42119999999989</v>
      </c>
    </row>
    <row r="1684" spans="1:10">
      <c r="A1684" t="s">
        <v>3033</v>
      </c>
      <c r="B1684" s="7">
        <v>45664</v>
      </c>
      <c r="C1684" t="s">
        <v>535</v>
      </c>
      <c r="D1684" t="s">
        <v>1215</v>
      </c>
      <c r="E1684" t="s">
        <v>1335</v>
      </c>
      <c r="F1684">
        <v>4</v>
      </c>
      <c r="G1684" s="5">
        <v>622.27</v>
      </c>
      <c r="H1684">
        <v>0.02</v>
      </c>
      <c r="I1684" t="s">
        <v>1351</v>
      </c>
      <c r="J1684" s="5">
        <v>2439.2984000000001</v>
      </c>
    </row>
    <row r="1685" spans="1:10">
      <c r="A1685" t="s">
        <v>3034</v>
      </c>
      <c r="B1685" s="7">
        <v>45475</v>
      </c>
      <c r="C1685" t="s">
        <v>263</v>
      </c>
      <c r="D1685" t="s">
        <v>1147</v>
      </c>
      <c r="E1685" t="s">
        <v>1304</v>
      </c>
      <c r="F1685">
        <v>2</v>
      </c>
      <c r="G1685" s="5">
        <v>78.27</v>
      </c>
      <c r="H1685">
        <v>0.28999999999999998</v>
      </c>
      <c r="I1685" t="s">
        <v>1354</v>
      </c>
      <c r="J1685" s="5">
        <v>111.1434</v>
      </c>
    </row>
    <row r="1686" spans="1:10">
      <c r="A1686" t="s">
        <v>3035</v>
      </c>
      <c r="B1686" s="7">
        <v>45845</v>
      </c>
      <c r="C1686" t="s">
        <v>47</v>
      </c>
      <c r="D1686" t="s">
        <v>1197</v>
      </c>
      <c r="E1686" t="s">
        <v>1322</v>
      </c>
      <c r="F1686">
        <v>4</v>
      </c>
      <c r="G1686" s="5">
        <v>676.58</v>
      </c>
      <c r="H1686">
        <v>0.23</v>
      </c>
      <c r="I1686" t="s">
        <v>1354</v>
      </c>
      <c r="J1686" s="5">
        <v>2083.8663999999999</v>
      </c>
    </row>
    <row r="1687" spans="1:10">
      <c r="A1687" t="s">
        <v>3036</v>
      </c>
      <c r="B1687" s="7">
        <v>45446</v>
      </c>
      <c r="C1687" t="s">
        <v>1033</v>
      </c>
      <c r="D1687" t="s">
        <v>1135</v>
      </c>
      <c r="E1687" t="s">
        <v>1282</v>
      </c>
      <c r="F1687">
        <v>2</v>
      </c>
      <c r="G1687" s="5">
        <v>938.6</v>
      </c>
      <c r="H1687">
        <v>0.04</v>
      </c>
      <c r="I1687" t="s">
        <v>1351</v>
      </c>
      <c r="J1687" s="5">
        <v>1802.1120000000001</v>
      </c>
    </row>
    <row r="1688" spans="1:10">
      <c r="A1688" t="s">
        <v>3037</v>
      </c>
      <c r="B1688" s="7">
        <v>45761</v>
      </c>
      <c r="C1688" t="s">
        <v>773</v>
      </c>
      <c r="D1688" t="s">
        <v>1099</v>
      </c>
      <c r="E1688" t="s">
        <v>1324</v>
      </c>
      <c r="F1688">
        <v>2</v>
      </c>
      <c r="G1688" s="5">
        <v>859.47</v>
      </c>
      <c r="H1688">
        <v>0.01</v>
      </c>
      <c r="I1688" t="s">
        <v>1349</v>
      </c>
      <c r="J1688" s="5">
        <v>1701.7506000000001</v>
      </c>
    </row>
    <row r="1689" spans="1:10">
      <c r="A1689" t="s">
        <v>3038</v>
      </c>
      <c r="B1689" s="7">
        <v>45363</v>
      </c>
      <c r="C1689" t="s">
        <v>159</v>
      </c>
      <c r="D1689" t="s">
        <v>1127</v>
      </c>
      <c r="E1689" t="s">
        <v>1324</v>
      </c>
      <c r="F1689">
        <v>3</v>
      </c>
      <c r="G1689" s="5">
        <v>672.98</v>
      </c>
      <c r="H1689">
        <v>0.23</v>
      </c>
      <c r="I1689" t="s">
        <v>1351</v>
      </c>
      <c r="J1689" s="5">
        <v>1554.5838000000001</v>
      </c>
    </row>
    <row r="1690" spans="1:10">
      <c r="A1690" t="s">
        <v>3039</v>
      </c>
      <c r="B1690" s="7">
        <v>45420</v>
      </c>
      <c r="C1690" t="s">
        <v>474</v>
      </c>
      <c r="D1690" t="s">
        <v>1185</v>
      </c>
      <c r="E1690" t="s">
        <v>1335</v>
      </c>
      <c r="F1690">
        <v>1</v>
      </c>
      <c r="G1690" s="5">
        <v>75.8</v>
      </c>
      <c r="H1690">
        <v>0.28999999999999998</v>
      </c>
      <c r="I1690" t="s">
        <v>1351</v>
      </c>
      <c r="J1690" s="5">
        <v>53.817999999999998</v>
      </c>
    </row>
    <row r="1691" spans="1:10">
      <c r="A1691" t="s">
        <v>3040</v>
      </c>
      <c r="B1691" s="7">
        <v>45536</v>
      </c>
      <c r="C1691" t="s">
        <v>104</v>
      </c>
      <c r="D1691" t="s">
        <v>1107</v>
      </c>
      <c r="E1691" t="s">
        <v>1326</v>
      </c>
      <c r="F1691">
        <v>4</v>
      </c>
      <c r="G1691" s="5">
        <v>742.15</v>
      </c>
      <c r="H1691">
        <v>0.1</v>
      </c>
      <c r="I1691" t="s">
        <v>1354</v>
      </c>
      <c r="J1691" s="5">
        <v>2671.74</v>
      </c>
    </row>
    <row r="1692" spans="1:10">
      <c r="A1692" t="s">
        <v>3041</v>
      </c>
      <c r="B1692" s="7">
        <v>45445</v>
      </c>
      <c r="C1692" t="s">
        <v>194</v>
      </c>
      <c r="D1692" t="s">
        <v>1133</v>
      </c>
      <c r="E1692" t="s">
        <v>1304</v>
      </c>
      <c r="F1692">
        <v>1</v>
      </c>
      <c r="G1692" s="5">
        <v>637.39</v>
      </c>
      <c r="H1692">
        <v>0.22</v>
      </c>
      <c r="I1692" t="s">
        <v>1351</v>
      </c>
      <c r="J1692" s="5">
        <v>497.16419999999999</v>
      </c>
    </row>
    <row r="1693" spans="1:10">
      <c r="A1693" t="s">
        <v>3042</v>
      </c>
      <c r="B1693" s="7">
        <v>45230</v>
      </c>
      <c r="C1693" t="s">
        <v>845</v>
      </c>
      <c r="D1693" t="s">
        <v>1082</v>
      </c>
      <c r="E1693" t="s">
        <v>1332</v>
      </c>
      <c r="F1693">
        <v>1</v>
      </c>
      <c r="G1693" s="5">
        <v>631</v>
      </c>
      <c r="H1693">
        <v>0.04</v>
      </c>
      <c r="I1693" t="s">
        <v>1349</v>
      </c>
      <c r="J1693" s="5">
        <v>605.76</v>
      </c>
    </row>
    <row r="1694" spans="1:10">
      <c r="A1694" t="s">
        <v>3043</v>
      </c>
      <c r="B1694" s="7">
        <v>45916</v>
      </c>
      <c r="C1694" t="s">
        <v>849</v>
      </c>
      <c r="D1694" t="s">
        <v>1233</v>
      </c>
      <c r="E1694" t="s">
        <v>1291</v>
      </c>
      <c r="F1694">
        <v>4</v>
      </c>
      <c r="G1694" s="5">
        <v>983.98</v>
      </c>
      <c r="H1694">
        <v>0.11</v>
      </c>
      <c r="I1694" t="s">
        <v>1354</v>
      </c>
      <c r="J1694" s="5">
        <v>3502.9688000000001</v>
      </c>
    </row>
    <row r="1695" spans="1:10">
      <c r="A1695" t="s">
        <v>3044</v>
      </c>
      <c r="B1695" s="7">
        <v>45353</v>
      </c>
      <c r="C1695" t="s">
        <v>152</v>
      </c>
      <c r="D1695" t="s">
        <v>1183</v>
      </c>
      <c r="E1695" t="s">
        <v>1317</v>
      </c>
      <c r="F1695">
        <v>4</v>
      </c>
      <c r="G1695" s="5">
        <v>73.69</v>
      </c>
      <c r="H1695">
        <v>0.08</v>
      </c>
      <c r="I1695" t="s">
        <v>1349</v>
      </c>
      <c r="J1695" s="5">
        <v>271.17919999999998</v>
      </c>
    </row>
    <row r="1696" spans="1:10">
      <c r="A1696" t="s">
        <v>3045</v>
      </c>
      <c r="B1696" s="7">
        <v>45490</v>
      </c>
      <c r="C1696" t="s">
        <v>929</v>
      </c>
      <c r="D1696" t="s">
        <v>1095</v>
      </c>
      <c r="E1696" t="s">
        <v>1304</v>
      </c>
      <c r="F1696">
        <v>3</v>
      </c>
      <c r="G1696" s="5">
        <v>110.99</v>
      </c>
      <c r="H1696">
        <v>0.21</v>
      </c>
      <c r="I1696" t="s">
        <v>1349</v>
      </c>
      <c r="J1696" s="5">
        <v>263.04629999999997</v>
      </c>
    </row>
    <row r="1697" spans="1:10">
      <c r="A1697" t="s">
        <v>3046</v>
      </c>
      <c r="B1697" s="7">
        <v>45850</v>
      </c>
      <c r="C1697" t="s">
        <v>220</v>
      </c>
      <c r="D1697" t="s">
        <v>1093</v>
      </c>
      <c r="E1697" t="s">
        <v>1304</v>
      </c>
      <c r="F1697">
        <v>1</v>
      </c>
      <c r="G1697" s="5">
        <v>66.86</v>
      </c>
      <c r="H1697">
        <v>0.22</v>
      </c>
      <c r="I1697" t="s">
        <v>1354</v>
      </c>
      <c r="J1697" s="5">
        <v>52.150799999999997</v>
      </c>
    </row>
    <row r="1698" spans="1:10">
      <c r="A1698" t="s">
        <v>3047</v>
      </c>
      <c r="B1698" s="7">
        <v>45515</v>
      </c>
      <c r="C1698" t="s">
        <v>897</v>
      </c>
      <c r="D1698" t="s">
        <v>1207</v>
      </c>
      <c r="E1698" t="s">
        <v>1335</v>
      </c>
      <c r="F1698">
        <v>1</v>
      </c>
      <c r="G1698" s="5">
        <v>980.26</v>
      </c>
      <c r="H1698">
        <v>0.14000000000000001</v>
      </c>
      <c r="I1698" t="s">
        <v>1351</v>
      </c>
      <c r="J1698" s="5">
        <v>843.02359999999999</v>
      </c>
    </row>
    <row r="1699" spans="1:10">
      <c r="A1699" t="s">
        <v>3048</v>
      </c>
      <c r="B1699" s="7">
        <v>45322</v>
      </c>
      <c r="C1699" t="s">
        <v>111</v>
      </c>
      <c r="D1699" t="s">
        <v>1109</v>
      </c>
      <c r="E1699" t="s">
        <v>1335</v>
      </c>
      <c r="F1699">
        <v>1</v>
      </c>
      <c r="G1699" s="5">
        <v>235.28</v>
      </c>
      <c r="H1699">
        <v>0.05</v>
      </c>
      <c r="I1699" t="s">
        <v>1351</v>
      </c>
      <c r="J1699" s="5">
        <v>223.51599999999999</v>
      </c>
    </row>
    <row r="1700" spans="1:10">
      <c r="A1700" t="s">
        <v>3049</v>
      </c>
      <c r="B1700" s="7">
        <v>45542</v>
      </c>
      <c r="C1700" t="s">
        <v>895</v>
      </c>
      <c r="D1700" t="s">
        <v>1068</v>
      </c>
      <c r="E1700" t="s">
        <v>1326</v>
      </c>
      <c r="F1700">
        <v>3</v>
      </c>
      <c r="G1700" s="5">
        <v>407.39</v>
      </c>
      <c r="H1700">
        <v>0.08</v>
      </c>
      <c r="I1700" t="s">
        <v>1351</v>
      </c>
      <c r="J1700" s="5">
        <v>1124.3964000000001</v>
      </c>
    </row>
    <row r="1701" spans="1:10">
      <c r="A1701" t="s">
        <v>3050</v>
      </c>
      <c r="B1701" s="7">
        <v>45675</v>
      </c>
      <c r="C1701" t="s">
        <v>185</v>
      </c>
      <c r="D1701" t="s">
        <v>1127</v>
      </c>
      <c r="E1701" t="s">
        <v>1324</v>
      </c>
      <c r="F1701">
        <v>4</v>
      </c>
      <c r="G1701" s="5">
        <v>459.83</v>
      </c>
      <c r="H1701">
        <v>0.12</v>
      </c>
      <c r="I1701" t="s">
        <v>1354</v>
      </c>
      <c r="J1701" s="5">
        <v>1618.6016</v>
      </c>
    </row>
    <row r="1702" spans="1:10">
      <c r="A1702" t="s">
        <v>3051</v>
      </c>
      <c r="B1702" s="7">
        <v>45333</v>
      </c>
      <c r="C1702" t="s">
        <v>355</v>
      </c>
      <c r="D1702" t="s">
        <v>1259</v>
      </c>
      <c r="E1702" t="s">
        <v>1294</v>
      </c>
      <c r="F1702">
        <v>3</v>
      </c>
      <c r="G1702" s="5">
        <v>706.6</v>
      </c>
      <c r="H1702">
        <v>0.17</v>
      </c>
      <c r="I1702" t="s">
        <v>1351</v>
      </c>
      <c r="J1702" s="5">
        <v>1759.434</v>
      </c>
    </row>
    <row r="1703" spans="1:10">
      <c r="A1703" t="s">
        <v>3052</v>
      </c>
      <c r="B1703" s="7">
        <v>45819</v>
      </c>
      <c r="C1703" t="s">
        <v>986</v>
      </c>
      <c r="D1703" t="s">
        <v>1255</v>
      </c>
      <c r="E1703" t="s">
        <v>1338</v>
      </c>
      <c r="F1703">
        <v>3</v>
      </c>
      <c r="G1703" s="5">
        <v>811.16</v>
      </c>
      <c r="H1703">
        <v>0.1</v>
      </c>
      <c r="I1703" t="s">
        <v>1354</v>
      </c>
      <c r="J1703" s="5">
        <v>2190.1320000000001</v>
      </c>
    </row>
    <row r="1704" spans="1:10">
      <c r="A1704" t="s">
        <v>3053</v>
      </c>
      <c r="B1704" s="7">
        <v>45268</v>
      </c>
      <c r="C1704" t="s">
        <v>496</v>
      </c>
      <c r="D1704" t="s">
        <v>1147</v>
      </c>
      <c r="E1704" t="s">
        <v>1304</v>
      </c>
      <c r="F1704">
        <v>2</v>
      </c>
      <c r="G1704" s="5">
        <v>985.79</v>
      </c>
      <c r="H1704">
        <v>0.04</v>
      </c>
      <c r="I1704" t="s">
        <v>1351</v>
      </c>
      <c r="J1704" s="5">
        <v>1892.7167999999999</v>
      </c>
    </row>
    <row r="1705" spans="1:10">
      <c r="A1705" t="s">
        <v>3054</v>
      </c>
      <c r="B1705" s="7">
        <v>45521</v>
      </c>
      <c r="C1705" t="s">
        <v>436</v>
      </c>
      <c r="D1705" t="s">
        <v>1139</v>
      </c>
      <c r="E1705" t="s">
        <v>1324</v>
      </c>
      <c r="F1705">
        <v>1</v>
      </c>
      <c r="G1705" s="5">
        <v>255.02</v>
      </c>
      <c r="H1705">
        <v>0.3</v>
      </c>
      <c r="I1705" t="s">
        <v>1349</v>
      </c>
      <c r="J1705" s="5">
        <v>178.51400000000001</v>
      </c>
    </row>
    <row r="1706" spans="1:10">
      <c r="A1706" t="s">
        <v>3055</v>
      </c>
      <c r="B1706" s="7">
        <v>45693</v>
      </c>
      <c r="C1706" t="s">
        <v>248</v>
      </c>
      <c r="D1706" t="s">
        <v>1111</v>
      </c>
      <c r="E1706" t="s">
        <v>1307</v>
      </c>
      <c r="F1706">
        <v>1</v>
      </c>
      <c r="G1706" s="5">
        <v>153.57</v>
      </c>
      <c r="H1706">
        <v>0.01</v>
      </c>
      <c r="I1706" t="s">
        <v>1351</v>
      </c>
      <c r="J1706" s="5">
        <v>152.0343</v>
      </c>
    </row>
    <row r="1707" spans="1:10">
      <c r="A1707" t="s">
        <v>3056</v>
      </c>
      <c r="B1707" s="7">
        <v>45734</v>
      </c>
      <c r="C1707" t="s">
        <v>569</v>
      </c>
      <c r="D1707" t="s">
        <v>1159</v>
      </c>
      <c r="E1707" t="s">
        <v>1335</v>
      </c>
      <c r="F1707">
        <v>3</v>
      </c>
      <c r="G1707" s="5">
        <v>962.98</v>
      </c>
      <c r="H1707">
        <v>0.21</v>
      </c>
      <c r="I1707" t="s">
        <v>1349</v>
      </c>
      <c r="J1707" s="5">
        <v>2282.2626</v>
      </c>
    </row>
    <row r="1708" spans="1:10">
      <c r="A1708" t="s">
        <v>3057</v>
      </c>
      <c r="B1708" s="7">
        <v>45377</v>
      </c>
      <c r="C1708" t="s">
        <v>159</v>
      </c>
      <c r="D1708" t="s">
        <v>1161</v>
      </c>
      <c r="E1708" t="s">
        <v>1307</v>
      </c>
      <c r="F1708">
        <v>3</v>
      </c>
      <c r="G1708" s="5">
        <v>884.46</v>
      </c>
      <c r="H1708">
        <v>0.25</v>
      </c>
      <c r="I1708" t="s">
        <v>1349</v>
      </c>
      <c r="J1708" s="5">
        <v>1990.0350000000001</v>
      </c>
    </row>
    <row r="1709" spans="1:10">
      <c r="A1709" t="s">
        <v>3058</v>
      </c>
      <c r="B1709" s="7">
        <v>45778</v>
      </c>
      <c r="C1709" t="s">
        <v>937</v>
      </c>
      <c r="D1709" t="s">
        <v>1207</v>
      </c>
      <c r="E1709" t="s">
        <v>1314</v>
      </c>
      <c r="F1709">
        <v>4</v>
      </c>
      <c r="G1709" s="5">
        <v>359.71</v>
      </c>
      <c r="H1709">
        <v>0.05</v>
      </c>
      <c r="I1709" t="s">
        <v>1351</v>
      </c>
      <c r="J1709" s="5">
        <v>1366.8979999999999</v>
      </c>
    </row>
    <row r="1710" spans="1:10">
      <c r="A1710" t="s">
        <v>3059</v>
      </c>
      <c r="B1710" s="7">
        <v>45715</v>
      </c>
      <c r="C1710" t="s">
        <v>145</v>
      </c>
      <c r="D1710" t="s">
        <v>1173</v>
      </c>
      <c r="E1710" t="s">
        <v>1294</v>
      </c>
      <c r="F1710">
        <v>3</v>
      </c>
      <c r="G1710" s="5">
        <v>766.47</v>
      </c>
      <c r="H1710">
        <v>0.18</v>
      </c>
      <c r="I1710" t="s">
        <v>1349</v>
      </c>
      <c r="J1710" s="5">
        <v>1885.5162</v>
      </c>
    </row>
    <row r="1711" spans="1:10">
      <c r="A1711" t="s">
        <v>3060</v>
      </c>
      <c r="B1711" s="7">
        <v>45492</v>
      </c>
      <c r="C1711" t="s">
        <v>509</v>
      </c>
      <c r="D1711" t="s">
        <v>1185</v>
      </c>
      <c r="E1711" t="s">
        <v>1335</v>
      </c>
      <c r="F1711">
        <v>1</v>
      </c>
      <c r="G1711" s="5">
        <v>772.07</v>
      </c>
      <c r="H1711">
        <v>0.26</v>
      </c>
      <c r="I1711" t="s">
        <v>1351</v>
      </c>
      <c r="J1711" s="5">
        <v>571.33180000000004</v>
      </c>
    </row>
    <row r="1712" spans="1:10">
      <c r="A1712" t="s">
        <v>3061</v>
      </c>
      <c r="B1712" s="7">
        <v>45292</v>
      </c>
      <c r="C1712" t="s">
        <v>618</v>
      </c>
      <c r="D1712" t="s">
        <v>1111</v>
      </c>
      <c r="E1712" t="s">
        <v>1298</v>
      </c>
      <c r="F1712">
        <v>3</v>
      </c>
      <c r="G1712" s="5">
        <v>108.31</v>
      </c>
      <c r="H1712">
        <v>0.26</v>
      </c>
      <c r="I1712" t="s">
        <v>1354</v>
      </c>
      <c r="J1712" s="5">
        <v>240.44820000000001</v>
      </c>
    </row>
    <row r="1713" spans="1:10">
      <c r="A1713" t="s">
        <v>3062</v>
      </c>
      <c r="B1713" s="7">
        <v>45316</v>
      </c>
      <c r="C1713" t="s">
        <v>498</v>
      </c>
      <c r="D1713" t="s">
        <v>1231</v>
      </c>
      <c r="E1713" t="s">
        <v>1301</v>
      </c>
      <c r="F1713">
        <v>1</v>
      </c>
      <c r="G1713" s="5">
        <v>502.53</v>
      </c>
      <c r="H1713">
        <v>0</v>
      </c>
      <c r="I1713" t="s">
        <v>1351</v>
      </c>
      <c r="J1713" s="5">
        <v>502.53</v>
      </c>
    </row>
    <row r="1714" spans="1:10">
      <c r="A1714" t="s">
        <v>3063</v>
      </c>
      <c r="B1714" s="7">
        <v>45548</v>
      </c>
      <c r="C1714" t="s">
        <v>204</v>
      </c>
      <c r="D1714" t="s">
        <v>1071</v>
      </c>
      <c r="E1714" t="s">
        <v>1329</v>
      </c>
      <c r="F1714">
        <v>2</v>
      </c>
      <c r="G1714" s="5">
        <v>508.52</v>
      </c>
      <c r="H1714">
        <v>0.11</v>
      </c>
      <c r="I1714" t="s">
        <v>1354</v>
      </c>
      <c r="J1714" s="5">
        <v>905.16559999999993</v>
      </c>
    </row>
    <row r="1715" spans="1:10">
      <c r="A1715" t="s">
        <v>3064</v>
      </c>
      <c r="B1715" s="7">
        <v>45572</v>
      </c>
      <c r="C1715" t="s">
        <v>998</v>
      </c>
      <c r="D1715" t="s">
        <v>1221</v>
      </c>
      <c r="E1715" t="s">
        <v>1291</v>
      </c>
      <c r="F1715">
        <v>1</v>
      </c>
      <c r="G1715" s="5">
        <v>492</v>
      </c>
      <c r="H1715">
        <v>0.26</v>
      </c>
      <c r="I1715" t="s">
        <v>1351</v>
      </c>
      <c r="J1715" s="5">
        <v>364.08</v>
      </c>
    </row>
    <row r="1716" spans="1:10">
      <c r="A1716" t="s">
        <v>3065</v>
      </c>
      <c r="B1716" s="7">
        <v>45347</v>
      </c>
      <c r="C1716" t="s">
        <v>1031</v>
      </c>
      <c r="D1716" t="s">
        <v>1147</v>
      </c>
      <c r="E1716" t="s">
        <v>1324</v>
      </c>
      <c r="F1716">
        <v>4</v>
      </c>
      <c r="G1716" s="5">
        <v>746.36</v>
      </c>
      <c r="H1716">
        <v>0.02</v>
      </c>
      <c r="I1716" t="s">
        <v>1349</v>
      </c>
      <c r="J1716" s="5">
        <v>2925.7312000000002</v>
      </c>
    </row>
    <row r="1717" spans="1:10">
      <c r="A1717" t="s">
        <v>3066</v>
      </c>
      <c r="B1717" s="7">
        <v>45823</v>
      </c>
      <c r="C1717" t="s">
        <v>929</v>
      </c>
      <c r="D1717" t="s">
        <v>1097</v>
      </c>
      <c r="E1717" t="s">
        <v>1282</v>
      </c>
      <c r="F1717">
        <v>1</v>
      </c>
      <c r="G1717" s="5">
        <v>120.83</v>
      </c>
      <c r="H1717">
        <v>0.08</v>
      </c>
      <c r="I1717" t="s">
        <v>1349</v>
      </c>
      <c r="J1717" s="5">
        <v>111.1636</v>
      </c>
    </row>
    <row r="1718" spans="1:10">
      <c r="A1718" t="s">
        <v>3067</v>
      </c>
      <c r="B1718" s="7">
        <v>45394</v>
      </c>
      <c r="C1718" t="s">
        <v>861</v>
      </c>
      <c r="D1718" t="s">
        <v>1227</v>
      </c>
      <c r="E1718" t="s">
        <v>1335</v>
      </c>
      <c r="F1718">
        <v>2</v>
      </c>
      <c r="G1718" s="5">
        <v>68.31</v>
      </c>
      <c r="H1718">
        <v>0.28999999999999998</v>
      </c>
      <c r="I1718" t="s">
        <v>1354</v>
      </c>
      <c r="J1718" s="5">
        <v>97.000199999999992</v>
      </c>
    </row>
    <row r="1719" spans="1:10">
      <c r="A1719" t="s">
        <v>3068</v>
      </c>
      <c r="B1719" s="7">
        <v>45265</v>
      </c>
      <c r="C1719" t="s">
        <v>170</v>
      </c>
      <c r="D1719" t="s">
        <v>1117</v>
      </c>
      <c r="E1719" t="s">
        <v>1335</v>
      </c>
      <c r="F1719">
        <v>2</v>
      </c>
      <c r="G1719" s="5">
        <v>761.71</v>
      </c>
      <c r="H1719">
        <v>0.02</v>
      </c>
      <c r="I1719" t="s">
        <v>1351</v>
      </c>
      <c r="J1719" s="5">
        <v>1492.9516000000001</v>
      </c>
    </row>
    <row r="1720" spans="1:10">
      <c r="A1720" t="s">
        <v>3069</v>
      </c>
      <c r="B1720" s="7">
        <v>45261</v>
      </c>
      <c r="C1720" t="s">
        <v>180</v>
      </c>
      <c r="D1720" t="s">
        <v>1229</v>
      </c>
      <c r="E1720" t="s">
        <v>1291</v>
      </c>
      <c r="F1720">
        <v>4</v>
      </c>
      <c r="G1720" s="5">
        <v>346.37</v>
      </c>
      <c r="H1720">
        <v>0.18</v>
      </c>
      <c r="I1720" t="s">
        <v>1354</v>
      </c>
      <c r="J1720" s="5">
        <v>1136.0935999999999</v>
      </c>
    </row>
    <row r="1721" spans="1:10">
      <c r="A1721" t="s">
        <v>3070</v>
      </c>
      <c r="B1721" s="7">
        <v>45702</v>
      </c>
      <c r="C1721" t="s">
        <v>33</v>
      </c>
      <c r="D1721" t="s">
        <v>1183</v>
      </c>
      <c r="E1721" t="s">
        <v>1319</v>
      </c>
      <c r="F1721">
        <v>1</v>
      </c>
      <c r="G1721" s="5">
        <v>846.3</v>
      </c>
      <c r="H1721">
        <v>0.14000000000000001</v>
      </c>
      <c r="I1721" t="s">
        <v>1351</v>
      </c>
      <c r="J1721" s="5">
        <v>727.81799999999998</v>
      </c>
    </row>
    <row r="1722" spans="1:10">
      <c r="A1722" t="s">
        <v>3071</v>
      </c>
      <c r="B1722" s="7">
        <v>45624</v>
      </c>
      <c r="C1722" t="s">
        <v>927</v>
      </c>
      <c r="D1722" t="s">
        <v>1068</v>
      </c>
      <c r="E1722" t="s">
        <v>1338</v>
      </c>
      <c r="F1722">
        <v>1</v>
      </c>
      <c r="G1722" s="5">
        <v>458.97</v>
      </c>
      <c r="H1722">
        <v>0.1</v>
      </c>
      <c r="I1722" t="s">
        <v>1351</v>
      </c>
      <c r="J1722" s="5">
        <v>413.07299999999998</v>
      </c>
    </row>
    <row r="1723" spans="1:10">
      <c r="A1723" t="s">
        <v>3072</v>
      </c>
      <c r="B1723" s="7">
        <v>45736</v>
      </c>
      <c r="C1723" t="s">
        <v>642</v>
      </c>
      <c r="D1723" t="s">
        <v>1159</v>
      </c>
      <c r="E1723" t="s">
        <v>1304</v>
      </c>
      <c r="F1723">
        <v>2</v>
      </c>
      <c r="G1723" s="5">
        <v>536.61</v>
      </c>
      <c r="H1723">
        <v>0.14000000000000001</v>
      </c>
      <c r="I1723" t="s">
        <v>1349</v>
      </c>
      <c r="J1723" s="5">
        <v>922.9692</v>
      </c>
    </row>
    <row r="1724" spans="1:10">
      <c r="A1724" t="s">
        <v>3073</v>
      </c>
      <c r="B1724" s="7">
        <v>45709</v>
      </c>
      <c r="C1724" t="s">
        <v>903</v>
      </c>
      <c r="D1724" t="s">
        <v>1189</v>
      </c>
      <c r="E1724" t="s">
        <v>1277</v>
      </c>
      <c r="F1724">
        <v>3</v>
      </c>
      <c r="G1724" s="5">
        <v>130.41</v>
      </c>
      <c r="H1724">
        <v>0.14000000000000001</v>
      </c>
      <c r="I1724" t="s">
        <v>1351</v>
      </c>
      <c r="J1724" s="5">
        <v>336.45780000000002</v>
      </c>
    </row>
    <row r="1725" spans="1:10">
      <c r="A1725" t="s">
        <v>3074</v>
      </c>
      <c r="B1725" s="7">
        <v>45738</v>
      </c>
      <c r="C1725" t="s">
        <v>1053</v>
      </c>
      <c r="D1725" t="s">
        <v>1251</v>
      </c>
      <c r="E1725" t="s">
        <v>1319</v>
      </c>
      <c r="F1725">
        <v>4</v>
      </c>
      <c r="G1725" s="5">
        <v>706.67</v>
      </c>
      <c r="H1725">
        <v>0.01</v>
      </c>
      <c r="I1725" t="s">
        <v>1349</v>
      </c>
      <c r="J1725" s="5">
        <v>2798.4132</v>
      </c>
    </row>
    <row r="1726" spans="1:10">
      <c r="A1726" t="s">
        <v>3075</v>
      </c>
      <c r="B1726" s="7">
        <v>45685</v>
      </c>
      <c r="C1726" t="s">
        <v>847</v>
      </c>
      <c r="D1726" t="s">
        <v>1127</v>
      </c>
      <c r="E1726" t="s">
        <v>1291</v>
      </c>
      <c r="F1726">
        <v>3</v>
      </c>
      <c r="G1726" s="5">
        <v>523.45000000000005</v>
      </c>
      <c r="H1726">
        <v>0.17</v>
      </c>
      <c r="I1726" t="s">
        <v>1349</v>
      </c>
      <c r="J1726" s="5">
        <v>1303.3905</v>
      </c>
    </row>
    <row r="1727" spans="1:10">
      <c r="A1727" t="s">
        <v>3076</v>
      </c>
      <c r="B1727" s="7">
        <v>45701</v>
      </c>
      <c r="C1727" t="s">
        <v>39</v>
      </c>
      <c r="D1727" t="s">
        <v>1255</v>
      </c>
      <c r="E1727" t="s">
        <v>1335</v>
      </c>
      <c r="F1727">
        <v>3</v>
      </c>
      <c r="G1727" s="5">
        <v>482.2</v>
      </c>
      <c r="H1727">
        <v>0.23</v>
      </c>
      <c r="I1727" t="s">
        <v>1354</v>
      </c>
      <c r="J1727" s="5">
        <v>1113.8820000000001</v>
      </c>
    </row>
    <row r="1728" spans="1:10">
      <c r="A1728" t="s">
        <v>3077</v>
      </c>
      <c r="B1728" s="7">
        <v>45745</v>
      </c>
      <c r="C1728" t="s">
        <v>308</v>
      </c>
      <c r="D1728" t="s">
        <v>1199</v>
      </c>
      <c r="E1728" t="s">
        <v>1298</v>
      </c>
      <c r="F1728">
        <v>4</v>
      </c>
      <c r="G1728" s="5">
        <v>688.86</v>
      </c>
      <c r="H1728">
        <v>0.02</v>
      </c>
      <c r="I1728" t="s">
        <v>1354</v>
      </c>
      <c r="J1728" s="5">
        <v>2700.3312000000001</v>
      </c>
    </row>
    <row r="1729" spans="1:10">
      <c r="A1729" t="s">
        <v>3078</v>
      </c>
      <c r="B1729" s="7">
        <v>45214</v>
      </c>
      <c r="C1729" t="s">
        <v>77</v>
      </c>
      <c r="D1729" t="s">
        <v>1097</v>
      </c>
      <c r="E1729" t="s">
        <v>1277</v>
      </c>
      <c r="F1729">
        <v>1</v>
      </c>
      <c r="G1729" s="5">
        <v>145.47999999999999</v>
      </c>
      <c r="H1729">
        <v>0.1</v>
      </c>
      <c r="I1729" t="s">
        <v>1354</v>
      </c>
      <c r="J1729" s="5">
        <v>130.93199999999999</v>
      </c>
    </row>
    <row r="1730" spans="1:10">
      <c r="A1730" t="s">
        <v>3079</v>
      </c>
      <c r="B1730" s="7">
        <v>45547</v>
      </c>
      <c r="C1730" t="s">
        <v>147</v>
      </c>
      <c r="D1730" t="s">
        <v>1135</v>
      </c>
      <c r="E1730" t="s">
        <v>1317</v>
      </c>
      <c r="F1730">
        <v>4</v>
      </c>
      <c r="G1730" s="5">
        <v>862.25</v>
      </c>
      <c r="H1730">
        <v>0.28000000000000003</v>
      </c>
      <c r="I1730" t="s">
        <v>1351</v>
      </c>
      <c r="J1730" s="5">
        <v>2483.2800000000002</v>
      </c>
    </row>
    <row r="1731" spans="1:10">
      <c r="A1731" t="s">
        <v>3080</v>
      </c>
      <c r="B1731" s="7">
        <v>45296</v>
      </c>
      <c r="C1731" t="s">
        <v>648</v>
      </c>
      <c r="D1731" t="s">
        <v>1071</v>
      </c>
      <c r="E1731" t="s">
        <v>1324</v>
      </c>
      <c r="F1731">
        <v>4</v>
      </c>
      <c r="G1731" s="5">
        <v>146.12</v>
      </c>
      <c r="H1731">
        <v>0.12</v>
      </c>
      <c r="I1731" t="s">
        <v>1354</v>
      </c>
      <c r="J1731" s="5">
        <v>514.3424</v>
      </c>
    </row>
    <row r="1732" spans="1:10">
      <c r="A1732" t="s">
        <v>3081</v>
      </c>
      <c r="B1732" s="7">
        <v>45549</v>
      </c>
      <c r="C1732" t="s">
        <v>1018</v>
      </c>
      <c r="D1732" t="s">
        <v>1135</v>
      </c>
      <c r="E1732" t="s">
        <v>1335</v>
      </c>
      <c r="F1732">
        <v>2</v>
      </c>
      <c r="G1732" s="5">
        <v>695.02</v>
      </c>
      <c r="H1732">
        <v>0.3</v>
      </c>
      <c r="I1732" t="s">
        <v>1354</v>
      </c>
      <c r="J1732" s="5">
        <v>973.02799999999991</v>
      </c>
    </row>
    <row r="1733" spans="1:10">
      <c r="A1733" t="s">
        <v>3082</v>
      </c>
      <c r="B1733" s="7">
        <v>45231</v>
      </c>
      <c r="C1733" t="s">
        <v>500</v>
      </c>
      <c r="D1733" t="s">
        <v>1261</v>
      </c>
      <c r="E1733" t="s">
        <v>1314</v>
      </c>
      <c r="F1733">
        <v>2</v>
      </c>
      <c r="G1733" s="5">
        <v>886.67</v>
      </c>
      <c r="H1733">
        <v>0.24</v>
      </c>
      <c r="I1733" t="s">
        <v>1351</v>
      </c>
      <c r="J1733" s="5">
        <v>1347.7384</v>
      </c>
    </row>
    <row r="1734" spans="1:10">
      <c r="A1734" t="s">
        <v>3083</v>
      </c>
      <c r="B1734" s="7">
        <v>45628</v>
      </c>
      <c r="C1734" t="s">
        <v>152</v>
      </c>
      <c r="D1734" t="s">
        <v>1205</v>
      </c>
      <c r="E1734" t="s">
        <v>1335</v>
      </c>
      <c r="F1734">
        <v>2</v>
      </c>
      <c r="G1734" s="5">
        <v>864.09</v>
      </c>
      <c r="H1734">
        <v>0.06</v>
      </c>
      <c r="I1734" t="s">
        <v>1354</v>
      </c>
      <c r="J1734" s="5">
        <v>1624.4892</v>
      </c>
    </row>
    <row r="1735" spans="1:10">
      <c r="A1735" t="s">
        <v>3084</v>
      </c>
      <c r="B1735" s="7">
        <v>45862</v>
      </c>
      <c r="C1735" t="s">
        <v>20</v>
      </c>
      <c r="D1735" t="s">
        <v>1097</v>
      </c>
      <c r="E1735" t="s">
        <v>1311</v>
      </c>
      <c r="F1735">
        <v>1</v>
      </c>
      <c r="G1735" s="5">
        <v>437.65</v>
      </c>
      <c r="H1735">
        <v>0.02</v>
      </c>
      <c r="I1735" t="s">
        <v>1351</v>
      </c>
      <c r="J1735" s="5">
        <v>428.89699999999999</v>
      </c>
    </row>
    <row r="1736" spans="1:10">
      <c r="A1736" t="s">
        <v>3085</v>
      </c>
      <c r="B1736" s="7">
        <v>45843</v>
      </c>
      <c r="C1736" t="s">
        <v>466</v>
      </c>
      <c r="D1736" t="s">
        <v>1145</v>
      </c>
      <c r="E1736" t="s">
        <v>1322</v>
      </c>
      <c r="F1736">
        <v>2</v>
      </c>
      <c r="G1736" s="5">
        <v>208.09</v>
      </c>
      <c r="H1736">
        <v>0.27</v>
      </c>
      <c r="I1736" t="s">
        <v>1349</v>
      </c>
      <c r="J1736" s="5">
        <v>303.81139999999999</v>
      </c>
    </row>
    <row r="1737" spans="1:10">
      <c r="A1737" t="s">
        <v>3086</v>
      </c>
      <c r="B1737" s="7">
        <v>45482</v>
      </c>
      <c r="C1737" t="s">
        <v>152</v>
      </c>
      <c r="D1737" t="s">
        <v>1259</v>
      </c>
      <c r="E1737" t="s">
        <v>1332</v>
      </c>
      <c r="F1737">
        <v>4</v>
      </c>
      <c r="G1737" s="5">
        <v>825.78</v>
      </c>
      <c r="H1737">
        <v>0.02</v>
      </c>
      <c r="I1737" t="s">
        <v>1349</v>
      </c>
      <c r="J1737" s="5">
        <v>3237.0576000000001</v>
      </c>
    </row>
    <row r="1738" spans="1:10">
      <c r="A1738" t="s">
        <v>3087</v>
      </c>
      <c r="B1738" s="7">
        <v>45313</v>
      </c>
      <c r="C1738" t="s">
        <v>292</v>
      </c>
      <c r="D1738" t="s">
        <v>1123</v>
      </c>
      <c r="E1738" t="s">
        <v>1332</v>
      </c>
      <c r="F1738">
        <v>3</v>
      </c>
      <c r="G1738" s="5">
        <v>849.77</v>
      </c>
      <c r="H1738">
        <v>0.12</v>
      </c>
      <c r="I1738" t="s">
        <v>1351</v>
      </c>
      <c r="J1738" s="5">
        <v>2243.3928000000001</v>
      </c>
    </row>
    <row r="1739" spans="1:10">
      <c r="A1739" t="s">
        <v>3088</v>
      </c>
      <c r="B1739" s="7">
        <v>45314</v>
      </c>
      <c r="C1739" t="s">
        <v>752</v>
      </c>
      <c r="D1739" t="s">
        <v>1193</v>
      </c>
      <c r="E1739" t="s">
        <v>1294</v>
      </c>
      <c r="F1739">
        <v>1</v>
      </c>
      <c r="G1739" s="5">
        <v>88.78</v>
      </c>
      <c r="H1739">
        <v>0.18</v>
      </c>
      <c r="I1739" t="s">
        <v>1349</v>
      </c>
      <c r="J1739" s="5">
        <v>72.799600000000012</v>
      </c>
    </row>
    <row r="1740" spans="1:10">
      <c r="A1740" t="s">
        <v>3089</v>
      </c>
      <c r="B1740" s="7">
        <v>45526</v>
      </c>
      <c r="C1740" t="s">
        <v>444</v>
      </c>
      <c r="D1740" t="s">
        <v>1229</v>
      </c>
      <c r="E1740" t="s">
        <v>1294</v>
      </c>
      <c r="F1740">
        <v>4</v>
      </c>
      <c r="G1740" s="5">
        <v>507.22</v>
      </c>
      <c r="H1740">
        <v>0.14000000000000001</v>
      </c>
      <c r="I1740" t="s">
        <v>1351</v>
      </c>
      <c r="J1740" s="5">
        <v>1744.8368</v>
      </c>
    </row>
    <row r="1741" spans="1:10">
      <c r="A1741" t="s">
        <v>3090</v>
      </c>
      <c r="B1741" s="7">
        <v>45887</v>
      </c>
      <c r="C1741" t="s">
        <v>696</v>
      </c>
      <c r="D1741" t="s">
        <v>1265</v>
      </c>
      <c r="E1741" t="s">
        <v>1277</v>
      </c>
      <c r="F1741">
        <v>3</v>
      </c>
      <c r="G1741" s="5">
        <v>330.98</v>
      </c>
      <c r="H1741">
        <v>0.11</v>
      </c>
      <c r="I1741" t="s">
        <v>1349</v>
      </c>
      <c r="J1741" s="5">
        <v>883.71660000000008</v>
      </c>
    </row>
    <row r="1742" spans="1:10">
      <c r="A1742" t="s">
        <v>3091</v>
      </c>
      <c r="B1742" s="7">
        <v>45562</v>
      </c>
      <c r="C1742" t="s">
        <v>145</v>
      </c>
      <c r="D1742" t="s">
        <v>1147</v>
      </c>
      <c r="E1742" t="s">
        <v>1338</v>
      </c>
      <c r="F1742">
        <v>4</v>
      </c>
      <c r="G1742" s="5">
        <v>442.87</v>
      </c>
      <c r="H1742">
        <v>0.08</v>
      </c>
      <c r="I1742" t="s">
        <v>1349</v>
      </c>
      <c r="J1742" s="5">
        <v>1629.7616</v>
      </c>
    </row>
    <row r="1743" spans="1:10">
      <c r="A1743" t="s">
        <v>3092</v>
      </c>
      <c r="B1743" s="7">
        <v>45880</v>
      </c>
      <c r="C1743" t="s">
        <v>39</v>
      </c>
      <c r="D1743" t="s">
        <v>1265</v>
      </c>
      <c r="E1743" t="s">
        <v>1286</v>
      </c>
      <c r="F1743">
        <v>2</v>
      </c>
      <c r="G1743" s="5">
        <v>939.66</v>
      </c>
      <c r="H1743">
        <v>0.14000000000000001</v>
      </c>
      <c r="I1743" t="s">
        <v>1351</v>
      </c>
      <c r="J1743" s="5">
        <v>1616.2152000000001</v>
      </c>
    </row>
    <row r="1744" spans="1:10">
      <c r="A1744" t="s">
        <v>3093</v>
      </c>
      <c r="B1744" s="7">
        <v>45556</v>
      </c>
      <c r="C1744" t="s">
        <v>650</v>
      </c>
      <c r="D1744" t="s">
        <v>1219</v>
      </c>
      <c r="E1744" t="s">
        <v>1291</v>
      </c>
      <c r="F1744">
        <v>1</v>
      </c>
      <c r="G1744" s="5">
        <v>24.13</v>
      </c>
      <c r="H1744">
        <v>0</v>
      </c>
      <c r="I1744" t="s">
        <v>1349</v>
      </c>
      <c r="J1744" s="5">
        <v>24.13</v>
      </c>
    </row>
    <row r="1745" spans="1:10">
      <c r="A1745" t="s">
        <v>3094</v>
      </c>
      <c r="B1745" s="7">
        <v>45355</v>
      </c>
      <c r="C1745" t="s">
        <v>791</v>
      </c>
      <c r="D1745" t="s">
        <v>1155</v>
      </c>
      <c r="E1745" t="s">
        <v>1291</v>
      </c>
      <c r="F1745">
        <v>3</v>
      </c>
      <c r="G1745" s="5">
        <v>239.54</v>
      </c>
      <c r="H1745">
        <v>0.28999999999999998</v>
      </c>
      <c r="I1745" t="s">
        <v>1354</v>
      </c>
      <c r="J1745" s="5">
        <v>510.22019999999998</v>
      </c>
    </row>
    <row r="1746" spans="1:10">
      <c r="A1746" t="s">
        <v>3095</v>
      </c>
      <c r="B1746" s="7">
        <v>45244</v>
      </c>
      <c r="C1746" t="s">
        <v>1026</v>
      </c>
      <c r="D1746" t="s">
        <v>1165</v>
      </c>
      <c r="E1746" t="s">
        <v>1324</v>
      </c>
      <c r="F1746">
        <v>1</v>
      </c>
      <c r="G1746" s="5">
        <v>588.53</v>
      </c>
      <c r="H1746">
        <v>0.1</v>
      </c>
      <c r="I1746" t="s">
        <v>1349</v>
      </c>
      <c r="J1746" s="5">
        <v>529.67700000000002</v>
      </c>
    </row>
    <row r="1747" spans="1:10">
      <c r="A1747" t="s">
        <v>3096</v>
      </c>
      <c r="B1747" s="7">
        <v>45863</v>
      </c>
      <c r="C1747" t="s">
        <v>640</v>
      </c>
      <c r="D1747" t="s">
        <v>1193</v>
      </c>
      <c r="E1747" t="s">
        <v>1326</v>
      </c>
      <c r="F1747">
        <v>1</v>
      </c>
      <c r="G1747" s="5">
        <v>145.96</v>
      </c>
      <c r="H1747">
        <v>0.3</v>
      </c>
      <c r="I1747" t="s">
        <v>1349</v>
      </c>
      <c r="J1747" s="5">
        <v>102.172</v>
      </c>
    </row>
    <row r="1748" spans="1:10">
      <c r="A1748" t="s">
        <v>3097</v>
      </c>
      <c r="B1748" s="7">
        <v>45573</v>
      </c>
      <c r="C1748" t="s">
        <v>261</v>
      </c>
      <c r="D1748" t="s">
        <v>1213</v>
      </c>
      <c r="E1748" t="s">
        <v>1294</v>
      </c>
      <c r="F1748">
        <v>4</v>
      </c>
      <c r="G1748" s="5">
        <v>640.91</v>
      </c>
      <c r="H1748">
        <v>0.06</v>
      </c>
      <c r="I1748" t="s">
        <v>1349</v>
      </c>
      <c r="J1748" s="5">
        <v>2409.8216000000002</v>
      </c>
    </row>
    <row r="1749" spans="1:10">
      <c r="A1749" t="s">
        <v>3098</v>
      </c>
      <c r="B1749" s="7">
        <v>45792</v>
      </c>
      <c r="C1749" t="s">
        <v>123</v>
      </c>
      <c r="D1749" t="s">
        <v>1201</v>
      </c>
      <c r="E1749" t="s">
        <v>1317</v>
      </c>
      <c r="F1749">
        <v>3</v>
      </c>
      <c r="G1749" s="5">
        <v>773.86</v>
      </c>
      <c r="H1749">
        <v>0.22</v>
      </c>
      <c r="I1749" t="s">
        <v>1349</v>
      </c>
      <c r="J1749" s="5">
        <v>1810.8324</v>
      </c>
    </row>
    <row r="1750" spans="1:10">
      <c r="A1750" t="s">
        <v>3099</v>
      </c>
      <c r="B1750" s="7">
        <v>45744</v>
      </c>
      <c r="C1750" t="s">
        <v>988</v>
      </c>
      <c r="D1750" t="s">
        <v>1135</v>
      </c>
      <c r="E1750" t="s">
        <v>1326</v>
      </c>
      <c r="F1750">
        <v>2</v>
      </c>
      <c r="G1750" s="5">
        <v>31.28</v>
      </c>
      <c r="H1750">
        <v>0.2</v>
      </c>
      <c r="I1750" t="s">
        <v>1354</v>
      </c>
      <c r="J1750" s="5">
        <v>50.048000000000002</v>
      </c>
    </row>
    <row r="1751" spans="1:10">
      <c r="A1751" t="s">
        <v>3100</v>
      </c>
      <c r="B1751" s="7">
        <v>45842</v>
      </c>
      <c r="C1751" t="s">
        <v>809</v>
      </c>
      <c r="D1751" t="s">
        <v>1237</v>
      </c>
      <c r="E1751" t="s">
        <v>1301</v>
      </c>
      <c r="F1751">
        <v>4</v>
      </c>
      <c r="G1751" s="5">
        <v>389.22</v>
      </c>
      <c r="H1751">
        <v>0.18</v>
      </c>
      <c r="I1751" t="s">
        <v>1349</v>
      </c>
      <c r="J1751" s="5">
        <v>1276.6415999999999</v>
      </c>
    </row>
    <row r="1752" spans="1:10">
      <c r="A1752" t="s">
        <v>3101</v>
      </c>
      <c r="B1752" s="7">
        <v>45502</v>
      </c>
      <c r="C1752" t="s">
        <v>56</v>
      </c>
      <c r="D1752" t="s">
        <v>1201</v>
      </c>
      <c r="E1752" t="s">
        <v>1326</v>
      </c>
      <c r="F1752">
        <v>3</v>
      </c>
      <c r="G1752" s="5">
        <v>543.44000000000005</v>
      </c>
      <c r="H1752">
        <v>0.13</v>
      </c>
      <c r="I1752" t="s">
        <v>1351</v>
      </c>
      <c r="J1752" s="5">
        <v>1418.3784000000001</v>
      </c>
    </row>
    <row r="1753" spans="1:10">
      <c r="A1753" t="s">
        <v>3102</v>
      </c>
      <c r="B1753" s="7">
        <v>45296</v>
      </c>
      <c r="C1753" t="s">
        <v>577</v>
      </c>
      <c r="D1753" t="s">
        <v>1267</v>
      </c>
      <c r="E1753" t="s">
        <v>1338</v>
      </c>
      <c r="F1753">
        <v>4</v>
      </c>
      <c r="G1753" s="5">
        <v>715.42</v>
      </c>
      <c r="H1753">
        <v>0.28999999999999998</v>
      </c>
      <c r="I1753" t="s">
        <v>1351</v>
      </c>
      <c r="J1753" s="5">
        <v>2031.7927999999999</v>
      </c>
    </row>
    <row r="1754" spans="1:10">
      <c r="A1754" t="s">
        <v>3103</v>
      </c>
      <c r="B1754" s="7">
        <v>45886</v>
      </c>
      <c r="C1754" t="s">
        <v>145</v>
      </c>
      <c r="D1754" t="s">
        <v>1097</v>
      </c>
      <c r="E1754" t="s">
        <v>1294</v>
      </c>
      <c r="F1754">
        <v>4</v>
      </c>
      <c r="G1754" s="5">
        <v>676.14</v>
      </c>
      <c r="H1754">
        <v>0.11</v>
      </c>
      <c r="I1754" t="s">
        <v>1354</v>
      </c>
      <c r="J1754" s="5">
        <v>2407.0583999999999</v>
      </c>
    </row>
    <row r="1755" spans="1:10">
      <c r="A1755" t="s">
        <v>3104</v>
      </c>
      <c r="B1755" s="7">
        <v>45425</v>
      </c>
      <c r="C1755" t="s">
        <v>234</v>
      </c>
      <c r="D1755" t="s">
        <v>1151</v>
      </c>
      <c r="E1755" t="s">
        <v>1282</v>
      </c>
      <c r="F1755">
        <v>4</v>
      </c>
      <c r="G1755" s="5">
        <v>352.72</v>
      </c>
      <c r="H1755">
        <v>0.25</v>
      </c>
      <c r="I1755" t="s">
        <v>1349</v>
      </c>
      <c r="J1755" s="5">
        <v>1058.1600000000001</v>
      </c>
    </row>
    <row r="1756" spans="1:10">
      <c r="A1756" t="s">
        <v>3105</v>
      </c>
      <c r="B1756" s="7">
        <v>45797</v>
      </c>
      <c r="C1756" t="s">
        <v>407</v>
      </c>
      <c r="D1756" t="s">
        <v>1095</v>
      </c>
      <c r="E1756" t="s">
        <v>1319</v>
      </c>
      <c r="F1756">
        <v>1</v>
      </c>
      <c r="G1756" s="5">
        <v>470.18</v>
      </c>
      <c r="H1756">
        <v>0.19</v>
      </c>
      <c r="I1756" t="s">
        <v>1351</v>
      </c>
      <c r="J1756" s="5">
        <v>380.84580000000011</v>
      </c>
    </row>
    <row r="1757" spans="1:10">
      <c r="A1757" t="s">
        <v>3106</v>
      </c>
      <c r="B1757" s="7">
        <v>45898</v>
      </c>
      <c r="C1757" t="s">
        <v>523</v>
      </c>
      <c r="D1757" t="s">
        <v>1205</v>
      </c>
      <c r="E1757" t="s">
        <v>1317</v>
      </c>
      <c r="F1757">
        <v>1</v>
      </c>
      <c r="G1757" s="5">
        <v>891.79</v>
      </c>
      <c r="H1757">
        <v>0.03</v>
      </c>
      <c r="I1757" t="s">
        <v>1349</v>
      </c>
      <c r="J1757" s="5">
        <v>865.03629999999998</v>
      </c>
    </row>
    <row r="1758" spans="1:10">
      <c r="A1758" t="s">
        <v>3107</v>
      </c>
      <c r="B1758" s="7">
        <v>45390</v>
      </c>
      <c r="C1758" t="s">
        <v>760</v>
      </c>
      <c r="D1758" t="s">
        <v>1251</v>
      </c>
      <c r="E1758" t="s">
        <v>1332</v>
      </c>
      <c r="F1758">
        <v>2</v>
      </c>
      <c r="G1758" s="5">
        <v>433.07</v>
      </c>
      <c r="H1758">
        <v>0.25</v>
      </c>
      <c r="I1758" t="s">
        <v>1354</v>
      </c>
      <c r="J1758" s="5">
        <v>649.60500000000002</v>
      </c>
    </row>
    <row r="1759" spans="1:10">
      <c r="A1759" t="s">
        <v>3108</v>
      </c>
      <c r="B1759" s="7">
        <v>45355</v>
      </c>
      <c r="C1759" t="s">
        <v>47</v>
      </c>
      <c r="D1759" t="s">
        <v>1205</v>
      </c>
      <c r="E1759" t="s">
        <v>1338</v>
      </c>
      <c r="F1759">
        <v>3</v>
      </c>
      <c r="G1759" s="5">
        <v>626.71</v>
      </c>
      <c r="H1759">
        <v>7.0000000000000007E-2</v>
      </c>
      <c r="I1759" t="s">
        <v>1354</v>
      </c>
      <c r="J1759" s="5">
        <v>1748.5209</v>
      </c>
    </row>
    <row r="1760" spans="1:10">
      <c r="A1760" t="s">
        <v>3109</v>
      </c>
      <c r="B1760" s="7">
        <v>45916</v>
      </c>
      <c r="C1760" t="s">
        <v>204</v>
      </c>
      <c r="D1760" t="s">
        <v>1145</v>
      </c>
      <c r="E1760" t="s">
        <v>1277</v>
      </c>
      <c r="F1760">
        <v>2</v>
      </c>
      <c r="G1760" s="5">
        <v>324.18</v>
      </c>
      <c r="H1760">
        <v>0.06</v>
      </c>
      <c r="I1760" t="s">
        <v>1354</v>
      </c>
      <c r="J1760" s="5">
        <v>609.45839999999998</v>
      </c>
    </row>
    <row r="1761" spans="1:10">
      <c r="A1761" t="s">
        <v>3110</v>
      </c>
      <c r="B1761" s="7">
        <v>45448</v>
      </c>
      <c r="C1761" t="s">
        <v>50</v>
      </c>
      <c r="D1761" t="s">
        <v>1101</v>
      </c>
      <c r="E1761" t="s">
        <v>1332</v>
      </c>
      <c r="F1761">
        <v>4</v>
      </c>
      <c r="G1761" s="5">
        <v>839.74</v>
      </c>
      <c r="H1761">
        <v>0.13</v>
      </c>
      <c r="I1761" t="s">
        <v>1351</v>
      </c>
      <c r="J1761" s="5">
        <v>2922.2952</v>
      </c>
    </row>
    <row r="1762" spans="1:10">
      <c r="A1762" t="s">
        <v>3111</v>
      </c>
      <c r="B1762" s="7">
        <v>45402</v>
      </c>
      <c r="C1762" t="s">
        <v>373</v>
      </c>
      <c r="D1762" t="s">
        <v>1197</v>
      </c>
      <c r="E1762" t="s">
        <v>1326</v>
      </c>
      <c r="F1762">
        <v>3</v>
      </c>
      <c r="G1762" s="5">
        <v>252.63</v>
      </c>
      <c r="H1762">
        <v>0.28000000000000003</v>
      </c>
      <c r="I1762" t="s">
        <v>1349</v>
      </c>
      <c r="J1762" s="5">
        <v>545.68079999999998</v>
      </c>
    </row>
    <row r="1763" spans="1:10">
      <c r="A1763" t="s">
        <v>3112</v>
      </c>
      <c r="B1763" s="7">
        <v>45581</v>
      </c>
      <c r="C1763" t="s">
        <v>573</v>
      </c>
      <c r="D1763" t="s">
        <v>1231</v>
      </c>
      <c r="E1763" t="s">
        <v>1338</v>
      </c>
      <c r="F1763">
        <v>2</v>
      </c>
      <c r="G1763" s="5">
        <v>60.53</v>
      </c>
      <c r="H1763">
        <v>0.18</v>
      </c>
      <c r="I1763" t="s">
        <v>1349</v>
      </c>
      <c r="J1763" s="5">
        <v>99.269200000000012</v>
      </c>
    </row>
    <row r="1764" spans="1:10">
      <c r="A1764" t="s">
        <v>3113</v>
      </c>
      <c r="B1764" s="7">
        <v>45610</v>
      </c>
      <c r="C1764" t="s">
        <v>152</v>
      </c>
      <c r="D1764" t="s">
        <v>1241</v>
      </c>
      <c r="E1764" t="s">
        <v>1322</v>
      </c>
      <c r="F1764">
        <v>4</v>
      </c>
      <c r="G1764" s="5">
        <v>341.95</v>
      </c>
      <c r="H1764">
        <v>0.25</v>
      </c>
      <c r="I1764" t="s">
        <v>1349</v>
      </c>
      <c r="J1764" s="5">
        <v>1025.8499999999999</v>
      </c>
    </row>
    <row r="1765" spans="1:10">
      <c r="A1765" t="s">
        <v>3114</v>
      </c>
      <c r="B1765" s="7">
        <v>45438</v>
      </c>
      <c r="C1765" t="s">
        <v>630</v>
      </c>
      <c r="D1765" t="s">
        <v>1117</v>
      </c>
      <c r="E1765" t="s">
        <v>1329</v>
      </c>
      <c r="F1765">
        <v>4</v>
      </c>
      <c r="G1765" s="5">
        <v>300.12</v>
      </c>
      <c r="H1765">
        <v>0.05</v>
      </c>
      <c r="I1765" t="s">
        <v>1351</v>
      </c>
      <c r="J1765" s="5">
        <v>1140.4559999999999</v>
      </c>
    </row>
    <row r="1766" spans="1:10">
      <c r="A1766" t="s">
        <v>3115</v>
      </c>
      <c r="B1766" s="7">
        <v>45705</v>
      </c>
      <c r="C1766" t="s">
        <v>290</v>
      </c>
      <c r="D1766" t="s">
        <v>1129</v>
      </c>
      <c r="E1766" t="s">
        <v>1332</v>
      </c>
      <c r="F1766">
        <v>2</v>
      </c>
      <c r="G1766" s="5">
        <v>289.14</v>
      </c>
      <c r="H1766">
        <v>0.12</v>
      </c>
      <c r="I1766" t="s">
        <v>1354</v>
      </c>
      <c r="J1766" s="5">
        <v>508.88639999999998</v>
      </c>
    </row>
    <row r="1767" spans="1:10">
      <c r="A1767" t="s">
        <v>3116</v>
      </c>
      <c r="B1767" s="7">
        <v>45695</v>
      </c>
      <c r="C1767" t="s">
        <v>131</v>
      </c>
      <c r="D1767" t="s">
        <v>1123</v>
      </c>
      <c r="E1767" t="s">
        <v>1277</v>
      </c>
      <c r="F1767">
        <v>2</v>
      </c>
      <c r="G1767" s="5">
        <v>596.84</v>
      </c>
      <c r="H1767">
        <v>0.01</v>
      </c>
      <c r="I1767" t="s">
        <v>1351</v>
      </c>
      <c r="J1767" s="5">
        <v>1181.7431999999999</v>
      </c>
    </row>
    <row r="1768" spans="1:10">
      <c r="A1768" t="s">
        <v>3117</v>
      </c>
      <c r="B1768" s="7">
        <v>45571</v>
      </c>
      <c r="C1768" t="s">
        <v>935</v>
      </c>
      <c r="D1768" t="s">
        <v>1111</v>
      </c>
      <c r="E1768" t="s">
        <v>1307</v>
      </c>
      <c r="F1768">
        <v>4</v>
      </c>
      <c r="G1768" s="5">
        <v>466.24</v>
      </c>
      <c r="H1768">
        <v>0.16</v>
      </c>
      <c r="I1768" t="s">
        <v>1349</v>
      </c>
      <c r="J1768" s="5">
        <v>1566.5663999999999</v>
      </c>
    </row>
    <row r="1769" spans="1:10">
      <c r="A1769" t="s">
        <v>3118</v>
      </c>
      <c r="B1769" s="7">
        <v>45544</v>
      </c>
      <c r="C1769" t="s">
        <v>567</v>
      </c>
      <c r="D1769" t="s">
        <v>1099</v>
      </c>
      <c r="E1769" t="s">
        <v>1329</v>
      </c>
      <c r="F1769">
        <v>2</v>
      </c>
      <c r="G1769" s="5">
        <v>330.59</v>
      </c>
      <c r="H1769">
        <v>0.14000000000000001</v>
      </c>
      <c r="I1769" t="s">
        <v>1349</v>
      </c>
      <c r="J1769" s="5">
        <v>568.61479999999995</v>
      </c>
    </row>
    <row r="1770" spans="1:10">
      <c r="A1770" t="s">
        <v>3119</v>
      </c>
      <c r="B1770" s="7">
        <v>45654</v>
      </c>
      <c r="C1770" t="s">
        <v>1047</v>
      </c>
      <c r="D1770" t="s">
        <v>1117</v>
      </c>
      <c r="E1770" t="s">
        <v>1301</v>
      </c>
      <c r="F1770">
        <v>2</v>
      </c>
      <c r="G1770" s="5">
        <v>616.42999999999995</v>
      </c>
      <c r="H1770">
        <v>0.02</v>
      </c>
      <c r="I1770" t="s">
        <v>1354</v>
      </c>
      <c r="J1770" s="5">
        <v>1208.2028</v>
      </c>
    </row>
    <row r="1771" spans="1:10">
      <c r="A1771" t="s">
        <v>3120</v>
      </c>
      <c r="B1771" s="7">
        <v>45589</v>
      </c>
      <c r="C1771" t="s">
        <v>869</v>
      </c>
      <c r="D1771" t="s">
        <v>1199</v>
      </c>
      <c r="E1771" t="s">
        <v>1301</v>
      </c>
      <c r="F1771">
        <v>3</v>
      </c>
      <c r="G1771" s="5">
        <v>195.89</v>
      </c>
      <c r="H1771">
        <v>0.16</v>
      </c>
      <c r="I1771" t="s">
        <v>1351</v>
      </c>
      <c r="J1771" s="5">
        <v>493.64280000000002</v>
      </c>
    </row>
    <row r="1772" spans="1:10">
      <c r="A1772" t="s">
        <v>3121</v>
      </c>
      <c r="B1772" s="7">
        <v>45487</v>
      </c>
      <c r="C1772" t="s">
        <v>750</v>
      </c>
      <c r="D1772" t="s">
        <v>1085</v>
      </c>
      <c r="E1772" t="s">
        <v>1314</v>
      </c>
      <c r="F1772">
        <v>4</v>
      </c>
      <c r="G1772" s="5">
        <v>614.76</v>
      </c>
      <c r="H1772">
        <v>0.16</v>
      </c>
      <c r="I1772" t="s">
        <v>1349</v>
      </c>
      <c r="J1772" s="5">
        <v>2065.5936000000002</v>
      </c>
    </row>
    <row r="1773" spans="1:10">
      <c r="A1773" t="s">
        <v>3122</v>
      </c>
      <c r="B1773" s="7">
        <v>45418</v>
      </c>
      <c r="C1773" t="s">
        <v>871</v>
      </c>
      <c r="D1773" t="s">
        <v>1231</v>
      </c>
      <c r="E1773" t="s">
        <v>1304</v>
      </c>
      <c r="F1773">
        <v>1</v>
      </c>
      <c r="G1773" s="5">
        <v>224.49</v>
      </c>
      <c r="H1773">
        <v>0.11</v>
      </c>
      <c r="I1773" t="s">
        <v>1351</v>
      </c>
      <c r="J1773" s="5">
        <v>199.7961</v>
      </c>
    </row>
    <row r="1774" spans="1:10">
      <c r="A1774" t="s">
        <v>3123</v>
      </c>
      <c r="B1774" s="7">
        <v>45338</v>
      </c>
      <c r="C1774" t="s">
        <v>775</v>
      </c>
      <c r="D1774" t="s">
        <v>1183</v>
      </c>
      <c r="E1774" t="s">
        <v>1319</v>
      </c>
      <c r="F1774">
        <v>1</v>
      </c>
      <c r="G1774" s="5">
        <v>967.76</v>
      </c>
      <c r="H1774">
        <v>0.09</v>
      </c>
      <c r="I1774" t="s">
        <v>1349</v>
      </c>
      <c r="J1774" s="5">
        <v>880.66160000000002</v>
      </c>
    </row>
    <row r="1775" spans="1:10">
      <c r="A1775" t="s">
        <v>3124</v>
      </c>
      <c r="B1775" s="7">
        <v>45507</v>
      </c>
      <c r="C1775" t="s">
        <v>182</v>
      </c>
      <c r="D1775" t="s">
        <v>1155</v>
      </c>
      <c r="E1775" t="s">
        <v>1338</v>
      </c>
      <c r="F1775">
        <v>2</v>
      </c>
      <c r="G1775" s="5">
        <v>56.52</v>
      </c>
      <c r="H1775">
        <v>0.17</v>
      </c>
      <c r="I1775" t="s">
        <v>1351</v>
      </c>
      <c r="J1775" s="5">
        <v>93.8232</v>
      </c>
    </row>
    <row r="1776" spans="1:10">
      <c r="A1776" t="s">
        <v>3125</v>
      </c>
      <c r="B1776" s="7">
        <v>45275</v>
      </c>
      <c r="C1776" t="s">
        <v>1041</v>
      </c>
      <c r="D1776" t="s">
        <v>1207</v>
      </c>
      <c r="E1776" t="s">
        <v>1282</v>
      </c>
      <c r="F1776">
        <v>4</v>
      </c>
      <c r="G1776" s="5">
        <v>921.84</v>
      </c>
      <c r="H1776">
        <v>0.04</v>
      </c>
      <c r="I1776" t="s">
        <v>1349</v>
      </c>
      <c r="J1776" s="5">
        <v>3539.8656000000001</v>
      </c>
    </row>
    <row r="1777" spans="1:10">
      <c r="A1777" t="s">
        <v>3126</v>
      </c>
      <c r="B1777" s="7">
        <v>45319</v>
      </c>
      <c r="C1777" t="s">
        <v>720</v>
      </c>
      <c r="D1777" t="s">
        <v>1245</v>
      </c>
      <c r="E1777" t="s">
        <v>1329</v>
      </c>
      <c r="F1777">
        <v>3</v>
      </c>
      <c r="G1777" s="5">
        <v>738.47</v>
      </c>
      <c r="H1777">
        <v>0.28000000000000003</v>
      </c>
      <c r="I1777" t="s">
        <v>1349</v>
      </c>
      <c r="J1777" s="5">
        <v>1595.0952</v>
      </c>
    </row>
    <row r="1778" spans="1:10">
      <c r="A1778" t="s">
        <v>3127</v>
      </c>
      <c r="B1778" s="7">
        <v>45620</v>
      </c>
      <c r="C1778" t="s">
        <v>720</v>
      </c>
      <c r="D1778" t="s">
        <v>1080</v>
      </c>
      <c r="E1778" t="s">
        <v>1277</v>
      </c>
      <c r="F1778">
        <v>4</v>
      </c>
      <c r="G1778" s="5">
        <v>477.83</v>
      </c>
      <c r="H1778">
        <v>0.05</v>
      </c>
      <c r="I1778" t="s">
        <v>1354</v>
      </c>
      <c r="J1778" s="5">
        <v>1815.7539999999999</v>
      </c>
    </row>
    <row r="1779" spans="1:10">
      <c r="A1779" t="s">
        <v>3128</v>
      </c>
      <c r="B1779" s="7">
        <v>45831</v>
      </c>
      <c r="C1779" t="s">
        <v>397</v>
      </c>
      <c r="D1779" t="s">
        <v>1157</v>
      </c>
      <c r="E1779" t="s">
        <v>1319</v>
      </c>
      <c r="F1779">
        <v>3</v>
      </c>
      <c r="G1779" s="5">
        <v>605.83000000000004</v>
      </c>
      <c r="H1779">
        <v>0.28000000000000003</v>
      </c>
      <c r="I1779" t="s">
        <v>1354</v>
      </c>
      <c r="J1779" s="5">
        <v>1308.5927999999999</v>
      </c>
    </row>
    <row r="1780" spans="1:10">
      <c r="A1780" t="s">
        <v>3129</v>
      </c>
      <c r="B1780" s="7">
        <v>45373</v>
      </c>
      <c r="C1780" t="s">
        <v>182</v>
      </c>
      <c r="D1780" t="s">
        <v>1159</v>
      </c>
      <c r="E1780" t="s">
        <v>1291</v>
      </c>
      <c r="F1780">
        <v>2</v>
      </c>
      <c r="G1780" s="5">
        <v>521.44000000000005</v>
      </c>
      <c r="H1780">
        <v>0.25</v>
      </c>
      <c r="I1780" t="s">
        <v>1354</v>
      </c>
      <c r="J1780" s="5">
        <v>782.16000000000008</v>
      </c>
    </row>
    <row r="1781" spans="1:10">
      <c r="A1781" t="s">
        <v>3130</v>
      </c>
      <c r="B1781" s="7">
        <v>45863</v>
      </c>
      <c r="C1781" t="s">
        <v>809</v>
      </c>
      <c r="D1781" t="s">
        <v>1093</v>
      </c>
      <c r="E1781" t="s">
        <v>1304</v>
      </c>
      <c r="F1781">
        <v>4</v>
      </c>
      <c r="G1781" s="5">
        <v>499.02</v>
      </c>
      <c r="H1781">
        <v>0.06</v>
      </c>
      <c r="I1781" t="s">
        <v>1349</v>
      </c>
      <c r="J1781" s="5">
        <v>1876.3152</v>
      </c>
    </row>
    <row r="1782" spans="1:10">
      <c r="A1782" t="s">
        <v>3131</v>
      </c>
      <c r="B1782" s="7">
        <v>45758</v>
      </c>
      <c r="C1782" t="s">
        <v>367</v>
      </c>
      <c r="D1782" t="s">
        <v>1078</v>
      </c>
      <c r="E1782" t="s">
        <v>1335</v>
      </c>
      <c r="F1782">
        <v>4</v>
      </c>
      <c r="G1782" s="5">
        <v>299.45999999999998</v>
      </c>
      <c r="H1782">
        <v>0.18</v>
      </c>
      <c r="I1782" t="s">
        <v>1354</v>
      </c>
      <c r="J1782" s="5">
        <v>982.22879999999998</v>
      </c>
    </row>
    <row r="1783" spans="1:10">
      <c r="A1783" t="s">
        <v>3132</v>
      </c>
      <c r="B1783" s="7">
        <v>45285</v>
      </c>
      <c r="C1783" t="s">
        <v>977</v>
      </c>
      <c r="D1783" t="s">
        <v>1151</v>
      </c>
      <c r="E1783" t="s">
        <v>1277</v>
      </c>
      <c r="F1783">
        <v>1</v>
      </c>
      <c r="G1783" s="5">
        <v>609.29</v>
      </c>
      <c r="H1783">
        <v>0.15</v>
      </c>
      <c r="I1783" t="s">
        <v>1349</v>
      </c>
      <c r="J1783" s="5">
        <v>517.89649999999995</v>
      </c>
    </row>
    <row r="1784" spans="1:10">
      <c r="A1784" t="s">
        <v>3133</v>
      </c>
      <c r="B1784" s="7">
        <v>45656</v>
      </c>
      <c r="C1784" t="s">
        <v>261</v>
      </c>
      <c r="D1784" t="s">
        <v>1074</v>
      </c>
      <c r="E1784" t="s">
        <v>1307</v>
      </c>
      <c r="F1784">
        <v>1</v>
      </c>
      <c r="G1784" s="5">
        <v>213.74</v>
      </c>
      <c r="H1784">
        <v>7.0000000000000007E-2</v>
      </c>
      <c r="I1784" t="s">
        <v>1354</v>
      </c>
      <c r="J1784" s="5">
        <v>198.7782</v>
      </c>
    </row>
    <row r="1785" spans="1:10">
      <c r="A1785" t="s">
        <v>3134</v>
      </c>
      <c r="B1785" s="7">
        <v>45718</v>
      </c>
      <c r="C1785" t="s">
        <v>367</v>
      </c>
      <c r="D1785" t="s">
        <v>1183</v>
      </c>
      <c r="E1785" t="s">
        <v>1329</v>
      </c>
      <c r="F1785">
        <v>4</v>
      </c>
      <c r="G1785" s="5">
        <v>613.16999999999996</v>
      </c>
      <c r="H1785">
        <v>0.26</v>
      </c>
      <c r="I1785" t="s">
        <v>1349</v>
      </c>
      <c r="J1785" s="5">
        <v>1814.9831999999999</v>
      </c>
    </row>
    <row r="1786" spans="1:10">
      <c r="A1786" t="s">
        <v>3135</v>
      </c>
      <c r="B1786" s="7">
        <v>45293</v>
      </c>
      <c r="C1786" t="s">
        <v>777</v>
      </c>
      <c r="D1786" t="s">
        <v>1191</v>
      </c>
      <c r="E1786" t="s">
        <v>1317</v>
      </c>
      <c r="F1786">
        <v>2</v>
      </c>
      <c r="G1786" s="5">
        <v>687.36</v>
      </c>
      <c r="H1786">
        <v>7.0000000000000007E-2</v>
      </c>
      <c r="I1786" t="s">
        <v>1354</v>
      </c>
      <c r="J1786" s="5">
        <v>1278.4896000000001</v>
      </c>
    </row>
    <row r="1787" spans="1:10">
      <c r="A1787" t="s">
        <v>3136</v>
      </c>
      <c r="B1787" s="7">
        <v>45915</v>
      </c>
      <c r="C1787" t="s">
        <v>716</v>
      </c>
      <c r="D1787" t="s">
        <v>1207</v>
      </c>
      <c r="E1787" t="s">
        <v>1322</v>
      </c>
      <c r="F1787">
        <v>3</v>
      </c>
      <c r="G1787" s="5">
        <v>115.39</v>
      </c>
      <c r="H1787">
        <v>0.02</v>
      </c>
      <c r="I1787" t="s">
        <v>1351</v>
      </c>
      <c r="J1787" s="5">
        <v>339.2466</v>
      </c>
    </row>
    <row r="1788" spans="1:10">
      <c r="A1788" t="s">
        <v>3137</v>
      </c>
      <c r="B1788" s="7">
        <v>45359</v>
      </c>
      <c r="C1788" t="s">
        <v>420</v>
      </c>
      <c r="D1788" t="s">
        <v>1121</v>
      </c>
      <c r="E1788" t="s">
        <v>1319</v>
      </c>
      <c r="F1788">
        <v>2</v>
      </c>
      <c r="G1788" s="5">
        <v>722.06</v>
      </c>
      <c r="H1788">
        <v>7.0000000000000007E-2</v>
      </c>
      <c r="I1788" t="s">
        <v>1349</v>
      </c>
      <c r="J1788" s="5">
        <v>1343.0316</v>
      </c>
    </row>
    <row r="1789" spans="1:10">
      <c r="A1789" t="s">
        <v>3138</v>
      </c>
      <c r="B1789" s="7">
        <v>45652</v>
      </c>
      <c r="C1789" t="s">
        <v>913</v>
      </c>
      <c r="D1789" t="s">
        <v>1085</v>
      </c>
      <c r="E1789" t="s">
        <v>1326</v>
      </c>
      <c r="F1789">
        <v>1</v>
      </c>
      <c r="G1789" s="5">
        <v>384.57</v>
      </c>
      <c r="H1789">
        <v>0.06</v>
      </c>
      <c r="I1789" t="s">
        <v>1351</v>
      </c>
      <c r="J1789" s="5">
        <v>361.49579999999997</v>
      </c>
    </row>
    <row r="1790" spans="1:10">
      <c r="A1790" t="s">
        <v>3139</v>
      </c>
      <c r="B1790" s="7">
        <v>45735</v>
      </c>
      <c r="C1790" t="s">
        <v>482</v>
      </c>
      <c r="D1790" t="s">
        <v>1087</v>
      </c>
      <c r="E1790" t="s">
        <v>1322</v>
      </c>
      <c r="F1790">
        <v>2</v>
      </c>
      <c r="G1790" s="5">
        <v>194.09</v>
      </c>
      <c r="H1790">
        <v>0.18</v>
      </c>
      <c r="I1790" t="s">
        <v>1351</v>
      </c>
      <c r="J1790" s="5">
        <v>318.30759999999998</v>
      </c>
    </row>
    <row r="1791" spans="1:10">
      <c r="A1791" t="s">
        <v>3140</v>
      </c>
      <c r="B1791" s="7">
        <v>45579</v>
      </c>
      <c r="C1791" t="s">
        <v>405</v>
      </c>
      <c r="D1791" t="s">
        <v>1249</v>
      </c>
      <c r="E1791" t="s">
        <v>1291</v>
      </c>
      <c r="F1791">
        <v>2</v>
      </c>
      <c r="G1791" s="5">
        <v>403.91</v>
      </c>
      <c r="H1791">
        <v>7.0000000000000007E-2</v>
      </c>
      <c r="I1791" t="s">
        <v>1349</v>
      </c>
      <c r="J1791" s="5">
        <v>751.27260000000001</v>
      </c>
    </row>
    <row r="1792" spans="1:10">
      <c r="A1792" t="s">
        <v>3141</v>
      </c>
      <c r="B1792" s="7">
        <v>45721</v>
      </c>
      <c r="C1792" t="s">
        <v>204</v>
      </c>
      <c r="D1792" t="s">
        <v>1107</v>
      </c>
      <c r="E1792" t="s">
        <v>1324</v>
      </c>
      <c r="F1792">
        <v>1</v>
      </c>
      <c r="G1792" s="5">
        <v>878.69</v>
      </c>
      <c r="H1792">
        <v>0.3</v>
      </c>
      <c r="I1792" t="s">
        <v>1351</v>
      </c>
      <c r="J1792" s="5">
        <v>615.08299999999997</v>
      </c>
    </row>
    <row r="1793" spans="1:10">
      <c r="A1793" t="s">
        <v>3142</v>
      </c>
      <c r="B1793" s="7">
        <v>45446</v>
      </c>
      <c r="C1793" t="s">
        <v>825</v>
      </c>
      <c r="D1793" t="s">
        <v>1139</v>
      </c>
      <c r="E1793" t="s">
        <v>1326</v>
      </c>
      <c r="F1793">
        <v>1</v>
      </c>
      <c r="G1793" s="5">
        <v>161.16999999999999</v>
      </c>
      <c r="H1793">
        <v>0.05</v>
      </c>
      <c r="I1793" t="s">
        <v>1349</v>
      </c>
      <c r="J1793" s="5">
        <v>153.11150000000001</v>
      </c>
    </row>
    <row r="1794" spans="1:10">
      <c r="A1794" t="s">
        <v>3143</v>
      </c>
      <c r="B1794" s="7">
        <v>45387</v>
      </c>
      <c r="C1794" t="s">
        <v>490</v>
      </c>
      <c r="D1794" t="s">
        <v>1219</v>
      </c>
      <c r="E1794" t="s">
        <v>1324</v>
      </c>
      <c r="F1794">
        <v>2</v>
      </c>
      <c r="G1794" s="5">
        <v>720.15</v>
      </c>
      <c r="H1794">
        <v>0.22</v>
      </c>
      <c r="I1794" t="s">
        <v>1354</v>
      </c>
      <c r="J1794" s="5">
        <v>1123.434</v>
      </c>
    </row>
    <row r="1795" spans="1:10">
      <c r="A1795" t="s">
        <v>3144</v>
      </c>
      <c r="B1795" s="7">
        <v>45222</v>
      </c>
      <c r="C1795" t="s">
        <v>758</v>
      </c>
      <c r="D1795" t="s">
        <v>1125</v>
      </c>
      <c r="E1795" t="s">
        <v>1307</v>
      </c>
      <c r="F1795">
        <v>1</v>
      </c>
      <c r="G1795" s="5">
        <v>361.8</v>
      </c>
      <c r="H1795">
        <v>0.02</v>
      </c>
      <c r="I1795" t="s">
        <v>1354</v>
      </c>
      <c r="J1795" s="5">
        <v>354.56400000000002</v>
      </c>
    </row>
    <row r="1796" spans="1:10">
      <c r="A1796" t="s">
        <v>3145</v>
      </c>
      <c r="B1796" s="7">
        <v>45402</v>
      </c>
      <c r="C1796" t="s">
        <v>523</v>
      </c>
      <c r="D1796" t="s">
        <v>1263</v>
      </c>
      <c r="E1796" t="s">
        <v>1301</v>
      </c>
      <c r="F1796">
        <v>1</v>
      </c>
      <c r="G1796" s="5">
        <v>779.84</v>
      </c>
      <c r="H1796">
        <v>0.28999999999999998</v>
      </c>
      <c r="I1796" t="s">
        <v>1351</v>
      </c>
      <c r="J1796" s="5">
        <v>553.68640000000005</v>
      </c>
    </row>
    <row r="1797" spans="1:10">
      <c r="A1797" t="s">
        <v>3146</v>
      </c>
      <c r="B1797" s="7">
        <v>45455</v>
      </c>
      <c r="C1797" t="s">
        <v>23</v>
      </c>
      <c r="D1797" t="s">
        <v>1265</v>
      </c>
      <c r="E1797" t="s">
        <v>1294</v>
      </c>
      <c r="F1797">
        <v>2</v>
      </c>
      <c r="G1797" s="5">
        <v>649.89</v>
      </c>
      <c r="H1797">
        <v>0.17</v>
      </c>
      <c r="I1797" t="s">
        <v>1354</v>
      </c>
      <c r="J1797" s="5">
        <v>1078.8173999999999</v>
      </c>
    </row>
    <row r="1798" spans="1:10">
      <c r="A1798" t="s">
        <v>3147</v>
      </c>
      <c r="B1798" s="7">
        <v>45877</v>
      </c>
      <c r="C1798" t="s">
        <v>470</v>
      </c>
      <c r="D1798" t="s">
        <v>1179</v>
      </c>
      <c r="E1798" t="s">
        <v>1301</v>
      </c>
      <c r="F1798">
        <v>1</v>
      </c>
      <c r="G1798" s="5">
        <v>952.73</v>
      </c>
      <c r="H1798">
        <v>0.17</v>
      </c>
      <c r="I1798" t="s">
        <v>1349</v>
      </c>
      <c r="J1798" s="5">
        <v>790.76589999999999</v>
      </c>
    </row>
    <row r="1799" spans="1:10">
      <c r="A1799" t="s">
        <v>3148</v>
      </c>
      <c r="B1799" s="7">
        <v>45875</v>
      </c>
      <c r="C1799" t="s">
        <v>222</v>
      </c>
      <c r="D1799" t="s">
        <v>1271</v>
      </c>
      <c r="E1799" t="s">
        <v>1329</v>
      </c>
      <c r="F1799">
        <v>4</v>
      </c>
      <c r="G1799" s="5">
        <v>820.78</v>
      </c>
      <c r="H1799">
        <v>0.25</v>
      </c>
      <c r="I1799" t="s">
        <v>1349</v>
      </c>
      <c r="J1799" s="5">
        <v>2462.34</v>
      </c>
    </row>
    <row r="1800" spans="1:10">
      <c r="A1800" t="s">
        <v>3149</v>
      </c>
      <c r="B1800" s="7">
        <v>45592</v>
      </c>
      <c r="C1800" t="s">
        <v>748</v>
      </c>
      <c r="D1800" t="s">
        <v>1149</v>
      </c>
      <c r="E1800" t="s">
        <v>1291</v>
      </c>
      <c r="F1800">
        <v>4</v>
      </c>
      <c r="G1800" s="5">
        <v>247.55</v>
      </c>
      <c r="H1800">
        <v>0.05</v>
      </c>
      <c r="I1800" t="s">
        <v>1349</v>
      </c>
      <c r="J1800" s="5">
        <v>940.69</v>
      </c>
    </row>
    <row r="1801" spans="1:10">
      <c r="A1801" t="s">
        <v>3150</v>
      </c>
      <c r="B1801" s="7">
        <v>45369</v>
      </c>
      <c r="C1801" t="s">
        <v>517</v>
      </c>
      <c r="D1801" t="s">
        <v>1271</v>
      </c>
      <c r="E1801" t="s">
        <v>1307</v>
      </c>
      <c r="F1801">
        <v>3</v>
      </c>
      <c r="G1801" s="5">
        <v>561.44000000000005</v>
      </c>
      <c r="H1801">
        <v>0.2</v>
      </c>
      <c r="I1801" t="s">
        <v>1354</v>
      </c>
      <c r="J1801" s="5">
        <v>1347.4559999999999</v>
      </c>
    </row>
    <row r="1802" spans="1:10">
      <c r="A1802" t="s">
        <v>3151</v>
      </c>
      <c r="B1802" s="7">
        <v>45249</v>
      </c>
      <c r="C1802" t="s">
        <v>626</v>
      </c>
      <c r="D1802" t="s">
        <v>1217</v>
      </c>
      <c r="E1802" t="s">
        <v>1307</v>
      </c>
      <c r="F1802">
        <v>4</v>
      </c>
      <c r="G1802" s="5">
        <v>214.37</v>
      </c>
      <c r="H1802">
        <v>0.11</v>
      </c>
      <c r="I1802" t="s">
        <v>1354</v>
      </c>
      <c r="J1802" s="5">
        <v>763.15719999999999</v>
      </c>
    </row>
    <row r="1803" spans="1:10">
      <c r="A1803" t="s">
        <v>3152</v>
      </c>
      <c r="B1803" s="7">
        <v>45741</v>
      </c>
      <c r="C1803" t="s">
        <v>897</v>
      </c>
      <c r="D1803" t="s">
        <v>1107</v>
      </c>
      <c r="E1803" t="s">
        <v>1329</v>
      </c>
      <c r="F1803">
        <v>3</v>
      </c>
      <c r="G1803" s="5">
        <v>123.74</v>
      </c>
      <c r="H1803">
        <v>0.23</v>
      </c>
      <c r="I1803" t="s">
        <v>1351</v>
      </c>
      <c r="J1803" s="5">
        <v>285.83940000000001</v>
      </c>
    </row>
    <row r="1804" spans="1:10">
      <c r="A1804" t="s">
        <v>3153</v>
      </c>
      <c r="B1804" s="7">
        <v>45427</v>
      </c>
      <c r="C1804" t="s">
        <v>50</v>
      </c>
      <c r="D1804" t="s">
        <v>1207</v>
      </c>
      <c r="E1804" t="s">
        <v>1317</v>
      </c>
      <c r="F1804">
        <v>4</v>
      </c>
      <c r="G1804" s="5">
        <v>645.71</v>
      </c>
      <c r="H1804">
        <v>0.1</v>
      </c>
      <c r="I1804" t="s">
        <v>1351</v>
      </c>
      <c r="J1804" s="5">
        <v>2324.556</v>
      </c>
    </row>
    <row r="1805" spans="1:10">
      <c r="A1805" t="s">
        <v>3154</v>
      </c>
      <c r="B1805" s="7">
        <v>45736</v>
      </c>
      <c r="C1805" t="s">
        <v>102</v>
      </c>
      <c r="D1805" t="s">
        <v>1115</v>
      </c>
      <c r="E1805" t="s">
        <v>1319</v>
      </c>
      <c r="F1805">
        <v>3</v>
      </c>
      <c r="G1805" s="5">
        <v>587.12</v>
      </c>
      <c r="H1805">
        <v>0.3</v>
      </c>
      <c r="I1805" t="s">
        <v>1349</v>
      </c>
      <c r="J1805" s="5">
        <v>1232.952</v>
      </c>
    </row>
    <row r="1806" spans="1:10">
      <c r="A1806" t="s">
        <v>3155</v>
      </c>
      <c r="B1806" s="7">
        <v>45941</v>
      </c>
      <c r="C1806" t="s">
        <v>545</v>
      </c>
      <c r="D1806" t="s">
        <v>1123</v>
      </c>
      <c r="E1806" t="s">
        <v>1335</v>
      </c>
      <c r="F1806">
        <v>1</v>
      </c>
      <c r="G1806" s="5">
        <v>401.18</v>
      </c>
      <c r="H1806">
        <v>0.15</v>
      </c>
      <c r="I1806" t="s">
        <v>1354</v>
      </c>
      <c r="J1806" s="5">
        <v>341.00299999999999</v>
      </c>
    </row>
    <row r="1807" spans="1:10">
      <c r="A1807" t="s">
        <v>3156</v>
      </c>
      <c r="B1807" s="7">
        <v>45486</v>
      </c>
      <c r="C1807" t="s">
        <v>795</v>
      </c>
      <c r="D1807" t="s">
        <v>1189</v>
      </c>
      <c r="E1807" t="s">
        <v>1335</v>
      </c>
      <c r="F1807">
        <v>3</v>
      </c>
      <c r="G1807" s="5">
        <v>658.33</v>
      </c>
      <c r="H1807">
        <v>0.12</v>
      </c>
      <c r="I1807" t="s">
        <v>1354</v>
      </c>
      <c r="J1807" s="5">
        <v>1737.9911999999999</v>
      </c>
    </row>
    <row r="1808" spans="1:10">
      <c r="A1808" t="s">
        <v>3157</v>
      </c>
      <c r="B1808" s="7">
        <v>45474</v>
      </c>
      <c r="C1808" t="s">
        <v>464</v>
      </c>
      <c r="D1808" t="s">
        <v>1171</v>
      </c>
      <c r="E1808" t="s">
        <v>1317</v>
      </c>
      <c r="F1808">
        <v>4</v>
      </c>
      <c r="G1808" s="5">
        <v>450.3</v>
      </c>
      <c r="H1808">
        <v>0.02</v>
      </c>
      <c r="I1808" t="s">
        <v>1349</v>
      </c>
      <c r="J1808" s="5">
        <v>1765.1759999999999</v>
      </c>
    </row>
    <row r="1809" spans="1:10">
      <c r="A1809" t="s">
        <v>3158</v>
      </c>
      <c r="B1809" s="7">
        <v>45757</v>
      </c>
      <c r="C1809" t="s">
        <v>351</v>
      </c>
      <c r="D1809" t="s">
        <v>1261</v>
      </c>
      <c r="E1809" t="s">
        <v>1314</v>
      </c>
      <c r="F1809">
        <v>4</v>
      </c>
      <c r="G1809" s="5">
        <v>33.630000000000003</v>
      </c>
      <c r="H1809">
        <v>0.05</v>
      </c>
      <c r="I1809" t="s">
        <v>1349</v>
      </c>
      <c r="J1809" s="5">
        <v>127.794</v>
      </c>
    </row>
    <row r="1810" spans="1:10">
      <c r="A1810" t="s">
        <v>3159</v>
      </c>
      <c r="B1810" s="7">
        <v>45475</v>
      </c>
      <c r="C1810" t="s">
        <v>107</v>
      </c>
      <c r="D1810" t="s">
        <v>1105</v>
      </c>
      <c r="E1810" t="s">
        <v>1277</v>
      </c>
      <c r="F1810">
        <v>3</v>
      </c>
      <c r="G1810" s="5">
        <v>168.89</v>
      </c>
      <c r="H1810">
        <v>0.03</v>
      </c>
      <c r="I1810" t="s">
        <v>1354</v>
      </c>
      <c r="J1810" s="5">
        <v>491.46989999999988</v>
      </c>
    </row>
    <row r="1811" spans="1:10">
      <c r="A1811" t="s">
        <v>3160</v>
      </c>
      <c r="B1811" s="7">
        <v>45546</v>
      </c>
      <c r="C1811" t="s">
        <v>248</v>
      </c>
      <c r="D1811" t="s">
        <v>1193</v>
      </c>
      <c r="E1811" t="s">
        <v>1317</v>
      </c>
      <c r="F1811">
        <v>1</v>
      </c>
      <c r="G1811" s="5">
        <v>141.85</v>
      </c>
      <c r="H1811">
        <v>0.06</v>
      </c>
      <c r="I1811" t="s">
        <v>1351</v>
      </c>
      <c r="J1811" s="5">
        <v>133.339</v>
      </c>
    </row>
    <row r="1812" spans="1:10">
      <c r="A1812" t="s">
        <v>3161</v>
      </c>
      <c r="B1812" s="7">
        <v>45520</v>
      </c>
      <c r="C1812" t="s">
        <v>676</v>
      </c>
      <c r="D1812" t="s">
        <v>1143</v>
      </c>
      <c r="E1812" t="s">
        <v>1304</v>
      </c>
      <c r="F1812">
        <v>1</v>
      </c>
      <c r="G1812" s="5">
        <v>617.4</v>
      </c>
      <c r="H1812">
        <v>0.21</v>
      </c>
      <c r="I1812" t="s">
        <v>1349</v>
      </c>
      <c r="J1812" s="5">
        <v>487.74599999999998</v>
      </c>
    </row>
    <row r="1813" spans="1:10">
      <c r="A1813" t="s">
        <v>3162</v>
      </c>
      <c r="B1813" s="7">
        <v>45534</v>
      </c>
      <c r="C1813" t="s">
        <v>355</v>
      </c>
      <c r="D1813" t="s">
        <v>1179</v>
      </c>
      <c r="E1813" t="s">
        <v>1282</v>
      </c>
      <c r="F1813">
        <v>3</v>
      </c>
      <c r="G1813" s="5">
        <v>841.47</v>
      </c>
      <c r="H1813">
        <v>0.15</v>
      </c>
      <c r="I1813" t="s">
        <v>1354</v>
      </c>
      <c r="J1813" s="5">
        <v>2145.7485000000001</v>
      </c>
    </row>
    <row r="1814" spans="1:10">
      <c r="A1814" t="s">
        <v>3163</v>
      </c>
      <c r="B1814" s="7">
        <v>45334</v>
      </c>
      <c r="C1814" t="s">
        <v>164</v>
      </c>
      <c r="D1814" t="s">
        <v>1115</v>
      </c>
      <c r="E1814" t="s">
        <v>1322</v>
      </c>
      <c r="F1814">
        <v>2</v>
      </c>
      <c r="G1814" s="5">
        <v>960.41</v>
      </c>
      <c r="H1814">
        <v>0.18</v>
      </c>
      <c r="I1814" t="s">
        <v>1349</v>
      </c>
      <c r="J1814" s="5">
        <v>1575.0724</v>
      </c>
    </row>
    <row r="1815" spans="1:10">
      <c r="A1815" t="s">
        <v>3164</v>
      </c>
      <c r="B1815" s="7">
        <v>45289</v>
      </c>
      <c r="C1815" t="s">
        <v>965</v>
      </c>
      <c r="D1815" t="s">
        <v>1223</v>
      </c>
      <c r="E1815" t="s">
        <v>1335</v>
      </c>
      <c r="F1815">
        <v>3</v>
      </c>
      <c r="G1815" s="5">
        <v>717.22</v>
      </c>
      <c r="H1815">
        <v>0.24</v>
      </c>
      <c r="I1815" t="s">
        <v>1351</v>
      </c>
      <c r="J1815" s="5">
        <v>1635.2616</v>
      </c>
    </row>
    <row r="1816" spans="1:10">
      <c r="A1816" t="s">
        <v>3165</v>
      </c>
      <c r="B1816" s="7">
        <v>45832</v>
      </c>
      <c r="C1816" t="s">
        <v>290</v>
      </c>
      <c r="D1816" t="s">
        <v>1097</v>
      </c>
      <c r="E1816" t="s">
        <v>1277</v>
      </c>
      <c r="F1816">
        <v>1</v>
      </c>
      <c r="G1816" s="5">
        <v>281.83</v>
      </c>
      <c r="H1816">
        <v>0.16</v>
      </c>
      <c r="I1816" t="s">
        <v>1354</v>
      </c>
      <c r="J1816" s="5">
        <v>236.7372</v>
      </c>
    </row>
    <row r="1817" spans="1:10">
      <c r="A1817" t="s">
        <v>3166</v>
      </c>
      <c r="B1817" s="7">
        <v>45400</v>
      </c>
      <c r="C1817" t="s">
        <v>470</v>
      </c>
      <c r="D1817" t="s">
        <v>1191</v>
      </c>
      <c r="E1817" t="s">
        <v>1324</v>
      </c>
      <c r="F1817">
        <v>1</v>
      </c>
      <c r="G1817" s="5">
        <v>509.08</v>
      </c>
      <c r="H1817">
        <v>0.04</v>
      </c>
      <c r="I1817" t="s">
        <v>1351</v>
      </c>
      <c r="J1817" s="5">
        <v>488.71679999999998</v>
      </c>
    </row>
    <row r="1818" spans="1:10">
      <c r="A1818" t="s">
        <v>3167</v>
      </c>
      <c r="B1818" s="7">
        <v>45930</v>
      </c>
      <c r="C1818" t="s">
        <v>863</v>
      </c>
      <c r="D1818" t="s">
        <v>1265</v>
      </c>
      <c r="E1818" t="s">
        <v>1286</v>
      </c>
      <c r="F1818">
        <v>4</v>
      </c>
      <c r="G1818" s="5">
        <v>827.09</v>
      </c>
      <c r="H1818">
        <v>0.3</v>
      </c>
      <c r="I1818" t="s">
        <v>1349</v>
      </c>
      <c r="J1818" s="5">
        <v>2315.8519999999999</v>
      </c>
    </row>
    <row r="1819" spans="1:10">
      <c r="A1819" t="s">
        <v>3168</v>
      </c>
      <c r="B1819" s="7">
        <v>45935</v>
      </c>
      <c r="C1819" t="s">
        <v>482</v>
      </c>
      <c r="D1819" t="s">
        <v>1131</v>
      </c>
      <c r="E1819" t="s">
        <v>1294</v>
      </c>
      <c r="F1819">
        <v>2</v>
      </c>
      <c r="G1819" s="5">
        <v>823.36</v>
      </c>
      <c r="H1819">
        <v>0.23</v>
      </c>
      <c r="I1819" t="s">
        <v>1349</v>
      </c>
      <c r="J1819" s="5">
        <v>1267.9744000000001</v>
      </c>
    </row>
    <row r="1820" spans="1:10">
      <c r="A1820" t="s">
        <v>3169</v>
      </c>
      <c r="B1820" s="7">
        <v>45814</v>
      </c>
      <c r="C1820" t="s">
        <v>335</v>
      </c>
      <c r="D1820" t="s">
        <v>1125</v>
      </c>
      <c r="E1820" t="s">
        <v>1298</v>
      </c>
      <c r="F1820">
        <v>4</v>
      </c>
      <c r="G1820" s="5">
        <v>282.18</v>
      </c>
      <c r="H1820">
        <v>0.13</v>
      </c>
      <c r="I1820" t="s">
        <v>1354</v>
      </c>
      <c r="J1820" s="5">
        <v>981.9864</v>
      </c>
    </row>
    <row r="1821" spans="1:10">
      <c r="A1821" t="s">
        <v>3170</v>
      </c>
      <c r="B1821" s="7">
        <v>45323</v>
      </c>
      <c r="C1821" t="s">
        <v>405</v>
      </c>
      <c r="D1821" t="s">
        <v>1115</v>
      </c>
      <c r="E1821" t="s">
        <v>1282</v>
      </c>
      <c r="F1821">
        <v>1</v>
      </c>
      <c r="G1821" s="5">
        <v>486.39</v>
      </c>
      <c r="H1821">
        <v>0.09</v>
      </c>
      <c r="I1821" t="s">
        <v>1354</v>
      </c>
      <c r="J1821" s="5">
        <v>442.61489999999998</v>
      </c>
    </row>
    <row r="1822" spans="1:10">
      <c r="A1822" t="s">
        <v>3171</v>
      </c>
      <c r="B1822" s="7">
        <v>45312</v>
      </c>
      <c r="C1822" t="s">
        <v>129</v>
      </c>
      <c r="D1822" t="s">
        <v>1109</v>
      </c>
      <c r="E1822" t="s">
        <v>1291</v>
      </c>
      <c r="F1822">
        <v>2</v>
      </c>
      <c r="G1822" s="5">
        <v>603.62</v>
      </c>
      <c r="H1822">
        <v>0.18</v>
      </c>
      <c r="I1822" t="s">
        <v>1354</v>
      </c>
      <c r="J1822" s="5">
        <v>989.93680000000006</v>
      </c>
    </row>
    <row r="1823" spans="1:10">
      <c r="A1823" t="s">
        <v>3172</v>
      </c>
      <c r="B1823" s="7">
        <v>45554</v>
      </c>
      <c r="C1823" t="s">
        <v>355</v>
      </c>
      <c r="D1823" t="s">
        <v>1147</v>
      </c>
      <c r="E1823" t="s">
        <v>1307</v>
      </c>
      <c r="F1823">
        <v>3</v>
      </c>
      <c r="G1823" s="5">
        <v>204.17</v>
      </c>
      <c r="H1823">
        <v>0.1</v>
      </c>
      <c r="I1823" t="s">
        <v>1351</v>
      </c>
      <c r="J1823" s="5">
        <v>551.25900000000001</v>
      </c>
    </row>
    <row r="1824" spans="1:10">
      <c r="A1824" t="s">
        <v>3173</v>
      </c>
      <c r="B1824" s="7">
        <v>45310</v>
      </c>
      <c r="C1824" t="s">
        <v>335</v>
      </c>
      <c r="D1824" t="s">
        <v>1087</v>
      </c>
      <c r="E1824" t="s">
        <v>1326</v>
      </c>
      <c r="F1824">
        <v>1</v>
      </c>
      <c r="G1824" s="5">
        <v>43.58</v>
      </c>
      <c r="H1824">
        <v>0.01</v>
      </c>
      <c r="I1824" t="s">
        <v>1354</v>
      </c>
      <c r="J1824" s="5">
        <v>43.144199999999998</v>
      </c>
    </row>
    <row r="1825" spans="1:10">
      <c r="A1825" t="s">
        <v>3174</v>
      </c>
      <c r="B1825" s="7">
        <v>45594</v>
      </c>
      <c r="C1825" t="s">
        <v>728</v>
      </c>
      <c r="D1825" t="s">
        <v>1167</v>
      </c>
      <c r="E1825" t="s">
        <v>1286</v>
      </c>
      <c r="F1825">
        <v>3</v>
      </c>
      <c r="G1825" s="5">
        <v>469.33</v>
      </c>
      <c r="H1825">
        <v>0.14000000000000001</v>
      </c>
      <c r="I1825" t="s">
        <v>1351</v>
      </c>
      <c r="J1825" s="5">
        <v>1210.8714</v>
      </c>
    </row>
    <row r="1826" spans="1:10">
      <c r="A1826" t="s">
        <v>3175</v>
      </c>
      <c r="B1826" s="7">
        <v>45840</v>
      </c>
      <c r="C1826" t="s">
        <v>480</v>
      </c>
      <c r="D1826" t="s">
        <v>1087</v>
      </c>
      <c r="E1826" t="s">
        <v>1307</v>
      </c>
      <c r="F1826">
        <v>4</v>
      </c>
      <c r="G1826" s="5">
        <v>836.23</v>
      </c>
      <c r="H1826">
        <v>0.12</v>
      </c>
      <c r="I1826" t="s">
        <v>1349</v>
      </c>
      <c r="J1826" s="5">
        <v>2943.5295999999998</v>
      </c>
    </row>
    <row r="1827" spans="1:10">
      <c r="A1827" t="s">
        <v>3176</v>
      </c>
      <c r="B1827" s="7">
        <v>45549</v>
      </c>
      <c r="C1827" t="s">
        <v>418</v>
      </c>
      <c r="D1827" t="s">
        <v>1207</v>
      </c>
      <c r="E1827" t="s">
        <v>1338</v>
      </c>
      <c r="F1827">
        <v>2</v>
      </c>
      <c r="G1827" s="5">
        <v>661.53</v>
      </c>
      <c r="H1827">
        <v>0.2</v>
      </c>
      <c r="I1827" t="s">
        <v>1351</v>
      </c>
      <c r="J1827" s="5">
        <v>1058.4480000000001</v>
      </c>
    </row>
    <row r="1828" spans="1:10">
      <c r="A1828" t="s">
        <v>3177</v>
      </c>
      <c r="B1828" s="7">
        <v>45903</v>
      </c>
      <c r="C1828" t="s">
        <v>296</v>
      </c>
      <c r="D1828" t="s">
        <v>1185</v>
      </c>
      <c r="E1828" t="s">
        <v>1329</v>
      </c>
      <c r="F1828">
        <v>3</v>
      </c>
      <c r="G1828" s="5">
        <v>753.47</v>
      </c>
      <c r="H1828">
        <v>0.25</v>
      </c>
      <c r="I1828" t="s">
        <v>1351</v>
      </c>
      <c r="J1828" s="5">
        <v>1695.3074999999999</v>
      </c>
    </row>
    <row r="1829" spans="1:10">
      <c r="A1829" t="s">
        <v>3178</v>
      </c>
      <c r="B1829" s="7">
        <v>45673</v>
      </c>
      <c r="C1829" t="s">
        <v>373</v>
      </c>
      <c r="D1829" t="s">
        <v>1201</v>
      </c>
      <c r="E1829" t="s">
        <v>1277</v>
      </c>
      <c r="F1829">
        <v>3</v>
      </c>
      <c r="G1829" s="5">
        <v>713.95</v>
      </c>
      <c r="H1829">
        <v>0</v>
      </c>
      <c r="I1829" t="s">
        <v>1349</v>
      </c>
      <c r="J1829" s="5">
        <v>2141.85</v>
      </c>
    </row>
    <row r="1830" spans="1:10">
      <c r="A1830" t="s">
        <v>3179</v>
      </c>
      <c r="B1830" s="7">
        <v>45395</v>
      </c>
      <c r="C1830" t="s">
        <v>256</v>
      </c>
      <c r="D1830" t="s">
        <v>1095</v>
      </c>
      <c r="E1830" t="s">
        <v>1298</v>
      </c>
      <c r="F1830">
        <v>3</v>
      </c>
      <c r="G1830" s="5">
        <v>596</v>
      </c>
      <c r="H1830">
        <v>0.28000000000000003</v>
      </c>
      <c r="I1830" t="s">
        <v>1354</v>
      </c>
      <c r="J1830" s="5">
        <v>1287.3599999999999</v>
      </c>
    </row>
    <row r="1831" spans="1:10">
      <c r="A1831" t="s">
        <v>3180</v>
      </c>
      <c r="B1831" s="7">
        <v>45379</v>
      </c>
      <c r="C1831" t="s">
        <v>732</v>
      </c>
      <c r="D1831" t="s">
        <v>1090</v>
      </c>
      <c r="E1831" t="s">
        <v>1311</v>
      </c>
      <c r="F1831">
        <v>2</v>
      </c>
      <c r="G1831" s="5">
        <v>169.46</v>
      </c>
      <c r="H1831">
        <v>0.03</v>
      </c>
      <c r="I1831" t="s">
        <v>1351</v>
      </c>
      <c r="J1831" s="5">
        <v>328.75240000000002</v>
      </c>
    </row>
    <row r="1832" spans="1:10">
      <c r="A1832" t="s">
        <v>3181</v>
      </c>
      <c r="B1832" s="7">
        <v>45860</v>
      </c>
      <c r="C1832" t="s">
        <v>664</v>
      </c>
      <c r="D1832" t="s">
        <v>1203</v>
      </c>
      <c r="E1832" t="s">
        <v>1324</v>
      </c>
      <c r="F1832">
        <v>4</v>
      </c>
      <c r="G1832" s="5">
        <v>611.91999999999996</v>
      </c>
      <c r="H1832">
        <v>0.2</v>
      </c>
      <c r="I1832" t="s">
        <v>1351</v>
      </c>
      <c r="J1832" s="5">
        <v>1958.144</v>
      </c>
    </row>
    <row r="1833" spans="1:10">
      <c r="A1833" t="s">
        <v>3182</v>
      </c>
      <c r="B1833" s="7">
        <v>45704</v>
      </c>
      <c r="C1833" t="s">
        <v>20</v>
      </c>
      <c r="D1833" t="s">
        <v>1221</v>
      </c>
      <c r="E1833" t="s">
        <v>1326</v>
      </c>
      <c r="F1833">
        <v>2</v>
      </c>
      <c r="G1833" s="5">
        <v>25.3</v>
      </c>
      <c r="H1833">
        <v>0.21</v>
      </c>
      <c r="I1833" t="s">
        <v>1349</v>
      </c>
      <c r="J1833" s="5">
        <v>39.973999999999997</v>
      </c>
    </row>
    <row r="1834" spans="1:10">
      <c r="A1834" t="s">
        <v>3183</v>
      </c>
      <c r="B1834" s="7">
        <v>45327</v>
      </c>
      <c r="C1834" t="s">
        <v>929</v>
      </c>
      <c r="D1834" t="s">
        <v>1219</v>
      </c>
      <c r="E1834" t="s">
        <v>1314</v>
      </c>
      <c r="F1834">
        <v>4</v>
      </c>
      <c r="G1834" s="5">
        <v>166.93</v>
      </c>
      <c r="H1834">
        <v>0.02</v>
      </c>
      <c r="I1834" t="s">
        <v>1351</v>
      </c>
      <c r="J1834" s="5">
        <v>654.36559999999997</v>
      </c>
    </row>
    <row r="1835" spans="1:10">
      <c r="A1835" t="s">
        <v>3184</v>
      </c>
      <c r="B1835" s="7">
        <v>45721</v>
      </c>
      <c r="C1835" t="s">
        <v>624</v>
      </c>
      <c r="D1835" t="s">
        <v>1193</v>
      </c>
      <c r="E1835" t="s">
        <v>1317</v>
      </c>
      <c r="F1835">
        <v>4</v>
      </c>
      <c r="G1835" s="5">
        <v>861.55</v>
      </c>
      <c r="H1835">
        <v>0.12</v>
      </c>
      <c r="I1835" t="s">
        <v>1349</v>
      </c>
      <c r="J1835" s="5">
        <v>3032.6559999999999</v>
      </c>
    </row>
    <row r="1836" spans="1:10">
      <c r="A1836" t="s">
        <v>3185</v>
      </c>
      <c r="B1836" s="7">
        <v>45842</v>
      </c>
      <c r="C1836" t="s">
        <v>783</v>
      </c>
      <c r="D1836" t="s">
        <v>1159</v>
      </c>
      <c r="E1836" t="s">
        <v>1298</v>
      </c>
      <c r="F1836">
        <v>3</v>
      </c>
      <c r="G1836" s="5">
        <v>56.17</v>
      </c>
      <c r="H1836">
        <v>0.01</v>
      </c>
      <c r="I1836" t="s">
        <v>1354</v>
      </c>
      <c r="J1836" s="5">
        <v>166.82490000000001</v>
      </c>
    </row>
    <row r="1837" spans="1:10">
      <c r="A1837" t="s">
        <v>3186</v>
      </c>
      <c r="B1837" s="7">
        <v>45862</v>
      </c>
      <c r="C1837" t="s">
        <v>596</v>
      </c>
      <c r="D1837" t="s">
        <v>1103</v>
      </c>
      <c r="E1837" t="s">
        <v>1338</v>
      </c>
      <c r="F1837">
        <v>1</v>
      </c>
      <c r="G1837" s="5">
        <v>582.29</v>
      </c>
      <c r="H1837">
        <v>0.2</v>
      </c>
      <c r="I1837" t="s">
        <v>1349</v>
      </c>
      <c r="J1837" s="5">
        <v>465.83199999999999</v>
      </c>
    </row>
    <row r="1838" spans="1:10">
      <c r="A1838" t="s">
        <v>3187</v>
      </c>
      <c r="B1838" s="7">
        <v>45681</v>
      </c>
      <c r="C1838" t="s">
        <v>585</v>
      </c>
      <c r="D1838" t="s">
        <v>1239</v>
      </c>
      <c r="E1838" t="s">
        <v>1277</v>
      </c>
      <c r="F1838">
        <v>3</v>
      </c>
      <c r="G1838" s="5">
        <v>63.96</v>
      </c>
      <c r="H1838">
        <v>0.02</v>
      </c>
      <c r="I1838" t="s">
        <v>1349</v>
      </c>
      <c r="J1838" s="5">
        <v>188.04239999999999</v>
      </c>
    </row>
    <row r="1839" spans="1:10">
      <c r="A1839" t="s">
        <v>3188</v>
      </c>
      <c r="B1839" s="7">
        <v>45392</v>
      </c>
      <c r="C1839" t="s">
        <v>178</v>
      </c>
      <c r="D1839" t="s">
        <v>1090</v>
      </c>
      <c r="E1839" t="s">
        <v>1319</v>
      </c>
      <c r="F1839">
        <v>1</v>
      </c>
      <c r="G1839" s="5">
        <v>829.83</v>
      </c>
      <c r="H1839">
        <v>0.26</v>
      </c>
      <c r="I1839" t="s">
        <v>1354</v>
      </c>
      <c r="J1839" s="5">
        <v>614.07420000000002</v>
      </c>
    </row>
    <row r="1840" spans="1:10">
      <c r="A1840" t="s">
        <v>3189</v>
      </c>
      <c r="B1840" s="7">
        <v>45586</v>
      </c>
      <c r="C1840" t="s">
        <v>803</v>
      </c>
      <c r="D1840" t="s">
        <v>1141</v>
      </c>
      <c r="E1840" t="s">
        <v>1329</v>
      </c>
      <c r="F1840">
        <v>2</v>
      </c>
      <c r="G1840" s="5">
        <v>858.15</v>
      </c>
      <c r="H1840">
        <v>0.03</v>
      </c>
      <c r="I1840" t="s">
        <v>1349</v>
      </c>
      <c r="J1840" s="5">
        <v>1664.8109999999999</v>
      </c>
    </row>
    <row r="1841" spans="1:10">
      <c r="A1841" t="s">
        <v>3190</v>
      </c>
      <c r="B1841" s="7">
        <v>45340</v>
      </c>
      <c r="C1841" t="s">
        <v>781</v>
      </c>
      <c r="D1841" t="s">
        <v>1219</v>
      </c>
      <c r="E1841" t="s">
        <v>1322</v>
      </c>
      <c r="F1841">
        <v>3</v>
      </c>
      <c r="G1841" s="5">
        <v>717.32</v>
      </c>
      <c r="H1841">
        <v>0.23</v>
      </c>
      <c r="I1841" t="s">
        <v>1354</v>
      </c>
      <c r="J1841" s="5">
        <v>1657.0092</v>
      </c>
    </row>
    <row r="1842" spans="1:10">
      <c r="A1842" t="s">
        <v>3191</v>
      </c>
      <c r="B1842" s="7">
        <v>45853</v>
      </c>
      <c r="C1842" t="s">
        <v>919</v>
      </c>
      <c r="D1842" t="s">
        <v>1239</v>
      </c>
      <c r="E1842" t="s">
        <v>1319</v>
      </c>
      <c r="F1842">
        <v>1</v>
      </c>
      <c r="G1842" s="5">
        <v>163.19999999999999</v>
      </c>
      <c r="H1842">
        <v>0.22</v>
      </c>
      <c r="I1842" t="s">
        <v>1351</v>
      </c>
      <c r="J1842" s="5">
        <v>127.29600000000001</v>
      </c>
    </row>
    <row r="1843" spans="1:10">
      <c r="A1843" t="s">
        <v>3192</v>
      </c>
      <c r="B1843" s="7">
        <v>45489</v>
      </c>
      <c r="C1843" t="s">
        <v>313</v>
      </c>
      <c r="D1843" t="s">
        <v>1235</v>
      </c>
      <c r="E1843" t="s">
        <v>1319</v>
      </c>
      <c r="F1843">
        <v>2</v>
      </c>
      <c r="G1843" s="5">
        <v>966.71</v>
      </c>
      <c r="H1843">
        <v>0.11</v>
      </c>
      <c r="I1843" t="s">
        <v>1349</v>
      </c>
      <c r="J1843" s="5">
        <v>1720.7438</v>
      </c>
    </row>
    <row r="1844" spans="1:10">
      <c r="A1844" t="s">
        <v>3193</v>
      </c>
      <c r="B1844" s="7">
        <v>45761</v>
      </c>
      <c r="C1844" t="s">
        <v>760</v>
      </c>
      <c r="D1844" t="s">
        <v>1143</v>
      </c>
      <c r="E1844" t="s">
        <v>1322</v>
      </c>
      <c r="F1844">
        <v>2</v>
      </c>
      <c r="G1844" s="5">
        <v>873.94</v>
      </c>
      <c r="H1844">
        <v>0.14000000000000001</v>
      </c>
      <c r="I1844" t="s">
        <v>1354</v>
      </c>
      <c r="J1844" s="5">
        <v>1503.1768</v>
      </c>
    </row>
    <row r="1845" spans="1:10">
      <c r="A1845" t="s">
        <v>3194</v>
      </c>
      <c r="B1845" s="7">
        <v>45379</v>
      </c>
      <c r="C1845" t="s">
        <v>359</v>
      </c>
      <c r="D1845" t="s">
        <v>1068</v>
      </c>
      <c r="E1845" t="s">
        <v>1291</v>
      </c>
      <c r="F1845">
        <v>1</v>
      </c>
      <c r="G1845" s="5">
        <v>140.24</v>
      </c>
      <c r="H1845">
        <v>0.27</v>
      </c>
      <c r="I1845" t="s">
        <v>1349</v>
      </c>
      <c r="J1845" s="5">
        <v>102.37520000000001</v>
      </c>
    </row>
    <row r="1846" spans="1:10">
      <c r="A1846" t="s">
        <v>3195</v>
      </c>
      <c r="B1846" s="7">
        <v>45716</v>
      </c>
      <c r="C1846" t="s">
        <v>464</v>
      </c>
      <c r="D1846" t="s">
        <v>1159</v>
      </c>
      <c r="E1846" t="s">
        <v>1298</v>
      </c>
      <c r="F1846">
        <v>2</v>
      </c>
      <c r="G1846" s="5">
        <v>549.91999999999996</v>
      </c>
      <c r="H1846">
        <v>0.28000000000000003</v>
      </c>
      <c r="I1846" t="s">
        <v>1349</v>
      </c>
      <c r="J1846" s="5">
        <v>791.88479999999993</v>
      </c>
    </row>
    <row r="1847" spans="1:10">
      <c r="A1847" t="s">
        <v>3196</v>
      </c>
      <c r="B1847" s="7">
        <v>45364</v>
      </c>
      <c r="C1847" t="s">
        <v>281</v>
      </c>
      <c r="D1847" t="s">
        <v>1107</v>
      </c>
      <c r="E1847" t="s">
        <v>1298</v>
      </c>
      <c r="F1847">
        <v>4</v>
      </c>
      <c r="G1847" s="5">
        <v>715.88</v>
      </c>
      <c r="H1847">
        <v>0.19</v>
      </c>
      <c r="I1847" t="s">
        <v>1351</v>
      </c>
      <c r="J1847" s="5">
        <v>2319.4512</v>
      </c>
    </row>
    <row r="1848" spans="1:10">
      <c r="A1848" t="s">
        <v>3197</v>
      </c>
      <c r="B1848" s="7">
        <v>45752</v>
      </c>
      <c r="C1848" t="s">
        <v>805</v>
      </c>
      <c r="D1848" t="s">
        <v>1074</v>
      </c>
      <c r="E1848" t="s">
        <v>1307</v>
      </c>
      <c r="F1848">
        <v>3</v>
      </c>
      <c r="G1848" s="5">
        <v>591.9</v>
      </c>
      <c r="H1848">
        <v>0.27</v>
      </c>
      <c r="I1848" t="s">
        <v>1349</v>
      </c>
      <c r="J1848" s="5">
        <v>1296.261</v>
      </c>
    </row>
    <row r="1849" spans="1:10">
      <c r="A1849" t="s">
        <v>3198</v>
      </c>
      <c r="B1849" s="7">
        <v>45883</v>
      </c>
      <c r="C1849" t="s">
        <v>813</v>
      </c>
      <c r="D1849" t="s">
        <v>1117</v>
      </c>
      <c r="E1849" t="s">
        <v>1314</v>
      </c>
      <c r="F1849">
        <v>2</v>
      </c>
      <c r="G1849" s="5">
        <v>523.14</v>
      </c>
      <c r="H1849">
        <v>0.13</v>
      </c>
      <c r="I1849" t="s">
        <v>1351</v>
      </c>
      <c r="J1849" s="5">
        <v>910.2636</v>
      </c>
    </row>
    <row r="1850" spans="1:10">
      <c r="A1850" t="s">
        <v>3199</v>
      </c>
      <c r="B1850" s="7">
        <v>45477</v>
      </c>
      <c r="C1850" t="s">
        <v>515</v>
      </c>
      <c r="D1850" t="s">
        <v>1211</v>
      </c>
      <c r="E1850" t="s">
        <v>1324</v>
      </c>
      <c r="F1850">
        <v>2</v>
      </c>
      <c r="G1850" s="5">
        <v>478.62</v>
      </c>
      <c r="H1850">
        <v>0.17</v>
      </c>
      <c r="I1850" t="s">
        <v>1354</v>
      </c>
      <c r="J1850" s="5">
        <v>794.50919999999996</v>
      </c>
    </row>
    <row r="1851" spans="1:10">
      <c r="A1851" t="s">
        <v>3200</v>
      </c>
      <c r="B1851" s="7">
        <v>45556</v>
      </c>
      <c r="C1851" t="s">
        <v>662</v>
      </c>
      <c r="D1851" t="s">
        <v>1237</v>
      </c>
      <c r="E1851" t="s">
        <v>1282</v>
      </c>
      <c r="F1851">
        <v>4</v>
      </c>
      <c r="G1851" s="5">
        <v>740.5</v>
      </c>
      <c r="H1851">
        <v>0.17</v>
      </c>
      <c r="I1851" t="s">
        <v>1351</v>
      </c>
      <c r="J1851" s="5">
        <v>2458.46</v>
      </c>
    </row>
    <row r="1852" spans="1:10">
      <c r="A1852" t="s">
        <v>3201</v>
      </c>
      <c r="B1852" s="7">
        <v>45465</v>
      </c>
      <c r="C1852" t="s">
        <v>283</v>
      </c>
      <c r="D1852" t="s">
        <v>1165</v>
      </c>
      <c r="E1852" t="s">
        <v>1286</v>
      </c>
      <c r="F1852">
        <v>1</v>
      </c>
      <c r="G1852" s="5">
        <v>780.24</v>
      </c>
      <c r="H1852">
        <v>0.04</v>
      </c>
      <c r="I1852" t="s">
        <v>1354</v>
      </c>
      <c r="J1852" s="5">
        <v>749.03039999999999</v>
      </c>
    </row>
    <row r="1853" spans="1:10">
      <c r="A1853" t="s">
        <v>3202</v>
      </c>
      <c r="B1853" s="7">
        <v>45552</v>
      </c>
      <c r="C1853" t="s">
        <v>273</v>
      </c>
      <c r="D1853" t="s">
        <v>1213</v>
      </c>
      <c r="E1853" t="s">
        <v>1329</v>
      </c>
      <c r="F1853">
        <v>4</v>
      </c>
      <c r="G1853" s="5">
        <v>579.24</v>
      </c>
      <c r="H1853">
        <v>0.04</v>
      </c>
      <c r="I1853" t="s">
        <v>1354</v>
      </c>
      <c r="J1853" s="5">
        <v>2224.2815999999998</v>
      </c>
    </row>
    <row r="1854" spans="1:10">
      <c r="A1854" t="s">
        <v>3203</v>
      </c>
      <c r="B1854" s="7">
        <v>45635</v>
      </c>
      <c r="C1854" t="s">
        <v>805</v>
      </c>
      <c r="D1854" t="s">
        <v>1071</v>
      </c>
      <c r="E1854" t="s">
        <v>1286</v>
      </c>
      <c r="F1854">
        <v>3</v>
      </c>
      <c r="G1854" s="5">
        <v>268.95</v>
      </c>
      <c r="H1854">
        <v>0.04</v>
      </c>
      <c r="I1854" t="s">
        <v>1351</v>
      </c>
      <c r="J1854" s="5">
        <v>774.57599999999991</v>
      </c>
    </row>
    <row r="1855" spans="1:10">
      <c r="A1855" t="s">
        <v>3204</v>
      </c>
      <c r="B1855" s="7">
        <v>45740</v>
      </c>
      <c r="C1855" t="s">
        <v>674</v>
      </c>
      <c r="D1855" t="s">
        <v>1080</v>
      </c>
      <c r="E1855" t="s">
        <v>1294</v>
      </c>
      <c r="F1855">
        <v>1</v>
      </c>
      <c r="G1855" s="5">
        <v>47.47</v>
      </c>
      <c r="H1855">
        <v>0.28000000000000003</v>
      </c>
      <c r="I1855" t="s">
        <v>1349</v>
      </c>
      <c r="J1855" s="5">
        <v>34.178400000000003</v>
      </c>
    </row>
    <row r="1856" spans="1:10">
      <c r="A1856" t="s">
        <v>3205</v>
      </c>
      <c r="B1856" s="7">
        <v>45796</v>
      </c>
      <c r="C1856" t="s">
        <v>577</v>
      </c>
      <c r="D1856" t="s">
        <v>1139</v>
      </c>
      <c r="E1856" t="s">
        <v>1332</v>
      </c>
      <c r="F1856">
        <v>3</v>
      </c>
      <c r="G1856" s="5">
        <v>858.81</v>
      </c>
      <c r="H1856">
        <v>7.0000000000000007E-2</v>
      </c>
      <c r="I1856" t="s">
        <v>1349</v>
      </c>
      <c r="J1856" s="5">
        <v>2396.0799000000002</v>
      </c>
    </row>
    <row r="1857" spans="1:10">
      <c r="A1857" t="s">
        <v>3206</v>
      </c>
      <c r="B1857" s="7">
        <v>45710</v>
      </c>
      <c r="C1857" t="s">
        <v>684</v>
      </c>
      <c r="D1857" t="s">
        <v>1111</v>
      </c>
      <c r="E1857" t="s">
        <v>1314</v>
      </c>
      <c r="F1857">
        <v>3</v>
      </c>
      <c r="G1857" s="5">
        <v>569.98</v>
      </c>
      <c r="H1857">
        <v>0.05</v>
      </c>
      <c r="I1857" t="s">
        <v>1349</v>
      </c>
      <c r="J1857" s="5">
        <v>1624.443</v>
      </c>
    </row>
    <row r="1858" spans="1:10">
      <c r="A1858" t="s">
        <v>3207</v>
      </c>
      <c r="B1858" s="7">
        <v>45596</v>
      </c>
      <c r="C1858" t="s">
        <v>718</v>
      </c>
      <c r="D1858" t="s">
        <v>1221</v>
      </c>
      <c r="E1858" t="s">
        <v>1319</v>
      </c>
      <c r="F1858">
        <v>3</v>
      </c>
      <c r="G1858" s="5">
        <v>306.52</v>
      </c>
      <c r="H1858">
        <v>0.01</v>
      </c>
      <c r="I1858" t="s">
        <v>1354</v>
      </c>
      <c r="J1858" s="5">
        <v>910.36439999999993</v>
      </c>
    </row>
    <row r="1859" spans="1:10">
      <c r="A1859" t="s">
        <v>3208</v>
      </c>
      <c r="B1859" s="7">
        <v>45354</v>
      </c>
      <c r="C1859" t="s">
        <v>176</v>
      </c>
      <c r="D1859" t="s">
        <v>1185</v>
      </c>
      <c r="E1859" t="s">
        <v>1322</v>
      </c>
      <c r="F1859">
        <v>3</v>
      </c>
      <c r="G1859" s="5">
        <v>184.67</v>
      </c>
      <c r="H1859">
        <v>0.03</v>
      </c>
      <c r="I1859" t="s">
        <v>1354</v>
      </c>
      <c r="J1859" s="5">
        <v>537.38969999999995</v>
      </c>
    </row>
    <row r="1860" spans="1:10">
      <c r="A1860" t="s">
        <v>3209</v>
      </c>
      <c r="B1860" s="7">
        <v>45428</v>
      </c>
      <c r="C1860" t="s">
        <v>1026</v>
      </c>
      <c r="D1860" t="s">
        <v>1125</v>
      </c>
      <c r="E1860" t="s">
        <v>1298</v>
      </c>
      <c r="F1860">
        <v>4</v>
      </c>
      <c r="G1860" s="5">
        <v>189.56</v>
      </c>
      <c r="H1860">
        <v>0</v>
      </c>
      <c r="I1860" t="s">
        <v>1354</v>
      </c>
      <c r="J1860" s="5">
        <v>758.24</v>
      </c>
    </row>
    <row r="1861" spans="1:10">
      <c r="A1861" t="s">
        <v>3210</v>
      </c>
      <c r="B1861" s="7">
        <v>45511</v>
      </c>
      <c r="C1861" t="s">
        <v>478</v>
      </c>
      <c r="D1861" t="s">
        <v>1223</v>
      </c>
      <c r="E1861" t="s">
        <v>1298</v>
      </c>
      <c r="F1861">
        <v>1</v>
      </c>
      <c r="G1861" s="5">
        <v>805.24</v>
      </c>
      <c r="H1861">
        <v>0.04</v>
      </c>
      <c r="I1861" t="s">
        <v>1351</v>
      </c>
      <c r="J1861" s="5">
        <v>773.03039999999999</v>
      </c>
    </row>
    <row r="1862" spans="1:10">
      <c r="A1862" t="s">
        <v>3211</v>
      </c>
      <c r="B1862" s="7">
        <v>45549</v>
      </c>
      <c r="C1862" t="s">
        <v>438</v>
      </c>
      <c r="D1862" t="s">
        <v>1181</v>
      </c>
      <c r="E1862" t="s">
        <v>1332</v>
      </c>
      <c r="F1862">
        <v>3</v>
      </c>
      <c r="G1862" s="5">
        <v>683.74</v>
      </c>
      <c r="H1862">
        <v>0.24</v>
      </c>
      <c r="I1862" t="s">
        <v>1349</v>
      </c>
      <c r="J1862" s="5">
        <v>1558.9272000000001</v>
      </c>
    </row>
    <row r="1863" spans="1:10">
      <c r="A1863" t="s">
        <v>3212</v>
      </c>
      <c r="B1863" s="7">
        <v>45573</v>
      </c>
      <c r="C1863" t="s">
        <v>482</v>
      </c>
      <c r="D1863" t="s">
        <v>1185</v>
      </c>
      <c r="E1863" t="s">
        <v>1335</v>
      </c>
      <c r="F1863">
        <v>3</v>
      </c>
      <c r="G1863" s="5">
        <v>439.21</v>
      </c>
      <c r="H1863">
        <v>0.28000000000000003</v>
      </c>
      <c r="I1863" t="s">
        <v>1354</v>
      </c>
      <c r="J1863" s="5">
        <v>948.69359999999983</v>
      </c>
    </row>
    <row r="1864" spans="1:10">
      <c r="A1864" t="s">
        <v>3213</v>
      </c>
      <c r="B1864" s="7">
        <v>45904</v>
      </c>
      <c r="C1864" t="s">
        <v>298</v>
      </c>
      <c r="D1864" t="s">
        <v>1205</v>
      </c>
      <c r="E1864" t="s">
        <v>1301</v>
      </c>
      <c r="F1864">
        <v>1</v>
      </c>
      <c r="G1864" s="5">
        <v>126.92</v>
      </c>
      <c r="H1864">
        <v>0.24</v>
      </c>
      <c r="I1864" t="s">
        <v>1354</v>
      </c>
      <c r="J1864" s="5">
        <v>96.459199999999996</v>
      </c>
    </row>
    <row r="1865" spans="1:10">
      <c r="A1865" t="s">
        <v>3214</v>
      </c>
      <c r="B1865" s="7">
        <v>45489</v>
      </c>
      <c r="C1865" t="s">
        <v>23</v>
      </c>
      <c r="D1865" t="s">
        <v>1219</v>
      </c>
      <c r="E1865" t="s">
        <v>1294</v>
      </c>
      <c r="F1865">
        <v>4</v>
      </c>
      <c r="G1865" s="5">
        <v>834.7</v>
      </c>
      <c r="H1865">
        <v>0.14000000000000001</v>
      </c>
      <c r="I1865" t="s">
        <v>1349</v>
      </c>
      <c r="J1865" s="5">
        <v>2871.3679999999999</v>
      </c>
    </row>
    <row r="1866" spans="1:10">
      <c r="A1866" t="s">
        <v>3215</v>
      </c>
      <c r="B1866" s="7">
        <v>45909</v>
      </c>
      <c r="C1866" t="s">
        <v>746</v>
      </c>
      <c r="D1866" t="s">
        <v>1157</v>
      </c>
      <c r="E1866" t="s">
        <v>1317</v>
      </c>
      <c r="F1866">
        <v>2</v>
      </c>
      <c r="G1866" s="5">
        <v>271.88</v>
      </c>
      <c r="H1866">
        <v>0.11</v>
      </c>
      <c r="I1866" t="s">
        <v>1354</v>
      </c>
      <c r="J1866" s="5">
        <v>483.94639999999998</v>
      </c>
    </row>
    <row r="1867" spans="1:10">
      <c r="A1867" t="s">
        <v>3216</v>
      </c>
      <c r="B1867" s="7">
        <v>45720</v>
      </c>
      <c r="C1867" t="s">
        <v>1022</v>
      </c>
      <c r="D1867" t="s">
        <v>1095</v>
      </c>
      <c r="E1867" t="s">
        <v>1282</v>
      </c>
      <c r="F1867">
        <v>4</v>
      </c>
      <c r="G1867" s="5">
        <v>972.14</v>
      </c>
      <c r="H1867">
        <v>0.25</v>
      </c>
      <c r="I1867" t="s">
        <v>1349</v>
      </c>
      <c r="J1867" s="5">
        <v>2916.42</v>
      </c>
    </row>
    <row r="1868" spans="1:10">
      <c r="A1868" t="s">
        <v>3217</v>
      </c>
      <c r="B1868" s="7">
        <v>45831</v>
      </c>
      <c r="C1868" t="s">
        <v>244</v>
      </c>
      <c r="D1868" t="s">
        <v>1159</v>
      </c>
      <c r="E1868" t="s">
        <v>1294</v>
      </c>
      <c r="F1868">
        <v>3</v>
      </c>
      <c r="G1868" s="5">
        <v>523.66</v>
      </c>
      <c r="H1868">
        <v>0.27</v>
      </c>
      <c r="I1868" t="s">
        <v>1351</v>
      </c>
      <c r="J1868" s="5">
        <v>1146.8154</v>
      </c>
    </row>
    <row r="1869" spans="1:10">
      <c r="A1869" t="s">
        <v>3218</v>
      </c>
      <c r="B1869" s="7">
        <v>45602</v>
      </c>
      <c r="C1869" t="s">
        <v>357</v>
      </c>
      <c r="D1869" t="s">
        <v>1201</v>
      </c>
      <c r="E1869" t="s">
        <v>1286</v>
      </c>
      <c r="F1869">
        <v>4</v>
      </c>
      <c r="G1869" s="5">
        <v>838.99</v>
      </c>
      <c r="H1869">
        <v>0.16</v>
      </c>
      <c r="I1869" t="s">
        <v>1349</v>
      </c>
      <c r="J1869" s="5">
        <v>2819.0064000000002</v>
      </c>
    </row>
    <row r="1870" spans="1:10">
      <c r="A1870" t="s">
        <v>3219</v>
      </c>
      <c r="B1870" s="7">
        <v>45722</v>
      </c>
      <c r="C1870" t="s">
        <v>331</v>
      </c>
      <c r="D1870" t="s">
        <v>1095</v>
      </c>
      <c r="E1870" t="s">
        <v>1332</v>
      </c>
      <c r="F1870">
        <v>4</v>
      </c>
      <c r="G1870" s="5">
        <v>838.7</v>
      </c>
      <c r="H1870">
        <v>0.21</v>
      </c>
      <c r="I1870" t="s">
        <v>1354</v>
      </c>
      <c r="J1870" s="5">
        <v>2650.2919999999999</v>
      </c>
    </row>
    <row r="1871" spans="1:10">
      <c r="A1871" t="s">
        <v>3220</v>
      </c>
      <c r="B1871" s="7">
        <v>45794</v>
      </c>
      <c r="C1871" t="s">
        <v>903</v>
      </c>
      <c r="D1871" t="s">
        <v>1221</v>
      </c>
      <c r="E1871" t="s">
        <v>1307</v>
      </c>
      <c r="F1871">
        <v>3</v>
      </c>
      <c r="G1871" s="5">
        <v>943.24</v>
      </c>
      <c r="H1871">
        <v>0.21</v>
      </c>
      <c r="I1871" t="s">
        <v>1349</v>
      </c>
      <c r="J1871" s="5">
        <v>2235.4787999999999</v>
      </c>
    </row>
    <row r="1872" spans="1:10">
      <c r="A1872" t="s">
        <v>3221</v>
      </c>
      <c r="B1872" s="7">
        <v>45659</v>
      </c>
      <c r="C1872" t="s">
        <v>662</v>
      </c>
      <c r="D1872" t="s">
        <v>1068</v>
      </c>
      <c r="E1872" t="s">
        <v>1332</v>
      </c>
      <c r="F1872">
        <v>2</v>
      </c>
      <c r="G1872" s="5">
        <v>310.33</v>
      </c>
      <c r="H1872">
        <v>0.26</v>
      </c>
      <c r="I1872" t="s">
        <v>1349</v>
      </c>
      <c r="J1872" s="5">
        <v>459.28840000000002</v>
      </c>
    </row>
    <row r="1873" spans="1:10">
      <c r="A1873" t="s">
        <v>3222</v>
      </c>
      <c r="B1873" s="7">
        <v>45501</v>
      </c>
      <c r="C1873" t="s">
        <v>756</v>
      </c>
      <c r="D1873" t="s">
        <v>1163</v>
      </c>
      <c r="E1873" t="s">
        <v>1277</v>
      </c>
      <c r="F1873">
        <v>3</v>
      </c>
      <c r="G1873" s="5">
        <v>201.05</v>
      </c>
      <c r="H1873">
        <v>0.23</v>
      </c>
      <c r="I1873" t="s">
        <v>1351</v>
      </c>
      <c r="J1873" s="5">
        <v>464.42550000000011</v>
      </c>
    </row>
    <row r="1874" spans="1:10">
      <c r="A1874" t="s">
        <v>3223</v>
      </c>
      <c r="B1874" s="7">
        <v>45408</v>
      </c>
      <c r="C1874" t="s">
        <v>567</v>
      </c>
      <c r="D1874" t="s">
        <v>1189</v>
      </c>
      <c r="E1874" t="s">
        <v>1332</v>
      </c>
      <c r="F1874">
        <v>1</v>
      </c>
      <c r="G1874" s="5">
        <v>803.37</v>
      </c>
      <c r="H1874">
        <v>0.3</v>
      </c>
      <c r="I1874" t="s">
        <v>1351</v>
      </c>
      <c r="J1874" s="5">
        <v>562.35899999999992</v>
      </c>
    </row>
    <row r="1875" spans="1:10">
      <c r="A1875" t="s">
        <v>3224</v>
      </c>
      <c r="B1875" s="7">
        <v>45886</v>
      </c>
      <c r="C1875" t="s">
        <v>109</v>
      </c>
      <c r="D1875" t="s">
        <v>1195</v>
      </c>
      <c r="E1875" t="s">
        <v>1326</v>
      </c>
      <c r="F1875">
        <v>3</v>
      </c>
      <c r="G1875" s="5">
        <v>259.98</v>
      </c>
      <c r="H1875">
        <v>7.0000000000000007E-2</v>
      </c>
      <c r="I1875" t="s">
        <v>1354</v>
      </c>
      <c r="J1875" s="5">
        <v>725.3442</v>
      </c>
    </row>
    <row r="1876" spans="1:10">
      <c r="A1876" t="s">
        <v>3225</v>
      </c>
      <c r="B1876" s="7">
        <v>45426</v>
      </c>
      <c r="C1876" t="s">
        <v>308</v>
      </c>
      <c r="D1876" t="s">
        <v>1074</v>
      </c>
      <c r="E1876" t="s">
        <v>1291</v>
      </c>
      <c r="F1876">
        <v>4</v>
      </c>
      <c r="G1876" s="5">
        <v>591.9</v>
      </c>
      <c r="H1876">
        <v>0.2</v>
      </c>
      <c r="I1876" t="s">
        <v>1351</v>
      </c>
      <c r="J1876" s="5">
        <v>1894.08</v>
      </c>
    </row>
    <row r="1877" spans="1:10">
      <c r="A1877" t="s">
        <v>3226</v>
      </c>
      <c r="B1877" s="7">
        <v>45730</v>
      </c>
      <c r="C1877" t="s">
        <v>96</v>
      </c>
      <c r="D1877" t="s">
        <v>1193</v>
      </c>
      <c r="E1877" t="s">
        <v>1319</v>
      </c>
      <c r="F1877">
        <v>2</v>
      </c>
      <c r="G1877" s="5">
        <v>396.9</v>
      </c>
      <c r="H1877">
        <v>0.18</v>
      </c>
      <c r="I1877" t="s">
        <v>1351</v>
      </c>
      <c r="J1877" s="5">
        <v>650.91600000000005</v>
      </c>
    </row>
    <row r="1878" spans="1:10">
      <c r="A1878" t="s">
        <v>3227</v>
      </c>
      <c r="B1878" s="7">
        <v>45731</v>
      </c>
      <c r="C1878" t="s">
        <v>969</v>
      </c>
      <c r="D1878" t="s">
        <v>1269</v>
      </c>
      <c r="E1878" t="s">
        <v>1286</v>
      </c>
      <c r="F1878">
        <v>1</v>
      </c>
      <c r="G1878" s="5">
        <v>176.84</v>
      </c>
      <c r="H1878">
        <v>0.19</v>
      </c>
      <c r="I1878" t="s">
        <v>1349</v>
      </c>
      <c r="J1878" s="5">
        <v>143.24039999999999</v>
      </c>
    </row>
    <row r="1879" spans="1:10">
      <c r="A1879" t="s">
        <v>3228</v>
      </c>
      <c r="B1879" s="7">
        <v>45272</v>
      </c>
      <c r="C1879" t="s">
        <v>571</v>
      </c>
      <c r="D1879" t="s">
        <v>1125</v>
      </c>
      <c r="E1879" t="s">
        <v>1277</v>
      </c>
      <c r="F1879">
        <v>2</v>
      </c>
      <c r="G1879" s="5">
        <v>614.21</v>
      </c>
      <c r="H1879">
        <v>0.11</v>
      </c>
      <c r="I1879" t="s">
        <v>1351</v>
      </c>
      <c r="J1879" s="5">
        <v>1093.2937999999999</v>
      </c>
    </row>
    <row r="1880" spans="1:10">
      <c r="A1880" t="s">
        <v>3229</v>
      </c>
      <c r="B1880" s="7">
        <v>45584</v>
      </c>
      <c r="C1880" t="s">
        <v>275</v>
      </c>
      <c r="D1880" t="s">
        <v>1076</v>
      </c>
      <c r="E1880" t="s">
        <v>1304</v>
      </c>
      <c r="F1880">
        <v>3</v>
      </c>
      <c r="G1880" s="5">
        <v>604.66</v>
      </c>
      <c r="H1880">
        <v>0.18</v>
      </c>
      <c r="I1880" t="s">
        <v>1354</v>
      </c>
      <c r="J1880" s="5">
        <v>1487.4636</v>
      </c>
    </row>
    <row r="1881" spans="1:10">
      <c r="A1881" t="s">
        <v>3230</v>
      </c>
      <c r="B1881" s="7">
        <v>45534</v>
      </c>
      <c r="C1881" t="s">
        <v>1057</v>
      </c>
      <c r="D1881" t="s">
        <v>1074</v>
      </c>
      <c r="E1881" t="s">
        <v>1319</v>
      </c>
      <c r="F1881">
        <v>3</v>
      </c>
      <c r="G1881" s="5">
        <v>24.29</v>
      </c>
      <c r="H1881">
        <v>0.12</v>
      </c>
      <c r="I1881" t="s">
        <v>1351</v>
      </c>
      <c r="J1881" s="5">
        <v>64.125600000000006</v>
      </c>
    </row>
    <row r="1882" spans="1:10">
      <c r="A1882" t="s">
        <v>3231</v>
      </c>
      <c r="B1882" s="7">
        <v>45482</v>
      </c>
      <c r="C1882" t="s">
        <v>302</v>
      </c>
      <c r="D1882" t="s">
        <v>1199</v>
      </c>
      <c r="E1882" t="s">
        <v>1317</v>
      </c>
      <c r="F1882">
        <v>1</v>
      </c>
      <c r="G1882" s="5">
        <v>503.95</v>
      </c>
      <c r="H1882">
        <v>0.24</v>
      </c>
      <c r="I1882" t="s">
        <v>1351</v>
      </c>
      <c r="J1882" s="5">
        <v>383.00200000000001</v>
      </c>
    </row>
    <row r="1883" spans="1:10">
      <c r="A1883" t="s">
        <v>3232</v>
      </c>
      <c r="B1883" s="7">
        <v>45475</v>
      </c>
      <c r="C1883" t="s">
        <v>702</v>
      </c>
      <c r="D1883" t="s">
        <v>1175</v>
      </c>
      <c r="E1883" t="s">
        <v>1324</v>
      </c>
      <c r="F1883">
        <v>4</v>
      </c>
      <c r="G1883" s="5">
        <v>860.78</v>
      </c>
      <c r="H1883">
        <v>0.03</v>
      </c>
      <c r="I1883" t="s">
        <v>1349</v>
      </c>
      <c r="J1883" s="5">
        <v>3339.8263999999999</v>
      </c>
    </row>
    <row r="1884" spans="1:10">
      <c r="A1884" t="s">
        <v>3233</v>
      </c>
      <c r="B1884" s="7">
        <v>45234</v>
      </c>
      <c r="C1884" t="s">
        <v>456</v>
      </c>
      <c r="D1884" t="s">
        <v>1157</v>
      </c>
      <c r="E1884" t="s">
        <v>1291</v>
      </c>
      <c r="F1884">
        <v>3</v>
      </c>
      <c r="G1884" s="5">
        <v>41.97</v>
      </c>
      <c r="H1884">
        <v>0.03</v>
      </c>
      <c r="I1884" t="s">
        <v>1354</v>
      </c>
      <c r="J1884" s="5">
        <v>122.1327</v>
      </c>
    </row>
    <row r="1885" spans="1:10">
      <c r="A1885" t="s">
        <v>3234</v>
      </c>
      <c r="B1885" s="7">
        <v>45397</v>
      </c>
      <c r="C1885" t="s">
        <v>102</v>
      </c>
      <c r="D1885" t="s">
        <v>1103</v>
      </c>
      <c r="E1885" t="s">
        <v>1298</v>
      </c>
      <c r="F1885">
        <v>1</v>
      </c>
      <c r="G1885" s="5">
        <v>649.59</v>
      </c>
      <c r="H1885">
        <v>0.12</v>
      </c>
      <c r="I1885" t="s">
        <v>1354</v>
      </c>
      <c r="J1885" s="5">
        <v>571.63920000000007</v>
      </c>
    </row>
    <row r="1886" spans="1:10">
      <c r="A1886" t="s">
        <v>3235</v>
      </c>
      <c r="B1886" s="7">
        <v>45502</v>
      </c>
      <c r="C1886" t="s">
        <v>150</v>
      </c>
      <c r="D1886" t="s">
        <v>1199</v>
      </c>
      <c r="E1886" t="s">
        <v>1311</v>
      </c>
      <c r="F1886">
        <v>2</v>
      </c>
      <c r="G1886" s="5">
        <v>386.09</v>
      </c>
      <c r="H1886">
        <v>0.19</v>
      </c>
      <c r="I1886" t="s">
        <v>1351</v>
      </c>
      <c r="J1886" s="5">
        <v>625.46579999999994</v>
      </c>
    </row>
    <row r="1887" spans="1:10">
      <c r="A1887" t="s">
        <v>3236</v>
      </c>
      <c r="B1887" s="7">
        <v>45644</v>
      </c>
      <c r="C1887" t="s">
        <v>256</v>
      </c>
      <c r="D1887" t="s">
        <v>1175</v>
      </c>
      <c r="E1887" t="s">
        <v>1319</v>
      </c>
      <c r="F1887">
        <v>1</v>
      </c>
      <c r="G1887" s="5">
        <v>891.62</v>
      </c>
      <c r="H1887">
        <v>0.06</v>
      </c>
      <c r="I1887" t="s">
        <v>1351</v>
      </c>
      <c r="J1887" s="5">
        <v>838.12279999999998</v>
      </c>
    </row>
    <row r="1888" spans="1:10">
      <c r="A1888" t="s">
        <v>3237</v>
      </c>
      <c r="B1888" s="7">
        <v>45617</v>
      </c>
      <c r="C1888" t="s">
        <v>825</v>
      </c>
      <c r="D1888" t="s">
        <v>1201</v>
      </c>
      <c r="E1888" t="s">
        <v>1326</v>
      </c>
      <c r="F1888">
        <v>2</v>
      </c>
      <c r="G1888" s="5">
        <v>558.9</v>
      </c>
      <c r="H1888">
        <v>0.05</v>
      </c>
      <c r="I1888" t="s">
        <v>1354</v>
      </c>
      <c r="J1888" s="5">
        <v>1061.9100000000001</v>
      </c>
    </row>
    <row r="1889" spans="1:10">
      <c r="A1889" t="s">
        <v>3238</v>
      </c>
      <c r="B1889" s="7">
        <v>45797</v>
      </c>
      <c r="C1889" t="s">
        <v>768</v>
      </c>
      <c r="D1889" t="s">
        <v>1071</v>
      </c>
      <c r="E1889" t="s">
        <v>1291</v>
      </c>
      <c r="F1889">
        <v>2</v>
      </c>
      <c r="G1889" s="5">
        <v>99.04</v>
      </c>
      <c r="H1889">
        <v>0.26</v>
      </c>
      <c r="I1889" t="s">
        <v>1354</v>
      </c>
      <c r="J1889" s="5">
        <v>146.57919999999999</v>
      </c>
    </row>
    <row r="1890" spans="1:10">
      <c r="A1890" t="s">
        <v>3239</v>
      </c>
      <c r="B1890" s="7">
        <v>45740</v>
      </c>
      <c r="C1890" t="s">
        <v>646</v>
      </c>
      <c r="D1890" t="s">
        <v>1076</v>
      </c>
      <c r="E1890" t="s">
        <v>1307</v>
      </c>
      <c r="F1890">
        <v>4</v>
      </c>
      <c r="G1890" s="5">
        <v>625.13</v>
      </c>
      <c r="H1890">
        <v>0.06</v>
      </c>
      <c r="I1890" t="s">
        <v>1349</v>
      </c>
      <c r="J1890" s="5">
        <v>2350.4888000000001</v>
      </c>
    </row>
    <row r="1891" spans="1:10">
      <c r="A1891" t="s">
        <v>3240</v>
      </c>
      <c r="B1891" s="7">
        <v>45824</v>
      </c>
      <c r="C1891" t="s">
        <v>109</v>
      </c>
      <c r="D1891" t="s">
        <v>1153</v>
      </c>
      <c r="E1891" t="s">
        <v>1335</v>
      </c>
      <c r="F1891">
        <v>4</v>
      </c>
      <c r="G1891" s="5">
        <v>38.380000000000003</v>
      </c>
      <c r="H1891">
        <v>0.16</v>
      </c>
      <c r="I1891" t="s">
        <v>1354</v>
      </c>
      <c r="J1891" s="5">
        <v>128.95679999999999</v>
      </c>
    </row>
    <row r="1892" spans="1:10">
      <c r="A1892" t="s">
        <v>3241</v>
      </c>
      <c r="B1892" s="7">
        <v>45404</v>
      </c>
      <c r="C1892" t="s">
        <v>1045</v>
      </c>
      <c r="D1892" t="s">
        <v>1261</v>
      </c>
      <c r="E1892" t="s">
        <v>1314</v>
      </c>
      <c r="F1892">
        <v>4</v>
      </c>
      <c r="G1892" s="5">
        <v>731.72</v>
      </c>
      <c r="H1892">
        <v>0.22</v>
      </c>
      <c r="I1892" t="s">
        <v>1354</v>
      </c>
      <c r="J1892" s="5">
        <v>2282.9663999999998</v>
      </c>
    </row>
    <row r="1893" spans="1:10">
      <c r="A1893" t="s">
        <v>3242</v>
      </c>
      <c r="B1893" s="7">
        <v>45916</v>
      </c>
      <c r="C1893" t="s">
        <v>977</v>
      </c>
      <c r="D1893" t="s">
        <v>1235</v>
      </c>
      <c r="E1893" t="s">
        <v>1338</v>
      </c>
      <c r="F1893">
        <v>3</v>
      </c>
      <c r="G1893" s="5">
        <v>825.33</v>
      </c>
      <c r="H1893">
        <v>0.21</v>
      </c>
      <c r="I1893" t="s">
        <v>1349</v>
      </c>
      <c r="J1893" s="5">
        <v>1956.0320999999999</v>
      </c>
    </row>
    <row r="1894" spans="1:10">
      <c r="A1894" t="s">
        <v>3243</v>
      </c>
      <c r="B1894" s="7">
        <v>45269</v>
      </c>
      <c r="C1894" t="s">
        <v>164</v>
      </c>
      <c r="D1894" t="s">
        <v>1213</v>
      </c>
      <c r="E1894" t="s">
        <v>1324</v>
      </c>
      <c r="F1894">
        <v>2</v>
      </c>
      <c r="G1894" s="5">
        <v>47.3</v>
      </c>
      <c r="H1894">
        <v>0.01</v>
      </c>
      <c r="I1894" t="s">
        <v>1351</v>
      </c>
      <c r="J1894" s="5">
        <v>93.653999999999996</v>
      </c>
    </row>
    <row r="1895" spans="1:10">
      <c r="A1895" t="s">
        <v>3244</v>
      </c>
      <c r="B1895" s="7">
        <v>45493</v>
      </c>
      <c r="C1895" t="s">
        <v>403</v>
      </c>
      <c r="D1895" t="s">
        <v>1217</v>
      </c>
      <c r="E1895" t="s">
        <v>1332</v>
      </c>
      <c r="F1895">
        <v>1</v>
      </c>
      <c r="G1895" s="5">
        <v>389.12</v>
      </c>
      <c r="H1895">
        <v>0.18</v>
      </c>
      <c r="I1895" t="s">
        <v>1351</v>
      </c>
      <c r="J1895" s="5">
        <v>319.07839999999999</v>
      </c>
    </row>
    <row r="1896" spans="1:10">
      <c r="A1896" t="s">
        <v>3245</v>
      </c>
      <c r="B1896" s="7">
        <v>45558</v>
      </c>
      <c r="C1896" t="s">
        <v>979</v>
      </c>
      <c r="D1896" t="s">
        <v>1237</v>
      </c>
      <c r="E1896" t="s">
        <v>1335</v>
      </c>
      <c r="F1896">
        <v>3</v>
      </c>
      <c r="G1896" s="5">
        <v>543.83000000000004</v>
      </c>
      <c r="H1896">
        <v>0.05</v>
      </c>
      <c r="I1896" t="s">
        <v>1349</v>
      </c>
      <c r="J1896" s="5">
        <v>1549.9155000000001</v>
      </c>
    </row>
    <row r="1897" spans="1:10">
      <c r="A1897" t="s">
        <v>3246</v>
      </c>
      <c r="B1897" s="7">
        <v>45423</v>
      </c>
      <c r="C1897" t="s">
        <v>79</v>
      </c>
      <c r="D1897" t="s">
        <v>1101</v>
      </c>
      <c r="E1897" t="s">
        <v>1282</v>
      </c>
      <c r="F1897">
        <v>2</v>
      </c>
      <c r="G1897" s="5">
        <v>660.27</v>
      </c>
      <c r="H1897">
        <v>0.01</v>
      </c>
      <c r="I1897" t="s">
        <v>1351</v>
      </c>
      <c r="J1897" s="5">
        <v>1307.3345999999999</v>
      </c>
    </row>
    <row r="1898" spans="1:10">
      <c r="A1898" t="s">
        <v>3247</v>
      </c>
      <c r="B1898" s="7">
        <v>45780</v>
      </c>
      <c r="C1898" t="s">
        <v>931</v>
      </c>
      <c r="D1898" t="s">
        <v>1099</v>
      </c>
      <c r="E1898" t="s">
        <v>1307</v>
      </c>
      <c r="F1898">
        <v>4</v>
      </c>
      <c r="G1898" s="5">
        <v>729.31</v>
      </c>
      <c r="H1898">
        <v>0.03</v>
      </c>
      <c r="I1898" t="s">
        <v>1349</v>
      </c>
      <c r="J1898" s="5">
        <v>2829.7228</v>
      </c>
    </row>
    <row r="1899" spans="1:10">
      <c r="A1899" t="s">
        <v>3248</v>
      </c>
      <c r="B1899" s="7">
        <v>45345</v>
      </c>
      <c r="C1899" t="s">
        <v>905</v>
      </c>
      <c r="D1899" t="s">
        <v>1247</v>
      </c>
      <c r="E1899" t="s">
        <v>1301</v>
      </c>
      <c r="F1899">
        <v>2</v>
      </c>
      <c r="G1899" s="5">
        <v>152.91</v>
      </c>
      <c r="H1899">
        <v>0.24</v>
      </c>
      <c r="I1899" t="s">
        <v>1351</v>
      </c>
      <c r="J1899" s="5">
        <v>232.42320000000001</v>
      </c>
    </row>
    <row r="1900" spans="1:10">
      <c r="A1900" t="s">
        <v>3249</v>
      </c>
      <c r="B1900" s="7">
        <v>45344</v>
      </c>
      <c r="C1900" t="s">
        <v>984</v>
      </c>
      <c r="D1900" t="s">
        <v>1221</v>
      </c>
      <c r="E1900" t="s">
        <v>1326</v>
      </c>
      <c r="F1900">
        <v>4</v>
      </c>
      <c r="G1900" s="5">
        <v>592.14</v>
      </c>
      <c r="H1900">
        <v>0.12</v>
      </c>
      <c r="I1900" t="s">
        <v>1354</v>
      </c>
      <c r="J1900" s="5">
        <v>2084.3328000000001</v>
      </c>
    </row>
    <row r="1901" spans="1:10">
      <c r="A1901" t="s">
        <v>3250</v>
      </c>
      <c r="B1901" s="7">
        <v>45525</v>
      </c>
      <c r="C1901" t="s">
        <v>170</v>
      </c>
      <c r="D1901" t="s">
        <v>1229</v>
      </c>
      <c r="E1901" t="s">
        <v>1319</v>
      </c>
      <c r="F1901">
        <v>1</v>
      </c>
      <c r="G1901" s="5">
        <v>984.37</v>
      </c>
      <c r="H1901">
        <v>0</v>
      </c>
      <c r="I1901" t="s">
        <v>1351</v>
      </c>
      <c r="J1901" s="5">
        <v>984.37</v>
      </c>
    </row>
    <row r="1902" spans="1:10">
      <c r="A1902" t="s">
        <v>3251</v>
      </c>
      <c r="B1902" s="7">
        <v>45329</v>
      </c>
      <c r="C1902" t="s">
        <v>648</v>
      </c>
      <c r="D1902" t="s">
        <v>1071</v>
      </c>
      <c r="E1902" t="s">
        <v>1319</v>
      </c>
      <c r="F1902">
        <v>2</v>
      </c>
      <c r="G1902" s="5">
        <v>237.59</v>
      </c>
      <c r="H1902">
        <v>0.12</v>
      </c>
      <c r="I1902" t="s">
        <v>1349</v>
      </c>
      <c r="J1902" s="5">
        <v>418.15839999999997</v>
      </c>
    </row>
    <row r="1903" spans="1:10">
      <c r="A1903" t="s">
        <v>3252</v>
      </c>
      <c r="B1903" s="7">
        <v>45250</v>
      </c>
      <c r="C1903" t="s">
        <v>925</v>
      </c>
      <c r="D1903" t="s">
        <v>1123</v>
      </c>
      <c r="E1903" t="s">
        <v>1307</v>
      </c>
      <c r="F1903">
        <v>1</v>
      </c>
      <c r="G1903" s="5">
        <v>52.06</v>
      </c>
      <c r="H1903">
        <v>0.27</v>
      </c>
      <c r="I1903" t="s">
        <v>1354</v>
      </c>
      <c r="J1903" s="5">
        <v>38.003799999999998</v>
      </c>
    </row>
    <row r="1904" spans="1:10">
      <c r="A1904" t="s">
        <v>3253</v>
      </c>
      <c r="B1904" s="7">
        <v>45691</v>
      </c>
      <c r="C1904" t="s">
        <v>973</v>
      </c>
      <c r="D1904" t="s">
        <v>1076</v>
      </c>
      <c r="E1904" t="s">
        <v>1282</v>
      </c>
      <c r="F1904">
        <v>2</v>
      </c>
      <c r="G1904" s="5">
        <v>594.63</v>
      </c>
      <c r="H1904">
        <v>0.12</v>
      </c>
      <c r="I1904" t="s">
        <v>1349</v>
      </c>
      <c r="J1904" s="5">
        <v>1046.5488</v>
      </c>
    </row>
    <row r="1905" spans="1:10">
      <c r="A1905" t="s">
        <v>3254</v>
      </c>
      <c r="B1905" s="7">
        <v>45644</v>
      </c>
      <c r="C1905" t="s">
        <v>395</v>
      </c>
      <c r="D1905" t="s">
        <v>1076</v>
      </c>
      <c r="E1905" t="s">
        <v>1277</v>
      </c>
      <c r="F1905">
        <v>3</v>
      </c>
      <c r="G1905" s="5">
        <v>476.1</v>
      </c>
      <c r="H1905">
        <v>0.05</v>
      </c>
      <c r="I1905" t="s">
        <v>1354</v>
      </c>
      <c r="J1905" s="5">
        <v>1356.885</v>
      </c>
    </row>
    <row r="1906" spans="1:10">
      <c r="A1906" t="s">
        <v>3255</v>
      </c>
      <c r="B1906" s="7">
        <v>45514</v>
      </c>
      <c r="C1906" t="s">
        <v>168</v>
      </c>
      <c r="D1906" t="s">
        <v>1195</v>
      </c>
      <c r="E1906" t="s">
        <v>1301</v>
      </c>
      <c r="F1906">
        <v>1</v>
      </c>
      <c r="G1906" s="5">
        <v>546.47</v>
      </c>
      <c r="H1906">
        <v>0.08</v>
      </c>
      <c r="I1906" t="s">
        <v>1354</v>
      </c>
      <c r="J1906" s="5">
        <v>502.75240000000002</v>
      </c>
    </row>
    <row r="1907" spans="1:10">
      <c r="A1907" t="s">
        <v>3256</v>
      </c>
      <c r="B1907" s="7">
        <v>45760</v>
      </c>
      <c r="C1907" t="s">
        <v>413</v>
      </c>
      <c r="D1907" t="s">
        <v>1223</v>
      </c>
      <c r="E1907" t="s">
        <v>1319</v>
      </c>
      <c r="F1907">
        <v>1</v>
      </c>
      <c r="G1907" s="5">
        <v>979.49</v>
      </c>
      <c r="H1907">
        <v>0.19</v>
      </c>
      <c r="I1907" t="s">
        <v>1354</v>
      </c>
      <c r="J1907" s="5">
        <v>793.38690000000008</v>
      </c>
    </row>
    <row r="1908" spans="1:10">
      <c r="A1908" t="s">
        <v>3257</v>
      </c>
      <c r="B1908" s="7">
        <v>45289</v>
      </c>
      <c r="C1908" t="s">
        <v>448</v>
      </c>
      <c r="D1908" t="s">
        <v>1107</v>
      </c>
      <c r="E1908" t="s">
        <v>1286</v>
      </c>
      <c r="F1908">
        <v>3</v>
      </c>
      <c r="G1908" s="5">
        <v>988.53</v>
      </c>
      <c r="H1908">
        <v>0.3</v>
      </c>
      <c r="I1908" t="s">
        <v>1354</v>
      </c>
      <c r="J1908" s="5">
        <v>2075.913</v>
      </c>
    </row>
    <row r="1909" spans="1:10">
      <c r="A1909" t="s">
        <v>3258</v>
      </c>
      <c r="B1909" s="7">
        <v>45704</v>
      </c>
      <c r="C1909" t="s">
        <v>573</v>
      </c>
      <c r="D1909" t="s">
        <v>1225</v>
      </c>
      <c r="E1909" t="s">
        <v>1291</v>
      </c>
      <c r="F1909">
        <v>4</v>
      </c>
      <c r="G1909" s="5">
        <v>849.29</v>
      </c>
      <c r="H1909">
        <v>0.26</v>
      </c>
      <c r="I1909" t="s">
        <v>1349</v>
      </c>
      <c r="J1909" s="5">
        <v>2513.8984</v>
      </c>
    </row>
    <row r="1910" spans="1:10">
      <c r="A1910" t="s">
        <v>3259</v>
      </c>
      <c r="B1910" s="7">
        <v>45318</v>
      </c>
      <c r="C1910" t="s">
        <v>750</v>
      </c>
      <c r="D1910" t="s">
        <v>1263</v>
      </c>
      <c r="E1910" t="s">
        <v>1324</v>
      </c>
      <c r="F1910">
        <v>2</v>
      </c>
      <c r="G1910" s="5">
        <v>452.29</v>
      </c>
      <c r="H1910">
        <v>0.01</v>
      </c>
      <c r="I1910" t="s">
        <v>1354</v>
      </c>
      <c r="J1910" s="5">
        <v>895.53420000000006</v>
      </c>
    </row>
    <row r="1911" spans="1:10">
      <c r="A1911" t="s">
        <v>3260</v>
      </c>
      <c r="B1911" s="7">
        <v>45495</v>
      </c>
      <c r="C1911" t="s">
        <v>953</v>
      </c>
      <c r="D1911" t="s">
        <v>1181</v>
      </c>
      <c r="E1911" t="s">
        <v>1335</v>
      </c>
      <c r="F1911">
        <v>2</v>
      </c>
      <c r="G1911" s="5">
        <v>810.81</v>
      </c>
      <c r="H1911">
        <v>0.11</v>
      </c>
      <c r="I1911" t="s">
        <v>1354</v>
      </c>
      <c r="J1911" s="5">
        <v>1443.2418</v>
      </c>
    </row>
    <row r="1912" spans="1:10">
      <c r="A1912" t="s">
        <v>3261</v>
      </c>
      <c r="B1912" s="7">
        <v>45560</v>
      </c>
      <c r="C1912" t="s">
        <v>96</v>
      </c>
      <c r="D1912" t="s">
        <v>1195</v>
      </c>
      <c r="E1912" t="s">
        <v>1307</v>
      </c>
      <c r="F1912">
        <v>1</v>
      </c>
      <c r="G1912" s="5">
        <v>846.67</v>
      </c>
      <c r="H1912">
        <v>0.1</v>
      </c>
      <c r="I1912" t="s">
        <v>1354</v>
      </c>
      <c r="J1912" s="5">
        <v>762.00299999999993</v>
      </c>
    </row>
    <row r="1913" spans="1:10">
      <c r="A1913" t="s">
        <v>3262</v>
      </c>
      <c r="B1913" s="7">
        <v>45367</v>
      </c>
      <c r="C1913" t="s">
        <v>61</v>
      </c>
      <c r="D1913" t="s">
        <v>1121</v>
      </c>
      <c r="E1913" t="s">
        <v>1301</v>
      </c>
      <c r="F1913">
        <v>4</v>
      </c>
      <c r="G1913" s="5">
        <v>73.55</v>
      </c>
      <c r="H1913">
        <v>0.24</v>
      </c>
      <c r="I1913" t="s">
        <v>1354</v>
      </c>
      <c r="J1913" s="5">
        <v>223.59200000000001</v>
      </c>
    </row>
    <row r="1914" spans="1:10">
      <c r="A1914" t="s">
        <v>3263</v>
      </c>
      <c r="B1914" s="7">
        <v>45861</v>
      </c>
      <c r="C1914" t="s">
        <v>620</v>
      </c>
      <c r="D1914" t="s">
        <v>1257</v>
      </c>
      <c r="E1914" t="s">
        <v>1301</v>
      </c>
      <c r="F1914">
        <v>1</v>
      </c>
      <c r="G1914" s="5">
        <v>882.03</v>
      </c>
      <c r="H1914">
        <v>0.04</v>
      </c>
      <c r="I1914" t="s">
        <v>1354</v>
      </c>
      <c r="J1914" s="5">
        <v>846.74879999999996</v>
      </c>
    </row>
    <row r="1915" spans="1:10">
      <c r="A1915" t="s">
        <v>3264</v>
      </c>
      <c r="B1915" s="7">
        <v>45589</v>
      </c>
      <c r="C1915" t="s">
        <v>36</v>
      </c>
      <c r="D1915" t="s">
        <v>1117</v>
      </c>
      <c r="E1915" t="s">
        <v>1324</v>
      </c>
      <c r="F1915">
        <v>1</v>
      </c>
      <c r="G1915" s="5">
        <v>958.44</v>
      </c>
      <c r="H1915">
        <v>0.21</v>
      </c>
      <c r="I1915" t="s">
        <v>1349</v>
      </c>
      <c r="J1915" s="5">
        <v>757.16760000000011</v>
      </c>
    </row>
    <row r="1916" spans="1:10">
      <c r="A1916" t="s">
        <v>3265</v>
      </c>
      <c r="B1916" s="7">
        <v>45560</v>
      </c>
      <c r="C1916" t="s">
        <v>36</v>
      </c>
      <c r="D1916" t="s">
        <v>1271</v>
      </c>
      <c r="E1916" t="s">
        <v>1286</v>
      </c>
      <c r="F1916">
        <v>1</v>
      </c>
      <c r="G1916" s="5">
        <v>716.29</v>
      </c>
      <c r="H1916">
        <v>0.01</v>
      </c>
      <c r="I1916" t="s">
        <v>1351</v>
      </c>
      <c r="J1916" s="5">
        <v>709.12709999999993</v>
      </c>
    </row>
    <row r="1917" spans="1:10">
      <c r="A1917" t="s">
        <v>3266</v>
      </c>
      <c r="B1917" s="7">
        <v>45408</v>
      </c>
      <c r="C1917" t="s">
        <v>710</v>
      </c>
      <c r="D1917" t="s">
        <v>1090</v>
      </c>
      <c r="E1917" t="s">
        <v>1329</v>
      </c>
      <c r="F1917">
        <v>2</v>
      </c>
      <c r="G1917" s="5">
        <v>409.14</v>
      </c>
      <c r="H1917">
        <v>0.01</v>
      </c>
      <c r="I1917" t="s">
        <v>1351</v>
      </c>
      <c r="J1917" s="5">
        <v>810.09719999999993</v>
      </c>
    </row>
    <row r="1918" spans="1:10">
      <c r="A1918" t="s">
        <v>3267</v>
      </c>
      <c r="B1918" s="7">
        <v>45714</v>
      </c>
      <c r="C1918" t="s">
        <v>222</v>
      </c>
      <c r="D1918" t="s">
        <v>1271</v>
      </c>
      <c r="E1918" t="s">
        <v>1311</v>
      </c>
      <c r="F1918">
        <v>4</v>
      </c>
      <c r="G1918" s="5">
        <v>261.73</v>
      </c>
      <c r="H1918">
        <v>0.1</v>
      </c>
      <c r="I1918" t="s">
        <v>1351</v>
      </c>
      <c r="J1918" s="5">
        <v>942.22800000000007</v>
      </c>
    </row>
    <row r="1919" spans="1:10">
      <c r="A1919" t="s">
        <v>3268</v>
      </c>
      <c r="B1919" s="7">
        <v>45661</v>
      </c>
      <c r="C1919" t="s">
        <v>994</v>
      </c>
      <c r="D1919" t="s">
        <v>1097</v>
      </c>
      <c r="E1919" t="s">
        <v>1277</v>
      </c>
      <c r="F1919">
        <v>2</v>
      </c>
      <c r="G1919" s="5">
        <v>687.35</v>
      </c>
      <c r="H1919">
        <v>0.2</v>
      </c>
      <c r="I1919" t="s">
        <v>1354</v>
      </c>
      <c r="J1919" s="5">
        <v>1099.76</v>
      </c>
    </row>
    <row r="1920" spans="1:10">
      <c r="A1920" t="s">
        <v>3269</v>
      </c>
      <c r="B1920" s="7">
        <v>45921</v>
      </c>
      <c r="C1920" t="s">
        <v>476</v>
      </c>
      <c r="D1920" t="s">
        <v>1241</v>
      </c>
      <c r="E1920" t="s">
        <v>1307</v>
      </c>
      <c r="F1920">
        <v>2</v>
      </c>
      <c r="G1920" s="5">
        <v>30.14</v>
      </c>
      <c r="H1920">
        <v>0.21</v>
      </c>
      <c r="I1920" t="s">
        <v>1349</v>
      </c>
      <c r="J1920" s="5">
        <v>47.621200000000002</v>
      </c>
    </row>
    <row r="1921" spans="1:10">
      <c r="A1921" t="s">
        <v>3270</v>
      </c>
      <c r="B1921" s="7">
        <v>45651</v>
      </c>
      <c r="C1921" t="s">
        <v>256</v>
      </c>
      <c r="D1921" t="s">
        <v>1141</v>
      </c>
      <c r="E1921" t="s">
        <v>1307</v>
      </c>
      <c r="F1921">
        <v>3</v>
      </c>
      <c r="G1921" s="5">
        <v>570.12</v>
      </c>
      <c r="H1921">
        <v>0.12</v>
      </c>
      <c r="I1921" t="s">
        <v>1351</v>
      </c>
      <c r="J1921" s="5">
        <v>1505.1168</v>
      </c>
    </row>
    <row r="1922" spans="1:10">
      <c r="A1922" t="s">
        <v>3271</v>
      </c>
      <c r="B1922" s="7">
        <v>45883</v>
      </c>
      <c r="C1922" t="s">
        <v>626</v>
      </c>
      <c r="D1922" t="s">
        <v>1227</v>
      </c>
      <c r="E1922" t="s">
        <v>1338</v>
      </c>
      <c r="F1922">
        <v>3</v>
      </c>
      <c r="G1922" s="5">
        <v>401.87</v>
      </c>
      <c r="H1922">
        <v>0.28999999999999998</v>
      </c>
      <c r="I1922" t="s">
        <v>1354</v>
      </c>
      <c r="J1922" s="5">
        <v>855.98310000000004</v>
      </c>
    </row>
    <row r="1923" spans="1:10">
      <c r="A1923" t="s">
        <v>3272</v>
      </c>
      <c r="B1923" s="7">
        <v>45624</v>
      </c>
      <c r="C1923" t="s">
        <v>1053</v>
      </c>
      <c r="D1923" t="s">
        <v>1231</v>
      </c>
      <c r="E1923" t="s">
        <v>1319</v>
      </c>
      <c r="F1923">
        <v>4</v>
      </c>
      <c r="G1923" s="5">
        <v>619.35</v>
      </c>
      <c r="H1923">
        <v>0.3</v>
      </c>
      <c r="I1923" t="s">
        <v>1349</v>
      </c>
      <c r="J1923" s="5">
        <v>1734.18</v>
      </c>
    </row>
    <row r="1924" spans="1:10">
      <c r="A1924" t="s">
        <v>3273</v>
      </c>
      <c r="B1924" s="7">
        <v>45276</v>
      </c>
      <c r="C1924" t="s">
        <v>557</v>
      </c>
      <c r="D1924" t="s">
        <v>1165</v>
      </c>
      <c r="E1924" t="s">
        <v>1332</v>
      </c>
      <c r="F1924">
        <v>4</v>
      </c>
      <c r="G1924" s="5">
        <v>569.36</v>
      </c>
      <c r="H1924">
        <v>0.27</v>
      </c>
      <c r="I1924" t="s">
        <v>1351</v>
      </c>
      <c r="J1924" s="5">
        <v>1662.5311999999999</v>
      </c>
    </row>
    <row r="1925" spans="1:10">
      <c r="A1925" t="s">
        <v>3274</v>
      </c>
      <c r="B1925" s="7">
        <v>45344</v>
      </c>
      <c r="C1925" t="s">
        <v>1014</v>
      </c>
      <c r="D1925" t="s">
        <v>1127</v>
      </c>
      <c r="E1925" t="s">
        <v>1294</v>
      </c>
      <c r="F1925">
        <v>2</v>
      </c>
      <c r="G1925" s="5">
        <v>846.35</v>
      </c>
      <c r="H1925">
        <v>0.3</v>
      </c>
      <c r="I1925" t="s">
        <v>1354</v>
      </c>
      <c r="J1925" s="5">
        <v>1184.8900000000001</v>
      </c>
    </row>
    <row r="1926" spans="1:10">
      <c r="A1926" t="s">
        <v>3275</v>
      </c>
      <c r="B1926" s="7">
        <v>45849</v>
      </c>
      <c r="C1926" t="s">
        <v>931</v>
      </c>
      <c r="D1926" t="s">
        <v>1133</v>
      </c>
      <c r="E1926" t="s">
        <v>1286</v>
      </c>
      <c r="F1926">
        <v>1</v>
      </c>
      <c r="G1926" s="5">
        <v>788.45</v>
      </c>
      <c r="H1926">
        <v>0.28999999999999998</v>
      </c>
      <c r="I1926" t="s">
        <v>1351</v>
      </c>
      <c r="J1926" s="5">
        <v>559.79949999999997</v>
      </c>
    </row>
    <row r="1927" spans="1:10">
      <c r="A1927" t="s">
        <v>3276</v>
      </c>
      <c r="B1927" s="7">
        <v>45880</v>
      </c>
      <c r="C1927" t="s">
        <v>783</v>
      </c>
      <c r="D1927" t="s">
        <v>1143</v>
      </c>
      <c r="E1927" t="s">
        <v>1319</v>
      </c>
      <c r="F1927">
        <v>2</v>
      </c>
      <c r="G1927" s="5">
        <v>338.81</v>
      </c>
      <c r="H1927">
        <v>7.0000000000000007E-2</v>
      </c>
      <c r="I1927" t="s">
        <v>1354</v>
      </c>
      <c r="J1927" s="5">
        <v>630.1866</v>
      </c>
    </row>
    <row r="1928" spans="1:10">
      <c r="A1928" t="s">
        <v>3277</v>
      </c>
      <c r="B1928" s="7">
        <v>45907</v>
      </c>
      <c r="C1928" t="s">
        <v>84</v>
      </c>
      <c r="D1928" t="s">
        <v>1101</v>
      </c>
      <c r="E1928" t="s">
        <v>1298</v>
      </c>
      <c r="F1928">
        <v>4</v>
      </c>
      <c r="G1928" s="5">
        <v>94.48</v>
      </c>
      <c r="H1928">
        <v>0.06</v>
      </c>
      <c r="I1928" t="s">
        <v>1354</v>
      </c>
      <c r="J1928" s="5">
        <v>355.2448</v>
      </c>
    </row>
    <row r="1929" spans="1:10">
      <c r="A1929" t="s">
        <v>3278</v>
      </c>
      <c r="B1929" s="7">
        <v>45545</v>
      </c>
      <c r="C1929" t="s">
        <v>1016</v>
      </c>
      <c r="D1929" t="s">
        <v>1111</v>
      </c>
      <c r="E1929" t="s">
        <v>1322</v>
      </c>
      <c r="F1929">
        <v>3</v>
      </c>
      <c r="G1929" s="5">
        <v>941.85</v>
      </c>
      <c r="H1929">
        <v>0.16</v>
      </c>
      <c r="I1929" t="s">
        <v>1351</v>
      </c>
      <c r="J1929" s="5">
        <v>2373.462</v>
      </c>
    </row>
    <row r="1930" spans="1:10">
      <c r="A1930" t="s">
        <v>3279</v>
      </c>
      <c r="B1930" s="7">
        <v>45257</v>
      </c>
      <c r="C1930" t="s">
        <v>383</v>
      </c>
      <c r="D1930" t="s">
        <v>1163</v>
      </c>
      <c r="E1930" t="s">
        <v>1298</v>
      </c>
      <c r="F1930">
        <v>2</v>
      </c>
      <c r="G1930" s="5">
        <v>336.97</v>
      </c>
      <c r="H1930">
        <v>0.14000000000000001</v>
      </c>
      <c r="I1930" t="s">
        <v>1351</v>
      </c>
      <c r="J1930" s="5">
        <v>579.58840000000009</v>
      </c>
    </row>
    <row r="1931" spans="1:10">
      <c r="A1931" t="s">
        <v>3280</v>
      </c>
      <c r="B1931" s="7">
        <v>45466</v>
      </c>
      <c r="C1931" t="s">
        <v>684</v>
      </c>
      <c r="D1931" t="s">
        <v>1080</v>
      </c>
      <c r="E1931" t="s">
        <v>1298</v>
      </c>
      <c r="F1931">
        <v>2</v>
      </c>
      <c r="G1931" s="5">
        <v>344.16</v>
      </c>
      <c r="H1931">
        <v>0.09</v>
      </c>
      <c r="I1931" t="s">
        <v>1351</v>
      </c>
      <c r="J1931" s="5">
        <v>626.37120000000004</v>
      </c>
    </row>
    <row r="1932" spans="1:10">
      <c r="A1932" t="s">
        <v>3281</v>
      </c>
      <c r="B1932" s="7">
        <v>45847</v>
      </c>
      <c r="C1932" t="s">
        <v>664</v>
      </c>
      <c r="D1932" t="s">
        <v>1169</v>
      </c>
      <c r="E1932" t="s">
        <v>1311</v>
      </c>
      <c r="F1932">
        <v>1</v>
      </c>
      <c r="G1932" s="5">
        <v>841.53</v>
      </c>
      <c r="H1932">
        <v>0.15</v>
      </c>
      <c r="I1932" t="s">
        <v>1349</v>
      </c>
      <c r="J1932" s="5">
        <v>715.30049999999994</v>
      </c>
    </row>
    <row r="1933" spans="1:10">
      <c r="A1933" t="s">
        <v>3282</v>
      </c>
      <c r="B1933" s="7">
        <v>45825</v>
      </c>
      <c r="C1933" t="s">
        <v>911</v>
      </c>
      <c r="D1933" t="s">
        <v>1239</v>
      </c>
      <c r="E1933" t="s">
        <v>1332</v>
      </c>
      <c r="F1933">
        <v>3</v>
      </c>
      <c r="G1933" s="5">
        <v>63.36</v>
      </c>
      <c r="H1933">
        <v>0.28999999999999998</v>
      </c>
      <c r="I1933" t="s">
        <v>1354</v>
      </c>
      <c r="J1933" s="5">
        <v>134.95679999999999</v>
      </c>
    </row>
    <row r="1934" spans="1:10">
      <c r="A1934" t="s">
        <v>3283</v>
      </c>
      <c r="B1934" s="7">
        <v>45839</v>
      </c>
      <c r="C1934" t="s">
        <v>1053</v>
      </c>
      <c r="D1934" t="s">
        <v>1229</v>
      </c>
      <c r="E1934" t="s">
        <v>1307</v>
      </c>
      <c r="F1934">
        <v>2</v>
      </c>
      <c r="G1934" s="5">
        <v>552.49</v>
      </c>
      <c r="H1934">
        <v>0.1</v>
      </c>
      <c r="I1934" t="s">
        <v>1349</v>
      </c>
      <c r="J1934" s="5">
        <v>994.48200000000008</v>
      </c>
    </row>
    <row r="1935" spans="1:10">
      <c r="A1935" t="s">
        <v>3284</v>
      </c>
      <c r="B1935" s="7">
        <v>45720</v>
      </c>
      <c r="C1935" t="s">
        <v>535</v>
      </c>
      <c r="D1935" t="s">
        <v>1121</v>
      </c>
      <c r="E1935" t="s">
        <v>1301</v>
      </c>
      <c r="F1935">
        <v>3</v>
      </c>
      <c r="G1935" s="5">
        <v>447.38</v>
      </c>
      <c r="H1935">
        <v>0.03</v>
      </c>
      <c r="I1935" t="s">
        <v>1349</v>
      </c>
      <c r="J1935" s="5">
        <v>1301.8758</v>
      </c>
    </row>
    <row r="1936" spans="1:10">
      <c r="A1936" t="s">
        <v>3285</v>
      </c>
      <c r="B1936" s="7">
        <v>45250</v>
      </c>
      <c r="C1936" t="s">
        <v>963</v>
      </c>
      <c r="D1936" t="s">
        <v>1219</v>
      </c>
      <c r="E1936" t="s">
        <v>1338</v>
      </c>
      <c r="F1936">
        <v>1</v>
      </c>
      <c r="G1936" s="5">
        <v>727.7</v>
      </c>
      <c r="H1936">
        <v>0.21</v>
      </c>
      <c r="I1936" t="s">
        <v>1354</v>
      </c>
      <c r="J1936" s="5">
        <v>574.88300000000004</v>
      </c>
    </row>
    <row r="1937" spans="1:10">
      <c r="A1937" t="s">
        <v>3286</v>
      </c>
      <c r="B1937" s="7">
        <v>45258</v>
      </c>
      <c r="C1937" t="s">
        <v>935</v>
      </c>
      <c r="D1937" t="s">
        <v>1175</v>
      </c>
      <c r="E1937" t="s">
        <v>1304</v>
      </c>
      <c r="F1937">
        <v>4</v>
      </c>
      <c r="G1937" s="5">
        <v>581.34</v>
      </c>
      <c r="H1937">
        <v>0.08</v>
      </c>
      <c r="I1937" t="s">
        <v>1349</v>
      </c>
      <c r="J1937" s="5">
        <v>2139.3312000000001</v>
      </c>
    </row>
    <row r="1938" spans="1:10">
      <c r="A1938" t="s">
        <v>3287</v>
      </c>
      <c r="B1938" s="7">
        <v>45793</v>
      </c>
      <c r="C1938" t="s">
        <v>250</v>
      </c>
      <c r="D1938" t="s">
        <v>1205</v>
      </c>
      <c r="E1938" t="s">
        <v>1282</v>
      </c>
      <c r="F1938">
        <v>1</v>
      </c>
      <c r="G1938" s="5">
        <v>338.83</v>
      </c>
      <c r="H1938">
        <v>0.19</v>
      </c>
      <c r="I1938" t="s">
        <v>1351</v>
      </c>
      <c r="J1938" s="5">
        <v>274.45229999999998</v>
      </c>
    </row>
    <row r="1939" spans="1:10">
      <c r="A1939" t="s">
        <v>3288</v>
      </c>
      <c r="B1939" s="7">
        <v>45265</v>
      </c>
      <c r="C1939" t="s">
        <v>634</v>
      </c>
      <c r="D1939" t="s">
        <v>1171</v>
      </c>
      <c r="E1939" t="s">
        <v>1322</v>
      </c>
      <c r="F1939">
        <v>4</v>
      </c>
      <c r="G1939" s="5">
        <v>568.80999999999995</v>
      </c>
      <c r="H1939">
        <v>0.25</v>
      </c>
      <c r="I1939" t="s">
        <v>1349</v>
      </c>
      <c r="J1939" s="5">
        <v>1706.43</v>
      </c>
    </row>
    <row r="1940" spans="1:10">
      <c r="A1940" t="s">
        <v>3289</v>
      </c>
      <c r="B1940" s="7">
        <v>45607</v>
      </c>
      <c r="C1940" t="s">
        <v>813</v>
      </c>
      <c r="D1940" t="s">
        <v>1195</v>
      </c>
      <c r="E1940" t="s">
        <v>1332</v>
      </c>
      <c r="F1940">
        <v>2</v>
      </c>
      <c r="G1940" s="5">
        <v>352.63</v>
      </c>
      <c r="H1940">
        <v>0.15</v>
      </c>
      <c r="I1940" t="s">
        <v>1351</v>
      </c>
      <c r="J1940" s="5">
        <v>599.471</v>
      </c>
    </row>
    <row r="1941" spans="1:10">
      <c r="A1941" t="s">
        <v>3290</v>
      </c>
      <c r="B1941" s="7">
        <v>45382</v>
      </c>
      <c r="C1941" t="s">
        <v>373</v>
      </c>
      <c r="D1941" t="s">
        <v>1265</v>
      </c>
      <c r="E1941" t="s">
        <v>1322</v>
      </c>
      <c r="F1941">
        <v>2</v>
      </c>
      <c r="G1941" s="5">
        <v>629.86</v>
      </c>
      <c r="H1941">
        <v>0.15</v>
      </c>
      <c r="I1941" t="s">
        <v>1351</v>
      </c>
      <c r="J1941" s="5">
        <v>1070.7619999999999</v>
      </c>
    </row>
    <row r="1942" spans="1:10">
      <c r="A1942" t="s">
        <v>3291</v>
      </c>
      <c r="B1942" s="7">
        <v>45793</v>
      </c>
      <c r="C1942" t="s">
        <v>1047</v>
      </c>
      <c r="D1942" t="s">
        <v>1269</v>
      </c>
      <c r="E1942" t="s">
        <v>1291</v>
      </c>
      <c r="F1942">
        <v>3</v>
      </c>
      <c r="G1942" s="5">
        <v>212.08</v>
      </c>
      <c r="H1942">
        <v>7.0000000000000007E-2</v>
      </c>
      <c r="I1942" t="s">
        <v>1349</v>
      </c>
      <c r="J1942" s="5">
        <v>591.70319999999992</v>
      </c>
    </row>
    <row r="1943" spans="1:10">
      <c r="A1943" t="s">
        <v>3292</v>
      </c>
      <c r="B1943" s="7">
        <v>45590</v>
      </c>
      <c r="C1943" t="s">
        <v>383</v>
      </c>
      <c r="D1943" t="s">
        <v>1187</v>
      </c>
      <c r="E1943" t="s">
        <v>1286</v>
      </c>
      <c r="F1943">
        <v>3</v>
      </c>
      <c r="G1943" s="5">
        <v>878.62</v>
      </c>
      <c r="H1943">
        <v>0.05</v>
      </c>
      <c r="I1943" t="s">
        <v>1351</v>
      </c>
      <c r="J1943" s="5">
        <v>2504.067</v>
      </c>
    </row>
    <row r="1944" spans="1:10">
      <c r="A1944" t="s">
        <v>3293</v>
      </c>
      <c r="B1944" s="7">
        <v>45679</v>
      </c>
      <c r="C1944" t="s">
        <v>585</v>
      </c>
      <c r="D1944" t="s">
        <v>1233</v>
      </c>
      <c r="E1944" t="s">
        <v>1314</v>
      </c>
      <c r="F1944">
        <v>4</v>
      </c>
      <c r="G1944" s="5">
        <v>87.83</v>
      </c>
      <c r="H1944">
        <v>0.23</v>
      </c>
      <c r="I1944" t="s">
        <v>1351</v>
      </c>
      <c r="J1944" s="5">
        <v>270.51639999999998</v>
      </c>
    </row>
    <row r="1945" spans="1:10">
      <c r="A1945" t="s">
        <v>3294</v>
      </c>
      <c r="B1945" s="7">
        <v>45814</v>
      </c>
      <c r="C1945" t="s">
        <v>614</v>
      </c>
      <c r="D1945" t="s">
        <v>1185</v>
      </c>
      <c r="E1945" t="s">
        <v>1311</v>
      </c>
      <c r="F1945">
        <v>3</v>
      </c>
      <c r="G1945" s="5">
        <v>442.64</v>
      </c>
      <c r="H1945">
        <v>0.15</v>
      </c>
      <c r="I1945" t="s">
        <v>1354</v>
      </c>
      <c r="J1945" s="5">
        <v>1128.732</v>
      </c>
    </row>
    <row r="1946" spans="1:10">
      <c r="A1946" t="s">
        <v>3295</v>
      </c>
      <c r="B1946" s="7">
        <v>45795</v>
      </c>
      <c r="C1946" t="s">
        <v>244</v>
      </c>
      <c r="D1946" t="s">
        <v>1149</v>
      </c>
      <c r="E1946" t="s">
        <v>1286</v>
      </c>
      <c r="F1946">
        <v>3</v>
      </c>
      <c r="G1946" s="5">
        <v>410.04</v>
      </c>
      <c r="H1946">
        <v>0.09</v>
      </c>
      <c r="I1946" t="s">
        <v>1354</v>
      </c>
      <c r="J1946" s="5">
        <v>1119.4092000000001</v>
      </c>
    </row>
    <row r="1947" spans="1:10">
      <c r="A1947" t="s">
        <v>3296</v>
      </c>
      <c r="B1947" s="7">
        <v>45797</v>
      </c>
      <c r="C1947" t="s">
        <v>327</v>
      </c>
      <c r="D1947" t="s">
        <v>1261</v>
      </c>
      <c r="E1947" t="s">
        <v>1332</v>
      </c>
      <c r="F1947">
        <v>1</v>
      </c>
      <c r="G1947" s="5">
        <v>355.31</v>
      </c>
      <c r="H1947">
        <v>0.27</v>
      </c>
      <c r="I1947" t="s">
        <v>1349</v>
      </c>
      <c r="J1947" s="5">
        <v>259.37630000000001</v>
      </c>
    </row>
    <row r="1948" spans="1:10">
      <c r="A1948" t="s">
        <v>3297</v>
      </c>
      <c r="B1948" s="7">
        <v>45607</v>
      </c>
      <c r="C1948" t="s">
        <v>815</v>
      </c>
      <c r="D1948" t="s">
        <v>1090</v>
      </c>
      <c r="E1948" t="s">
        <v>1322</v>
      </c>
      <c r="F1948">
        <v>4</v>
      </c>
      <c r="G1948" s="5">
        <v>243.13</v>
      </c>
      <c r="H1948">
        <v>0.25</v>
      </c>
      <c r="I1948" t="s">
        <v>1354</v>
      </c>
      <c r="J1948" s="5">
        <v>729.39</v>
      </c>
    </row>
    <row r="1949" spans="1:10">
      <c r="A1949" t="s">
        <v>3298</v>
      </c>
      <c r="B1949" s="7">
        <v>45614</v>
      </c>
      <c r="C1949" t="s">
        <v>521</v>
      </c>
      <c r="D1949" t="s">
        <v>1191</v>
      </c>
      <c r="E1949" t="s">
        <v>1317</v>
      </c>
      <c r="F1949">
        <v>2</v>
      </c>
      <c r="G1949" s="5">
        <v>410.63</v>
      </c>
      <c r="H1949">
        <v>0.28000000000000003</v>
      </c>
      <c r="I1949" t="s">
        <v>1354</v>
      </c>
      <c r="J1949" s="5">
        <v>591.30719999999997</v>
      </c>
    </row>
    <row r="1950" spans="1:10">
      <c r="A1950" t="s">
        <v>3299</v>
      </c>
      <c r="B1950" s="7">
        <v>45293</v>
      </c>
      <c r="C1950" t="s">
        <v>913</v>
      </c>
      <c r="D1950" t="s">
        <v>1261</v>
      </c>
      <c r="E1950" t="s">
        <v>1314</v>
      </c>
      <c r="F1950">
        <v>4</v>
      </c>
      <c r="G1950" s="5">
        <v>101.25</v>
      </c>
      <c r="H1950">
        <v>0.16</v>
      </c>
      <c r="I1950" t="s">
        <v>1351</v>
      </c>
      <c r="J1950" s="5">
        <v>340.2</v>
      </c>
    </row>
    <row r="1951" spans="1:10">
      <c r="A1951" t="s">
        <v>3300</v>
      </c>
      <c r="B1951" s="7">
        <v>45301</v>
      </c>
      <c r="C1951" t="s">
        <v>515</v>
      </c>
      <c r="D1951" t="s">
        <v>1085</v>
      </c>
      <c r="E1951" t="s">
        <v>1332</v>
      </c>
      <c r="F1951">
        <v>4</v>
      </c>
      <c r="G1951" s="5">
        <v>716.39</v>
      </c>
      <c r="H1951">
        <v>0.03</v>
      </c>
      <c r="I1951" t="s">
        <v>1351</v>
      </c>
      <c r="J1951" s="5">
        <v>2779.5931999999998</v>
      </c>
    </row>
    <row r="1952" spans="1:10">
      <c r="A1952" t="s">
        <v>3301</v>
      </c>
      <c r="B1952" s="7">
        <v>45311</v>
      </c>
      <c r="C1952" t="s">
        <v>246</v>
      </c>
      <c r="D1952" t="s">
        <v>1219</v>
      </c>
      <c r="E1952" t="s">
        <v>1282</v>
      </c>
      <c r="F1952">
        <v>1</v>
      </c>
      <c r="G1952" s="5">
        <v>721.74</v>
      </c>
      <c r="H1952">
        <v>0.24</v>
      </c>
      <c r="I1952" t="s">
        <v>1351</v>
      </c>
      <c r="J1952" s="5">
        <v>548.52240000000006</v>
      </c>
    </row>
    <row r="1953" spans="1:10">
      <c r="A1953" t="s">
        <v>3302</v>
      </c>
      <c r="B1953" s="7">
        <v>45702</v>
      </c>
      <c r="C1953" t="s">
        <v>152</v>
      </c>
      <c r="D1953" t="s">
        <v>1197</v>
      </c>
      <c r="E1953" t="s">
        <v>1317</v>
      </c>
      <c r="F1953">
        <v>2</v>
      </c>
      <c r="G1953" s="5">
        <v>527.91</v>
      </c>
      <c r="H1953">
        <v>0.02</v>
      </c>
      <c r="I1953" t="s">
        <v>1349</v>
      </c>
      <c r="J1953" s="5">
        <v>1034.7036000000001</v>
      </c>
    </row>
    <row r="1954" spans="1:10">
      <c r="A1954" t="s">
        <v>3303</v>
      </c>
      <c r="B1954" s="7">
        <v>45525</v>
      </c>
      <c r="C1954" t="s">
        <v>702</v>
      </c>
      <c r="D1954" t="s">
        <v>1177</v>
      </c>
      <c r="E1954" t="s">
        <v>1322</v>
      </c>
      <c r="F1954">
        <v>2</v>
      </c>
      <c r="G1954" s="5">
        <v>945.92</v>
      </c>
      <c r="H1954">
        <v>0.19</v>
      </c>
      <c r="I1954" t="s">
        <v>1354</v>
      </c>
      <c r="J1954" s="5">
        <v>1532.3904</v>
      </c>
    </row>
    <row r="1955" spans="1:10">
      <c r="A1955" t="s">
        <v>3304</v>
      </c>
      <c r="B1955" s="7">
        <v>45780</v>
      </c>
      <c r="C1955" t="s">
        <v>216</v>
      </c>
      <c r="D1955" t="s">
        <v>1185</v>
      </c>
      <c r="E1955" t="s">
        <v>1332</v>
      </c>
      <c r="F1955">
        <v>2</v>
      </c>
      <c r="G1955" s="5">
        <v>981.35</v>
      </c>
      <c r="H1955">
        <v>0.16</v>
      </c>
      <c r="I1955" t="s">
        <v>1351</v>
      </c>
      <c r="J1955" s="5">
        <v>1648.6679999999999</v>
      </c>
    </row>
    <row r="1956" spans="1:10">
      <c r="A1956" t="s">
        <v>3305</v>
      </c>
      <c r="B1956" s="7">
        <v>45819</v>
      </c>
      <c r="C1956" t="s">
        <v>509</v>
      </c>
      <c r="D1956" t="s">
        <v>1191</v>
      </c>
      <c r="E1956" t="s">
        <v>1291</v>
      </c>
      <c r="F1956">
        <v>1</v>
      </c>
      <c r="G1956" s="5">
        <v>913.99</v>
      </c>
      <c r="H1956">
        <v>0.14000000000000001</v>
      </c>
      <c r="I1956" t="s">
        <v>1349</v>
      </c>
      <c r="J1956" s="5">
        <v>786.03139999999996</v>
      </c>
    </row>
    <row r="1957" spans="1:10">
      <c r="A1957" t="s">
        <v>3306</v>
      </c>
      <c r="B1957" s="7">
        <v>45863</v>
      </c>
      <c r="C1957" t="s">
        <v>44</v>
      </c>
      <c r="D1957" t="s">
        <v>1205</v>
      </c>
      <c r="E1957" t="s">
        <v>1307</v>
      </c>
      <c r="F1957">
        <v>4</v>
      </c>
      <c r="G1957" s="5">
        <v>270.69</v>
      </c>
      <c r="H1957">
        <v>0.18</v>
      </c>
      <c r="I1957" t="s">
        <v>1351</v>
      </c>
      <c r="J1957" s="5">
        <v>887.86320000000001</v>
      </c>
    </row>
    <row r="1958" spans="1:10">
      <c r="A1958" t="s">
        <v>3307</v>
      </c>
      <c r="B1958" s="7">
        <v>45687</v>
      </c>
      <c r="C1958" t="s">
        <v>383</v>
      </c>
      <c r="D1958" t="s">
        <v>1227</v>
      </c>
      <c r="E1958" t="s">
        <v>1301</v>
      </c>
      <c r="F1958">
        <v>3</v>
      </c>
      <c r="G1958" s="5">
        <v>998.58</v>
      </c>
      <c r="H1958">
        <v>0.02</v>
      </c>
      <c r="I1958" t="s">
        <v>1349</v>
      </c>
      <c r="J1958" s="5">
        <v>2935.8252000000002</v>
      </c>
    </row>
    <row r="1959" spans="1:10">
      <c r="A1959" t="s">
        <v>3308</v>
      </c>
      <c r="B1959" s="7">
        <v>45806</v>
      </c>
      <c r="C1959" t="s">
        <v>975</v>
      </c>
      <c r="D1959" t="s">
        <v>1147</v>
      </c>
      <c r="E1959" t="s">
        <v>1311</v>
      </c>
      <c r="F1959">
        <v>3</v>
      </c>
      <c r="G1959" s="5">
        <v>765.12</v>
      </c>
      <c r="H1959">
        <v>0.18</v>
      </c>
      <c r="I1959" t="s">
        <v>1349</v>
      </c>
      <c r="J1959" s="5">
        <v>1882.1952000000001</v>
      </c>
    </row>
    <row r="1960" spans="1:10">
      <c r="A1960" t="s">
        <v>3309</v>
      </c>
      <c r="B1960" s="7">
        <v>45216</v>
      </c>
      <c r="C1960" t="s">
        <v>194</v>
      </c>
      <c r="D1960" t="s">
        <v>1201</v>
      </c>
      <c r="E1960" t="s">
        <v>1338</v>
      </c>
      <c r="F1960">
        <v>3</v>
      </c>
      <c r="G1960" s="5">
        <v>449.99</v>
      </c>
      <c r="H1960">
        <v>0.17</v>
      </c>
      <c r="I1960" t="s">
        <v>1354</v>
      </c>
      <c r="J1960" s="5">
        <v>1120.4751000000001</v>
      </c>
    </row>
    <row r="1961" spans="1:10">
      <c r="A1961" t="s">
        <v>3310</v>
      </c>
      <c r="B1961" s="7">
        <v>45639</v>
      </c>
      <c r="C1961" t="s">
        <v>567</v>
      </c>
      <c r="D1961" t="s">
        <v>1159</v>
      </c>
      <c r="E1961" t="s">
        <v>1317</v>
      </c>
      <c r="F1961">
        <v>2</v>
      </c>
      <c r="G1961" s="5">
        <v>249.02</v>
      </c>
      <c r="H1961">
        <v>0.01</v>
      </c>
      <c r="I1961" t="s">
        <v>1354</v>
      </c>
      <c r="J1961" s="5">
        <v>493.05959999999999</v>
      </c>
    </row>
    <row r="1962" spans="1:10">
      <c r="A1962" t="s">
        <v>3311</v>
      </c>
      <c r="B1962" s="7">
        <v>45454</v>
      </c>
      <c r="C1962" t="s">
        <v>335</v>
      </c>
      <c r="D1962" t="s">
        <v>1187</v>
      </c>
      <c r="E1962" t="s">
        <v>1338</v>
      </c>
      <c r="F1962">
        <v>3</v>
      </c>
      <c r="G1962" s="5">
        <v>223.64</v>
      </c>
      <c r="H1962">
        <v>0.05</v>
      </c>
      <c r="I1962" t="s">
        <v>1349</v>
      </c>
      <c r="J1962" s="5">
        <v>637.37399999999991</v>
      </c>
    </row>
    <row r="1963" spans="1:10">
      <c r="A1963" t="s">
        <v>3312</v>
      </c>
      <c r="B1963" s="7">
        <v>45934</v>
      </c>
      <c r="C1963" t="s">
        <v>271</v>
      </c>
      <c r="D1963" t="s">
        <v>1121</v>
      </c>
      <c r="E1963" t="s">
        <v>1294</v>
      </c>
      <c r="F1963">
        <v>2</v>
      </c>
      <c r="G1963" s="5">
        <v>92.94</v>
      </c>
      <c r="H1963">
        <v>0.12</v>
      </c>
      <c r="I1963" t="s">
        <v>1349</v>
      </c>
      <c r="J1963" s="5">
        <v>163.5744</v>
      </c>
    </row>
    <row r="1964" spans="1:10">
      <c r="A1964" t="s">
        <v>3313</v>
      </c>
      <c r="B1964" s="7">
        <v>45401</v>
      </c>
      <c r="C1964" t="s">
        <v>785</v>
      </c>
      <c r="D1964" t="s">
        <v>1105</v>
      </c>
      <c r="E1964" t="s">
        <v>1286</v>
      </c>
      <c r="F1964">
        <v>4</v>
      </c>
      <c r="G1964" s="5">
        <v>268.3</v>
      </c>
      <c r="H1964">
        <v>0.02</v>
      </c>
      <c r="I1964" t="s">
        <v>1354</v>
      </c>
      <c r="J1964" s="5">
        <v>1051.7360000000001</v>
      </c>
    </row>
    <row r="1965" spans="1:10">
      <c r="A1965" t="s">
        <v>3314</v>
      </c>
      <c r="B1965" s="7">
        <v>45770</v>
      </c>
      <c r="C1965" t="s">
        <v>947</v>
      </c>
      <c r="D1965" t="s">
        <v>1191</v>
      </c>
      <c r="E1965" t="s">
        <v>1338</v>
      </c>
      <c r="F1965">
        <v>4</v>
      </c>
      <c r="G1965" s="5">
        <v>835.61</v>
      </c>
      <c r="H1965">
        <v>0.03</v>
      </c>
      <c r="I1965" t="s">
        <v>1349</v>
      </c>
      <c r="J1965" s="5">
        <v>3242.1668</v>
      </c>
    </row>
    <row r="1966" spans="1:10">
      <c r="A1966" t="s">
        <v>3315</v>
      </c>
      <c r="B1966" s="7">
        <v>45405</v>
      </c>
      <c r="C1966" t="s">
        <v>827</v>
      </c>
      <c r="D1966" t="s">
        <v>1209</v>
      </c>
      <c r="E1966" t="s">
        <v>1298</v>
      </c>
      <c r="F1966">
        <v>3</v>
      </c>
      <c r="G1966" s="5">
        <v>120.97</v>
      </c>
      <c r="H1966">
        <v>0.11</v>
      </c>
      <c r="I1966" t="s">
        <v>1349</v>
      </c>
      <c r="J1966" s="5">
        <v>322.98989999999998</v>
      </c>
    </row>
    <row r="1967" spans="1:10">
      <c r="A1967" t="s">
        <v>3316</v>
      </c>
      <c r="B1967" s="7">
        <v>45424</v>
      </c>
      <c r="C1967" t="s">
        <v>94</v>
      </c>
      <c r="D1967" t="s">
        <v>1153</v>
      </c>
      <c r="E1967" t="s">
        <v>1311</v>
      </c>
      <c r="F1967">
        <v>2</v>
      </c>
      <c r="G1967" s="5">
        <v>26.36</v>
      </c>
      <c r="H1967">
        <v>0.03</v>
      </c>
      <c r="I1967" t="s">
        <v>1354</v>
      </c>
      <c r="J1967" s="5">
        <v>51.138399999999997</v>
      </c>
    </row>
    <row r="1968" spans="1:10">
      <c r="A1968" t="s">
        <v>3317</v>
      </c>
      <c r="B1968" s="7">
        <v>45881</v>
      </c>
      <c r="C1968" t="s">
        <v>102</v>
      </c>
      <c r="D1968" t="s">
        <v>1227</v>
      </c>
      <c r="E1968" t="s">
        <v>1301</v>
      </c>
      <c r="F1968">
        <v>1</v>
      </c>
      <c r="G1968" s="5">
        <v>918.87</v>
      </c>
      <c r="H1968">
        <v>0.11</v>
      </c>
      <c r="I1968" t="s">
        <v>1351</v>
      </c>
      <c r="J1968" s="5">
        <v>817.79430000000002</v>
      </c>
    </row>
    <row r="1969" spans="1:10">
      <c r="A1969" t="s">
        <v>3318</v>
      </c>
      <c r="B1969" s="7">
        <v>45794</v>
      </c>
      <c r="C1969" t="s">
        <v>96</v>
      </c>
      <c r="D1969" t="s">
        <v>1207</v>
      </c>
      <c r="E1969" t="s">
        <v>1317</v>
      </c>
      <c r="F1969">
        <v>2</v>
      </c>
      <c r="G1969" s="5">
        <v>924.73</v>
      </c>
      <c r="H1969">
        <v>0.28999999999999998</v>
      </c>
      <c r="I1969" t="s">
        <v>1351</v>
      </c>
      <c r="J1969" s="5">
        <v>1313.1166000000001</v>
      </c>
    </row>
    <row r="1970" spans="1:10">
      <c r="A1970" t="s">
        <v>3319</v>
      </c>
      <c r="B1970" s="7">
        <v>45665</v>
      </c>
      <c r="C1970" t="s">
        <v>72</v>
      </c>
      <c r="D1970" t="s">
        <v>1097</v>
      </c>
      <c r="E1970" t="s">
        <v>1314</v>
      </c>
      <c r="F1970">
        <v>3</v>
      </c>
      <c r="G1970" s="5">
        <v>195.31</v>
      </c>
      <c r="H1970">
        <v>0.13</v>
      </c>
      <c r="I1970" t="s">
        <v>1354</v>
      </c>
      <c r="J1970" s="5">
        <v>509.75909999999999</v>
      </c>
    </row>
    <row r="1971" spans="1:10">
      <c r="A1971" t="s">
        <v>3320</v>
      </c>
      <c r="B1971" s="7">
        <v>45793</v>
      </c>
      <c r="C1971" t="s">
        <v>345</v>
      </c>
      <c r="D1971" t="s">
        <v>1149</v>
      </c>
      <c r="E1971" t="s">
        <v>1307</v>
      </c>
      <c r="F1971">
        <v>1</v>
      </c>
      <c r="G1971" s="5">
        <v>91.38</v>
      </c>
      <c r="H1971">
        <v>0.14000000000000001</v>
      </c>
      <c r="I1971" t="s">
        <v>1349</v>
      </c>
      <c r="J1971" s="5">
        <v>78.586799999999997</v>
      </c>
    </row>
    <row r="1972" spans="1:10">
      <c r="A1972" t="s">
        <v>3321</v>
      </c>
      <c r="B1972" s="7">
        <v>45563</v>
      </c>
      <c r="C1972" t="s">
        <v>1028</v>
      </c>
      <c r="D1972" t="s">
        <v>1245</v>
      </c>
      <c r="E1972" t="s">
        <v>1317</v>
      </c>
      <c r="F1972">
        <v>2</v>
      </c>
      <c r="G1972" s="5">
        <v>494.35</v>
      </c>
      <c r="H1972">
        <v>0.1</v>
      </c>
      <c r="I1972" t="s">
        <v>1349</v>
      </c>
      <c r="J1972" s="5">
        <v>889.83</v>
      </c>
    </row>
    <row r="1973" spans="1:10">
      <c r="A1973" t="s">
        <v>3322</v>
      </c>
      <c r="B1973" s="7">
        <v>45577</v>
      </c>
      <c r="C1973" t="s">
        <v>573</v>
      </c>
      <c r="D1973" t="s">
        <v>1121</v>
      </c>
      <c r="E1973" t="s">
        <v>1314</v>
      </c>
      <c r="F1973">
        <v>1</v>
      </c>
      <c r="G1973" s="5">
        <v>412.2</v>
      </c>
      <c r="H1973">
        <v>0.11</v>
      </c>
      <c r="I1973" t="s">
        <v>1349</v>
      </c>
      <c r="J1973" s="5">
        <v>366.858</v>
      </c>
    </row>
    <row r="1974" spans="1:10">
      <c r="A1974" t="s">
        <v>3323</v>
      </c>
      <c r="B1974" s="7">
        <v>45466</v>
      </c>
      <c r="C1974" t="s">
        <v>851</v>
      </c>
      <c r="D1974" t="s">
        <v>1231</v>
      </c>
      <c r="E1974" t="s">
        <v>1329</v>
      </c>
      <c r="F1974">
        <v>1</v>
      </c>
      <c r="G1974" s="5">
        <v>650.47</v>
      </c>
      <c r="H1974">
        <v>0.13</v>
      </c>
      <c r="I1974" t="s">
        <v>1351</v>
      </c>
      <c r="J1974" s="5">
        <v>565.90890000000002</v>
      </c>
    </row>
    <row r="1975" spans="1:10">
      <c r="A1975" t="s">
        <v>3324</v>
      </c>
      <c r="B1975" s="7">
        <v>45256</v>
      </c>
      <c r="C1975" t="s">
        <v>371</v>
      </c>
      <c r="D1975" t="s">
        <v>1101</v>
      </c>
      <c r="E1975" t="s">
        <v>1319</v>
      </c>
      <c r="F1975">
        <v>1</v>
      </c>
      <c r="G1975" s="5">
        <v>68.209999999999994</v>
      </c>
      <c r="H1975">
        <v>0.05</v>
      </c>
      <c r="I1975" t="s">
        <v>1351</v>
      </c>
      <c r="J1975" s="5">
        <v>64.799499999999995</v>
      </c>
    </row>
    <row r="1976" spans="1:10">
      <c r="A1976" t="s">
        <v>3325</v>
      </c>
      <c r="B1976" s="7">
        <v>45886</v>
      </c>
      <c r="C1976" t="s">
        <v>331</v>
      </c>
      <c r="D1976" t="s">
        <v>1179</v>
      </c>
      <c r="E1976" t="s">
        <v>1304</v>
      </c>
      <c r="F1976">
        <v>2</v>
      </c>
      <c r="G1976" s="5">
        <v>842.89</v>
      </c>
      <c r="H1976">
        <v>0.25</v>
      </c>
      <c r="I1976" t="s">
        <v>1354</v>
      </c>
      <c r="J1976" s="5">
        <v>1264.335</v>
      </c>
    </row>
    <row r="1977" spans="1:10">
      <c r="A1977" t="s">
        <v>3326</v>
      </c>
      <c r="B1977" s="7">
        <v>45390</v>
      </c>
      <c r="C1977" t="s">
        <v>664</v>
      </c>
      <c r="D1977" t="s">
        <v>1080</v>
      </c>
      <c r="E1977" t="s">
        <v>1294</v>
      </c>
      <c r="F1977">
        <v>2</v>
      </c>
      <c r="G1977" s="5">
        <v>227.95</v>
      </c>
      <c r="H1977">
        <v>0.24</v>
      </c>
      <c r="I1977" t="s">
        <v>1354</v>
      </c>
      <c r="J1977" s="5">
        <v>346.48399999999998</v>
      </c>
    </row>
    <row r="1978" spans="1:10">
      <c r="A1978" t="s">
        <v>3327</v>
      </c>
      <c r="B1978" s="7">
        <v>45388</v>
      </c>
      <c r="C1978" t="s">
        <v>446</v>
      </c>
      <c r="D1978" t="s">
        <v>1205</v>
      </c>
      <c r="E1978" t="s">
        <v>1319</v>
      </c>
      <c r="F1978">
        <v>3</v>
      </c>
      <c r="G1978" s="5">
        <v>685.97</v>
      </c>
      <c r="H1978">
        <v>0.24</v>
      </c>
      <c r="I1978" t="s">
        <v>1351</v>
      </c>
      <c r="J1978" s="5">
        <v>1564.0116</v>
      </c>
    </row>
    <row r="1979" spans="1:10">
      <c r="A1979" t="s">
        <v>3328</v>
      </c>
      <c r="B1979" s="7">
        <v>45793</v>
      </c>
      <c r="C1979" t="s">
        <v>793</v>
      </c>
      <c r="D1979" t="s">
        <v>1131</v>
      </c>
      <c r="E1979" t="s">
        <v>1286</v>
      </c>
      <c r="F1979">
        <v>1</v>
      </c>
      <c r="G1979" s="5">
        <v>722.57</v>
      </c>
      <c r="H1979">
        <v>0.18</v>
      </c>
      <c r="I1979" t="s">
        <v>1349</v>
      </c>
      <c r="J1979" s="5">
        <v>592.50740000000008</v>
      </c>
    </row>
    <row r="1980" spans="1:10">
      <c r="A1980" t="s">
        <v>3329</v>
      </c>
      <c r="B1980" s="7">
        <v>45615</v>
      </c>
      <c r="C1980" t="s">
        <v>341</v>
      </c>
      <c r="D1980" t="s">
        <v>1143</v>
      </c>
      <c r="E1980" t="s">
        <v>1298</v>
      </c>
      <c r="F1980">
        <v>3</v>
      </c>
      <c r="G1980" s="5">
        <v>585.54999999999995</v>
      </c>
      <c r="H1980">
        <v>0.14000000000000001</v>
      </c>
      <c r="I1980" t="s">
        <v>1354</v>
      </c>
      <c r="J1980" s="5">
        <v>1510.7190000000001</v>
      </c>
    </row>
    <row r="1981" spans="1:10">
      <c r="A1981" t="s">
        <v>3330</v>
      </c>
      <c r="B1981" s="7">
        <v>45666</v>
      </c>
      <c r="C1981" t="s">
        <v>682</v>
      </c>
      <c r="D1981" t="s">
        <v>1165</v>
      </c>
      <c r="E1981" t="s">
        <v>1322</v>
      </c>
      <c r="F1981">
        <v>2</v>
      </c>
      <c r="G1981" s="5">
        <v>635.80999999999995</v>
      </c>
      <c r="H1981">
        <v>0.13</v>
      </c>
      <c r="I1981" t="s">
        <v>1351</v>
      </c>
      <c r="J1981" s="5">
        <v>1106.3094000000001</v>
      </c>
    </row>
    <row r="1982" spans="1:10">
      <c r="A1982" t="s">
        <v>3331</v>
      </c>
      <c r="B1982" s="7">
        <v>45644</v>
      </c>
      <c r="C1982" t="s">
        <v>618</v>
      </c>
      <c r="D1982" t="s">
        <v>1101</v>
      </c>
      <c r="E1982" t="s">
        <v>1294</v>
      </c>
      <c r="F1982">
        <v>2</v>
      </c>
      <c r="G1982" s="5">
        <v>353.74</v>
      </c>
      <c r="H1982">
        <v>0.01</v>
      </c>
      <c r="I1982" t="s">
        <v>1349</v>
      </c>
      <c r="J1982" s="5">
        <v>700.40520000000004</v>
      </c>
    </row>
    <row r="1983" spans="1:10">
      <c r="A1983" t="s">
        <v>3332</v>
      </c>
      <c r="B1983" s="7">
        <v>45648</v>
      </c>
      <c r="C1983" t="s">
        <v>591</v>
      </c>
      <c r="D1983" t="s">
        <v>1145</v>
      </c>
      <c r="E1983" t="s">
        <v>1304</v>
      </c>
      <c r="F1983">
        <v>1</v>
      </c>
      <c r="G1983" s="5">
        <v>377.52</v>
      </c>
      <c r="H1983">
        <v>0.15</v>
      </c>
      <c r="I1983" t="s">
        <v>1349</v>
      </c>
      <c r="J1983" s="5">
        <v>320.892</v>
      </c>
    </row>
    <row r="1984" spans="1:10">
      <c r="A1984" t="s">
        <v>3333</v>
      </c>
      <c r="B1984" s="7">
        <v>45500</v>
      </c>
      <c r="C1984" t="s">
        <v>472</v>
      </c>
      <c r="D1984" t="s">
        <v>1209</v>
      </c>
      <c r="E1984" t="s">
        <v>1286</v>
      </c>
      <c r="F1984">
        <v>3</v>
      </c>
      <c r="G1984" s="5">
        <v>901.49</v>
      </c>
      <c r="H1984">
        <v>0</v>
      </c>
      <c r="I1984" t="s">
        <v>1349</v>
      </c>
      <c r="J1984" s="5">
        <v>2704.47</v>
      </c>
    </row>
    <row r="1985" spans="1:10">
      <c r="A1985" t="s">
        <v>3334</v>
      </c>
      <c r="B1985" s="7">
        <v>45806</v>
      </c>
      <c r="C1985" t="s">
        <v>462</v>
      </c>
      <c r="D1985" t="s">
        <v>1133</v>
      </c>
      <c r="E1985" t="s">
        <v>1298</v>
      </c>
      <c r="F1985">
        <v>1</v>
      </c>
      <c r="G1985" s="5">
        <v>563.01</v>
      </c>
      <c r="H1985">
        <v>0.1</v>
      </c>
      <c r="I1985" t="s">
        <v>1349</v>
      </c>
      <c r="J1985" s="5">
        <v>506.709</v>
      </c>
    </row>
    <row r="1986" spans="1:10">
      <c r="A1986" t="s">
        <v>3335</v>
      </c>
      <c r="B1986" s="7">
        <v>45365</v>
      </c>
      <c r="C1986" t="s">
        <v>147</v>
      </c>
      <c r="D1986" t="s">
        <v>1213</v>
      </c>
      <c r="E1986" t="s">
        <v>1301</v>
      </c>
      <c r="F1986">
        <v>4</v>
      </c>
      <c r="G1986" s="5">
        <v>167.25</v>
      </c>
      <c r="H1986">
        <v>0.11</v>
      </c>
      <c r="I1986" t="s">
        <v>1349</v>
      </c>
      <c r="J1986" s="5">
        <v>595.41</v>
      </c>
    </row>
    <row r="1987" spans="1:10">
      <c r="A1987" t="s">
        <v>3336</v>
      </c>
      <c r="B1987" s="7">
        <v>45229</v>
      </c>
      <c r="C1987" t="s">
        <v>971</v>
      </c>
      <c r="D1987" t="s">
        <v>1193</v>
      </c>
      <c r="E1987" t="s">
        <v>1335</v>
      </c>
      <c r="F1987">
        <v>3</v>
      </c>
      <c r="G1987" s="5">
        <v>345.43</v>
      </c>
      <c r="H1987">
        <v>0.08</v>
      </c>
      <c r="I1987" t="s">
        <v>1354</v>
      </c>
      <c r="J1987" s="5">
        <v>953.38679999999999</v>
      </c>
    </row>
    <row r="1988" spans="1:10">
      <c r="A1988" t="s">
        <v>3337</v>
      </c>
      <c r="B1988" s="7">
        <v>45349</v>
      </c>
      <c r="C1988" t="s">
        <v>680</v>
      </c>
      <c r="D1988" t="s">
        <v>1237</v>
      </c>
      <c r="E1988" t="s">
        <v>1311</v>
      </c>
      <c r="F1988">
        <v>4</v>
      </c>
      <c r="G1988" s="5">
        <v>752.48</v>
      </c>
      <c r="H1988">
        <v>0.23</v>
      </c>
      <c r="I1988" t="s">
        <v>1349</v>
      </c>
      <c r="J1988" s="5">
        <v>2317.6383999999998</v>
      </c>
    </row>
    <row r="1989" spans="1:10">
      <c r="A1989" t="s">
        <v>3338</v>
      </c>
      <c r="B1989" s="7">
        <v>45886</v>
      </c>
      <c r="C1989" t="s">
        <v>961</v>
      </c>
      <c r="D1989" t="s">
        <v>1187</v>
      </c>
      <c r="E1989" t="s">
        <v>1338</v>
      </c>
      <c r="F1989">
        <v>1</v>
      </c>
      <c r="G1989" s="5">
        <v>120.02</v>
      </c>
      <c r="H1989">
        <v>0.26</v>
      </c>
      <c r="I1989" t="s">
        <v>1349</v>
      </c>
      <c r="J1989" s="5">
        <v>88.814799999999991</v>
      </c>
    </row>
    <row r="1990" spans="1:10">
      <c r="A1990" t="s">
        <v>3339</v>
      </c>
      <c r="B1990" s="7">
        <v>45359</v>
      </c>
      <c r="C1990" t="s">
        <v>710</v>
      </c>
      <c r="D1990" t="s">
        <v>1155</v>
      </c>
      <c r="E1990" t="s">
        <v>1307</v>
      </c>
      <c r="F1990">
        <v>3</v>
      </c>
      <c r="G1990" s="5">
        <v>146.71</v>
      </c>
      <c r="H1990">
        <v>0.28000000000000003</v>
      </c>
      <c r="I1990" t="s">
        <v>1349</v>
      </c>
      <c r="J1990" s="5">
        <v>316.89359999999999</v>
      </c>
    </row>
    <row r="1991" spans="1:10">
      <c r="A1991" t="s">
        <v>3340</v>
      </c>
      <c r="B1991" s="7">
        <v>45730</v>
      </c>
      <c r="C1991" t="s">
        <v>218</v>
      </c>
      <c r="D1991" t="s">
        <v>1201</v>
      </c>
      <c r="E1991" t="s">
        <v>1277</v>
      </c>
      <c r="F1991">
        <v>2</v>
      </c>
      <c r="G1991" s="5">
        <v>358.87</v>
      </c>
      <c r="H1991">
        <v>0.24</v>
      </c>
      <c r="I1991" t="s">
        <v>1349</v>
      </c>
      <c r="J1991" s="5">
        <v>545.48239999999998</v>
      </c>
    </row>
    <row r="1992" spans="1:10">
      <c r="A1992" t="s">
        <v>3341</v>
      </c>
      <c r="B1992" s="7">
        <v>45456</v>
      </c>
      <c r="C1992" t="s">
        <v>545</v>
      </c>
      <c r="D1992" t="s">
        <v>1177</v>
      </c>
      <c r="E1992" t="s">
        <v>1291</v>
      </c>
      <c r="F1992">
        <v>4</v>
      </c>
      <c r="G1992" s="5">
        <v>212.75</v>
      </c>
      <c r="H1992">
        <v>0.11</v>
      </c>
      <c r="I1992" t="s">
        <v>1354</v>
      </c>
      <c r="J1992" s="5">
        <v>757.39</v>
      </c>
    </row>
    <row r="1993" spans="1:10">
      <c r="A1993" t="s">
        <v>3342</v>
      </c>
      <c r="B1993" s="7">
        <v>45450</v>
      </c>
      <c r="C1993" t="s">
        <v>718</v>
      </c>
      <c r="D1993" t="s">
        <v>1163</v>
      </c>
      <c r="E1993" t="s">
        <v>1317</v>
      </c>
      <c r="F1993">
        <v>1</v>
      </c>
      <c r="G1993" s="5">
        <v>183.47</v>
      </c>
      <c r="H1993">
        <v>0.17</v>
      </c>
      <c r="I1993" t="s">
        <v>1351</v>
      </c>
      <c r="J1993" s="5">
        <v>152.2801</v>
      </c>
    </row>
    <row r="1994" spans="1:10">
      <c r="A1994" t="s">
        <v>3343</v>
      </c>
      <c r="B1994" s="7">
        <v>45493</v>
      </c>
      <c r="C1994" t="s">
        <v>185</v>
      </c>
      <c r="D1994" t="s">
        <v>1251</v>
      </c>
      <c r="E1994" t="s">
        <v>1326</v>
      </c>
      <c r="F1994">
        <v>4</v>
      </c>
      <c r="G1994" s="5">
        <v>569.98</v>
      </c>
      <c r="H1994">
        <v>0.23</v>
      </c>
      <c r="I1994" t="s">
        <v>1349</v>
      </c>
      <c r="J1994" s="5">
        <v>1755.5383999999999</v>
      </c>
    </row>
    <row r="1995" spans="1:10">
      <c r="A1995" t="s">
        <v>3344</v>
      </c>
      <c r="B1995" s="7">
        <v>45274</v>
      </c>
      <c r="C1995" t="s">
        <v>1006</v>
      </c>
      <c r="D1995" t="s">
        <v>1115</v>
      </c>
      <c r="E1995" t="s">
        <v>1319</v>
      </c>
      <c r="F1995">
        <v>3</v>
      </c>
      <c r="G1995" s="5">
        <v>984.12</v>
      </c>
      <c r="H1995">
        <v>0.27</v>
      </c>
      <c r="I1995" t="s">
        <v>1349</v>
      </c>
      <c r="J1995" s="5">
        <v>2155.2228</v>
      </c>
    </row>
    <row r="1996" spans="1:10">
      <c r="A1996" t="s">
        <v>3345</v>
      </c>
      <c r="B1996" s="7">
        <v>45844</v>
      </c>
      <c r="C1996" t="s">
        <v>1008</v>
      </c>
      <c r="D1996" t="s">
        <v>1241</v>
      </c>
      <c r="E1996" t="s">
        <v>1307</v>
      </c>
      <c r="F1996">
        <v>1</v>
      </c>
      <c r="G1996" s="5">
        <v>905.23</v>
      </c>
      <c r="H1996">
        <v>0</v>
      </c>
      <c r="I1996" t="s">
        <v>1349</v>
      </c>
      <c r="J1996" s="5">
        <v>905.23</v>
      </c>
    </row>
    <row r="1997" spans="1:10">
      <c r="A1997" t="s">
        <v>3346</v>
      </c>
      <c r="B1997" s="7">
        <v>45264</v>
      </c>
      <c r="C1997" t="s">
        <v>434</v>
      </c>
      <c r="D1997" t="s">
        <v>1271</v>
      </c>
      <c r="E1997" t="s">
        <v>1338</v>
      </c>
      <c r="F1997">
        <v>3</v>
      </c>
      <c r="G1997" s="5">
        <v>112.77</v>
      </c>
      <c r="H1997">
        <v>0.19</v>
      </c>
      <c r="I1997" t="s">
        <v>1349</v>
      </c>
      <c r="J1997" s="5">
        <v>274.03109999999998</v>
      </c>
    </row>
    <row r="1998" spans="1:10">
      <c r="A1998" t="s">
        <v>3347</v>
      </c>
      <c r="B1998" s="7">
        <v>45773</v>
      </c>
      <c r="C1998" t="s">
        <v>383</v>
      </c>
      <c r="D1998" t="s">
        <v>1143</v>
      </c>
      <c r="E1998" t="s">
        <v>1307</v>
      </c>
      <c r="F1998">
        <v>3</v>
      </c>
      <c r="G1998" s="5">
        <v>875.99</v>
      </c>
      <c r="H1998">
        <v>0.09</v>
      </c>
      <c r="I1998" t="s">
        <v>1351</v>
      </c>
      <c r="J1998" s="5">
        <v>2391.4526999999998</v>
      </c>
    </row>
    <row r="1999" spans="1:10">
      <c r="A1999" t="s">
        <v>3348</v>
      </c>
      <c r="B1999" s="7">
        <v>45460</v>
      </c>
      <c r="C1999" t="s">
        <v>317</v>
      </c>
      <c r="D1999" t="s">
        <v>1251</v>
      </c>
      <c r="E1999" t="s">
        <v>1314</v>
      </c>
      <c r="F1999">
        <v>2</v>
      </c>
      <c r="G1999" s="5">
        <v>685.31</v>
      </c>
      <c r="H1999">
        <v>0.26</v>
      </c>
      <c r="I1999" t="s">
        <v>1351</v>
      </c>
      <c r="J1999" s="5">
        <v>1014.2588</v>
      </c>
    </row>
    <row r="2000" spans="1:10">
      <c r="A2000" t="s">
        <v>3349</v>
      </c>
      <c r="B2000" s="7">
        <v>45607</v>
      </c>
      <c r="C2000" t="s">
        <v>147</v>
      </c>
      <c r="D2000" t="s">
        <v>1195</v>
      </c>
      <c r="E2000" t="s">
        <v>1317</v>
      </c>
      <c r="F2000">
        <v>3</v>
      </c>
      <c r="G2000" s="5">
        <v>945.37</v>
      </c>
      <c r="H2000">
        <v>0.05</v>
      </c>
      <c r="I2000" t="s">
        <v>1349</v>
      </c>
      <c r="J2000" s="5">
        <v>2694.3045000000002</v>
      </c>
    </row>
    <row r="2001" spans="1:10">
      <c r="A2001" t="s">
        <v>3350</v>
      </c>
      <c r="B2001" s="7">
        <v>45267</v>
      </c>
      <c r="C2001" t="s">
        <v>77</v>
      </c>
      <c r="D2001" t="s">
        <v>1225</v>
      </c>
      <c r="E2001" t="s">
        <v>1338</v>
      </c>
      <c r="F2001">
        <v>3</v>
      </c>
      <c r="G2001" s="5">
        <v>68.45</v>
      </c>
      <c r="H2001">
        <v>0.17</v>
      </c>
      <c r="I2001" t="s">
        <v>1351</v>
      </c>
      <c r="J2001" s="5">
        <v>170.44049999999999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C9ED-0C0B-41AB-8242-EF764B71F15B}">
  <dimension ref="A1:R2001"/>
  <sheetViews>
    <sheetView topLeftCell="E8" zoomScale="71" workbookViewId="0">
      <selection activeCell="P8" sqref="P8"/>
    </sheetView>
  </sheetViews>
  <sheetFormatPr defaultRowHeight="14.5"/>
  <cols>
    <col min="1" max="1" width="14.6328125" customWidth="1"/>
    <col min="2" max="2" width="16.7265625" customWidth="1"/>
    <col min="3" max="3" width="15.08984375" customWidth="1"/>
    <col min="4" max="4" width="15" customWidth="1"/>
    <col min="5" max="6" width="12.1796875" customWidth="1"/>
    <col min="7" max="7" width="31.26953125" customWidth="1"/>
    <col min="8" max="9" width="27.08984375" customWidth="1"/>
    <col min="10" max="11" width="17.08984375" customWidth="1"/>
    <col min="12" max="12" width="12.453125" style="5" customWidth="1"/>
    <col min="13" max="13" width="13.90625" customWidth="1"/>
    <col min="14" max="14" width="13" customWidth="1"/>
    <col min="15" max="15" width="16.6328125" style="5" customWidth="1"/>
    <col min="16" max="17" width="16.81640625" customWidth="1"/>
    <col min="18" max="18" width="18.08984375" customWidth="1"/>
    <col min="19" max="19" width="10.6328125" customWidth="1"/>
  </cols>
  <sheetData>
    <row r="1" spans="1:18">
      <c r="A1" s="2" t="s">
        <v>1341</v>
      </c>
      <c r="B1" t="s">
        <v>1342</v>
      </c>
      <c r="C1" s="2" t="s">
        <v>0</v>
      </c>
      <c r="D1" s="2" t="s">
        <v>1061</v>
      </c>
      <c r="E1" s="2" t="s">
        <v>1273</v>
      </c>
      <c r="F1" s="3" t="s">
        <v>3517</v>
      </c>
      <c r="G1" s="3" t="s">
        <v>3515</v>
      </c>
      <c r="H1" s="3" t="s">
        <v>1063</v>
      </c>
      <c r="I1" s="3" t="s">
        <v>1275</v>
      </c>
      <c r="J1" s="3" t="s">
        <v>3516</v>
      </c>
      <c r="K1" s="2" t="s">
        <v>1343</v>
      </c>
      <c r="L1" s="18" t="s">
        <v>1344</v>
      </c>
      <c r="M1" s="2" t="s">
        <v>1345</v>
      </c>
      <c r="N1" s="2" t="s">
        <v>1346</v>
      </c>
      <c r="O1" s="18" t="s">
        <v>1347</v>
      </c>
      <c r="P1" s="8"/>
    </row>
    <row r="2" spans="1:18">
      <c r="A2" t="s">
        <v>1348</v>
      </c>
      <c r="B2" s="7">
        <v>45480</v>
      </c>
      <c r="C2" t="s">
        <v>881</v>
      </c>
      <c r="D2" t="s">
        <v>1267</v>
      </c>
      <c r="E2" t="s">
        <v>1291</v>
      </c>
      <c r="F2" t="str">
        <f>[1]Raw_Customer_Dim!$A$2</f>
        <v>CUST1000</v>
      </c>
      <c r="G2" t="str">
        <f>_xlfn.XLOOKUP(E2,Store_Dim!A:A,Store_Dim!B:B,"Not Found")</f>
        <v>Johnson-Wright</v>
      </c>
      <c r="H2" t="str">
        <f>_xlfn.XLOOKUP(D2,Product_Dim!A:A,Product_Dim!C:C,"Not Found")</f>
        <v>Sports</v>
      </c>
      <c r="I2" t="str">
        <f>_xlfn.XLOOKUP(E2,Store_Dim!A:A,Store_Dim!C:C,"Not Found")</f>
        <v>North</v>
      </c>
      <c r="J2" t="str">
        <f>_xlfn.XLOOKUP(C2,Customer_Dim!A:A,Customer_Dim!B:B,"Not Found")</f>
        <v>Sarah Smith</v>
      </c>
      <c r="K2">
        <v>1</v>
      </c>
      <c r="L2" s="5">
        <v>218.04</v>
      </c>
      <c r="M2">
        <v>0.09</v>
      </c>
      <c r="N2" t="s">
        <v>1349</v>
      </c>
      <c r="O2" s="5">
        <v>198.41640000000001</v>
      </c>
      <c r="Q2" s="14" t="s">
        <v>3531</v>
      </c>
    </row>
    <row r="3" spans="1:18">
      <c r="A3" t="s">
        <v>1350</v>
      </c>
      <c r="B3" s="7">
        <v>45285</v>
      </c>
      <c r="C3" t="s">
        <v>996</v>
      </c>
      <c r="D3" t="s">
        <v>1221</v>
      </c>
      <c r="E3" t="s">
        <v>1332</v>
      </c>
      <c r="F3" t="str">
        <f>[1]Raw_Customer_Dim!$A$2</f>
        <v>CUST1000</v>
      </c>
      <c r="G3" t="str">
        <f>_xlfn.XLOOKUP(E3,Store_Dim!A:A,Store_Dim!B:B,"Not Found")</f>
        <v>Holloway Ltd</v>
      </c>
      <c r="H3" t="str">
        <f>_xlfn.XLOOKUP(D3,Product_Dim!A:A,Product_Dim!C:C,"Not Found")</f>
        <v>Electronics</v>
      </c>
      <c r="I3" t="str">
        <f>_xlfn.XLOOKUP(E3,Store_Dim!A:A,Store_Dim!C:C,"Not Found")</f>
        <v>North</v>
      </c>
      <c r="J3" t="str">
        <f>_xlfn.XLOOKUP(C3,Customer_Dim!A:A,Customer_Dim!B:B,"Not Found")</f>
        <v>Michael Foley</v>
      </c>
      <c r="K3">
        <v>3</v>
      </c>
      <c r="L3" s="5">
        <v>104.47</v>
      </c>
      <c r="M3">
        <v>0.27</v>
      </c>
      <c r="N3" t="s">
        <v>1351</v>
      </c>
      <c r="O3" s="5">
        <v>228.7893</v>
      </c>
      <c r="Q3" t="s">
        <v>3525</v>
      </c>
      <c r="R3" t="s">
        <v>3526</v>
      </c>
    </row>
    <row r="4" spans="1:18">
      <c r="A4" t="s">
        <v>1352</v>
      </c>
      <c r="B4" s="7">
        <v>45446</v>
      </c>
      <c r="C4" t="s">
        <v>157</v>
      </c>
      <c r="D4" t="s">
        <v>1171</v>
      </c>
      <c r="E4" t="s">
        <v>1307</v>
      </c>
      <c r="F4" t="str">
        <f>[1]Raw_Customer_Dim!$A$2</f>
        <v>CUST1000</v>
      </c>
      <c r="G4" t="str">
        <f>_xlfn.XLOOKUP(E4,Store_Dim!A:A,Store_Dim!B:B,"Not Found")</f>
        <v>Bean, Jones and Park</v>
      </c>
      <c r="H4" t="str">
        <f>_xlfn.XLOOKUP(D4,Product_Dim!A:A,Product_Dim!C:C,"Not Found")</f>
        <v>Beauty</v>
      </c>
      <c r="I4" t="str">
        <f>_xlfn.XLOOKUP(E4,Store_Dim!A:A,Store_Dim!C:C,"Not Found")</f>
        <v>West</v>
      </c>
      <c r="J4" t="str">
        <f>_xlfn.XLOOKUP(C4,Customer_Dim!A:A,Customer_Dim!B:B,"Not Found")</f>
        <v>Christopher Sutton</v>
      </c>
      <c r="K4">
        <v>4</v>
      </c>
      <c r="L4" s="5">
        <v>914.05</v>
      </c>
      <c r="M4">
        <v>0.25</v>
      </c>
      <c r="N4" t="s">
        <v>1349</v>
      </c>
      <c r="O4" s="5">
        <v>2742.15</v>
      </c>
      <c r="Q4" t="s">
        <v>3518</v>
      </c>
      <c r="R4">
        <f>SUM(Table511[[#All],[Total_Amount]])</f>
        <v>2170907.4574000002</v>
      </c>
    </row>
    <row r="5" spans="1:18">
      <c r="A5" t="s">
        <v>1353</v>
      </c>
      <c r="B5" s="7">
        <v>45259</v>
      </c>
      <c r="C5" t="s">
        <v>756</v>
      </c>
      <c r="D5" t="s">
        <v>1225</v>
      </c>
      <c r="E5" t="s">
        <v>1307</v>
      </c>
      <c r="F5" t="str">
        <f>[1]Raw_Customer_Dim!$A$2</f>
        <v>CUST1000</v>
      </c>
      <c r="G5" t="str">
        <f>_xlfn.XLOOKUP(E5,Store_Dim!A:A,Store_Dim!B:B,"Not Found")</f>
        <v>Bean, Jones and Park</v>
      </c>
      <c r="H5" t="str">
        <f>_xlfn.XLOOKUP(D5,Product_Dim!A:A,Product_Dim!C:C,"Not Found")</f>
        <v>Electronics</v>
      </c>
      <c r="I5" t="str">
        <f>_xlfn.XLOOKUP(E5,Store_Dim!A:A,Store_Dim!C:C,"Not Found")</f>
        <v>West</v>
      </c>
      <c r="J5" t="str">
        <f>_xlfn.XLOOKUP(C5,Customer_Dim!A:A,Customer_Dim!B:B,"Not Found")</f>
        <v>John Jordan</v>
      </c>
      <c r="K5">
        <v>1</v>
      </c>
      <c r="L5" s="5">
        <v>921.51</v>
      </c>
      <c r="M5">
        <v>0.16</v>
      </c>
      <c r="N5" t="s">
        <v>1354</v>
      </c>
      <c r="O5" s="5">
        <v>774.0684</v>
      </c>
      <c r="Q5" s="9" t="s">
        <v>3519</v>
      </c>
      <c r="R5" s="10">
        <f>AVERAGE(Table511[Total_Amount])</f>
        <v>1087.6289866733468</v>
      </c>
    </row>
    <row r="6" spans="1:18">
      <c r="A6" t="s">
        <v>1355</v>
      </c>
      <c r="B6" s="7">
        <v>45297</v>
      </c>
      <c r="C6" t="s">
        <v>1047</v>
      </c>
      <c r="D6" t="s">
        <v>1191</v>
      </c>
      <c r="E6" t="s">
        <v>1298</v>
      </c>
      <c r="F6" t="str">
        <f>[1]Raw_Customer_Dim!$A$2</f>
        <v>CUST1000</v>
      </c>
      <c r="G6" t="str">
        <f>_xlfn.XLOOKUP(E6,Store_Dim!A:A,Store_Dim!B:B,"Not Found")</f>
        <v>Gray Ltd</v>
      </c>
      <c r="H6" t="str">
        <f>_xlfn.XLOOKUP(D6,Product_Dim!A:A,Product_Dim!C:C,"Not Found")</f>
        <v>Beauty</v>
      </c>
      <c r="I6" t="str">
        <f>_xlfn.XLOOKUP(E6,Store_Dim!A:A,Store_Dim!C:C,"Not Found")</f>
        <v>North</v>
      </c>
      <c r="J6" t="str">
        <f>_xlfn.XLOOKUP(C6,Customer_Dim!A:A,Customer_Dim!B:B,"Not Found")</f>
        <v>Amanda Powell</v>
      </c>
      <c r="K6">
        <v>3</v>
      </c>
      <c r="L6" s="5">
        <v>745.3</v>
      </c>
      <c r="M6">
        <v>0.18</v>
      </c>
      <c r="N6" t="s">
        <v>1349</v>
      </c>
      <c r="O6" s="5">
        <v>1833.4380000000001</v>
      </c>
      <c r="Q6" s="9" t="s">
        <v>3520</v>
      </c>
      <c r="R6" s="10">
        <f>MEDIAN(Table511[Total_Amount])</f>
        <v>868.71820000000002</v>
      </c>
    </row>
    <row r="7" spans="1:18">
      <c r="A7" t="s">
        <v>1356</v>
      </c>
      <c r="B7" s="7">
        <v>45499</v>
      </c>
      <c r="C7" t="s">
        <v>292</v>
      </c>
      <c r="D7" t="s">
        <v>1103</v>
      </c>
      <c r="E7" t="s">
        <v>1304</v>
      </c>
      <c r="F7" t="str">
        <f>[1]Raw_Customer_Dim!$A$2</f>
        <v>CUST1000</v>
      </c>
      <c r="G7" t="str">
        <f>_xlfn.XLOOKUP(E7,Store_Dim!A:A,Store_Dim!B:B,"Not Found")</f>
        <v>Martinez-Mullins</v>
      </c>
      <c r="H7" t="str">
        <f>_xlfn.XLOOKUP(D7,Product_Dim!A:A,Product_Dim!C:C,"Not Found")</f>
        <v>Electronics</v>
      </c>
      <c r="I7" t="str">
        <f>_xlfn.XLOOKUP(E7,Store_Dim!A:A,Store_Dim!C:C,"Not Found")</f>
        <v>South</v>
      </c>
      <c r="J7" t="str">
        <f>_xlfn.XLOOKUP(C7,Customer_Dim!A:A,Customer_Dim!B:B,"Not Found")</f>
        <v>Anthony Phillips</v>
      </c>
      <c r="K7">
        <v>3</v>
      </c>
      <c r="L7" s="5">
        <v>147.01</v>
      </c>
      <c r="M7">
        <v>0.19</v>
      </c>
      <c r="N7" t="s">
        <v>1354</v>
      </c>
      <c r="O7" s="5">
        <v>357.23430000000002</v>
      </c>
      <c r="Q7" s="9" t="s">
        <v>3521</v>
      </c>
      <c r="R7" s="10">
        <f>_xlfn.STDEV.P(Table511[Total_Amount])</f>
        <v>819.92029630378227</v>
      </c>
    </row>
    <row r="8" spans="1:18">
      <c r="A8" t="s">
        <v>1357</v>
      </c>
      <c r="B8" s="7">
        <v>45850</v>
      </c>
      <c r="C8" t="s">
        <v>59</v>
      </c>
      <c r="D8" t="s">
        <v>1185</v>
      </c>
      <c r="E8" t="s">
        <v>1294</v>
      </c>
      <c r="F8" t="str">
        <f>[1]Raw_Customer_Dim!$A$2</f>
        <v>CUST1000</v>
      </c>
      <c r="G8" t="str">
        <f>_xlfn.XLOOKUP(E8,Store_Dim!A:A,Store_Dim!B:B,"Not Found")</f>
        <v>Alexander Group</v>
      </c>
      <c r="H8" t="str">
        <f>_xlfn.XLOOKUP(D8,Product_Dim!A:A,Product_Dim!C:C,"Not Found")</f>
        <v>Home</v>
      </c>
      <c r="I8" t="str">
        <f>_xlfn.XLOOKUP(E8,Store_Dim!A:A,Store_Dim!C:C,"Not Found")</f>
        <v>South</v>
      </c>
      <c r="J8" t="str">
        <f>_xlfn.XLOOKUP(C8,Customer_Dim!A:A,Customer_Dim!B:B,"Not Found")</f>
        <v>John Scott</v>
      </c>
      <c r="K8">
        <v>2</v>
      </c>
      <c r="L8" s="5">
        <v>785.31</v>
      </c>
      <c r="M8">
        <v>0.15</v>
      </c>
      <c r="N8" t="s">
        <v>1351</v>
      </c>
      <c r="O8" s="5">
        <v>1335.027</v>
      </c>
      <c r="Q8" t="s">
        <v>3522</v>
      </c>
      <c r="R8">
        <f>MIN(Table511[[#All],[Total_Amount]])</f>
        <v>18.459</v>
      </c>
    </row>
    <row r="9" spans="1:18">
      <c r="A9" t="s">
        <v>1358</v>
      </c>
      <c r="B9" s="7">
        <v>45248</v>
      </c>
      <c r="C9" t="s">
        <v>365</v>
      </c>
      <c r="D9" t="s">
        <v>1213</v>
      </c>
      <c r="E9" t="s">
        <v>1307</v>
      </c>
      <c r="F9" t="str">
        <f>[1]Raw_Customer_Dim!$A$2</f>
        <v>CUST1000</v>
      </c>
      <c r="G9" t="str">
        <f>_xlfn.XLOOKUP(E9,Store_Dim!A:A,Store_Dim!B:B,"Not Found")</f>
        <v>Bean, Jones and Park</v>
      </c>
      <c r="H9" t="str">
        <f>_xlfn.XLOOKUP(D9,Product_Dim!A:A,Product_Dim!C:C,"Not Found")</f>
        <v>Home</v>
      </c>
      <c r="I9" t="str">
        <f>_xlfn.XLOOKUP(E9,Store_Dim!A:A,Store_Dim!C:C,"Not Found")</f>
        <v>West</v>
      </c>
      <c r="J9" t="str">
        <f>_xlfn.XLOOKUP(C9,Customer_Dim!A:A,Customer_Dim!B:B,"Not Found")</f>
        <v>Patrick Roberts</v>
      </c>
      <c r="K9">
        <v>4</v>
      </c>
      <c r="L9" s="5">
        <v>342.39</v>
      </c>
      <c r="M9">
        <v>0.23</v>
      </c>
      <c r="N9" t="s">
        <v>1351</v>
      </c>
      <c r="O9" s="5">
        <v>1054.5612000000001</v>
      </c>
      <c r="Q9" s="9" t="s">
        <v>3523</v>
      </c>
      <c r="R9" s="10">
        <f>MAX(Table511[[#All],[Total_Amount]])</f>
        <v>3908.2428</v>
      </c>
    </row>
    <row r="10" spans="1:18">
      <c r="A10" t="s">
        <v>1359</v>
      </c>
      <c r="B10" s="7">
        <v>45781</v>
      </c>
      <c r="C10" t="s">
        <v>436</v>
      </c>
      <c r="D10" t="s">
        <v>1271</v>
      </c>
      <c r="E10" t="s">
        <v>1298</v>
      </c>
      <c r="F10" t="str">
        <f>[1]Raw_Customer_Dim!$A$2</f>
        <v>CUST1000</v>
      </c>
      <c r="G10" t="str">
        <f>_xlfn.XLOOKUP(E10,Store_Dim!A:A,Store_Dim!B:B,"Not Found")</f>
        <v>Gray Ltd</v>
      </c>
      <c r="H10" t="str">
        <f>_xlfn.XLOOKUP(D10,Product_Dim!A:A,Product_Dim!C:C,"Not Found")</f>
        <v>Home</v>
      </c>
      <c r="I10" t="str">
        <f>_xlfn.XLOOKUP(E10,Store_Dim!A:A,Store_Dim!C:C,"Not Found")</f>
        <v>North</v>
      </c>
      <c r="J10" t="str">
        <f>_xlfn.XLOOKUP(C10,Customer_Dim!A:A,Customer_Dim!B:B,"Not Found")</f>
        <v>Dr. Suzanne Bullock</v>
      </c>
      <c r="K10">
        <f>Table511[[#This Row],[Total_Amount]]/(L10*(1-Table511[[#This Row],[Discount]]))</f>
        <v>3.0000000000000004</v>
      </c>
      <c r="L10" s="5">
        <v>448.25</v>
      </c>
      <c r="M10">
        <v>7.0000000000000007E-2</v>
      </c>
      <c r="N10" t="s">
        <v>1351</v>
      </c>
      <c r="O10" s="5">
        <v>1250.6175000000001</v>
      </c>
      <c r="Q10" s="9" t="s">
        <v>3524</v>
      </c>
      <c r="R10" s="10">
        <f>AVERAGE(Table511[[#All],[Total_Amount]])</f>
        <v>1087.6289866733468</v>
      </c>
    </row>
    <row r="11" spans="1:18">
      <c r="A11" t="s">
        <v>1360</v>
      </c>
      <c r="B11" s="7">
        <v>45869</v>
      </c>
      <c r="C11" t="s">
        <v>990</v>
      </c>
      <c r="D11" t="s">
        <v>1139</v>
      </c>
      <c r="E11" t="s">
        <v>1277</v>
      </c>
      <c r="F11" t="str">
        <f>[1]Raw_Customer_Dim!$A$2</f>
        <v>CUST1000</v>
      </c>
      <c r="G11" t="str">
        <f>_xlfn.XLOOKUP(E11,Store_Dim!A:A,Store_Dim!B:B,"Not Found")</f>
        <v>Rivera-Warner</v>
      </c>
      <c r="H11" t="str">
        <f>_xlfn.XLOOKUP(D11,Product_Dim!A:A,Product_Dim!C:C,"Not Found")</f>
        <v>Home</v>
      </c>
      <c r="I11" t="str">
        <f>_xlfn.XLOOKUP(E11,Store_Dim!A:A,Store_Dim!C:C,"Not Found")</f>
        <v>East</v>
      </c>
      <c r="J11" t="str">
        <f>_xlfn.XLOOKUP(C11,Customer_Dim!A:A,Customer_Dim!B:B,"Not Found")</f>
        <v>Not Found</v>
      </c>
      <c r="K11">
        <f>Table511[[#This Row],[Total_Amount]]/(L11*(1-Table511[[#This Row],[Discount]]))</f>
        <v>2</v>
      </c>
      <c r="L11" s="5">
        <v>873.17</v>
      </c>
      <c r="M11">
        <v>0.23</v>
      </c>
      <c r="N11" t="s">
        <v>1351</v>
      </c>
      <c r="O11" s="5">
        <v>1344.6818000000001</v>
      </c>
      <c r="Q11" s="9" t="s">
        <v>4019</v>
      </c>
      <c r="R11" s="10">
        <f>_xlfn.MODE.SNGL(K:K)</f>
        <v>2</v>
      </c>
    </row>
    <row r="12" spans="1:18">
      <c r="A12" t="s">
        <v>1361</v>
      </c>
      <c r="B12" s="7">
        <v>45335</v>
      </c>
      <c r="C12" t="s">
        <v>178</v>
      </c>
      <c r="D12" t="s">
        <v>1121</v>
      </c>
      <c r="E12" t="s">
        <v>1324</v>
      </c>
      <c r="F12" t="str">
        <f>[1]Raw_Customer_Dim!$A$2</f>
        <v>CUST1000</v>
      </c>
      <c r="G12" t="str">
        <f>_xlfn.XLOOKUP(E12,Store_Dim!A:A,Store_Dim!B:B,"Not Found")</f>
        <v>Mcdonald Inc</v>
      </c>
      <c r="H12" t="str">
        <f>_xlfn.XLOOKUP(D12,Product_Dim!A:A,Product_Dim!C:C,"Not Found")</f>
        <v>Sports</v>
      </c>
      <c r="I12" t="str">
        <f>_xlfn.XLOOKUP(E12,Store_Dim!A:A,Store_Dim!C:C,"Not Found")</f>
        <v>South</v>
      </c>
      <c r="J12" t="str">
        <f>_xlfn.XLOOKUP(C12,Customer_Dim!A:A,Customer_Dim!B:B,"Not Found")</f>
        <v>Michael Thomas</v>
      </c>
      <c r="K12">
        <f>Table511[[#This Row],[Total_Amount]]/(L12*(1-Table511[[#This Row],[Discount]]))</f>
        <v>1</v>
      </c>
      <c r="L12" s="5">
        <v>278.63</v>
      </c>
      <c r="M12">
        <v>7.0000000000000007E-2</v>
      </c>
      <c r="N12" t="s">
        <v>1349</v>
      </c>
      <c r="O12" s="5">
        <v>259.1259</v>
      </c>
    </row>
    <row r="13" spans="1:18">
      <c r="A13" t="s">
        <v>1362</v>
      </c>
      <c r="B13" s="7">
        <v>45801</v>
      </c>
      <c r="C13" t="s">
        <v>704</v>
      </c>
      <c r="D13" t="s">
        <v>1151</v>
      </c>
      <c r="E13" t="s">
        <v>1282</v>
      </c>
      <c r="F13" t="str">
        <f>[1]Raw_Customer_Dim!$A$2</f>
        <v>CUST1000</v>
      </c>
      <c r="G13" t="str">
        <f>_xlfn.XLOOKUP(E13,Store_Dim!A:A,Store_Dim!B:B,"Not Found")</f>
        <v>Martinez, Adkins and Johnson</v>
      </c>
      <c r="H13" t="str">
        <f>_xlfn.XLOOKUP(D13,Product_Dim!A:A,Product_Dim!C:C,"Not Found")</f>
        <v>Electronics</v>
      </c>
      <c r="I13" t="str">
        <f>_xlfn.XLOOKUP(E13,Store_Dim!A:A,Store_Dim!C:C,"Not Found")</f>
        <v>North</v>
      </c>
      <c r="J13" t="str">
        <f>_xlfn.XLOOKUP(C13,Customer_Dim!A:A,Customer_Dim!B:B,"Not Found")</f>
        <v>Jessica Gonzalez</v>
      </c>
      <c r="K13">
        <f>Table511[[#This Row],[Total_Amount]]/(L13*(1-Table511[[#This Row],[Discount]]))</f>
        <v>4</v>
      </c>
      <c r="L13" s="5">
        <v>286.92</v>
      </c>
      <c r="M13">
        <v>0.17</v>
      </c>
      <c r="N13" t="s">
        <v>1349</v>
      </c>
      <c r="O13" s="5">
        <v>952.57439999999997</v>
      </c>
    </row>
    <row r="14" spans="1:18">
      <c r="A14" t="s">
        <v>1363</v>
      </c>
      <c r="B14" s="7">
        <v>45528</v>
      </c>
      <c r="C14" t="s">
        <v>537</v>
      </c>
      <c r="D14" t="s">
        <v>1249</v>
      </c>
      <c r="E14" t="s">
        <v>1294</v>
      </c>
      <c r="F14" t="str">
        <f>[1]Raw_Customer_Dim!$A$2</f>
        <v>CUST1000</v>
      </c>
      <c r="G14" t="str">
        <f>_xlfn.XLOOKUP(E14,Store_Dim!A:A,Store_Dim!B:B,"Not Found")</f>
        <v>Alexander Group</v>
      </c>
      <c r="H14" t="str">
        <f>_xlfn.XLOOKUP(D14,Product_Dim!A:A,Product_Dim!C:C,"Not Found")</f>
        <v>Sports</v>
      </c>
      <c r="I14" t="str">
        <f>_xlfn.XLOOKUP(E14,Store_Dim!A:A,Store_Dim!C:C,"Not Found")</f>
        <v>South</v>
      </c>
      <c r="J14" t="str">
        <f>_xlfn.XLOOKUP(C14,Customer_Dim!A:A,Customer_Dim!B:B,"Not Found")</f>
        <v>Wesley Short</v>
      </c>
      <c r="K14">
        <f>Table511[[#This Row],[Total_Amount]]/(L14*(1-Table511[[#This Row],[Discount]]))</f>
        <v>3.9999999999999991</v>
      </c>
      <c r="L14" s="5">
        <v>644.58000000000004</v>
      </c>
      <c r="M14">
        <v>0.01</v>
      </c>
      <c r="N14" t="s">
        <v>1349</v>
      </c>
      <c r="O14" s="5">
        <v>2552.5367999999999</v>
      </c>
    </row>
    <row r="15" spans="1:18">
      <c r="A15" t="s">
        <v>1364</v>
      </c>
      <c r="B15" s="7">
        <v>45875</v>
      </c>
      <c r="C15" t="s">
        <v>949</v>
      </c>
      <c r="D15" t="s">
        <v>1141</v>
      </c>
      <c r="E15" t="s">
        <v>1329</v>
      </c>
      <c r="F15" t="str">
        <f>[1]Raw_Customer_Dim!$A$2</f>
        <v>CUST1000</v>
      </c>
      <c r="G15" t="str">
        <f>_xlfn.XLOOKUP(E15,Store_Dim!A:A,Store_Dim!B:B,"Not Found")</f>
        <v>Frederick-Wright</v>
      </c>
      <c r="H15" t="str">
        <f>_xlfn.XLOOKUP(D15,Product_Dim!A:A,Product_Dim!C:C,"Not Found")</f>
        <v>Electronics</v>
      </c>
      <c r="I15" t="str">
        <f>_xlfn.XLOOKUP(E15,Store_Dim!A:A,Store_Dim!C:C,"Not Found")</f>
        <v>West</v>
      </c>
      <c r="J15" t="str">
        <f>_xlfn.XLOOKUP(C15,Customer_Dim!A:A,Customer_Dim!B:B,"Not Found")</f>
        <v>Adam Castro</v>
      </c>
      <c r="K15">
        <f>Table511[[#This Row],[Total_Amount]]/(L15*(1-Table511[[#This Row],[Discount]]))</f>
        <v>2.0000000000000004</v>
      </c>
      <c r="L15" s="5">
        <v>316.89999999999998</v>
      </c>
      <c r="M15">
        <v>0.3</v>
      </c>
      <c r="N15" t="s">
        <v>1351</v>
      </c>
      <c r="O15" s="5">
        <v>443.66</v>
      </c>
    </row>
    <row r="16" spans="1:18">
      <c r="A16" t="s">
        <v>1365</v>
      </c>
      <c r="B16" s="7">
        <v>45829</v>
      </c>
      <c r="C16" t="s">
        <v>760</v>
      </c>
      <c r="D16" t="s">
        <v>1121</v>
      </c>
      <c r="E16" t="s">
        <v>1326</v>
      </c>
      <c r="F16" t="str">
        <f>[1]Raw_Customer_Dim!$A$2</f>
        <v>CUST1000</v>
      </c>
      <c r="G16" t="str">
        <f>_xlfn.XLOOKUP(E16,Store_Dim!A:A,Store_Dim!B:B,"Not Found")</f>
        <v>Shelton PLC</v>
      </c>
      <c r="H16" t="str">
        <f>_xlfn.XLOOKUP(D16,Product_Dim!A:A,Product_Dim!C:C,"Not Found")</f>
        <v>Sports</v>
      </c>
      <c r="I16" t="str">
        <f>_xlfn.XLOOKUP(E16,Store_Dim!A:A,Store_Dim!C:C,"Not Found")</f>
        <v>North</v>
      </c>
      <c r="J16" t="str">
        <f>_xlfn.XLOOKUP(C16,Customer_Dim!A:A,Customer_Dim!B:B,"Not Found")</f>
        <v>Sherry Cabrera</v>
      </c>
      <c r="K16">
        <f>Table511[[#This Row],[Total_Amount]]/(L16*(1-Table511[[#This Row],[Discount]]))</f>
        <v>4</v>
      </c>
      <c r="L16" s="5">
        <v>403.47</v>
      </c>
      <c r="M16">
        <v>0.28999999999999998</v>
      </c>
      <c r="N16" t="s">
        <v>1351</v>
      </c>
      <c r="O16" s="5">
        <v>1145.8548000000001</v>
      </c>
    </row>
    <row r="17" spans="1:15">
      <c r="A17" t="s">
        <v>1366</v>
      </c>
      <c r="B17" s="7">
        <v>45636</v>
      </c>
      <c r="C17" t="s">
        <v>933</v>
      </c>
      <c r="D17" t="s">
        <v>1145</v>
      </c>
      <c r="E17" t="s">
        <v>1311</v>
      </c>
      <c r="F17" t="str">
        <f>[1]Raw_Customer_Dim!$A$2</f>
        <v>CUST1000</v>
      </c>
      <c r="G17" t="str">
        <f>_xlfn.XLOOKUP(E17,Store_Dim!A:A,Store_Dim!B:B,"Not Found")</f>
        <v>Moore, Padilla and Butler</v>
      </c>
      <c r="H17" t="str">
        <f>_xlfn.XLOOKUP(D17,Product_Dim!A:A,Product_Dim!C:C,"Not Found")</f>
        <v>Clothing</v>
      </c>
      <c r="I17" t="str">
        <f>_xlfn.XLOOKUP(E17,Store_Dim!A:A,Store_Dim!C:C,"Not Found")</f>
        <v>South</v>
      </c>
      <c r="J17" t="str">
        <f>_xlfn.XLOOKUP(C17,Customer_Dim!A:A,Customer_Dim!B:B,"Not Found")</f>
        <v>Lindsay Beasley</v>
      </c>
      <c r="K17">
        <f>Table511[[#This Row],[Total_Amount]]/(L17*(1-Table511[[#This Row],[Discount]]))</f>
        <v>2.9999999999999996</v>
      </c>
      <c r="L17" s="5">
        <v>871.34</v>
      </c>
      <c r="M17">
        <v>0.04</v>
      </c>
      <c r="N17" t="s">
        <v>1354</v>
      </c>
      <c r="O17" s="5">
        <v>2509.4591999999998</v>
      </c>
    </row>
    <row r="18" spans="1:15">
      <c r="A18" t="s">
        <v>1367</v>
      </c>
      <c r="B18" s="7">
        <v>45913</v>
      </c>
      <c r="C18" t="s">
        <v>616</v>
      </c>
      <c r="D18" t="s">
        <v>1203</v>
      </c>
      <c r="E18" t="s">
        <v>1338</v>
      </c>
      <c r="F18" t="str">
        <f>[1]Raw_Customer_Dim!$A$2</f>
        <v>CUST1000</v>
      </c>
      <c r="G18" t="str">
        <f>_xlfn.XLOOKUP(E18,Store_Dim!A:A,Store_Dim!B:B,"Not Found")</f>
        <v>Mann-Austin</v>
      </c>
      <c r="H18" t="str">
        <f>_xlfn.XLOOKUP(D18,Product_Dim!A:A,Product_Dim!C:C,"Not Found")</f>
        <v>Sports</v>
      </c>
      <c r="I18" t="str">
        <f>_xlfn.XLOOKUP(E18,Store_Dim!A:A,Store_Dim!C:C,"Not Found")</f>
        <v>East</v>
      </c>
      <c r="J18" t="str">
        <f>_xlfn.XLOOKUP(C18,Customer_Dim!A:A,Customer_Dim!B:B,"Not Found")</f>
        <v>Arthur Warren</v>
      </c>
      <c r="K18">
        <f>Table511[[#This Row],[Total_Amount]]/(L18*(1-Table511[[#This Row],[Discount]]))</f>
        <v>2</v>
      </c>
      <c r="L18" s="5">
        <v>451.98</v>
      </c>
      <c r="M18">
        <v>0.25</v>
      </c>
      <c r="N18" t="s">
        <v>1349</v>
      </c>
      <c r="O18" s="5">
        <v>677.97</v>
      </c>
    </row>
    <row r="19" spans="1:15">
      <c r="A19" t="s">
        <v>1368</v>
      </c>
      <c r="B19" s="7">
        <v>45637</v>
      </c>
      <c r="C19" t="s">
        <v>211</v>
      </c>
      <c r="D19" t="s">
        <v>1127</v>
      </c>
      <c r="E19" t="s">
        <v>1294</v>
      </c>
      <c r="F19" t="str">
        <f>[1]Raw_Customer_Dim!$A$2</f>
        <v>CUST1000</v>
      </c>
      <c r="G19" t="str">
        <f>_xlfn.XLOOKUP(E19,Store_Dim!A:A,Store_Dim!B:B,"Not Found")</f>
        <v>Alexander Group</v>
      </c>
      <c r="H19" t="str">
        <f>_xlfn.XLOOKUP(D19,Product_Dim!A:A,Product_Dim!C:C,"Not Found")</f>
        <v>Home</v>
      </c>
      <c r="I19" t="str">
        <f>_xlfn.XLOOKUP(E19,Store_Dim!A:A,Store_Dim!C:C,"Not Found")</f>
        <v>South</v>
      </c>
      <c r="J19" t="str">
        <f>_xlfn.XLOOKUP(C19,Customer_Dim!A:A,Customer_Dim!B:B,"Not Found")</f>
        <v>Molly Gardner</v>
      </c>
      <c r="K19">
        <f>Table511[[#This Row],[Total_Amount]]/(L19*(1-Table511[[#This Row],[Discount]]))</f>
        <v>2</v>
      </c>
      <c r="L19" s="5">
        <v>502.69</v>
      </c>
      <c r="M19">
        <v>0.23</v>
      </c>
      <c r="N19" t="s">
        <v>1349</v>
      </c>
      <c r="O19" s="5">
        <v>774.14260000000002</v>
      </c>
    </row>
    <row r="20" spans="1:15">
      <c r="A20" t="s">
        <v>1369</v>
      </c>
      <c r="B20" s="7">
        <v>45517</v>
      </c>
      <c r="C20" t="s">
        <v>246</v>
      </c>
      <c r="D20" t="s">
        <v>1151</v>
      </c>
      <c r="E20" t="s">
        <v>1294</v>
      </c>
      <c r="F20" t="str">
        <f>[1]Raw_Customer_Dim!$A$2</f>
        <v>CUST1000</v>
      </c>
      <c r="G20" t="str">
        <f>_xlfn.XLOOKUP(E20,Store_Dim!A:A,Store_Dim!B:B,"Not Found")</f>
        <v>Alexander Group</v>
      </c>
      <c r="H20" t="str">
        <f>_xlfn.XLOOKUP(D20,Product_Dim!A:A,Product_Dim!C:C,"Not Found")</f>
        <v>Electronics</v>
      </c>
      <c r="I20" t="str">
        <f>_xlfn.XLOOKUP(E20,Store_Dim!A:A,Store_Dim!C:C,"Not Found")</f>
        <v>South</v>
      </c>
      <c r="J20" t="str">
        <f>_xlfn.XLOOKUP(C20,Customer_Dim!A:A,Customer_Dim!B:B,"Not Found")</f>
        <v>David Patterson</v>
      </c>
      <c r="K20">
        <f>Table511[[#This Row],[Total_Amount]]/(L20*(1-Table511[[#This Row],[Discount]]))</f>
        <v>2</v>
      </c>
      <c r="L20" s="5">
        <v>559.23</v>
      </c>
      <c r="M20">
        <v>0.25</v>
      </c>
      <c r="N20" t="s">
        <v>1354</v>
      </c>
      <c r="O20" s="5">
        <v>838.84500000000003</v>
      </c>
    </row>
    <row r="21" spans="1:15">
      <c r="A21" t="s">
        <v>1370</v>
      </c>
      <c r="B21" s="7">
        <v>45369</v>
      </c>
      <c r="C21" t="s">
        <v>541</v>
      </c>
      <c r="D21" t="s">
        <v>1193</v>
      </c>
      <c r="E21" t="s">
        <v>1322</v>
      </c>
      <c r="F21" t="str">
        <f>[1]Raw_Customer_Dim!$A$2</f>
        <v>CUST1000</v>
      </c>
      <c r="G21" t="str">
        <f>_xlfn.XLOOKUP(E21,Store_Dim!A:A,Store_Dim!B:B,"Not Found")</f>
        <v>Gardner, Humphrey and Contreras</v>
      </c>
      <c r="H21" t="str">
        <f>_xlfn.XLOOKUP(D21,Product_Dim!A:A,Product_Dim!C:C,"Not Found")</f>
        <v>Beauty</v>
      </c>
      <c r="I21" t="str">
        <f>_xlfn.XLOOKUP(E21,Store_Dim!A:A,Store_Dim!C:C,"Not Found")</f>
        <v>East</v>
      </c>
      <c r="J21" t="str">
        <f>_xlfn.XLOOKUP(C21,Customer_Dim!A:A,Customer_Dim!B:B,"Not Found")</f>
        <v>Maria Hill</v>
      </c>
      <c r="K21" t="s">
        <v>3492</v>
      </c>
      <c r="L21" s="5" t="s">
        <v>3491</v>
      </c>
      <c r="M21">
        <v>0.04</v>
      </c>
      <c r="N21" t="s">
        <v>1354</v>
      </c>
      <c r="O21" s="5">
        <v>1782.4512</v>
      </c>
    </row>
    <row r="22" spans="1:15">
      <c r="A22" t="s">
        <v>1371</v>
      </c>
      <c r="B22" s="7">
        <v>45843</v>
      </c>
      <c r="C22" t="s">
        <v>349</v>
      </c>
      <c r="D22" t="s">
        <v>1217</v>
      </c>
      <c r="E22" t="s">
        <v>1332</v>
      </c>
      <c r="F22" t="str">
        <f>[1]Raw_Customer_Dim!$A$2</f>
        <v>CUST1000</v>
      </c>
      <c r="G22" t="str">
        <f>_xlfn.XLOOKUP(E22,Store_Dim!A:A,Store_Dim!B:B,"Not Found")</f>
        <v>Holloway Ltd</v>
      </c>
      <c r="H22" t="str">
        <f>_xlfn.XLOOKUP(D22,Product_Dim!A:A,Product_Dim!C:C,"Not Found")</f>
        <v>Sports</v>
      </c>
      <c r="I22" t="str">
        <f>_xlfn.XLOOKUP(E22,Store_Dim!A:A,Store_Dim!C:C,"Not Found")</f>
        <v>North</v>
      </c>
      <c r="J22" t="str">
        <f>_xlfn.XLOOKUP(C22,Customer_Dim!A:A,Customer_Dim!B:B,"Not Found")</f>
        <v>Justin Cross</v>
      </c>
      <c r="K22">
        <f>Table511[[#This Row],[Total_Amount]]/(L22*(1-Table511[[#This Row],[Discount]]))</f>
        <v>3.0000000000000004</v>
      </c>
      <c r="L22" s="5">
        <v>986.04</v>
      </c>
      <c r="M22">
        <v>0.27</v>
      </c>
      <c r="N22" t="s">
        <v>1354</v>
      </c>
      <c r="O22" s="5">
        <v>2159.4276</v>
      </c>
    </row>
    <row r="23" spans="1:15">
      <c r="A23" t="s">
        <v>1372</v>
      </c>
      <c r="B23" s="7">
        <v>45447</v>
      </c>
      <c r="C23" t="s">
        <v>855</v>
      </c>
      <c r="D23" t="s">
        <v>1159</v>
      </c>
      <c r="E23" t="s">
        <v>1335</v>
      </c>
      <c r="F23" t="str">
        <f>[1]Raw_Customer_Dim!$A$2</f>
        <v>CUST1000</v>
      </c>
      <c r="G23" t="str">
        <f>_xlfn.XLOOKUP(E23,Store_Dim!A:A,Store_Dim!B:B,"Not Found")</f>
        <v>Guerrero-Schmitt</v>
      </c>
      <c r="H23" t="str">
        <f>_xlfn.XLOOKUP(D23,Product_Dim!A:A,Product_Dim!C:C,"Not Found")</f>
        <v>Electronics</v>
      </c>
      <c r="I23" t="str">
        <f>_xlfn.XLOOKUP(E23,Store_Dim!A:A,Store_Dim!C:C,"Not Found")</f>
        <v>East</v>
      </c>
      <c r="J23" t="str">
        <f>_xlfn.XLOOKUP(C23,Customer_Dim!A:A,Customer_Dim!B:B,"Not Found")</f>
        <v>Alexander Byrd</v>
      </c>
      <c r="K23">
        <f>Table511[[#This Row],[Total_Amount]]/(L23*(1-Table511[[#This Row],[Discount]]))</f>
        <v>1.0000000000000002</v>
      </c>
      <c r="L23" s="5">
        <v>589.55999999999995</v>
      </c>
      <c r="M23">
        <v>0.22</v>
      </c>
      <c r="N23" t="s">
        <v>1349</v>
      </c>
      <c r="O23" s="5">
        <v>459.85680000000002</v>
      </c>
    </row>
    <row r="24" spans="1:15">
      <c r="A24" t="s">
        <v>1373</v>
      </c>
      <c r="B24" s="7">
        <v>45394</v>
      </c>
      <c r="C24" t="s">
        <v>1014</v>
      </c>
      <c r="D24" t="s">
        <v>1211</v>
      </c>
      <c r="E24" t="s">
        <v>1314</v>
      </c>
      <c r="F24" t="str">
        <f>[1]Raw_Customer_Dim!$A$2</f>
        <v>CUST1000</v>
      </c>
      <c r="G24" t="str">
        <f>_xlfn.XLOOKUP(E24,Store_Dim!A:A,Store_Dim!B:B,"Not Found")</f>
        <v>Hill, Wagner and Ballard</v>
      </c>
      <c r="H24" t="str">
        <f>_xlfn.XLOOKUP(D24,Product_Dim!A:A,Product_Dim!C:C,"Not Found")</f>
        <v>Clothing</v>
      </c>
      <c r="I24" t="str">
        <f>_xlfn.XLOOKUP(E24,Store_Dim!A:A,Store_Dim!C:C,"Not Found")</f>
        <v>East</v>
      </c>
      <c r="J24" t="str">
        <f>_xlfn.XLOOKUP(C24,Customer_Dim!A:A,Customer_Dim!B:B,"Not Found")</f>
        <v>Elizabeth Foster</v>
      </c>
      <c r="K24">
        <f>Table511[[#This Row],[Total_Amount]]/(L24*(1-Table511[[#This Row],[Discount]]))</f>
        <v>3.0000000000000004</v>
      </c>
      <c r="L24" s="5">
        <v>979.42</v>
      </c>
      <c r="M24">
        <v>0.03</v>
      </c>
      <c r="N24" t="s">
        <v>1351</v>
      </c>
      <c r="O24" s="5">
        <v>2850.1122</v>
      </c>
    </row>
    <row r="25" spans="1:15">
      <c r="A25" t="s">
        <v>1374</v>
      </c>
      <c r="B25" s="7">
        <v>45466</v>
      </c>
      <c r="C25" t="s">
        <v>799</v>
      </c>
      <c r="D25" t="s">
        <v>1097</v>
      </c>
      <c r="E25" t="s">
        <v>1307</v>
      </c>
      <c r="F25" t="str">
        <f>[1]Raw_Customer_Dim!$A$2</f>
        <v>CUST1000</v>
      </c>
      <c r="G25" t="str">
        <f>_xlfn.XLOOKUP(E25,Store_Dim!A:A,Store_Dim!B:B,"Not Found")</f>
        <v>Bean, Jones and Park</v>
      </c>
      <c r="H25" t="str">
        <f>_xlfn.XLOOKUP(D25,Product_Dim!A:A,Product_Dim!C:C,"Not Found")</f>
        <v>Beauty</v>
      </c>
      <c r="I25" t="str">
        <f>_xlfn.XLOOKUP(E25,Store_Dim!A:A,Store_Dim!C:C,"Not Found")</f>
        <v>West</v>
      </c>
      <c r="J25" t="str">
        <f>_xlfn.XLOOKUP(C25,Customer_Dim!A:A,Customer_Dim!B:B,"Not Found")</f>
        <v>Miranda King</v>
      </c>
      <c r="K25">
        <f>Table511[[#This Row],[Total_Amount]]/(L25*(1-Table511[[#This Row],[Discount]]))</f>
        <v>1</v>
      </c>
      <c r="L25" s="5">
        <v>719.28</v>
      </c>
      <c r="M25">
        <v>0.08</v>
      </c>
      <c r="N25" t="s">
        <v>1349</v>
      </c>
      <c r="O25" s="5">
        <v>661.73760000000004</v>
      </c>
    </row>
    <row r="26" spans="1:15">
      <c r="A26" t="s">
        <v>1375</v>
      </c>
      <c r="B26" s="7">
        <v>45908</v>
      </c>
      <c r="C26" t="s">
        <v>434</v>
      </c>
      <c r="D26" t="s">
        <v>1207</v>
      </c>
      <c r="E26" t="s">
        <v>1301</v>
      </c>
      <c r="F26" t="str">
        <f>[1]Raw_Customer_Dim!$A$2</f>
        <v>CUST1000</v>
      </c>
      <c r="G26" t="str">
        <f>_xlfn.XLOOKUP(E26,Store_Dim!A:A,Store_Dim!B:B,"Not Found")</f>
        <v>Benson-Elliott</v>
      </c>
      <c r="H26" t="str">
        <f>_xlfn.XLOOKUP(D26,Product_Dim!A:A,Product_Dim!C:C,"Not Found")</f>
        <v>Electronics</v>
      </c>
      <c r="I26" t="str">
        <f>_xlfn.XLOOKUP(E26,Store_Dim!A:A,Store_Dim!C:C,"Not Found")</f>
        <v>East</v>
      </c>
      <c r="J26" t="str">
        <f>_xlfn.XLOOKUP(C26,Customer_Dim!A:A,Customer_Dim!B:B,"Not Found")</f>
        <v>Jennifer Pruitt</v>
      </c>
      <c r="K26">
        <f>Table511[[#This Row],[Total_Amount]]/(L26*(1-Table511[[#This Row],[Discount]]))</f>
        <v>3</v>
      </c>
      <c r="L26" s="5">
        <v>77.599999999999994</v>
      </c>
      <c r="M26">
        <v>7.0000000000000007E-2</v>
      </c>
      <c r="N26" t="s">
        <v>1349</v>
      </c>
      <c r="O26" s="5">
        <v>216.50399999999999</v>
      </c>
    </row>
    <row r="27" spans="1:15">
      <c r="A27" t="s">
        <v>1376</v>
      </c>
      <c r="B27" s="7">
        <v>45552</v>
      </c>
      <c r="C27" t="s">
        <v>825</v>
      </c>
      <c r="D27" t="s">
        <v>1080</v>
      </c>
      <c r="E27" t="s">
        <v>1291</v>
      </c>
      <c r="F27" t="str">
        <f>[1]Raw_Customer_Dim!$A$2</f>
        <v>CUST1000</v>
      </c>
      <c r="G27" t="str">
        <f>_xlfn.XLOOKUP(E27,Store_Dim!A:A,Store_Dim!B:B,"Not Found")</f>
        <v>Johnson-Wright</v>
      </c>
      <c r="H27" t="str">
        <f>_xlfn.XLOOKUP(D27,Product_Dim!A:A,Product_Dim!C:C,"Not Found")</f>
        <v>Clothing</v>
      </c>
      <c r="I27" t="str">
        <f>_xlfn.XLOOKUP(E27,Store_Dim!A:A,Store_Dim!C:C,"Not Found")</f>
        <v>North</v>
      </c>
      <c r="J27" t="str">
        <f>_xlfn.XLOOKUP(C27,Customer_Dim!A:A,Customer_Dim!B:B,"Not Found")</f>
        <v>Erika Padilla</v>
      </c>
      <c r="K27">
        <f>Table511[[#This Row],[Total_Amount]]/(L27*(1-Table511[[#This Row],[Discount]]))</f>
        <v>4</v>
      </c>
      <c r="L27" s="5">
        <v>852.71</v>
      </c>
      <c r="M27">
        <v>0.14000000000000001</v>
      </c>
      <c r="N27" t="s">
        <v>1351</v>
      </c>
      <c r="O27" s="5">
        <v>2933.3224</v>
      </c>
    </row>
    <row r="28" spans="1:15">
      <c r="A28" t="s">
        <v>1377</v>
      </c>
      <c r="B28" s="7">
        <v>45294</v>
      </c>
      <c r="C28" t="s">
        <v>488</v>
      </c>
      <c r="D28" t="s">
        <v>1269</v>
      </c>
      <c r="E28" t="s">
        <v>1307</v>
      </c>
      <c r="F28" t="str">
        <f>[1]Raw_Customer_Dim!$A$2</f>
        <v>CUST1000</v>
      </c>
      <c r="G28" t="str">
        <f>_xlfn.XLOOKUP(E28,Store_Dim!A:A,Store_Dim!B:B,"Not Found")</f>
        <v>Bean, Jones and Park</v>
      </c>
      <c r="H28" t="str">
        <f>_xlfn.XLOOKUP(D28,Product_Dim!A:A,Product_Dim!C:C,"Not Found")</f>
        <v>Electronics</v>
      </c>
      <c r="I28" t="str">
        <f>_xlfn.XLOOKUP(E28,Store_Dim!A:A,Store_Dim!C:C,"Not Found")</f>
        <v>West</v>
      </c>
      <c r="J28" t="str">
        <f>_xlfn.XLOOKUP(C28,Customer_Dim!A:A,Customer_Dim!B:B,"Not Found")</f>
        <v>Stuart Johnson</v>
      </c>
      <c r="K28" t="s">
        <v>3492</v>
      </c>
      <c r="L28" s="5">
        <v>156.16</v>
      </c>
      <c r="M28" t="s">
        <v>3491</v>
      </c>
      <c r="N28" t="s">
        <v>1349</v>
      </c>
      <c r="O28" s="5">
        <v>599.65440000000001</v>
      </c>
    </row>
    <row r="29" spans="1:15">
      <c r="A29" t="s">
        <v>1378</v>
      </c>
      <c r="B29" s="7">
        <v>45710</v>
      </c>
      <c r="C29" t="s">
        <v>462</v>
      </c>
      <c r="D29" t="s">
        <v>1227</v>
      </c>
      <c r="E29" t="s">
        <v>1307</v>
      </c>
      <c r="F29" t="str">
        <f>[1]Raw_Customer_Dim!$A$2</f>
        <v>CUST1000</v>
      </c>
      <c r="G29" t="str">
        <f>_xlfn.XLOOKUP(E29,Store_Dim!A:A,Store_Dim!B:B,"Not Found")</f>
        <v>Bean, Jones and Park</v>
      </c>
      <c r="H29" t="str">
        <f>_xlfn.XLOOKUP(D29,Product_Dim!A:A,Product_Dim!C:C,"Not Found")</f>
        <v>Electronics</v>
      </c>
      <c r="I29" t="str">
        <f>_xlfn.XLOOKUP(E29,Store_Dim!A:A,Store_Dim!C:C,"Not Found")</f>
        <v>West</v>
      </c>
      <c r="J29" t="str">
        <f>_xlfn.XLOOKUP(C29,Customer_Dim!A:A,Customer_Dim!B:B,"Not Found")</f>
        <v>Anna Perez</v>
      </c>
      <c r="K29">
        <f>Table511[[#This Row],[Total_Amount]]/(L29*(1-Table511[[#This Row],[Discount]]))</f>
        <v>3</v>
      </c>
      <c r="L29" s="5">
        <v>815.49</v>
      </c>
      <c r="M29">
        <v>0.17</v>
      </c>
      <c r="N29" t="s">
        <v>1349</v>
      </c>
      <c r="O29" s="5">
        <v>2030.5700999999999</v>
      </c>
    </row>
    <row r="30" spans="1:15">
      <c r="A30" t="s">
        <v>1379</v>
      </c>
      <c r="B30" s="7">
        <v>45923</v>
      </c>
      <c r="C30" t="s">
        <v>357</v>
      </c>
      <c r="D30" t="s">
        <v>1099</v>
      </c>
      <c r="E30" t="s">
        <v>1286</v>
      </c>
      <c r="F30" t="str">
        <f>[1]Raw_Customer_Dim!$A$2</f>
        <v>CUST1000</v>
      </c>
      <c r="G30" t="str">
        <f>_xlfn.XLOOKUP(E30,Store_Dim!A:A,Store_Dim!B:B,"Not Found")</f>
        <v>Black-Horn</v>
      </c>
      <c r="H30" t="str">
        <f>_xlfn.XLOOKUP(D30,Product_Dim!A:A,Product_Dim!C:C,"Not Found")</f>
        <v>Electronics</v>
      </c>
      <c r="I30" t="str">
        <f>_xlfn.XLOOKUP(E30,Store_Dim!A:A,Store_Dim!C:C,"Not Found")</f>
        <v>South</v>
      </c>
      <c r="J30" t="str">
        <f>_xlfn.XLOOKUP(C30,Customer_Dim!A:A,Customer_Dim!B:B,"Not Found")</f>
        <v>Theresa Campbell</v>
      </c>
      <c r="K30">
        <f>Table511[[#This Row],[Total_Amount]]/(L30*(1-Table511[[#This Row],[Discount]]))</f>
        <v>2</v>
      </c>
      <c r="L30" s="5">
        <v>74.209999999999994</v>
      </c>
      <c r="M30">
        <v>0.11</v>
      </c>
      <c r="N30" t="s">
        <v>1351</v>
      </c>
      <c r="O30" s="5">
        <v>132.09379999999999</v>
      </c>
    </row>
    <row r="31" spans="1:15">
      <c r="A31" t="s">
        <v>1380</v>
      </c>
      <c r="B31" s="7">
        <v>45302</v>
      </c>
      <c r="C31" t="s">
        <v>760</v>
      </c>
      <c r="D31" t="s">
        <v>1271</v>
      </c>
      <c r="E31" t="s">
        <v>1291</v>
      </c>
      <c r="F31" t="str">
        <f>[1]Raw_Customer_Dim!$A$2</f>
        <v>CUST1000</v>
      </c>
      <c r="G31" t="str">
        <f>_xlfn.XLOOKUP(E31,Store_Dim!A:A,Store_Dim!B:B,"Not Found")</f>
        <v>Johnson-Wright</v>
      </c>
      <c r="H31" t="str">
        <f>_xlfn.XLOOKUP(D31,Product_Dim!A:A,Product_Dim!C:C,"Not Found")</f>
        <v>Home</v>
      </c>
      <c r="I31" t="str">
        <f>_xlfn.XLOOKUP(E31,Store_Dim!A:A,Store_Dim!C:C,"Not Found")</f>
        <v>North</v>
      </c>
      <c r="J31" t="str">
        <f>_xlfn.XLOOKUP(C31,Customer_Dim!A:A,Customer_Dim!B:B,"Not Found")</f>
        <v>Sherry Cabrera</v>
      </c>
      <c r="K31">
        <f>Table511[[#This Row],[Total_Amount]]/(L31*(1-Table511[[#This Row],[Discount]]))</f>
        <v>4</v>
      </c>
      <c r="L31" s="5">
        <v>451.67</v>
      </c>
      <c r="M31">
        <v>0.15</v>
      </c>
      <c r="N31" t="s">
        <v>1349</v>
      </c>
      <c r="O31" s="5">
        <v>1535.6780000000001</v>
      </c>
    </row>
    <row r="32" spans="1:15">
      <c r="A32" t="s">
        <v>1381</v>
      </c>
      <c r="B32" s="7">
        <v>45217</v>
      </c>
      <c r="C32" t="s">
        <v>90</v>
      </c>
      <c r="D32" t="s">
        <v>1080</v>
      </c>
      <c r="E32" t="s">
        <v>1338</v>
      </c>
      <c r="F32" t="str">
        <f>[1]Raw_Customer_Dim!$A$2</f>
        <v>CUST1000</v>
      </c>
      <c r="G32" t="str">
        <f>_xlfn.XLOOKUP(E32,Store_Dim!A:A,Store_Dim!B:B,"Not Found")</f>
        <v>Mann-Austin</v>
      </c>
      <c r="H32" t="str">
        <f>_xlfn.XLOOKUP(D32,Product_Dim!A:A,Product_Dim!C:C,"Not Found")</f>
        <v>Clothing</v>
      </c>
      <c r="I32" t="str">
        <f>_xlfn.XLOOKUP(E32,Store_Dim!A:A,Store_Dim!C:C,"Not Found")</f>
        <v>East</v>
      </c>
      <c r="J32" t="str">
        <f>_xlfn.XLOOKUP(C32,Customer_Dim!A:A,Customer_Dim!B:B,"Not Found")</f>
        <v>Joshua Ryan</v>
      </c>
      <c r="K32">
        <f>Table511[[#This Row],[Total_Amount]]/(L32*(1-Table511[[#This Row],[Discount]]))</f>
        <v>1</v>
      </c>
      <c r="L32" s="5">
        <v>429.38</v>
      </c>
      <c r="M32">
        <v>0.13</v>
      </c>
      <c r="N32" t="s">
        <v>1351</v>
      </c>
      <c r="O32" s="5">
        <v>373.56060000000002</v>
      </c>
    </row>
    <row r="33" spans="1:15">
      <c r="A33" t="s">
        <v>1382</v>
      </c>
      <c r="B33" s="7">
        <v>45593</v>
      </c>
      <c r="C33" t="s">
        <v>887</v>
      </c>
      <c r="D33" t="s">
        <v>1179</v>
      </c>
      <c r="E33" t="s">
        <v>1319</v>
      </c>
      <c r="F33" t="str">
        <f>[1]Raw_Customer_Dim!$A$2</f>
        <v>CUST1000</v>
      </c>
      <c r="G33" t="str">
        <f>_xlfn.XLOOKUP(E33,Store_Dim!A:A,Store_Dim!B:B,"Not Found")</f>
        <v>Thomas, Bridges and Harris</v>
      </c>
      <c r="H33" t="str">
        <f>_xlfn.XLOOKUP(D33,Product_Dim!A:A,Product_Dim!C:C,"Not Found")</f>
        <v>Clothing</v>
      </c>
      <c r="I33" t="str">
        <f>_xlfn.XLOOKUP(E33,Store_Dim!A:A,Store_Dim!C:C,"Not Found")</f>
        <v>North</v>
      </c>
      <c r="J33" t="str">
        <f>_xlfn.XLOOKUP(C33,Customer_Dim!A:A,Customer_Dim!B:B,"Not Found")</f>
        <v>Shane Brown</v>
      </c>
      <c r="K33">
        <f>Table511[[#This Row],[Total_Amount]]/(L33*(1-Table511[[#This Row],[Discount]]))</f>
        <v>2</v>
      </c>
      <c r="L33" s="5">
        <v>148.96</v>
      </c>
      <c r="M33">
        <v>0.03</v>
      </c>
      <c r="N33" t="s">
        <v>1354</v>
      </c>
      <c r="O33" s="5">
        <v>288.98239999999998</v>
      </c>
    </row>
    <row r="34" spans="1:15">
      <c r="A34" t="s">
        <v>1383</v>
      </c>
      <c r="B34" s="7">
        <v>45597</v>
      </c>
      <c r="C34" t="s">
        <v>859</v>
      </c>
      <c r="D34" t="s">
        <v>1223</v>
      </c>
      <c r="E34" t="s">
        <v>1307</v>
      </c>
      <c r="F34" t="str">
        <f>[1]Raw_Customer_Dim!$A$2</f>
        <v>CUST1000</v>
      </c>
      <c r="G34" t="str">
        <f>_xlfn.XLOOKUP(E34,Store_Dim!A:A,Store_Dim!B:B,"Not Found")</f>
        <v>Bean, Jones and Park</v>
      </c>
      <c r="H34" t="str">
        <f>_xlfn.XLOOKUP(D34,Product_Dim!A:A,Product_Dim!C:C,"Not Found")</f>
        <v>Clothing</v>
      </c>
      <c r="I34" t="str">
        <f>_xlfn.XLOOKUP(E34,Store_Dim!A:A,Store_Dim!C:C,"Not Found")</f>
        <v>West</v>
      </c>
      <c r="J34" t="str">
        <f>_xlfn.XLOOKUP(C34,Customer_Dim!A:A,Customer_Dim!B:B,"Not Found")</f>
        <v>Jennifer Johnson</v>
      </c>
      <c r="K34">
        <f>Table511[[#This Row],[Total_Amount]]/(L34*(1-Table511[[#This Row],[Discount]]))</f>
        <v>4</v>
      </c>
      <c r="L34" s="5">
        <v>313.83</v>
      </c>
      <c r="M34">
        <v>0.08</v>
      </c>
      <c r="N34" t="s">
        <v>1349</v>
      </c>
      <c r="O34" s="5">
        <v>1154.8943999999999</v>
      </c>
    </row>
    <row r="35" spans="1:15">
      <c r="A35" t="s">
        <v>1384</v>
      </c>
      <c r="B35" s="7">
        <v>45620</v>
      </c>
      <c r="C35" t="s">
        <v>969</v>
      </c>
      <c r="D35" t="s">
        <v>1097</v>
      </c>
      <c r="E35" t="s">
        <v>1301</v>
      </c>
      <c r="F35" t="str">
        <f>[1]Raw_Customer_Dim!$A$2</f>
        <v>CUST1000</v>
      </c>
      <c r="G35" t="str">
        <f>_xlfn.XLOOKUP(E35,Store_Dim!A:A,Store_Dim!B:B,"Not Found")</f>
        <v>Benson-Elliott</v>
      </c>
      <c r="H35" t="str">
        <f>_xlfn.XLOOKUP(D35,Product_Dim!A:A,Product_Dim!C:C,"Not Found")</f>
        <v>Beauty</v>
      </c>
      <c r="I35" t="str">
        <f>_xlfn.XLOOKUP(E35,Store_Dim!A:A,Store_Dim!C:C,"Not Found")</f>
        <v>East</v>
      </c>
      <c r="J35" t="str">
        <f>_xlfn.XLOOKUP(C35,Customer_Dim!A:A,Customer_Dim!B:B,"Not Found")</f>
        <v>April Phillips</v>
      </c>
      <c r="K35">
        <f>Table511[[#This Row],[Total_Amount]]/(L35*(1-Table511[[#This Row],[Discount]]))</f>
        <v>2</v>
      </c>
      <c r="L35" s="5">
        <v>717.31</v>
      </c>
      <c r="M35">
        <v>0.15</v>
      </c>
      <c r="N35" t="s">
        <v>1349</v>
      </c>
      <c r="O35" s="5">
        <v>1219.4269999999999</v>
      </c>
    </row>
    <row r="36" spans="1:15">
      <c r="A36" t="s">
        <v>1385</v>
      </c>
      <c r="B36" s="7">
        <v>45215</v>
      </c>
      <c r="C36" t="s">
        <v>752</v>
      </c>
      <c r="D36" t="s">
        <v>1231</v>
      </c>
      <c r="E36" t="s">
        <v>1282</v>
      </c>
      <c r="F36" t="str">
        <f>[1]Raw_Customer_Dim!$A$2</f>
        <v>CUST1000</v>
      </c>
      <c r="G36" t="str">
        <f>_xlfn.XLOOKUP(E36,Store_Dim!A:A,Store_Dim!B:B,"Not Found")</f>
        <v>Martinez, Adkins and Johnson</v>
      </c>
      <c r="H36" t="str">
        <f>_xlfn.XLOOKUP(D36,Product_Dim!A:A,Product_Dim!C:C,"Not Found")</f>
        <v>Home</v>
      </c>
      <c r="I36" t="str">
        <f>_xlfn.XLOOKUP(E36,Store_Dim!A:A,Store_Dim!C:C,"Not Found")</f>
        <v>North</v>
      </c>
      <c r="J36" t="str">
        <f>_xlfn.XLOOKUP(C36,Customer_Dim!A:A,Customer_Dim!B:B,"Not Found")</f>
        <v>Evelyn Brown</v>
      </c>
      <c r="K36">
        <f>Table511[[#This Row],[Total_Amount]]/(L36*(1-Table511[[#This Row],[Discount]]))</f>
        <v>2.9999999999999996</v>
      </c>
      <c r="L36" s="5">
        <v>873.22</v>
      </c>
      <c r="M36">
        <v>0.18</v>
      </c>
      <c r="N36" t="s">
        <v>1349</v>
      </c>
      <c r="O36" s="5">
        <v>2148.1212</v>
      </c>
    </row>
    <row r="37" spans="1:15">
      <c r="A37" t="s">
        <v>1386</v>
      </c>
      <c r="B37" s="7">
        <v>45878</v>
      </c>
      <c r="C37" t="s">
        <v>498</v>
      </c>
      <c r="D37" t="s">
        <v>1105</v>
      </c>
      <c r="E37" t="s">
        <v>1291</v>
      </c>
      <c r="F37" t="str">
        <f>[1]Raw_Customer_Dim!$A$2</f>
        <v>CUST1000</v>
      </c>
      <c r="G37" t="str">
        <f>_xlfn.XLOOKUP(E37,Store_Dim!A:A,Store_Dim!B:B,"Not Found")</f>
        <v>Johnson-Wright</v>
      </c>
      <c r="H37" t="str">
        <f>_xlfn.XLOOKUP(D37,Product_Dim!A:A,Product_Dim!C:C,"Not Found")</f>
        <v>Not Found</v>
      </c>
      <c r="I37" t="str">
        <f>_xlfn.XLOOKUP(E37,Store_Dim!A:A,Store_Dim!C:C,"Not Found")</f>
        <v>North</v>
      </c>
      <c r="J37" t="str">
        <f>_xlfn.XLOOKUP(C37,Customer_Dim!A:A,Customer_Dim!B:B,"Not Found")</f>
        <v>Julia Jackson</v>
      </c>
      <c r="K37">
        <f>Table511[[#This Row],[Total_Amount]]/(L37*(1-Table511[[#This Row],[Discount]]))</f>
        <v>3.9999999999999996</v>
      </c>
      <c r="L37" s="5">
        <v>109.36</v>
      </c>
      <c r="M37">
        <v>0.19</v>
      </c>
      <c r="N37" t="s">
        <v>1354</v>
      </c>
      <c r="O37" s="5">
        <v>354.32639999999998</v>
      </c>
    </row>
    <row r="38" spans="1:15">
      <c r="A38" t="s">
        <v>1387</v>
      </c>
      <c r="B38" s="7">
        <v>45635</v>
      </c>
      <c r="C38" t="s">
        <v>226</v>
      </c>
      <c r="D38" t="s">
        <v>1080</v>
      </c>
      <c r="E38" t="s">
        <v>1304</v>
      </c>
      <c r="F38" t="str">
        <f>[1]Raw_Customer_Dim!$A$2</f>
        <v>CUST1000</v>
      </c>
      <c r="G38" t="str">
        <f>_xlfn.XLOOKUP(E38,Store_Dim!A:A,Store_Dim!B:B,"Not Found")</f>
        <v>Martinez-Mullins</v>
      </c>
      <c r="H38" t="str">
        <f>_xlfn.XLOOKUP(D38,Product_Dim!A:A,Product_Dim!C:C,"Not Found")</f>
        <v>Clothing</v>
      </c>
      <c r="I38" t="str">
        <f>_xlfn.XLOOKUP(E38,Store_Dim!A:A,Store_Dim!C:C,"Not Found")</f>
        <v>South</v>
      </c>
      <c r="J38" t="str">
        <f>_xlfn.XLOOKUP(C38,Customer_Dim!A:A,Customer_Dim!B:B,"Not Found")</f>
        <v>Tammy Miller MD</v>
      </c>
      <c r="K38">
        <f>Table511[[#This Row],[Total_Amount]]/(L38*(1-Table511[[#This Row],[Discount]]))</f>
        <v>3</v>
      </c>
      <c r="L38" s="5">
        <v>559.52</v>
      </c>
      <c r="M38">
        <v>0.16</v>
      </c>
      <c r="N38" t="s">
        <v>1351</v>
      </c>
      <c r="O38" s="5">
        <v>1409.9903999999999</v>
      </c>
    </row>
    <row r="39" spans="1:15">
      <c r="A39" t="s">
        <v>1388</v>
      </c>
      <c r="B39" s="7">
        <v>45329</v>
      </c>
      <c r="C39" t="s">
        <v>1045</v>
      </c>
      <c r="D39" t="s">
        <v>1093</v>
      </c>
      <c r="E39" t="s">
        <v>1332</v>
      </c>
      <c r="F39" t="str">
        <f>[1]Raw_Customer_Dim!$A$2</f>
        <v>CUST1000</v>
      </c>
      <c r="G39" t="str">
        <f>_xlfn.XLOOKUP(E39,Store_Dim!A:A,Store_Dim!B:B,"Not Found")</f>
        <v>Holloway Ltd</v>
      </c>
      <c r="H39" t="str">
        <f>_xlfn.XLOOKUP(D39,Product_Dim!A:A,Product_Dim!C:C,"Not Found")</f>
        <v>Home</v>
      </c>
      <c r="I39" t="str">
        <f>_xlfn.XLOOKUP(E39,Store_Dim!A:A,Store_Dim!C:C,"Not Found")</f>
        <v>North</v>
      </c>
      <c r="J39" t="str">
        <f>_xlfn.XLOOKUP(C39,Customer_Dim!A:A,Customer_Dim!B:B,"Not Found")</f>
        <v>Darrell Miller</v>
      </c>
      <c r="K39">
        <f>Table511[[#This Row],[Total_Amount]]/(L39*(1-Table511[[#This Row],[Discount]]))</f>
        <v>3</v>
      </c>
      <c r="L39" s="5">
        <v>121.76</v>
      </c>
      <c r="M39">
        <v>0.27</v>
      </c>
      <c r="N39" t="s">
        <v>1351</v>
      </c>
      <c r="O39" s="5">
        <v>266.65440000000001</v>
      </c>
    </row>
    <row r="40" spans="1:15">
      <c r="A40" t="s">
        <v>1389</v>
      </c>
      <c r="B40" s="7">
        <v>45378</v>
      </c>
      <c r="C40" t="s">
        <v>440</v>
      </c>
      <c r="D40" t="s">
        <v>1139</v>
      </c>
      <c r="E40" t="s">
        <v>1322</v>
      </c>
      <c r="F40" t="str">
        <f>[1]Raw_Customer_Dim!$A$2</f>
        <v>CUST1000</v>
      </c>
      <c r="G40" t="str">
        <f>_xlfn.XLOOKUP(E40,Store_Dim!A:A,Store_Dim!B:B,"Not Found")</f>
        <v>Gardner, Humphrey and Contreras</v>
      </c>
      <c r="H40" t="str">
        <f>_xlfn.XLOOKUP(D40,Product_Dim!A:A,Product_Dim!C:C,"Not Found")</f>
        <v>Home</v>
      </c>
      <c r="I40" t="str">
        <f>_xlfn.XLOOKUP(E40,Store_Dim!A:A,Store_Dim!C:C,"Not Found")</f>
        <v>East</v>
      </c>
      <c r="J40" t="str">
        <f>_xlfn.XLOOKUP(C40,Customer_Dim!A:A,Customer_Dim!B:B,"Not Found")</f>
        <v>Daniel Austin</v>
      </c>
      <c r="K40">
        <f>Table511[[#This Row],[Total_Amount]]/(L40*(1-Table511[[#This Row],[Discount]]))</f>
        <v>4</v>
      </c>
      <c r="L40" s="5">
        <v>735.32</v>
      </c>
      <c r="M40">
        <v>0.06</v>
      </c>
      <c r="N40" t="s">
        <v>1354</v>
      </c>
      <c r="O40" s="5">
        <v>2764.8031999999998</v>
      </c>
    </row>
    <row r="41" spans="1:15">
      <c r="A41" t="s">
        <v>1390</v>
      </c>
      <c r="B41" s="7">
        <v>45264</v>
      </c>
      <c r="C41" t="s">
        <v>925</v>
      </c>
      <c r="D41" t="s">
        <v>1261</v>
      </c>
      <c r="E41" t="s">
        <v>1291</v>
      </c>
      <c r="F41" t="str">
        <f>[1]Raw_Customer_Dim!$A$2</f>
        <v>CUST1000</v>
      </c>
      <c r="G41" t="str">
        <f>_xlfn.XLOOKUP(E41,Store_Dim!A:A,Store_Dim!B:B,"Not Found")</f>
        <v>Johnson-Wright</v>
      </c>
      <c r="H41" t="str">
        <f>_xlfn.XLOOKUP(D41,Product_Dim!A:A,Product_Dim!C:C,"Not Found")</f>
        <v>Beauty</v>
      </c>
      <c r="I41" t="str">
        <f>_xlfn.XLOOKUP(E41,Store_Dim!A:A,Store_Dim!C:C,"Not Found")</f>
        <v>North</v>
      </c>
      <c r="J41" t="str">
        <f>_xlfn.XLOOKUP(C41,Customer_Dim!A:A,Customer_Dim!B:B,"Not Found")</f>
        <v>John Smith</v>
      </c>
      <c r="K41">
        <f>Table511[[#This Row],[Total_Amount]]/(L41*(1-Table511[[#This Row],[Discount]]))</f>
        <v>2</v>
      </c>
      <c r="L41" s="5">
        <v>600.73</v>
      </c>
      <c r="M41">
        <v>0.08</v>
      </c>
      <c r="N41" t="s">
        <v>1349</v>
      </c>
      <c r="O41" s="5">
        <v>1105.3432</v>
      </c>
    </row>
    <row r="42" spans="1:15">
      <c r="A42" t="s">
        <v>1391</v>
      </c>
      <c r="B42" s="7">
        <v>45486</v>
      </c>
      <c r="C42" t="s">
        <v>194</v>
      </c>
      <c r="D42" t="s">
        <v>1125</v>
      </c>
      <c r="E42" t="s">
        <v>1338</v>
      </c>
      <c r="F42" t="str">
        <f>[1]Raw_Customer_Dim!$A$2</f>
        <v>CUST1000</v>
      </c>
      <c r="G42" t="str">
        <f>_xlfn.XLOOKUP(E42,Store_Dim!A:A,Store_Dim!B:B,"Not Found")</f>
        <v>Mann-Austin</v>
      </c>
      <c r="H42" t="str">
        <f>_xlfn.XLOOKUP(D42,Product_Dim!A:A,Product_Dim!C:C,"Not Found")</f>
        <v>Electronics</v>
      </c>
      <c r="I42" t="str">
        <f>_xlfn.XLOOKUP(E42,Store_Dim!A:A,Store_Dim!C:C,"Not Found")</f>
        <v>East</v>
      </c>
      <c r="J42" t="str">
        <f>_xlfn.XLOOKUP(C42,Customer_Dim!A:A,Customer_Dim!B:B,"Not Found")</f>
        <v>Tonya Burch</v>
      </c>
      <c r="K42">
        <f>Table511[[#This Row],[Total_Amount]]/(L42*(1-Table511[[#This Row],[Discount]]))</f>
        <v>2</v>
      </c>
      <c r="L42" s="5">
        <v>873.86</v>
      </c>
      <c r="M42">
        <v>7.0000000000000007E-2</v>
      </c>
      <c r="N42" t="s">
        <v>1354</v>
      </c>
      <c r="O42" s="5">
        <v>1625.3796</v>
      </c>
    </row>
    <row r="43" spans="1:15">
      <c r="A43" t="s">
        <v>1392</v>
      </c>
      <c r="B43" s="7">
        <v>45241</v>
      </c>
      <c r="C43" t="s">
        <v>668</v>
      </c>
      <c r="D43" t="s">
        <v>1119</v>
      </c>
      <c r="E43" t="s">
        <v>1307</v>
      </c>
      <c r="F43" t="str">
        <f>[1]Raw_Customer_Dim!$A$2</f>
        <v>CUST1000</v>
      </c>
      <c r="G43" t="str">
        <f>_xlfn.XLOOKUP(E43,Store_Dim!A:A,Store_Dim!B:B,"Not Found")</f>
        <v>Bean, Jones and Park</v>
      </c>
      <c r="H43" t="str">
        <f>_xlfn.XLOOKUP(D43,Product_Dim!A:A,Product_Dim!C:C,"Not Found")</f>
        <v>Clothing</v>
      </c>
      <c r="I43" t="str">
        <f>_xlfn.XLOOKUP(E43,Store_Dim!A:A,Store_Dim!C:C,"Not Found")</f>
        <v>West</v>
      </c>
      <c r="J43" t="str">
        <f>_xlfn.XLOOKUP(C43,Customer_Dim!A:A,Customer_Dim!B:B,"Not Found")</f>
        <v>Edward Cole</v>
      </c>
      <c r="K43">
        <f>Table511[[#This Row],[Total_Amount]]/(L43*(1-Table511[[#This Row],[Discount]]))</f>
        <v>3.0000000000000004</v>
      </c>
      <c r="L43" s="5">
        <v>342.47</v>
      </c>
      <c r="M43">
        <v>0.08</v>
      </c>
      <c r="N43" t="s">
        <v>1351</v>
      </c>
      <c r="O43" s="5">
        <v>945.21720000000016</v>
      </c>
    </row>
    <row r="44" spans="1:15">
      <c r="A44" t="s">
        <v>1393</v>
      </c>
      <c r="B44" s="7">
        <v>45649</v>
      </c>
      <c r="C44" t="s">
        <v>734</v>
      </c>
      <c r="D44" t="s">
        <v>1131</v>
      </c>
      <c r="E44" t="s">
        <v>1311</v>
      </c>
      <c r="F44" t="str">
        <f>[1]Raw_Customer_Dim!$A$2</f>
        <v>CUST1000</v>
      </c>
      <c r="G44" t="str">
        <f>_xlfn.XLOOKUP(E44,Store_Dim!A:A,Store_Dim!B:B,"Not Found")</f>
        <v>Moore, Padilla and Butler</v>
      </c>
      <c r="H44" t="str">
        <f>_xlfn.XLOOKUP(D44,Product_Dim!A:A,Product_Dim!C:C,"Not Found")</f>
        <v>Home</v>
      </c>
      <c r="I44" t="str">
        <f>_xlfn.XLOOKUP(E44,Store_Dim!A:A,Store_Dim!C:C,"Not Found")</f>
        <v>South</v>
      </c>
      <c r="J44" t="str">
        <f>_xlfn.XLOOKUP(C44,Customer_Dim!A:A,Customer_Dim!B:B,"Not Found")</f>
        <v>Jennifer Woods</v>
      </c>
      <c r="K44">
        <f>Table511[[#This Row],[Total_Amount]]/(L44*(1-Table511[[#This Row],[Discount]]))</f>
        <v>2</v>
      </c>
      <c r="L44" s="5">
        <v>915.15</v>
      </c>
      <c r="M44">
        <v>0.16</v>
      </c>
      <c r="N44" t="s">
        <v>1351</v>
      </c>
      <c r="O44" s="5">
        <v>1537.452</v>
      </c>
    </row>
    <row r="45" spans="1:15">
      <c r="A45" t="s">
        <v>1394</v>
      </c>
      <c r="B45" s="7">
        <v>45677</v>
      </c>
      <c r="C45" t="s">
        <v>222</v>
      </c>
      <c r="D45" t="s">
        <v>1139</v>
      </c>
      <c r="E45" t="s">
        <v>1332</v>
      </c>
      <c r="F45" t="str">
        <f>[1]Raw_Customer_Dim!$A$2</f>
        <v>CUST1000</v>
      </c>
      <c r="G45" t="str">
        <f>_xlfn.XLOOKUP(E45,Store_Dim!A:A,Store_Dim!B:B,"Not Found")</f>
        <v>Holloway Ltd</v>
      </c>
      <c r="H45" t="str">
        <f>_xlfn.XLOOKUP(D45,Product_Dim!A:A,Product_Dim!C:C,"Not Found")</f>
        <v>Home</v>
      </c>
      <c r="I45" t="str">
        <f>_xlfn.XLOOKUP(E45,Store_Dim!A:A,Store_Dim!C:C,"Not Found")</f>
        <v>North</v>
      </c>
      <c r="J45" t="str">
        <f>_xlfn.XLOOKUP(C45,Customer_Dim!A:A,Customer_Dim!B:B,"Not Found")</f>
        <v>Christy Hoffman</v>
      </c>
      <c r="K45">
        <f>Table511[[#This Row],[Total_Amount]]/(L45*(1-Table511[[#This Row],[Discount]]))</f>
        <v>3</v>
      </c>
      <c r="L45" s="5">
        <v>863.11</v>
      </c>
      <c r="M45">
        <v>0.28000000000000003</v>
      </c>
      <c r="N45" t="s">
        <v>1351</v>
      </c>
      <c r="O45" s="5">
        <v>1864.3176000000001</v>
      </c>
    </row>
    <row r="46" spans="1:15">
      <c r="A46" t="s">
        <v>1395</v>
      </c>
      <c r="B46" s="7">
        <v>45538</v>
      </c>
      <c r="C46" t="s">
        <v>468</v>
      </c>
      <c r="D46" t="s">
        <v>1159</v>
      </c>
      <c r="E46" t="s">
        <v>1319</v>
      </c>
      <c r="F46" t="str">
        <f>[1]Raw_Customer_Dim!$A$2</f>
        <v>CUST1000</v>
      </c>
      <c r="G46" t="str">
        <f>_xlfn.XLOOKUP(E46,Store_Dim!A:A,Store_Dim!B:B,"Not Found")</f>
        <v>Thomas, Bridges and Harris</v>
      </c>
      <c r="H46" t="str">
        <f>_xlfn.XLOOKUP(D46,Product_Dim!A:A,Product_Dim!C:C,"Not Found")</f>
        <v>Electronics</v>
      </c>
      <c r="I46" t="str">
        <f>_xlfn.XLOOKUP(E46,Store_Dim!A:A,Store_Dim!C:C,"Not Found")</f>
        <v>North</v>
      </c>
      <c r="J46" t="str">
        <f>_xlfn.XLOOKUP(C46,Customer_Dim!A:A,Customer_Dim!B:B,"Not Found")</f>
        <v>Sarah Brady</v>
      </c>
      <c r="K46">
        <f>Table511[[#This Row],[Total_Amount]]/(L46*(1-Table511[[#This Row],[Discount]]))</f>
        <v>2</v>
      </c>
      <c r="L46" s="5">
        <v>209.32</v>
      </c>
      <c r="M46">
        <v>0.23</v>
      </c>
      <c r="N46" t="s">
        <v>1354</v>
      </c>
      <c r="O46" s="5">
        <v>322.3528</v>
      </c>
    </row>
    <row r="47" spans="1:15">
      <c r="A47" t="s">
        <v>1396</v>
      </c>
      <c r="B47" s="7">
        <v>45606</v>
      </c>
      <c r="C47" t="s">
        <v>1002</v>
      </c>
      <c r="D47" t="s">
        <v>1191</v>
      </c>
      <c r="E47" t="s">
        <v>1307</v>
      </c>
      <c r="F47" t="str">
        <f>[1]Raw_Customer_Dim!$A$2</f>
        <v>CUST1000</v>
      </c>
      <c r="G47" t="str">
        <f>_xlfn.XLOOKUP(E47,Store_Dim!A:A,Store_Dim!B:B,"Not Found")</f>
        <v>Bean, Jones and Park</v>
      </c>
      <c r="H47" t="str">
        <f>_xlfn.XLOOKUP(D47,Product_Dim!A:A,Product_Dim!C:C,"Not Found")</f>
        <v>Beauty</v>
      </c>
      <c r="I47" t="str">
        <f>_xlfn.XLOOKUP(E47,Store_Dim!A:A,Store_Dim!C:C,"Not Found")</f>
        <v>West</v>
      </c>
      <c r="J47" t="str">
        <f>_xlfn.XLOOKUP(C47,Customer_Dim!A:A,Customer_Dim!B:B,"Not Found")</f>
        <v>Manuel Fisher</v>
      </c>
      <c r="K47">
        <f>Table511[[#This Row],[Total_Amount]]/(L47*(1-Table511[[#This Row],[Discount]]))</f>
        <v>3.9999999999999991</v>
      </c>
      <c r="L47" s="5">
        <v>288.60000000000002</v>
      </c>
      <c r="M47">
        <v>0.09</v>
      </c>
      <c r="N47" t="s">
        <v>1351</v>
      </c>
      <c r="O47" s="5">
        <v>1050.5039999999999</v>
      </c>
    </row>
    <row r="48" spans="1:15">
      <c r="A48" t="s">
        <v>1397</v>
      </c>
      <c r="B48" s="7">
        <v>45570</v>
      </c>
      <c r="C48" t="s">
        <v>190</v>
      </c>
      <c r="D48" t="s">
        <v>1229</v>
      </c>
      <c r="E48" t="s">
        <v>1329</v>
      </c>
      <c r="F48" t="str">
        <f>[1]Raw_Customer_Dim!$A$2</f>
        <v>CUST1000</v>
      </c>
      <c r="G48" t="str">
        <f>_xlfn.XLOOKUP(E48,Store_Dim!A:A,Store_Dim!B:B,"Not Found")</f>
        <v>Frederick-Wright</v>
      </c>
      <c r="H48" t="str">
        <f>_xlfn.XLOOKUP(D48,Product_Dim!A:A,Product_Dim!C:C,"Not Found")</f>
        <v>Home</v>
      </c>
      <c r="I48" t="str">
        <f>_xlfn.XLOOKUP(E48,Store_Dim!A:A,Store_Dim!C:C,"Not Found")</f>
        <v>West</v>
      </c>
      <c r="J48" t="str">
        <f>_xlfn.XLOOKUP(C48,Customer_Dim!A:A,Customer_Dim!B:B,"Not Found")</f>
        <v>Eric Singh</v>
      </c>
      <c r="K48">
        <f>Table511[[#This Row],[Total_Amount]]/(L48*(1-Table511[[#This Row],[Discount]]))</f>
        <v>1</v>
      </c>
      <c r="L48" s="5">
        <v>418.69</v>
      </c>
      <c r="M48">
        <v>0.06</v>
      </c>
      <c r="N48" t="s">
        <v>1351</v>
      </c>
      <c r="O48" s="5">
        <v>393.5686</v>
      </c>
    </row>
    <row r="49" spans="1:15">
      <c r="A49" t="s">
        <v>1398</v>
      </c>
      <c r="B49" s="7">
        <v>45466</v>
      </c>
      <c r="C49" t="s">
        <v>36</v>
      </c>
      <c r="D49" t="s">
        <v>1133</v>
      </c>
      <c r="E49" t="s">
        <v>1317</v>
      </c>
      <c r="F49" t="str">
        <f>[1]Raw_Customer_Dim!$A$2</f>
        <v>CUST1000</v>
      </c>
      <c r="G49" t="str">
        <f>_xlfn.XLOOKUP(E49,Store_Dim!A:A,Store_Dim!B:B,"Not Found")</f>
        <v>Aguirre-Keller</v>
      </c>
      <c r="H49" t="str">
        <f>_xlfn.XLOOKUP(D49,Product_Dim!A:A,Product_Dim!C:C,"Not Found")</f>
        <v>Home</v>
      </c>
      <c r="I49" t="str">
        <f>_xlfn.XLOOKUP(E49,Store_Dim!A:A,Store_Dim!C:C,"Not Found")</f>
        <v>South</v>
      </c>
      <c r="J49" t="str">
        <f>_xlfn.XLOOKUP(C49,Customer_Dim!A:A,Customer_Dim!B:B,"Not Found")</f>
        <v>Melissa Howard</v>
      </c>
      <c r="K49">
        <f>Table511[[#This Row],[Total_Amount]]/(L49*(1-Table511[[#This Row],[Discount]]))</f>
        <v>1</v>
      </c>
      <c r="L49" s="5">
        <v>135.78</v>
      </c>
      <c r="M49">
        <v>0.14000000000000001</v>
      </c>
      <c r="N49" t="s">
        <v>1351</v>
      </c>
      <c r="O49" s="5">
        <v>116.77079999999999</v>
      </c>
    </row>
    <row r="50" spans="1:15">
      <c r="A50" t="s">
        <v>1399</v>
      </c>
      <c r="B50" s="7">
        <v>45218</v>
      </c>
      <c r="C50" t="s">
        <v>468</v>
      </c>
      <c r="D50" t="s">
        <v>1161</v>
      </c>
      <c r="E50" t="s">
        <v>1332</v>
      </c>
      <c r="F50" t="str">
        <f>[1]Raw_Customer_Dim!$A$2</f>
        <v>CUST1000</v>
      </c>
      <c r="G50" t="str">
        <f>_xlfn.XLOOKUP(E50,Store_Dim!A:A,Store_Dim!B:B,"Not Found")</f>
        <v>Holloway Ltd</v>
      </c>
      <c r="H50" t="str">
        <f>_xlfn.XLOOKUP(D50,Product_Dim!A:A,Product_Dim!C:C,"Not Found")</f>
        <v>Sports</v>
      </c>
      <c r="I50" t="str">
        <f>_xlfn.XLOOKUP(E50,Store_Dim!A:A,Store_Dim!C:C,"Not Found")</f>
        <v>North</v>
      </c>
      <c r="J50" t="str">
        <f>_xlfn.XLOOKUP(C50,Customer_Dim!A:A,Customer_Dim!B:B,"Not Found")</f>
        <v>Sarah Brady</v>
      </c>
      <c r="K50">
        <f>Table511[[#This Row],[Total_Amount]]/(L50*(1-Table511[[#This Row],[Discount]]))</f>
        <v>1</v>
      </c>
      <c r="L50" s="5">
        <v>517.13</v>
      </c>
      <c r="M50">
        <v>0.28000000000000003</v>
      </c>
      <c r="N50" t="s">
        <v>1349</v>
      </c>
      <c r="O50" s="5">
        <v>372.33359999999999</v>
      </c>
    </row>
    <row r="51" spans="1:15">
      <c r="A51" t="s">
        <v>1400</v>
      </c>
      <c r="B51" s="7">
        <v>45607</v>
      </c>
      <c r="C51" t="s">
        <v>903</v>
      </c>
      <c r="D51" t="s">
        <v>1115</v>
      </c>
      <c r="E51" t="s">
        <v>1329</v>
      </c>
      <c r="F51" t="str">
        <f>[1]Raw_Customer_Dim!$A$2</f>
        <v>CUST1000</v>
      </c>
      <c r="G51" t="str">
        <f>_xlfn.XLOOKUP(E51,Store_Dim!A:A,Store_Dim!B:B,"Not Found")</f>
        <v>Frederick-Wright</v>
      </c>
      <c r="H51" t="str">
        <f>_xlfn.XLOOKUP(D51,Product_Dim!A:A,Product_Dim!C:C,"Not Found")</f>
        <v>Home</v>
      </c>
      <c r="I51" t="str">
        <f>_xlfn.XLOOKUP(E51,Store_Dim!A:A,Store_Dim!C:C,"Not Found")</f>
        <v>West</v>
      </c>
      <c r="J51" t="str">
        <f>_xlfn.XLOOKUP(C51,Customer_Dim!A:A,Customer_Dim!B:B,"Not Found")</f>
        <v>Dr. Tamara White MD</v>
      </c>
      <c r="K51">
        <f>Table511[[#This Row],[Total_Amount]]/(L51*(1-Table511[[#This Row],[Discount]]))</f>
        <v>2</v>
      </c>
      <c r="L51" s="5">
        <v>384.66</v>
      </c>
      <c r="M51">
        <v>0.08</v>
      </c>
      <c r="N51" t="s">
        <v>1354</v>
      </c>
      <c r="O51" s="5">
        <v>707.77440000000013</v>
      </c>
    </row>
    <row r="52" spans="1:15">
      <c r="A52" t="s">
        <v>1401</v>
      </c>
      <c r="B52" s="7">
        <v>45291</v>
      </c>
      <c r="C52" t="s">
        <v>190</v>
      </c>
      <c r="D52" t="s">
        <v>1177</v>
      </c>
      <c r="E52" t="s">
        <v>1311</v>
      </c>
      <c r="F52" t="str">
        <f>[1]Raw_Customer_Dim!$A$2</f>
        <v>CUST1000</v>
      </c>
      <c r="G52" t="str">
        <f>_xlfn.XLOOKUP(E52,Store_Dim!A:A,Store_Dim!B:B,"Not Found")</f>
        <v>Moore, Padilla and Butler</v>
      </c>
      <c r="H52" t="str">
        <f>_xlfn.XLOOKUP(D52,Product_Dim!A:A,Product_Dim!C:C,"Not Found")</f>
        <v>Sports</v>
      </c>
      <c r="I52" t="str">
        <f>_xlfn.XLOOKUP(E52,Store_Dim!A:A,Store_Dim!C:C,"Not Found")</f>
        <v>South</v>
      </c>
      <c r="J52" t="str">
        <f>_xlfn.XLOOKUP(C52,Customer_Dim!A:A,Customer_Dim!B:B,"Not Found")</f>
        <v>Eric Singh</v>
      </c>
      <c r="K52">
        <f>Table511[[#This Row],[Total_Amount]]/(L52*(1-Table511[[#This Row],[Discount]]))</f>
        <v>3</v>
      </c>
      <c r="L52" s="5">
        <v>83.7</v>
      </c>
      <c r="M52">
        <v>0.24</v>
      </c>
      <c r="N52" t="s">
        <v>1351</v>
      </c>
      <c r="O52" s="5">
        <v>190.83600000000001</v>
      </c>
    </row>
    <row r="53" spans="1:15">
      <c r="A53" t="s">
        <v>1402</v>
      </c>
      <c r="B53" s="7">
        <v>45689</v>
      </c>
      <c r="C53" t="s">
        <v>345</v>
      </c>
      <c r="D53" t="s">
        <v>1211</v>
      </c>
      <c r="E53" t="s">
        <v>1304</v>
      </c>
      <c r="F53" t="str">
        <f>[1]Raw_Customer_Dim!$A$2</f>
        <v>CUST1000</v>
      </c>
      <c r="G53" t="str">
        <f>_xlfn.XLOOKUP(E53,Store_Dim!A:A,Store_Dim!B:B,"Not Found")</f>
        <v>Martinez-Mullins</v>
      </c>
      <c r="H53" t="str">
        <f>_xlfn.XLOOKUP(D53,Product_Dim!A:A,Product_Dim!C:C,"Not Found")</f>
        <v>Clothing</v>
      </c>
      <c r="I53" t="str">
        <f>_xlfn.XLOOKUP(E53,Store_Dim!A:A,Store_Dim!C:C,"Not Found")</f>
        <v>South</v>
      </c>
      <c r="J53" t="str">
        <f>_xlfn.XLOOKUP(C53,Customer_Dim!A:A,Customer_Dim!B:B,"Not Found")</f>
        <v>Maria Ramirez</v>
      </c>
      <c r="K53">
        <f>Table511[[#This Row],[Total_Amount]]/(L53*(1-Table511[[#This Row],[Discount]]))</f>
        <v>3.0000000000000004</v>
      </c>
      <c r="L53" s="5">
        <v>76.569999999999993</v>
      </c>
      <c r="M53">
        <v>0.26</v>
      </c>
      <c r="N53" t="s">
        <v>1349</v>
      </c>
      <c r="O53" s="5">
        <v>169.9854</v>
      </c>
    </row>
    <row r="54" spans="1:15">
      <c r="A54" t="s">
        <v>1403</v>
      </c>
      <c r="B54" s="7">
        <v>45894</v>
      </c>
      <c r="C54" t="s">
        <v>357</v>
      </c>
      <c r="D54" t="s">
        <v>1251</v>
      </c>
      <c r="E54" t="s">
        <v>1301</v>
      </c>
      <c r="F54" t="str">
        <f>[1]Raw_Customer_Dim!$A$2</f>
        <v>CUST1000</v>
      </c>
      <c r="G54" t="str">
        <f>_xlfn.XLOOKUP(E54,Store_Dim!A:A,Store_Dim!B:B,"Not Found")</f>
        <v>Benson-Elliott</v>
      </c>
      <c r="H54" t="str">
        <f>_xlfn.XLOOKUP(D54,Product_Dim!A:A,Product_Dim!C:C,"Not Found")</f>
        <v>Beauty</v>
      </c>
      <c r="I54" t="str">
        <f>_xlfn.XLOOKUP(E54,Store_Dim!A:A,Store_Dim!C:C,"Not Found")</f>
        <v>East</v>
      </c>
      <c r="J54" t="str">
        <f>_xlfn.XLOOKUP(C54,Customer_Dim!A:A,Customer_Dim!B:B,"Not Found")</f>
        <v>Theresa Campbell</v>
      </c>
      <c r="K54" t="s">
        <v>3492</v>
      </c>
      <c r="L54" s="5" t="s">
        <v>3491</v>
      </c>
      <c r="M54" t="s">
        <v>3491</v>
      </c>
      <c r="N54" t="s">
        <v>1349</v>
      </c>
      <c r="O54" s="5">
        <v>486.06330000000003</v>
      </c>
    </row>
    <row r="55" spans="1:15">
      <c r="A55" t="s">
        <v>1404</v>
      </c>
      <c r="B55" s="7">
        <v>45677</v>
      </c>
      <c r="C55" t="s">
        <v>712</v>
      </c>
      <c r="D55" t="s">
        <v>1113</v>
      </c>
      <c r="E55" t="s">
        <v>1307</v>
      </c>
      <c r="F55" t="str">
        <f>[1]Raw_Customer_Dim!$A$2</f>
        <v>CUST1000</v>
      </c>
      <c r="G55" t="str">
        <f>_xlfn.XLOOKUP(E55,Store_Dim!A:A,Store_Dim!B:B,"Not Found")</f>
        <v>Bean, Jones and Park</v>
      </c>
      <c r="H55" t="str">
        <f>_xlfn.XLOOKUP(D55,Product_Dim!A:A,Product_Dim!C:C,"Not Found")</f>
        <v>Sports</v>
      </c>
      <c r="I55" t="str">
        <f>_xlfn.XLOOKUP(E55,Store_Dim!A:A,Store_Dim!C:C,"Not Found")</f>
        <v>West</v>
      </c>
      <c r="J55" t="str">
        <f>_xlfn.XLOOKUP(C55,Customer_Dim!A:A,Customer_Dim!B:B,"Not Found")</f>
        <v>Alex Mann II</v>
      </c>
      <c r="K55">
        <f>Table511[[#This Row],[Total_Amount]]/(L55*(1-Table511[[#This Row],[Discount]]))</f>
        <v>1</v>
      </c>
      <c r="L55" s="5">
        <v>900.35</v>
      </c>
      <c r="M55">
        <v>0.13</v>
      </c>
      <c r="N55" t="s">
        <v>1354</v>
      </c>
      <c r="O55" s="5">
        <v>783.30449999999996</v>
      </c>
    </row>
    <row r="56" spans="1:15">
      <c r="A56" t="s">
        <v>1405</v>
      </c>
      <c r="B56" s="7">
        <v>45706</v>
      </c>
      <c r="C56" t="s">
        <v>248</v>
      </c>
      <c r="D56" t="s">
        <v>1153</v>
      </c>
      <c r="E56" t="s">
        <v>1314</v>
      </c>
      <c r="F56" t="str">
        <f>[1]Raw_Customer_Dim!$A$2</f>
        <v>CUST1000</v>
      </c>
      <c r="G56" t="str">
        <f>_xlfn.XLOOKUP(E56,Store_Dim!A:A,Store_Dim!B:B,"Not Found")</f>
        <v>Hill, Wagner and Ballard</v>
      </c>
      <c r="H56" t="str">
        <f>_xlfn.XLOOKUP(D56,Product_Dim!A:A,Product_Dim!C:C,"Not Found")</f>
        <v>Electronics</v>
      </c>
      <c r="I56" t="str">
        <f>_xlfn.XLOOKUP(E56,Store_Dim!A:A,Store_Dim!C:C,"Not Found")</f>
        <v>East</v>
      </c>
      <c r="J56" t="str">
        <f>_xlfn.XLOOKUP(C56,Customer_Dim!A:A,Customer_Dim!B:B,"Not Found")</f>
        <v>Amy Fowler</v>
      </c>
      <c r="K56">
        <f>Table511[[#This Row],[Total_Amount]]/(L56*(1-Table511[[#This Row],[Discount]]))</f>
        <v>4.0000000000000009</v>
      </c>
      <c r="L56" s="5">
        <v>428.09</v>
      </c>
      <c r="M56">
        <v>7.0000000000000007E-2</v>
      </c>
      <c r="N56" t="s">
        <v>1349</v>
      </c>
      <c r="O56" s="5">
        <v>1592.4947999999999</v>
      </c>
    </row>
    <row r="57" spans="1:15">
      <c r="A57" t="s">
        <v>1406</v>
      </c>
      <c r="B57" s="7">
        <v>45589</v>
      </c>
      <c r="C57" t="s">
        <v>895</v>
      </c>
      <c r="D57" t="s">
        <v>1171</v>
      </c>
      <c r="E57" t="s">
        <v>1317</v>
      </c>
      <c r="F57" t="str">
        <f>[1]Raw_Customer_Dim!$A$2</f>
        <v>CUST1000</v>
      </c>
      <c r="G57" t="str">
        <f>_xlfn.XLOOKUP(E57,Store_Dim!A:A,Store_Dim!B:B,"Not Found")</f>
        <v>Aguirre-Keller</v>
      </c>
      <c r="H57" t="str">
        <f>_xlfn.XLOOKUP(D57,Product_Dim!A:A,Product_Dim!C:C,"Not Found")</f>
        <v>Beauty</v>
      </c>
      <c r="I57" t="str">
        <f>_xlfn.XLOOKUP(E57,Store_Dim!A:A,Store_Dim!C:C,"Not Found")</f>
        <v>South</v>
      </c>
      <c r="J57" t="str">
        <f>_xlfn.XLOOKUP(C57,Customer_Dim!A:A,Customer_Dim!B:B,"Not Found")</f>
        <v>Jennifer Myers</v>
      </c>
      <c r="K57">
        <f>Table511[[#This Row],[Total_Amount]]/(L57*(1-Table511[[#This Row],[Discount]]))</f>
        <v>2</v>
      </c>
      <c r="L57" s="5">
        <v>559.71</v>
      </c>
      <c r="M57">
        <v>0.3</v>
      </c>
      <c r="N57" t="s">
        <v>1354</v>
      </c>
      <c r="O57" s="5">
        <v>783.59400000000005</v>
      </c>
    </row>
    <row r="58" spans="1:15">
      <c r="A58" t="s">
        <v>1407</v>
      </c>
      <c r="B58" s="7">
        <v>45282</v>
      </c>
      <c r="C58" t="s">
        <v>214</v>
      </c>
      <c r="D58" t="s">
        <v>1141</v>
      </c>
      <c r="E58" t="s">
        <v>1301</v>
      </c>
      <c r="F58" t="str">
        <f>[1]Raw_Customer_Dim!$A$2</f>
        <v>CUST1000</v>
      </c>
      <c r="G58" t="str">
        <f>_xlfn.XLOOKUP(E58,Store_Dim!A:A,Store_Dim!B:B,"Not Found")</f>
        <v>Benson-Elliott</v>
      </c>
      <c r="H58" t="str">
        <f>_xlfn.XLOOKUP(D58,Product_Dim!A:A,Product_Dim!C:C,"Not Found")</f>
        <v>Electronics</v>
      </c>
      <c r="I58" t="str">
        <f>_xlfn.XLOOKUP(E58,Store_Dim!A:A,Store_Dim!C:C,"Not Found")</f>
        <v>East</v>
      </c>
      <c r="J58" t="str">
        <f>_xlfn.XLOOKUP(C58,Customer_Dim!A:A,Customer_Dim!B:B,"Not Found")</f>
        <v>Jennifer Garcia</v>
      </c>
      <c r="K58">
        <f>Table511[[#This Row],[Total_Amount]]/(L58*(1-Table511[[#This Row],[Discount]]))</f>
        <v>2</v>
      </c>
      <c r="L58" s="5">
        <v>833.7</v>
      </c>
      <c r="M58">
        <v>0.06</v>
      </c>
      <c r="N58" t="s">
        <v>1351</v>
      </c>
      <c r="O58" s="5">
        <v>1567.356</v>
      </c>
    </row>
    <row r="59" spans="1:15">
      <c r="A59" t="s">
        <v>1408</v>
      </c>
      <c r="B59" s="7">
        <v>45462</v>
      </c>
      <c r="C59" t="s">
        <v>996</v>
      </c>
      <c r="D59" t="s">
        <v>1167</v>
      </c>
      <c r="E59" t="s">
        <v>1324</v>
      </c>
      <c r="F59" t="str">
        <f>[1]Raw_Customer_Dim!$A$2</f>
        <v>CUST1000</v>
      </c>
      <c r="G59" t="str">
        <f>_xlfn.XLOOKUP(E59,Store_Dim!A:A,Store_Dim!B:B,"Not Found")</f>
        <v>Mcdonald Inc</v>
      </c>
      <c r="H59" t="str">
        <f>_xlfn.XLOOKUP(D59,Product_Dim!A:A,Product_Dim!C:C,"Not Found")</f>
        <v>Beauty</v>
      </c>
      <c r="I59" t="str">
        <f>_xlfn.XLOOKUP(E59,Store_Dim!A:A,Store_Dim!C:C,"Not Found")</f>
        <v>South</v>
      </c>
      <c r="J59" t="str">
        <f>_xlfn.XLOOKUP(C59,Customer_Dim!A:A,Customer_Dim!B:B,"Not Found")</f>
        <v>Michael Foley</v>
      </c>
      <c r="K59">
        <f>Table511[[#This Row],[Total_Amount]]/(L59*(1-Table511[[#This Row],[Discount]]))</f>
        <v>2</v>
      </c>
      <c r="L59" s="5">
        <v>680.16</v>
      </c>
      <c r="M59">
        <v>0.28000000000000003</v>
      </c>
      <c r="N59" t="s">
        <v>1349</v>
      </c>
      <c r="O59" s="5">
        <v>979.43039999999996</v>
      </c>
    </row>
    <row r="60" spans="1:15">
      <c r="A60" t="s">
        <v>1409</v>
      </c>
      <c r="B60" s="7">
        <v>45633</v>
      </c>
      <c r="C60" t="s">
        <v>871</v>
      </c>
      <c r="D60" t="s">
        <v>1103</v>
      </c>
      <c r="E60" t="s">
        <v>1304</v>
      </c>
      <c r="F60" t="str">
        <f>[1]Raw_Customer_Dim!$A$2</f>
        <v>CUST1000</v>
      </c>
      <c r="G60" t="str">
        <f>_xlfn.XLOOKUP(E60,Store_Dim!A:A,Store_Dim!B:B,"Not Found")</f>
        <v>Martinez-Mullins</v>
      </c>
      <c r="H60" t="str">
        <f>_xlfn.XLOOKUP(D60,Product_Dim!A:A,Product_Dim!C:C,"Not Found")</f>
        <v>Electronics</v>
      </c>
      <c r="I60" t="str">
        <f>_xlfn.XLOOKUP(E60,Store_Dim!A:A,Store_Dim!C:C,"Not Found")</f>
        <v>South</v>
      </c>
      <c r="J60" t="str">
        <f>_xlfn.XLOOKUP(C60,Customer_Dim!A:A,Customer_Dim!B:B,"Not Found")</f>
        <v>David Ross</v>
      </c>
      <c r="K60" t="s">
        <v>3492</v>
      </c>
      <c r="L60" s="5">
        <v>733.42</v>
      </c>
      <c r="M60" t="s">
        <v>3491</v>
      </c>
      <c r="N60" t="s">
        <v>1351</v>
      </c>
      <c r="O60" s="5">
        <v>2552.3015999999998</v>
      </c>
    </row>
    <row r="61" spans="1:15">
      <c r="A61" t="s">
        <v>1410</v>
      </c>
      <c r="B61" s="7">
        <v>45257</v>
      </c>
      <c r="C61" t="s">
        <v>797</v>
      </c>
      <c r="D61" t="s">
        <v>1251</v>
      </c>
      <c r="E61" t="s">
        <v>1317</v>
      </c>
      <c r="F61" t="str">
        <f>[1]Raw_Customer_Dim!$A$2</f>
        <v>CUST1000</v>
      </c>
      <c r="G61" t="str">
        <f>_xlfn.XLOOKUP(E61,Store_Dim!A:A,Store_Dim!B:B,"Not Found")</f>
        <v>Aguirre-Keller</v>
      </c>
      <c r="H61" t="str">
        <f>_xlfn.XLOOKUP(D61,Product_Dim!A:A,Product_Dim!C:C,"Not Found")</f>
        <v>Beauty</v>
      </c>
      <c r="I61" t="str">
        <f>_xlfn.XLOOKUP(E61,Store_Dim!A:A,Store_Dim!C:C,"Not Found")</f>
        <v>South</v>
      </c>
      <c r="J61" t="str">
        <f>_xlfn.XLOOKUP(C61,Customer_Dim!A:A,Customer_Dim!B:B,"Not Found")</f>
        <v>Melinda Johnson</v>
      </c>
      <c r="K61">
        <f>Table511[[#This Row],[Total_Amount]]/(L61*(1-Table511[[#This Row],[Discount]]))</f>
        <v>1</v>
      </c>
      <c r="L61" s="5">
        <v>996.33</v>
      </c>
      <c r="M61">
        <v>0.23</v>
      </c>
      <c r="N61" t="s">
        <v>1351</v>
      </c>
      <c r="O61" s="5">
        <v>767.17410000000007</v>
      </c>
    </row>
    <row r="62" spans="1:15">
      <c r="A62" t="s">
        <v>1411</v>
      </c>
      <c r="B62" s="7">
        <v>45854</v>
      </c>
      <c r="C62" t="s">
        <v>879</v>
      </c>
      <c r="D62" t="s">
        <v>1135</v>
      </c>
      <c r="E62" t="s">
        <v>1314</v>
      </c>
      <c r="F62" t="str">
        <f>[1]Raw_Customer_Dim!$A$2</f>
        <v>CUST1000</v>
      </c>
      <c r="G62" t="str">
        <f>_xlfn.XLOOKUP(E62,Store_Dim!A:A,Store_Dim!B:B,"Not Found")</f>
        <v>Hill, Wagner and Ballard</v>
      </c>
      <c r="H62" t="str">
        <f>_xlfn.XLOOKUP(D62,Product_Dim!A:A,Product_Dim!C:C,"Not Found")</f>
        <v>Sports</v>
      </c>
      <c r="I62" t="str">
        <f>_xlfn.XLOOKUP(E62,Store_Dim!A:A,Store_Dim!C:C,"Not Found")</f>
        <v>East</v>
      </c>
      <c r="J62" t="str">
        <f>_xlfn.XLOOKUP(C62,Customer_Dim!A:A,Customer_Dim!B:B,"Not Found")</f>
        <v>Isabel Foster</v>
      </c>
      <c r="K62">
        <f>Table511[[#This Row],[Total_Amount]]/(L62*(1-Table511[[#This Row],[Discount]]))</f>
        <v>1</v>
      </c>
      <c r="L62" s="5">
        <v>198.83</v>
      </c>
      <c r="M62">
        <v>0.09</v>
      </c>
      <c r="N62" t="s">
        <v>1354</v>
      </c>
      <c r="O62" s="5">
        <v>180.93530000000001</v>
      </c>
    </row>
    <row r="63" spans="1:15">
      <c r="A63" t="s">
        <v>1412</v>
      </c>
      <c r="B63" s="7">
        <v>45716</v>
      </c>
      <c r="C63" t="s">
        <v>541</v>
      </c>
      <c r="D63" t="s">
        <v>1111</v>
      </c>
      <c r="E63" t="s">
        <v>1304</v>
      </c>
      <c r="F63" t="str">
        <f>[1]Raw_Customer_Dim!$A$2</f>
        <v>CUST1000</v>
      </c>
      <c r="G63" t="str">
        <f>_xlfn.XLOOKUP(E63,Store_Dim!A:A,Store_Dim!B:B,"Not Found")</f>
        <v>Martinez-Mullins</v>
      </c>
      <c r="H63" t="str">
        <f>_xlfn.XLOOKUP(D63,Product_Dim!A:A,Product_Dim!C:C,"Not Found")</f>
        <v>Sports</v>
      </c>
      <c r="I63" t="str">
        <f>_xlfn.XLOOKUP(E63,Store_Dim!A:A,Store_Dim!C:C,"Not Found")</f>
        <v>South</v>
      </c>
      <c r="J63" t="str">
        <f>_xlfn.XLOOKUP(C63,Customer_Dim!A:A,Customer_Dim!B:B,"Not Found")</f>
        <v>Maria Hill</v>
      </c>
      <c r="K63">
        <f>Table511[[#This Row],[Total_Amount]]/(L63*(1-Table511[[#This Row],[Discount]]))</f>
        <v>0.99999999999999978</v>
      </c>
      <c r="L63" s="5">
        <v>374.92</v>
      </c>
      <c r="M63">
        <v>0.18</v>
      </c>
      <c r="N63" t="s">
        <v>1351</v>
      </c>
      <c r="O63" s="5">
        <v>307.43439999999998</v>
      </c>
    </row>
    <row r="64" spans="1:15">
      <c r="A64" t="s">
        <v>1413</v>
      </c>
      <c r="B64" s="7">
        <v>45515</v>
      </c>
      <c r="C64" t="s">
        <v>990</v>
      </c>
      <c r="D64" t="s">
        <v>1259</v>
      </c>
      <c r="E64" t="s">
        <v>1329</v>
      </c>
      <c r="F64" t="str">
        <f>[1]Raw_Customer_Dim!$A$2</f>
        <v>CUST1000</v>
      </c>
      <c r="G64" t="str">
        <f>_xlfn.XLOOKUP(E64,Store_Dim!A:A,Store_Dim!B:B,"Not Found")</f>
        <v>Frederick-Wright</v>
      </c>
      <c r="H64" t="str">
        <f>_xlfn.XLOOKUP(D64,Product_Dim!A:A,Product_Dim!C:C,"Not Found")</f>
        <v>Electronics</v>
      </c>
      <c r="I64" t="str">
        <f>_xlfn.XLOOKUP(E64,Store_Dim!A:A,Store_Dim!C:C,"Not Found")</f>
        <v>West</v>
      </c>
      <c r="J64" t="str">
        <f>_xlfn.XLOOKUP(C64,Customer_Dim!A:A,Customer_Dim!B:B,"Not Found")</f>
        <v>Not Found</v>
      </c>
      <c r="K64">
        <f>Table511[[#This Row],[Total_Amount]]/(L64*(1-Table511[[#This Row],[Discount]]))</f>
        <v>1</v>
      </c>
      <c r="L64" s="5">
        <v>468.94</v>
      </c>
      <c r="M64">
        <v>0.12</v>
      </c>
      <c r="N64" t="s">
        <v>1349</v>
      </c>
      <c r="O64" s="5">
        <v>412.66719999999998</v>
      </c>
    </row>
    <row r="65" spans="1:15">
      <c r="A65" t="s">
        <v>1414</v>
      </c>
      <c r="B65" s="7">
        <v>45927</v>
      </c>
      <c r="C65" t="s">
        <v>313</v>
      </c>
      <c r="D65" t="s">
        <v>1251</v>
      </c>
      <c r="E65" t="s">
        <v>1319</v>
      </c>
      <c r="F65" t="str">
        <f>[1]Raw_Customer_Dim!$A$2</f>
        <v>CUST1000</v>
      </c>
      <c r="G65" t="str">
        <f>_xlfn.XLOOKUP(E65,Store_Dim!A:A,Store_Dim!B:B,"Not Found")</f>
        <v>Thomas, Bridges and Harris</v>
      </c>
      <c r="H65" t="str">
        <f>_xlfn.XLOOKUP(D65,Product_Dim!A:A,Product_Dim!C:C,"Not Found")</f>
        <v>Beauty</v>
      </c>
      <c r="I65" t="str">
        <f>_xlfn.XLOOKUP(E65,Store_Dim!A:A,Store_Dim!C:C,"Not Found")</f>
        <v>North</v>
      </c>
      <c r="J65" t="str">
        <f>_xlfn.XLOOKUP(C65,Customer_Dim!A:A,Customer_Dim!B:B,"Not Found")</f>
        <v>James Wolfe</v>
      </c>
      <c r="K65">
        <f>Table511[[#This Row],[Total_Amount]]/(L65*(1-Table511[[#This Row],[Discount]]))</f>
        <v>2</v>
      </c>
      <c r="L65" s="5">
        <v>121.37</v>
      </c>
      <c r="M65">
        <v>0.05</v>
      </c>
      <c r="N65" t="s">
        <v>1349</v>
      </c>
      <c r="O65" s="5">
        <v>230.60300000000001</v>
      </c>
    </row>
    <row r="66" spans="1:15">
      <c r="A66" t="s">
        <v>1415</v>
      </c>
      <c r="B66" s="7">
        <v>45914</v>
      </c>
      <c r="C66" t="s">
        <v>573</v>
      </c>
      <c r="D66" t="s">
        <v>1179</v>
      </c>
      <c r="E66" t="s">
        <v>1314</v>
      </c>
      <c r="F66" t="str">
        <f>[1]Raw_Customer_Dim!$A$2</f>
        <v>CUST1000</v>
      </c>
      <c r="G66" t="str">
        <f>_xlfn.XLOOKUP(E66,Store_Dim!A:A,Store_Dim!B:B,"Not Found")</f>
        <v>Hill, Wagner and Ballard</v>
      </c>
      <c r="H66" t="str">
        <f>_xlfn.XLOOKUP(D66,Product_Dim!A:A,Product_Dim!C:C,"Not Found")</f>
        <v>Clothing</v>
      </c>
      <c r="I66" t="str">
        <f>_xlfn.XLOOKUP(E66,Store_Dim!A:A,Store_Dim!C:C,"Not Found")</f>
        <v>East</v>
      </c>
      <c r="J66" t="str">
        <f>_xlfn.XLOOKUP(C66,Customer_Dim!A:A,Customer_Dim!B:B,"Not Found")</f>
        <v>Damon Perez</v>
      </c>
      <c r="K66">
        <f>Table511[[#This Row],[Total_Amount]]/(L66*(1-Table511[[#This Row],[Discount]]))</f>
        <v>0</v>
      </c>
      <c r="L66" s="5">
        <v>480.06</v>
      </c>
      <c r="M66">
        <v>0.01</v>
      </c>
      <c r="N66" t="s">
        <v>1349</v>
      </c>
    </row>
    <row r="67" spans="1:15">
      <c r="A67" t="s">
        <v>1416</v>
      </c>
      <c r="B67" s="7">
        <v>45290</v>
      </c>
      <c r="C67" t="s">
        <v>385</v>
      </c>
      <c r="D67" t="s">
        <v>1271</v>
      </c>
      <c r="E67" t="s">
        <v>1332</v>
      </c>
      <c r="F67" t="str">
        <f>[1]Raw_Customer_Dim!$A$2</f>
        <v>CUST1000</v>
      </c>
      <c r="G67" t="str">
        <f>_xlfn.XLOOKUP(E67,Store_Dim!A:A,Store_Dim!B:B,"Not Found")</f>
        <v>Holloway Ltd</v>
      </c>
      <c r="H67" t="str">
        <f>_xlfn.XLOOKUP(D67,Product_Dim!A:A,Product_Dim!C:C,"Not Found")</f>
        <v>Home</v>
      </c>
      <c r="I67" t="str">
        <f>_xlfn.XLOOKUP(E67,Store_Dim!A:A,Store_Dim!C:C,"Not Found")</f>
        <v>North</v>
      </c>
      <c r="J67" t="str">
        <f>_xlfn.XLOOKUP(C67,Customer_Dim!A:A,Customer_Dim!B:B,"Not Found")</f>
        <v>Mariah Brown</v>
      </c>
      <c r="K67">
        <f>Table511[[#This Row],[Total_Amount]]/(L67*(1-Table511[[#This Row],[Discount]]))</f>
        <v>2</v>
      </c>
      <c r="L67" s="5">
        <v>856.57</v>
      </c>
      <c r="M67">
        <v>0.24</v>
      </c>
      <c r="N67" t="s">
        <v>1349</v>
      </c>
      <c r="O67" s="5">
        <v>1301.9864</v>
      </c>
    </row>
    <row r="68" spans="1:15">
      <c r="A68" t="s">
        <v>1417</v>
      </c>
      <c r="B68" s="7">
        <v>45213</v>
      </c>
      <c r="C68" t="s">
        <v>602</v>
      </c>
      <c r="D68" t="s">
        <v>1227</v>
      </c>
      <c r="E68" t="s">
        <v>1286</v>
      </c>
      <c r="F68" t="str">
        <f>[1]Raw_Customer_Dim!$A$2</f>
        <v>CUST1000</v>
      </c>
      <c r="G68" t="str">
        <f>_xlfn.XLOOKUP(E68,Store_Dim!A:A,Store_Dim!B:B,"Not Found")</f>
        <v>Black-Horn</v>
      </c>
      <c r="H68" t="str">
        <f>_xlfn.XLOOKUP(D68,Product_Dim!A:A,Product_Dim!C:C,"Not Found")</f>
        <v>Electronics</v>
      </c>
      <c r="I68" t="str">
        <f>_xlfn.XLOOKUP(E68,Store_Dim!A:A,Store_Dim!C:C,"Not Found")</f>
        <v>South</v>
      </c>
      <c r="J68" t="str">
        <f>_xlfn.XLOOKUP(C68,Customer_Dim!A:A,Customer_Dim!B:B,"Not Found")</f>
        <v>Tyrone Olson</v>
      </c>
      <c r="K68">
        <f>Table511[[#This Row],[Total_Amount]]/(L68*(1-Table511[[#This Row],[Discount]]))</f>
        <v>3.9999999999999991</v>
      </c>
      <c r="L68" s="5">
        <v>814.25</v>
      </c>
      <c r="M68">
        <v>0.18</v>
      </c>
      <c r="N68" t="s">
        <v>1349</v>
      </c>
      <c r="O68" s="5">
        <v>2670.74</v>
      </c>
    </row>
    <row r="69" spans="1:15">
      <c r="A69" t="s">
        <v>1418</v>
      </c>
      <c r="B69" s="7">
        <v>45255</v>
      </c>
      <c r="C69" t="s">
        <v>1028</v>
      </c>
      <c r="D69" t="s">
        <v>1097</v>
      </c>
      <c r="E69" t="s">
        <v>1286</v>
      </c>
      <c r="F69" t="str">
        <f>[1]Raw_Customer_Dim!$A$2</f>
        <v>CUST1000</v>
      </c>
      <c r="G69" t="str">
        <f>_xlfn.XLOOKUP(E69,Store_Dim!A:A,Store_Dim!B:B,"Not Found")</f>
        <v>Black-Horn</v>
      </c>
      <c r="H69" t="str">
        <f>_xlfn.XLOOKUP(D69,Product_Dim!A:A,Product_Dim!C:C,"Not Found")</f>
        <v>Beauty</v>
      </c>
      <c r="I69" t="str">
        <f>_xlfn.XLOOKUP(E69,Store_Dim!A:A,Store_Dim!C:C,"Not Found")</f>
        <v>South</v>
      </c>
      <c r="J69" t="str">
        <f>_xlfn.XLOOKUP(C69,Customer_Dim!A:A,Customer_Dim!B:B,"Not Found")</f>
        <v>Sarah Smith</v>
      </c>
      <c r="K69">
        <f>Table511[[#This Row],[Total_Amount]]/(L69*(1-Table511[[#This Row],[Discount]]))</f>
        <v>1</v>
      </c>
      <c r="L69" s="5">
        <v>989.17</v>
      </c>
      <c r="M69">
        <v>0.2</v>
      </c>
      <c r="N69" t="s">
        <v>1351</v>
      </c>
      <c r="O69" s="5">
        <v>791.33600000000001</v>
      </c>
    </row>
    <row r="70" spans="1:15">
      <c r="A70" t="s">
        <v>1419</v>
      </c>
      <c r="B70" s="7">
        <v>45270</v>
      </c>
      <c r="C70" t="s">
        <v>807</v>
      </c>
      <c r="D70" t="s">
        <v>1217</v>
      </c>
      <c r="E70" t="s">
        <v>1314</v>
      </c>
      <c r="F70" t="str">
        <f>[1]Raw_Customer_Dim!$A$2</f>
        <v>CUST1000</v>
      </c>
      <c r="G70" t="str">
        <f>_xlfn.XLOOKUP(E70,Store_Dim!A:A,Store_Dim!B:B,"Not Found")</f>
        <v>Hill, Wagner and Ballard</v>
      </c>
      <c r="H70" t="str">
        <f>_xlfn.XLOOKUP(D70,Product_Dim!A:A,Product_Dim!C:C,"Not Found")</f>
        <v>Sports</v>
      </c>
      <c r="I70" t="str">
        <f>_xlfn.XLOOKUP(E70,Store_Dim!A:A,Store_Dim!C:C,"Not Found")</f>
        <v>East</v>
      </c>
      <c r="J70" t="str">
        <f>_xlfn.XLOOKUP(C70,Customer_Dim!A:A,Customer_Dim!B:B,"Not Found")</f>
        <v>Jacqueline Anthony</v>
      </c>
      <c r="K70">
        <f>Table511[[#This Row],[Total_Amount]]/(L70*(1-Table511[[#This Row],[Discount]]))</f>
        <v>4</v>
      </c>
      <c r="L70" s="5">
        <v>62.48</v>
      </c>
      <c r="M70">
        <v>0.18</v>
      </c>
      <c r="N70" t="s">
        <v>1349</v>
      </c>
      <c r="O70" s="5">
        <v>204.93440000000001</v>
      </c>
    </row>
    <row r="71" spans="1:15">
      <c r="A71" t="s">
        <v>1420</v>
      </c>
      <c r="B71" s="7">
        <v>45897</v>
      </c>
      <c r="C71" t="s">
        <v>909</v>
      </c>
      <c r="D71" t="s">
        <v>1099</v>
      </c>
      <c r="E71" t="s">
        <v>1329</v>
      </c>
      <c r="F71" t="str">
        <f>[1]Raw_Customer_Dim!$A$2</f>
        <v>CUST1000</v>
      </c>
      <c r="G71" t="str">
        <f>_xlfn.XLOOKUP(E71,Store_Dim!A:A,Store_Dim!B:B,"Not Found")</f>
        <v>Frederick-Wright</v>
      </c>
      <c r="H71" t="str">
        <f>_xlfn.XLOOKUP(D71,Product_Dim!A:A,Product_Dim!C:C,"Not Found")</f>
        <v>Electronics</v>
      </c>
      <c r="I71" t="str">
        <f>_xlfn.XLOOKUP(E71,Store_Dim!A:A,Store_Dim!C:C,"Not Found")</f>
        <v>West</v>
      </c>
      <c r="J71" t="str">
        <f>_xlfn.XLOOKUP(C71,Customer_Dim!A:A,Customer_Dim!B:B,"Not Found")</f>
        <v>Rebecca Baker</v>
      </c>
      <c r="K71">
        <f>Table511[[#This Row],[Total_Amount]]/(L71*(1-Table511[[#This Row],[Discount]]))</f>
        <v>4</v>
      </c>
      <c r="L71" s="5">
        <v>561.24</v>
      </c>
      <c r="M71">
        <v>0.24</v>
      </c>
      <c r="N71" t="s">
        <v>1349</v>
      </c>
      <c r="O71" s="5">
        <v>1706.1695999999999</v>
      </c>
    </row>
    <row r="72" spans="1:15">
      <c r="A72" t="s">
        <v>1421</v>
      </c>
      <c r="B72" s="7">
        <v>45849</v>
      </c>
      <c r="C72" t="s">
        <v>162</v>
      </c>
      <c r="D72" t="s">
        <v>1193</v>
      </c>
      <c r="E72" t="s">
        <v>1298</v>
      </c>
      <c r="F72" t="str">
        <f>[1]Raw_Customer_Dim!$A$2</f>
        <v>CUST1000</v>
      </c>
      <c r="G72" t="str">
        <f>_xlfn.XLOOKUP(E72,Store_Dim!A:A,Store_Dim!B:B,"Not Found")</f>
        <v>Gray Ltd</v>
      </c>
      <c r="H72" t="str">
        <f>_xlfn.XLOOKUP(D72,Product_Dim!A:A,Product_Dim!C:C,"Not Found")</f>
        <v>Beauty</v>
      </c>
      <c r="I72" t="str">
        <f>_xlfn.XLOOKUP(E72,Store_Dim!A:A,Store_Dim!C:C,"Not Found")</f>
        <v>North</v>
      </c>
      <c r="J72" t="str">
        <f>_xlfn.XLOOKUP(C72,Customer_Dim!A:A,Customer_Dim!B:B,"Not Found")</f>
        <v>Cheryl Copeland</v>
      </c>
      <c r="K72">
        <f>Table511[[#This Row],[Total_Amount]]/(L72*(1-Table511[[#This Row],[Discount]]))</f>
        <v>0</v>
      </c>
      <c r="L72" s="5">
        <v>92.24</v>
      </c>
      <c r="M72">
        <v>0.28000000000000003</v>
      </c>
      <c r="N72" t="s">
        <v>1354</v>
      </c>
    </row>
    <row r="73" spans="1:15">
      <c r="A73" t="s">
        <v>1422</v>
      </c>
      <c r="B73" s="7">
        <v>45889</v>
      </c>
      <c r="C73" t="s">
        <v>397</v>
      </c>
      <c r="D73" t="s">
        <v>1217</v>
      </c>
      <c r="E73" t="s">
        <v>1282</v>
      </c>
      <c r="F73" t="str">
        <f>[1]Raw_Customer_Dim!$A$2</f>
        <v>CUST1000</v>
      </c>
      <c r="G73" t="str">
        <f>_xlfn.XLOOKUP(E73,Store_Dim!A:A,Store_Dim!B:B,"Not Found")</f>
        <v>Martinez, Adkins and Johnson</v>
      </c>
      <c r="H73" t="str">
        <f>_xlfn.XLOOKUP(D73,Product_Dim!A:A,Product_Dim!C:C,"Not Found")</f>
        <v>Sports</v>
      </c>
      <c r="I73" t="str">
        <f>_xlfn.XLOOKUP(E73,Store_Dim!A:A,Store_Dim!C:C,"Not Found")</f>
        <v>North</v>
      </c>
      <c r="J73" t="str">
        <f>_xlfn.XLOOKUP(C73,Customer_Dim!A:A,Customer_Dim!B:B,"Not Found")</f>
        <v>Daniel Contreras</v>
      </c>
      <c r="K73">
        <f>Table511[[#This Row],[Total_Amount]]/(L73*(1-Table511[[#This Row],[Discount]]))</f>
        <v>2.0000000000000004</v>
      </c>
      <c r="L73" s="5">
        <v>668.3</v>
      </c>
      <c r="M73">
        <v>7.0000000000000007E-2</v>
      </c>
      <c r="N73" t="s">
        <v>1349</v>
      </c>
      <c r="O73" s="5">
        <v>1243.038</v>
      </c>
    </row>
    <row r="74" spans="1:15">
      <c r="A74" t="s">
        <v>1423</v>
      </c>
      <c r="B74" s="7">
        <v>45533</v>
      </c>
      <c r="C74" t="s">
        <v>881</v>
      </c>
      <c r="D74" t="s">
        <v>1149</v>
      </c>
      <c r="E74" t="s">
        <v>1298</v>
      </c>
      <c r="F74" t="str">
        <f>[1]Raw_Customer_Dim!$A$2</f>
        <v>CUST1000</v>
      </c>
      <c r="G74" t="str">
        <f>_xlfn.XLOOKUP(E74,Store_Dim!A:A,Store_Dim!B:B,"Not Found")</f>
        <v>Gray Ltd</v>
      </c>
      <c r="H74" t="str">
        <f>_xlfn.XLOOKUP(D74,Product_Dim!A:A,Product_Dim!C:C,"Not Found")</f>
        <v>Sports</v>
      </c>
      <c r="I74" t="str">
        <f>_xlfn.XLOOKUP(E74,Store_Dim!A:A,Store_Dim!C:C,"Not Found")</f>
        <v>North</v>
      </c>
      <c r="J74" t="str">
        <f>_xlfn.XLOOKUP(C74,Customer_Dim!A:A,Customer_Dim!B:B,"Not Found")</f>
        <v>Sarah Smith</v>
      </c>
      <c r="K74">
        <f>Table511[[#This Row],[Total_Amount]]/(L74*(1-Table511[[#This Row],[Discount]]))</f>
        <v>1.0000000000000002</v>
      </c>
      <c r="L74" s="5">
        <v>553.82000000000005</v>
      </c>
      <c r="M74">
        <v>0.09</v>
      </c>
      <c r="N74" t="s">
        <v>1349</v>
      </c>
      <c r="O74" s="5">
        <v>503.97620000000012</v>
      </c>
    </row>
    <row r="75" spans="1:15">
      <c r="A75" t="s">
        <v>1424</v>
      </c>
      <c r="B75" s="7">
        <v>45626</v>
      </c>
      <c r="C75" t="s">
        <v>111</v>
      </c>
      <c r="D75" t="s">
        <v>1163</v>
      </c>
      <c r="E75" t="s">
        <v>1317</v>
      </c>
      <c r="F75" t="str">
        <f>[1]Raw_Customer_Dim!$A$2</f>
        <v>CUST1000</v>
      </c>
      <c r="G75" t="str">
        <f>_xlfn.XLOOKUP(E75,Store_Dim!A:A,Store_Dim!B:B,"Not Found")</f>
        <v>Aguirre-Keller</v>
      </c>
      <c r="H75" t="str">
        <f>_xlfn.XLOOKUP(D75,Product_Dim!A:A,Product_Dim!C:C,"Not Found")</f>
        <v>Sports</v>
      </c>
      <c r="I75" t="str">
        <f>_xlfn.XLOOKUP(E75,Store_Dim!A:A,Store_Dim!C:C,"Not Found")</f>
        <v>South</v>
      </c>
      <c r="J75" t="str">
        <f>_xlfn.XLOOKUP(C75,Customer_Dim!A:A,Customer_Dim!B:B,"Not Found")</f>
        <v>Christopher Carter</v>
      </c>
      <c r="K75">
        <f>Table511[[#This Row],[Total_Amount]]/(L75*(1-Table511[[#This Row],[Discount]]))</f>
        <v>2</v>
      </c>
      <c r="L75" s="5">
        <v>556.42999999999995</v>
      </c>
      <c r="M75">
        <v>0.13</v>
      </c>
      <c r="N75" t="s">
        <v>1349</v>
      </c>
      <c r="O75" s="5">
        <v>968.18819999999994</v>
      </c>
    </row>
    <row r="76" spans="1:15">
      <c r="A76" t="s">
        <v>1425</v>
      </c>
      <c r="B76" s="7">
        <v>45942</v>
      </c>
      <c r="C76" t="s">
        <v>610</v>
      </c>
      <c r="D76" t="s">
        <v>1113</v>
      </c>
      <c r="E76" t="s">
        <v>1307</v>
      </c>
      <c r="F76" t="str">
        <f>[1]Raw_Customer_Dim!$A$2</f>
        <v>CUST1000</v>
      </c>
      <c r="G76" t="str">
        <f>_xlfn.XLOOKUP(E76,Store_Dim!A:A,Store_Dim!B:B,"Not Found")</f>
        <v>Bean, Jones and Park</v>
      </c>
      <c r="H76" t="str">
        <f>_xlfn.XLOOKUP(D76,Product_Dim!A:A,Product_Dim!C:C,"Not Found")</f>
        <v>Sports</v>
      </c>
      <c r="I76" t="str">
        <f>_xlfn.XLOOKUP(E76,Store_Dim!A:A,Store_Dim!C:C,"Not Found")</f>
        <v>West</v>
      </c>
      <c r="J76" t="str">
        <f>_xlfn.XLOOKUP(C76,Customer_Dim!A:A,Customer_Dim!B:B,"Not Found")</f>
        <v>Samantha Robinson</v>
      </c>
      <c r="K76">
        <f>Table511[[#This Row],[Total_Amount]]/(L76*(1-Table511[[#This Row],[Discount]]))</f>
        <v>1</v>
      </c>
      <c r="L76" s="5">
        <v>184.98</v>
      </c>
      <c r="M76">
        <v>0.1</v>
      </c>
      <c r="N76" t="s">
        <v>1354</v>
      </c>
      <c r="O76" s="5">
        <v>166.482</v>
      </c>
    </row>
    <row r="77" spans="1:15">
      <c r="A77" t="s">
        <v>1426</v>
      </c>
      <c r="B77" s="7">
        <v>45500</v>
      </c>
      <c r="C77" t="s">
        <v>107</v>
      </c>
      <c r="D77" t="s">
        <v>1267</v>
      </c>
      <c r="E77" t="s">
        <v>1319</v>
      </c>
      <c r="F77" t="str">
        <f>[1]Raw_Customer_Dim!$A$2</f>
        <v>CUST1000</v>
      </c>
      <c r="G77" t="str">
        <f>_xlfn.XLOOKUP(E77,Store_Dim!A:A,Store_Dim!B:B,"Not Found")</f>
        <v>Thomas, Bridges and Harris</v>
      </c>
      <c r="H77" t="str">
        <f>_xlfn.XLOOKUP(D77,Product_Dim!A:A,Product_Dim!C:C,"Not Found")</f>
        <v>Sports</v>
      </c>
      <c r="I77" t="str">
        <f>_xlfn.XLOOKUP(E77,Store_Dim!A:A,Store_Dim!C:C,"Not Found")</f>
        <v>North</v>
      </c>
      <c r="J77" t="str">
        <f>_xlfn.XLOOKUP(C77,Customer_Dim!A:A,Customer_Dim!B:B,"Not Found")</f>
        <v>Rachel Myers</v>
      </c>
      <c r="K77">
        <f>Table511[[#This Row],[Total_Amount]]/(L77*(1-Table511[[#This Row],[Discount]]))</f>
        <v>4</v>
      </c>
      <c r="L77" s="5">
        <v>700.18</v>
      </c>
      <c r="M77">
        <v>0.23</v>
      </c>
      <c r="N77" t="s">
        <v>1349</v>
      </c>
      <c r="O77" s="5">
        <v>2156.5544</v>
      </c>
    </row>
    <row r="78" spans="1:15">
      <c r="A78" t="s">
        <v>1427</v>
      </c>
      <c r="B78" s="7">
        <v>45285</v>
      </c>
      <c r="C78" t="s">
        <v>66</v>
      </c>
      <c r="D78" t="s">
        <v>1225</v>
      </c>
      <c r="E78" t="s">
        <v>1314</v>
      </c>
      <c r="F78" t="str">
        <f>[1]Raw_Customer_Dim!$A$2</f>
        <v>CUST1000</v>
      </c>
      <c r="G78" t="str">
        <f>_xlfn.XLOOKUP(E78,Store_Dim!A:A,Store_Dim!B:B,"Not Found")</f>
        <v>Hill, Wagner and Ballard</v>
      </c>
      <c r="H78" t="str">
        <f>_xlfn.XLOOKUP(D78,Product_Dim!A:A,Product_Dim!C:C,"Not Found")</f>
        <v>Electronics</v>
      </c>
      <c r="I78" t="str">
        <f>_xlfn.XLOOKUP(E78,Store_Dim!A:A,Store_Dim!C:C,"Not Found")</f>
        <v>East</v>
      </c>
      <c r="J78" t="str">
        <f>_xlfn.XLOOKUP(C78,Customer_Dim!A:A,Customer_Dim!B:B,"Not Found")</f>
        <v>Michael Torres</v>
      </c>
      <c r="K78">
        <f>Table511[[#This Row],[Total_Amount]]/(L78*(1-Table511[[#This Row],[Discount]]))</f>
        <v>2</v>
      </c>
      <c r="L78" s="5">
        <v>686.31</v>
      </c>
      <c r="M78">
        <v>0.25</v>
      </c>
      <c r="N78" t="s">
        <v>1349</v>
      </c>
      <c r="O78" s="5">
        <v>1029.4649999999999</v>
      </c>
    </row>
    <row r="79" spans="1:15">
      <c r="A79" t="s">
        <v>1428</v>
      </c>
      <c r="B79" s="7">
        <v>45800</v>
      </c>
      <c r="C79" t="s">
        <v>33</v>
      </c>
      <c r="D79" t="s">
        <v>1207</v>
      </c>
      <c r="E79" t="s">
        <v>1326</v>
      </c>
      <c r="F79" t="str">
        <f>[1]Raw_Customer_Dim!$A$2</f>
        <v>CUST1000</v>
      </c>
      <c r="G79" t="str">
        <f>_xlfn.XLOOKUP(E79,Store_Dim!A:A,Store_Dim!B:B,"Not Found")</f>
        <v>Shelton PLC</v>
      </c>
      <c r="H79" t="str">
        <f>_xlfn.XLOOKUP(D79,Product_Dim!A:A,Product_Dim!C:C,"Not Found")</f>
        <v>Electronics</v>
      </c>
      <c r="I79" t="str">
        <f>_xlfn.XLOOKUP(E79,Store_Dim!A:A,Store_Dim!C:C,"Not Found")</f>
        <v>North</v>
      </c>
      <c r="J79" t="str">
        <f>_xlfn.XLOOKUP(C79,Customer_Dim!A:A,Customer_Dim!B:B,"Not Found")</f>
        <v>Daniel Boyd</v>
      </c>
      <c r="K79">
        <f>Table511[[#This Row],[Total_Amount]]/(L79*(1-Table511[[#This Row],[Discount]]))</f>
        <v>1</v>
      </c>
      <c r="L79" s="5">
        <v>687.82</v>
      </c>
      <c r="M79">
        <v>0.27</v>
      </c>
      <c r="N79" t="s">
        <v>1354</v>
      </c>
      <c r="O79" s="5">
        <v>502.10860000000002</v>
      </c>
    </row>
    <row r="80" spans="1:15">
      <c r="A80" t="s">
        <v>1429</v>
      </c>
      <c r="B80" s="7">
        <v>45609</v>
      </c>
      <c r="C80" t="s">
        <v>505</v>
      </c>
      <c r="D80" t="s">
        <v>1239</v>
      </c>
      <c r="E80" t="s">
        <v>1307</v>
      </c>
      <c r="F80" t="str">
        <f>[1]Raw_Customer_Dim!$A$2</f>
        <v>CUST1000</v>
      </c>
      <c r="G80" t="str">
        <f>_xlfn.XLOOKUP(E80,Store_Dim!A:A,Store_Dim!B:B,"Not Found")</f>
        <v>Bean, Jones and Park</v>
      </c>
      <c r="H80" t="str">
        <f>_xlfn.XLOOKUP(D80,Product_Dim!A:A,Product_Dim!C:C,"Not Found")</f>
        <v>Beauty</v>
      </c>
      <c r="I80" t="str">
        <f>_xlfn.XLOOKUP(E80,Store_Dim!A:A,Store_Dim!C:C,"Not Found")</f>
        <v>West</v>
      </c>
      <c r="J80" t="str">
        <f>_xlfn.XLOOKUP(C80,Customer_Dim!A:A,Customer_Dim!B:B,"Not Found")</f>
        <v>Lisa Young</v>
      </c>
      <c r="K80">
        <f>Table511[[#This Row],[Total_Amount]]/(L80*(1-Table511[[#This Row],[Discount]]))</f>
        <v>2</v>
      </c>
      <c r="L80" s="5">
        <v>900.55</v>
      </c>
      <c r="M80">
        <v>0.16</v>
      </c>
      <c r="N80" t="s">
        <v>1349</v>
      </c>
      <c r="O80" s="5">
        <v>1512.924</v>
      </c>
    </row>
    <row r="81" spans="1:15">
      <c r="A81" t="s">
        <v>1430</v>
      </c>
      <c r="B81" s="7">
        <v>45268</v>
      </c>
      <c r="C81" t="s">
        <v>290</v>
      </c>
      <c r="D81" t="s">
        <v>1115</v>
      </c>
      <c r="E81" t="s">
        <v>1286</v>
      </c>
      <c r="F81" t="str">
        <f>[1]Raw_Customer_Dim!$A$2</f>
        <v>CUST1000</v>
      </c>
      <c r="G81" t="str">
        <f>_xlfn.XLOOKUP(E81,Store_Dim!A:A,Store_Dim!B:B,"Not Found")</f>
        <v>Black-Horn</v>
      </c>
      <c r="H81" t="str">
        <f>_xlfn.XLOOKUP(D81,Product_Dim!A:A,Product_Dim!C:C,"Not Found")</f>
        <v>Home</v>
      </c>
      <c r="I81" t="str">
        <f>_xlfn.XLOOKUP(E81,Store_Dim!A:A,Store_Dim!C:C,"Not Found")</f>
        <v>South</v>
      </c>
      <c r="J81" t="str">
        <f>_xlfn.XLOOKUP(C81,Customer_Dim!A:A,Customer_Dim!B:B,"Not Found")</f>
        <v>Tyler Conrad</v>
      </c>
      <c r="K81">
        <f>Table511[[#This Row],[Total_Amount]]/(L81*(1-Table511[[#This Row],[Discount]]))</f>
        <v>1</v>
      </c>
      <c r="L81" s="5">
        <v>341.17</v>
      </c>
      <c r="M81">
        <v>0.15</v>
      </c>
      <c r="N81" t="s">
        <v>1349</v>
      </c>
      <c r="O81" s="5">
        <v>289.99450000000002</v>
      </c>
    </row>
    <row r="82" spans="1:15">
      <c r="A82" t="s">
        <v>1431</v>
      </c>
      <c r="B82" s="7">
        <v>45885</v>
      </c>
      <c r="C82" t="s">
        <v>413</v>
      </c>
      <c r="D82" t="s">
        <v>1177</v>
      </c>
      <c r="E82" t="s">
        <v>1307</v>
      </c>
      <c r="F82" t="str">
        <f>[1]Raw_Customer_Dim!$A$2</f>
        <v>CUST1000</v>
      </c>
      <c r="G82" t="str">
        <f>_xlfn.XLOOKUP(E82,Store_Dim!A:A,Store_Dim!B:B,"Not Found")</f>
        <v>Bean, Jones and Park</v>
      </c>
      <c r="H82" t="str">
        <f>_xlfn.XLOOKUP(D82,Product_Dim!A:A,Product_Dim!C:C,"Not Found")</f>
        <v>Sports</v>
      </c>
      <c r="I82" t="str">
        <f>_xlfn.XLOOKUP(E82,Store_Dim!A:A,Store_Dim!C:C,"Not Found")</f>
        <v>West</v>
      </c>
      <c r="J82" t="str">
        <f>_xlfn.XLOOKUP(C82,Customer_Dim!A:A,Customer_Dim!B:B,"Not Found")</f>
        <v>John Bradford</v>
      </c>
      <c r="K82">
        <f>Table511[[#This Row],[Total_Amount]]/(L82*(1-Table511[[#This Row],[Discount]]))</f>
        <v>1</v>
      </c>
      <c r="L82" s="5">
        <v>442.27</v>
      </c>
      <c r="M82">
        <v>0.06</v>
      </c>
      <c r="N82" t="s">
        <v>1354</v>
      </c>
      <c r="O82" s="5">
        <v>415.73379999999997</v>
      </c>
    </row>
    <row r="83" spans="1:15">
      <c r="A83" t="s">
        <v>1432</v>
      </c>
      <c r="B83" s="7">
        <v>45616</v>
      </c>
      <c r="C83" t="s">
        <v>569</v>
      </c>
      <c r="D83" t="s">
        <v>1215</v>
      </c>
      <c r="E83" t="s">
        <v>1311</v>
      </c>
      <c r="F83" t="str">
        <f>[1]Raw_Customer_Dim!$A$2</f>
        <v>CUST1000</v>
      </c>
      <c r="G83" t="str">
        <f>_xlfn.XLOOKUP(E83,Store_Dim!A:A,Store_Dim!B:B,"Not Found")</f>
        <v>Moore, Padilla and Butler</v>
      </c>
      <c r="H83" t="str">
        <f>_xlfn.XLOOKUP(D83,Product_Dim!A:A,Product_Dim!C:C,"Not Found")</f>
        <v>Beauty</v>
      </c>
      <c r="I83" t="str">
        <f>_xlfn.XLOOKUP(E83,Store_Dim!A:A,Store_Dim!C:C,"Not Found")</f>
        <v>South</v>
      </c>
      <c r="J83" t="str">
        <f>_xlfn.XLOOKUP(C83,Customer_Dim!A:A,Customer_Dim!B:B,"Not Found")</f>
        <v>Dr. Ashley Yates MD</v>
      </c>
      <c r="K83">
        <f>Table511[[#This Row],[Total_Amount]]/(L83*(1-Table511[[#This Row],[Discount]]))</f>
        <v>1</v>
      </c>
      <c r="L83" s="5">
        <v>363.73</v>
      </c>
      <c r="M83">
        <v>0.25</v>
      </c>
      <c r="N83" t="s">
        <v>1351</v>
      </c>
      <c r="O83" s="5">
        <v>272.79750000000001</v>
      </c>
    </row>
    <row r="84" spans="1:15">
      <c r="A84" t="s">
        <v>1433</v>
      </c>
      <c r="B84" s="7">
        <v>45518</v>
      </c>
      <c r="C84" t="s">
        <v>819</v>
      </c>
      <c r="D84" t="s">
        <v>1255</v>
      </c>
      <c r="E84" t="s">
        <v>1332</v>
      </c>
      <c r="F84" t="str">
        <f>[1]Raw_Customer_Dim!$A$2</f>
        <v>CUST1000</v>
      </c>
      <c r="G84" t="str">
        <f>_xlfn.XLOOKUP(E84,Store_Dim!A:A,Store_Dim!B:B,"Not Found")</f>
        <v>Holloway Ltd</v>
      </c>
      <c r="H84" t="str">
        <f>_xlfn.XLOOKUP(D84,Product_Dim!A:A,Product_Dim!C:C,"Not Found")</f>
        <v>Clothing</v>
      </c>
      <c r="I84" t="str">
        <f>_xlfn.XLOOKUP(E84,Store_Dim!A:A,Store_Dim!C:C,"Not Found")</f>
        <v>North</v>
      </c>
      <c r="J84" t="str">
        <f>_xlfn.XLOOKUP(C84,Customer_Dim!A:A,Customer_Dim!B:B,"Not Found")</f>
        <v>Frank Stewart</v>
      </c>
      <c r="K84">
        <f>Table511[[#This Row],[Total_Amount]]/(L84*(1-Table511[[#This Row],[Discount]]))</f>
        <v>2</v>
      </c>
      <c r="L84" s="5">
        <v>601.33000000000004</v>
      </c>
      <c r="M84">
        <v>0.16</v>
      </c>
      <c r="N84" t="s">
        <v>1351</v>
      </c>
      <c r="O84" s="5">
        <v>1010.2344000000001</v>
      </c>
    </row>
    <row r="85" spans="1:15">
      <c r="A85" t="s">
        <v>1434</v>
      </c>
      <c r="B85" s="7">
        <v>45427</v>
      </c>
      <c r="C85" t="s">
        <v>869</v>
      </c>
      <c r="D85" t="s">
        <v>1107</v>
      </c>
      <c r="E85" t="s">
        <v>1335</v>
      </c>
      <c r="F85" t="str">
        <f>[1]Raw_Customer_Dim!$A$2</f>
        <v>CUST1000</v>
      </c>
      <c r="G85" t="str">
        <f>_xlfn.XLOOKUP(E85,Store_Dim!A:A,Store_Dim!B:B,"Not Found")</f>
        <v>Guerrero-Schmitt</v>
      </c>
      <c r="H85" t="str">
        <f>_xlfn.XLOOKUP(D85,Product_Dim!A:A,Product_Dim!C:C,"Not Found")</f>
        <v>Sports</v>
      </c>
      <c r="I85" t="str">
        <f>_xlfn.XLOOKUP(E85,Store_Dim!A:A,Store_Dim!C:C,"Not Found")</f>
        <v>East</v>
      </c>
      <c r="J85" t="str">
        <f>_xlfn.XLOOKUP(C85,Customer_Dim!A:A,Customer_Dim!B:B,"Not Found")</f>
        <v>Justin Ingram</v>
      </c>
      <c r="K85">
        <f>Table511[[#This Row],[Total_Amount]]/(L85*(1-Table511[[#This Row],[Discount]]))</f>
        <v>4</v>
      </c>
      <c r="L85" s="5">
        <v>34.39</v>
      </c>
      <c r="M85">
        <v>0.03</v>
      </c>
      <c r="N85" t="s">
        <v>1351</v>
      </c>
      <c r="O85" s="5">
        <v>133.4332</v>
      </c>
    </row>
    <row r="86" spans="1:15">
      <c r="A86" t="s">
        <v>1435</v>
      </c>
      <c r="B86" s="7">
        <v>45268</v>
      </c>
      <c r="C86" t="s">
        <v>909</v>
      </c>
      <c r="D86" t="s">
        <v>1165</v>
      </c>
      <c r="E86" t="s">
        <v>1332</v>
      </c>
      <c r="F86" t="str">
        <f>[1]Raw_Customer_Dim!$A$2</f>
        <v>CUST1000</v>
      </c>
      <c r="G86" t="str">
        <f>_xlfn.XLOOKUP(E86,Store_Dim!A:A,Store_Dim!B:B,"Not Found")</f>
        <v>Holloway Ltd</v>
      </c>
      <c r="H86" t="str">
        <f>_xlfn.XLOOKUP(D86,Product_Dim!A:A,Product_Dim!C:C,"Not Found")</f>
        <v>Clothing</v>
      </c>
      <c r="I86" t="str">
        <f>_xlfn.XLOOKUP(E86,Store_Dim!A:A,Store_Dim!C:C,"Not Found")</f>
        <v>North</v>
      </c>
      <c r="J86" t="str">
        <f>_xlfn.XLOOKUP(C86,Customer_Dim!A:A,Customer_Dim!B:B,"Not Found")</f>
        <v>Rebecca Baker</v>
      </c>
      <c r="K86">
        <f>Table511[[#This Row],[Total_Amount]]/(L86*(1-Table511[[#This Row],[Discount]]))</f>
        <v>0</v>
      </c>
      <c r="L86" s="5">
        <v>773.57</v>
      </c>
      <c r="M86">
        <v>0.05</v>
      </c>
      <c r="N86" t="s">
        <v>1354</v>
      </c>
    </row>
    <row r="87" spans="1:15">
      <c r="A87" t="s">
        <v>1436</v>
      </c>
      <c r="B87" s="7">
        <v>45282</v>
      </c>
      <c r="C87" t="s">
        <v>152</v>
      </c>
      <c r="D87" t="s">
        <v>1249</v>
      </c>
      <c r="E87" t="s">
        <v>1304</v>
      </c>
      <c r="F87" t="str">
        <f>[1]Raw_Customer_Dim!$A$2</f>
        <v>CUST1000</v>
      </c>
      <c r="G87" t="str">
        <f>_xlfn.XLOOKUP(E87,Store_Dim!A:A,Store_Dim!B:B,"Not Found")</f>
        <v>Martinez-Mullins</v>
      </c>
      <c r="H87" t="str">
        <f>_xlfn.XLOOKUP(D87,Product_Dim!A:A,Product_Dim!C:C,"Not Found")</f>
        <v>Sports</v>
      </c>
      <c r="I87" t="str">
        <f>_xlfn.XLOOKUP(E87,Store_Dim!A:A,Store_Dim!C:C,"Not Found")</f>
        <v>South</v>
      </c>
      <c r="J87" t="str">
        <f>_xlfn.XLOOKUP(C87,Customer_Dim!A:A,Customer_Dim!B:B,"Not Found")</f>
        <v>Katherine Dorsey</v>
      </c>
      <c r="K87">
        <f>Table511[[#This Row],[Total_Amount]]/(L87*(1-Table511[[#This Row],[Discount]]))</f>
        <v>4</v>
      </c>
      <c r="L87" s="5">
        <v>127.1</v>
      </c>
      <c r="M87">
        <v>0.24</v>
      </c>
      <c r="N87" t="s">
        <v>1354</v>
      </c>
      <c r="O87" s="5">
        <v>386.38400000000001</v>
      </c>
    </row>
    <row r="88" spans="1:15">
      <c r="A88" t="s">
        <v>1437</v>
      </c>
      <c r="B88" s="7">
        <v>45545</v>
      </c>
      <c r="C88" t="s">
        <v>670</v>
      </c>
      <c r="D88" t="s">
        <v>1113</v>
      </c>
      <c r="E88" t="s">
        <v>1291</v>
      </c>
      <c r="F88" t="str">
        <f>[1]Raw_Customer_Dim!$A$2</f>
        <v>CUST1000</v>
      </c>
      <c r="G88" t="str">
        <f>_xlfn.XLOOKUP(E88,Store_Dim!A:A,Store_Dim!B:B,"Not Found")</f>
        <v>Johnson-Wright</v>
      </c>
      <c r="H88" t="str">
        <f>_xlfn.XLOOKUP(D88,Product_Dim!A:A,Product_Dim!C:C,"Not Found")</f>
        <v>Sports</v>
      </c>
      <c r="I88" t="str">
        <f>_xlfn.XLOOKUP(E88,Store_Dim!A:A,Store_Dim!C:C,"Not Found")</f>
        <v>North</v>
      </c>
      <c r="J88" t="str">
        <f>_xlfn.XLOOKUP(C88,Customer_Dim!A:A,Customer_Dim!B:B,"Not Found")</f>
        <v>John Sloan</v>
      </c>
      <c r="K88">
        <f>Table511[[#This Row],[Total_Amount]]/(L88*(1-Table511[[#This Row],[Discount]]))</f>
        <v>3</v>
      </c>
      <c r="L88" s="5">
        <v>899.58</v>
      </c>
      <c r="M88">
        <v>0.28000000000000003</v>
      </c>
      <c r="N88" t="s">
        <v>1351</v>
      </c>
      <c r="O88" s="5">
        <v>1943.0927999999999</v>
      </c>
    </row>
    <row r="89" spans="1:15">
      <c r="A89" t="s">
        <v>1438</v>
      </c>
      <c r="B89" s="7">
        <v>45755</v>
      </c>
      <c r="C89" t="s">
        <v>718</v>
      </c>
      <c r="D89" t="s">
        <v>1071</v>
      </c>
      <c r="E89" t="s">
        <v>1314</v>
      </c>
      <c r="F89" t="str">
        <f>[1]Raw_Customer_Dim!$A$2</f>
        <v>CUST1000</v>
      </c>
      <c r="G89" t="str">
        <f>_xlfn.XLOOKUP(E89,Store_Dim!A:A,Store_Dim!B:B,"Not Found")</f>
        <v>Hill, Wagner and Ballard</v>
      </c>
      <c r="H89" t="str">
        <f>_xlfn.XLOOKUP(D89,Product_Dim!A:A,Product_Dim!C:C,"Not Found")</f>
        <v>Clothing</v>
      </c>
      <c r="I89" t="str">
        <f>_xlfn.XLOOKUP(E89,Store_Dim!A:A,Store_Dim!C:C,"Not Found")</f>
        <v>East</v>
      </c>
      <c r="J89" t="str">
        <f>_xlfn.XLOOKUP(C89,Customer_Dim!A:A,Customer_Dim!B:B,"Not Found")</f>
        <v>Reginald Willis</v>
      </c>
      <c r="K89">
        <f>Table511[[#This Row],[Total_Amount]]/(L89*(1-Table511[[#This Row],[Discount]]))</f>
        <v>3.0000000000000004</v>
      </c>
      <c r="L89" s="5">
        <v>964.39</v>
      </c>
      <c r="M89">
        <v>0.04</v>
      </c>
      <c r="N89" t="s">
        <v>1349</v>
      </c>
      <c r="O89" s="5">
        <v>2777.4432000000002</v>
      </c>
    </row>
    <row r="90" spans="1:15">
      <c r="A90" t="s">
        <v>1439</v>
      </c>
      <c r="B90" s="7">
        <v>45588</v>
      </c>
      <c r="C90" t="s">
        <v>428</v>
      </c>
      <c r="D90" t="s">
        <v>1149</v>
      </c>
      <c r="E90" t="s">
        <v>1277</v>
      </c>
      <c r="F90" t="str">
        <f>[1]Raw_Customer_Dim!$A$2</f>
        <v>CUST1000</v>
      </c>
      <c r="G90" t="str">
        <f>_xlfn.XLOOKUP(E90,Store_Dim!A:A,Store_Dim!B:B,"Not Found")</f>
        <v>Rivera-Warner</v>
      </c>
      <c r="H90" t="str">
        <f>_xlfn.XLOOKUP(D90,Product_Dim!A:A,Product_Dim!C:C,"Not Found")</f>
        <v>Sports</v>
      </c>
      <c r="I90" t="str">
        <f>_xlfn.XLOOKUP(E90,Store_Dim!A:A,Store_Dim!C:C,"Not Found")</f>
        <v>East</v>
      </c>
      <c r="J90" t="str">
        <f>_xlfn.XLOOKUP(C90,Customer_Dim!A:A,Customer_Dim!B:B,"Not Found")</f>
        <v>Mario Jacobs</v>
      </c>
      <c r="K90">
        <f>Table511[[#This Row],[Total_Amount]]/(L90*(1-Table511[[#This Row],[Discount]]))</f>
        <v>2</v>
      </c>
      <c r="L90" s="5">
        <v>217.83</v>
      </c>
      <c r="M90">
        <v>0.14000000000000001</v>
      </c>
      <c r="N90" t="s">
        <v>1351</v>
      </c>
      <c r="O90" s="5">
        <v>374.66759999999999</v>
      </c>
    </row>
    <row r="91" spans="1:15">
      <c r="A91" t="s">
        <v>1440</v>
      </c>
      <c r="B91" s="7">
        <v>45848</v>
      </c>
      <c r="C91" t="s">
        <v>347</v>
      </c>
      <c r="D91" t="s">
        <v>1107</v>
      </c>
      <c r="E91" t="s">
        <v>1282</v>
      </c>
      <c r="F91" t="str">
        <f>[1]Raw_Customer_Dim!$A$2</f>
        <v>CUST1000</v>
      </c>
      <c r="G91" t="str">
        <f>_xlfn.XLOOKUP(E91,Store_Dim!A:A,Store_Dim!B:B,"Not Found")</f>
        <v>Martinez, Adkins and Johnson</v>
      </c>
      <c r="H91" t="str">
        <f>_xlfn.XLOOKUP(D91,Product_Dim!A:A,Product_Dim!C:C,"Not Found")</f>
        <v>Sports</v>
      </c>
      <c r="I91" t="str">
        <f>_xlfn.XLOOKUP(E91,Store_Dim!A:A,Store_Dim!C:C,"Not Found")</f>
        <v>North</v>
      </c>
      <c r="J91" t="str">
        <f>_xlfn.XLOOKUP(C91,Customer_Dim!A:A,Customer_Dim!B:B,"Not Found")</f>
        <v>Carlos Skinner</v>
      </c>
      <c r="K91">
        <f>Table511[[#This Row],[Total_Amount]]/(L91*(1-Table511[[#This Row],[Discount]]))</f>
        <v>4</v>
      </c>
      <c r="L91" s="5">
        <v>187.71</v>
      </c>
      <c r="M91">
        <v>0.06</v>
      </c>
      <c r="N91" t="s">
        <v>1354</v>
      </c>
      <c r="O91" s="5">
        <v>705.78959999999995</v>
      </c>
    </row>
    <row r="92" spans="1:15">
      <c r="A92" t="s">
        <v>1441</v>
      </c>
      <c r="B92" s="7">
        <v>45577</v>
      </c>
      <c r="C92" t="s">
        <v>42</v>
      </c>
      <c r="D92" t="s">
        <v>1139</v>
      </c>
      <c r="E92" t="s">
        <v>1335</v>
      </c>
      <c r="F92" t="str">
        <f>[1]Raw_Customer_Dim!$A$2</f>
        <v>CUST1000</v>
      </c>
      <c r="G92" t="str">
        <f>_xlfn.XLOOKUP(E92,Store_Dim!A:A,Store_Dim!B:B,"Not Found")</f>
        <v>Guerrero-Schmitt</v>
      </c>
      <c r="H92" t="str">
        <f>_xlfn.XLOOKUP(D92,Product_Dim!A:A,Product_Dim!C:C,"Not Found")</f>
        <v>Home</v>
      </c>
      <c r="I92" t="str">
        <f>_xlfn.XLOOKUP(E92,Store_Dim!A:A,Store_Dim!C:C,"Not Found")</f>
        <v>East</v>
      </c>
      <c r="J92" t="str">
        <f>_xlfn.XLOOKUP(C92,Customer_Dim!A:A,Customer_Dim!B:B,"Not Found")</f>
        <v>Dominic Page</v>
      </c>
      <c r="K92">
        <f>Table511[[#This Row],[Total_Amount]]/(L92*(1-Table511[[#This Row],[Discount]]))</f>
        <v>2</v>
      </c>
      <c r="L92" s="5">
        <v>350.12</v>
      </c>
      <c r="M92">
        <v>0.12</v>
      </c>
      <c r="N92" t="s">
        <v>1354</v>
      </c>
      <c r="O92" s="5">
        <v>616.21119999999996</v>
      </c>
    </row>
    <row r="93" spans="1:15">
      <c r="A93" t="s">
        <v>1442</v>
      </c>
      <c r="B93" s="7">
        <v>45312</v>
      </c>
      <c r="C93" t="s">
        <v>875</v>
      </c>
      <c r="D93" t="s">
        <v>1105</v>
      </c>
      <c r="E93" t="s">
        <v>1282</v>
      </c>
      <c r="F93" t="str">
        <f>[1]Raw_Customer_Dim!$A$2</f>
        <v>CUST1000</v>
      </c>
      <c r="G93" t="str">
        <f>_xlfn.XLOOKUP(E93,Store_Dim!A:A,Store_Dim!B:B,"Not Found")</f>
        <v>Martinez, Adkins and Johnson</v>
      </c>
      <c r="H93" t="str">
        <f>_xlfn.XLOOKUP(D93,Product_Dim!A:A,Product_Dim!C:C,"Not Found")</f>
        <v>Not Found</v>
      </c>
      <c r="I93" t="str">
        <f>_xlfn.XLOOKUP(E93,Store_Dim!A:A,Store_Dim!C:C,"Not Found")</f>
        <v>North</v>
      </c>
      <c r="J93" t="str">
        <f>_xlfn.XLOOKUP(C93,Customer_Dim!A:A,Customer_Dim!B:B,"Not Found")</f>
        <v>David Lozano</v>
      </c>
      <c r="K93">
        <f>Table511[[#This Row],[Total_Amount]]/(L93*(1-Table511[[#This Row],[Discount]]))</f>
        <v>4.0000000000000009</v>
      </c>
      <c r="L93" s="5">
        <v>102.19</v>
      </c>
      <c r="M93">
        <v>0.17</v>
      </c>
      <c r="N93" t="s">
        <v>1351</v>
      </c>
      <c r="O93" s="5">
        <v>339.27080000000001</v>
      </c>
    </row>
    <row r="94" spans="1:15">
      <c r="A94" t="s">
        <v>1443</v>
      </c>
      <c r="B94" s="7">
        <v>45350</v>
      </c>
      <c r="C94" t="s">
        <v>33</v>
      </c>
      <c r="D94" t="s">
        <v>1245</v>
      </c>
      <c r="E94" t="s">
        <v>1294</v>
      </c>
      <c r="F94" t="str">
        <f>[1]Raw_Customer_Dim!$A$2</f>
        <v>CUST1000</v>
      </c>
      <c r="G94" t="str">
        <f>_xlfn.XLOOKUP(E94,Store_Dim!A:A,Store_Dim!B:B,"Not Found")</f>
        <v>Alexander Group</v>
      </c>
      <c r="H94" t="str">
        <f>_xlfn.XLOOKUP(D94,Product_Dim!A:A,Product_Dim!C:C,"Not Found")</f>
        <v>Home</v>
      </c>
      <c r="I94" t="str">
        <f>_xlfn.XLOOKUP(E94,Store_Dim!A:A,Store_Dim!C:C,"Not Found")</f>
        <v>South</v>
      </c>
      <c r="J94" t="str">
        <f>_xlfn.XLOOKUP(C94,Customer_Dim!A:A,Customer_Dim!B:B,"Not Found")</f>
        <v>Daniel Boyd</v>
      </c>
      <c r="K94">
        <f>Table511[[#This Row],[Total_Amount]]/(L94*(1-Table511[[#This Row],[Discount]]))</f>
        <v>1</v>
      </c>
      <c r="L94" s="5">
        <v>696.53</v>
      </c>
      <c r="M94">
        <v>0.17</v>
      </c>
      <c r="N94" t="s">
        <v>1349</v>
      </c>
      <c r="O94" s="5">
        <v>578.11989999999992</v>
      </c>
    </row>
    <row r="95" spans="1:15">
      <c r="A95" t="s">
        <v>1444</v>
      </c>
      <c r="B95" s="7">
        <v>45657</v>
      </c>
      <c r="C95" t="s">
        <v>178</v>
      </c>
      <c r="D95" t="s">
        <v>1111</v>
      </c>
      <c r="E95" t="s">
        <v>1294</v>
      </c>
      <c r="F95" t="str">
        <f>[1]Raw_Customer_Dim!$A$2</f>
        <v>CUST1000</v>
      </c>
      <c r="G95" t="str">
        <f>_xlfn.XLOOKUP(E95,Store_Dim!A:A,Store_Dim!B:B,"Not Found")</f>
        <v>Alexander Group</v>
      </c>
      <c r="H95" t="str">
        <f>_xlfn.XLOOKUP(D95,Product_Dim!A:A,Product_Dim!C:C,"Not Found")</f>
        <v>Sports</v>
      </c>
      <c r="I95" t="str">
        <f>_xlfn.XLOOKUP(E95,Store_Dim!A:A,Store_Dim!C:C,"Not Found")</f>
        <v>South</v>
      </c>
      <c r="J95" t="str">
        <f>_xlfn.XLOOKUP(C95,Customer_Dim!A:A,Customer_Dim!B:B,"Not Found")</f>
        <v>Michael Thomas</v>
      </c>
      <c r="K95">
        <f>Table511[[#This Row],[Total_Amount]]/(L95*(1-Table511[[#This Row],[Discount]]))</f>
        <v>2</v>
      </c>
      <c r="L95" s="5">
        <v>327.52</v>
      </c>
      <c r="M95">
        <v>0.15</v>
      </c>
      <c r="N95" t="s">
        <v>1351</v>
      </c>
      <c r="O95" s="5">
        <v>556.78399999999999</v>
      </c>
    </row>
    <row r="96" spans="1:15">
      <c r="A96" t="s">
        <v>1445</v>
      </c>
      <c r="B96" s="7">
        <v>45530</v>
      </c>
      <c r="C96" t="s">
        <v>660</v>
      </c>
      <c r="D96" t="s">
        <v>1267</v>
      </c>
      <c r="E96" t="s">
        <v>1338</v>
      </c>
      <c r="F96" t="str">
        <f>[1]Raw_Customer_Dim!$A$2</f>
        <v>CUST1000</v>
      </c>
      <c r="G96" t="str">
        <f>_xlfn.XLOOKUP(E96,Store_Dim!A:A,Store_Dim!B:B,"Not Found")</f>
        <v>Mann-Austin</v>
      </c>
      <c r="H96" t="str">
        <f>_xlfn.XLOOKUP(D96,Product_Dim!A:A,Product_Dim!C:C,"Not Found")</f>
        <v>Sports</v>
      </c>
      <c r="I96" t="str">
        <f>_xlfn.XLOOKUP(E96,Store_Dim!A:A,Store_Dim!C:C,"Not Found")</f>
        <v>East</v>
      </c>
      <c r="J96" t="str">
        <f>_xlfn.XLOOKUP(C96,Customer_Dim!A:A,Customer_Dim!B:B,"Not Found")</f>
        <v>Tracy Stephens</v>
      </c>
      <c r="K96">
        <f>Table511[[#This Row],[Total_Amount]]/(L96*(1-Table511[[#This Row],[Discount]]))</f>
        <v>0</v>
      </c>
      <c r="L96" s="5">
        <v>569.36</v>
      </c>
      <c r="M96">
        <v>0.01</v>
      </c>
      <c r="N96" t="s">
        <v>1351</v>
      </c>
    </row>
    <row r="97" spans="1:15">
      <c r="A97" t="s">
        <v>1446</v>
      </c>
      <c r="B97" s="7">
        <v>45556</v>
      </c>
      <c r="C97" t="s">
        <v>706</v>
      </c>
      <c r="D97" t="s">
        <v>1271</v>
      </c>
      <c r="E97" t="s">
        <v>1301</v>
      </c>
      <c r="F97" t="str">
        <f>[1]Raw_Customer_Dim!$A$2</f>
        <v>CUST1000</v>
      </c>
      <c r="G97" t="str">
        <f>_xlfn.XLOOKUP(E97,Store_Dim!A:A,Store_Dim!B:B,"Not Found")</f>
        <v>Benson-Elliott</v>
      </c>
      <c r="H97" t="str">
        <f>_xlfn.XLOOKUP(D97,Product_Dim!A:A,Product_Dim!C:C,"Not Found")</f>
        <v>Home</v>
      </c>
      <c r="I97" t="str">
        <f>_xlfn.XLOOKUP(E97,Store_Dim!A:A,Store_Dim!C:C,"Not Found")</f>
        <v>East</v>
      </c>
      <c r="J97" t="str">
        <f>_xlfn.XLOOKUP(C97,Customer_Dim!A:A,Customer_Dim!B:B,"Not Found")</f>
        <v>Darren Burton</v>
      </c>
      <c r="K97">
        <f>Table511[[#This Row],[Total_Amount]]/(L97*(1-Table511[[#This Row],[Discount]]))</f>
        <v>1.9999999999999998</v>
      </c>
      <c r="L97" s="5">
        <v>68.290000000000006</v>
      </c>
      <c r="M97">
        <v>0.14000000000000001</v>
      </c>
      <c r="N97" t="s">
        <v>1354</v>
      </c>
      <c r="O97" s="5">
        <v>117.4588</v>
      </c>
    </row>
    <row r="98" spans="1:15">
      <c r="A98" t="s">
        <v>1447</v>
      </c>
      <c r="B98" s="7">
        <v>45523</v>
      </c>
      <c r="C98" t="s">
        <v>551</v>
      </c>
      <c r="D98" t="s">
        <v>1173</v>
      </c>
      <c r="E98" t="s">
        <v>1314</v>
      </c>
      <c r="F98" t="str">
        <f>[1]Raw_Customer_Dim!$A$2</f>
        <v>CUST1000</v>
      </c>
      <c r="G98" t="str">
        <f>_xlfn.XLOOKUP(E98,Store_Dim!A:A,Store_Dim!B:B,"Not Found")</f>
        <v>Hill, Wagner and Ballard</v>
      </c>
      <c r="H98" t="str">
        <f>_xlfn.XLOOKUP(D98,Product_Dim!A:A,Product_Dim!C:C,"Not Found")</f>
        <v>Sports</v>
      </c>
      <c r="I98" t="str">
        <f>_xlfn.XLOOKUP(E98,Store_Dim!A:A,Store_Dim!C:C,"Not Found")</f>
        <v>East</v>
      </c>
      <c r="J98" t="str">
        <f>_xlfn.XLOOKUP(C98,Customer_Dim!A:A,Customer_Dim!B:B,"Not Found")</f>
        <v>Nancy Page</v>
      </c>
      <c r="K98">
        <f>Table511[[#This Row],[Total_Amount]]/(L98*(1-Table511[[#This Row],[Discount]]))</f>
        <v>1</v>
      </c>
      <c r="L98" s="5">
        <v>842.9</v>
      </c>
      <c r="M98">
        <v>0.06</v>
      </c>
      <c r="N98" t="s">
        <v>1354</v>
      </c>
      <c r="O98" s="5">
        <v>792.32599999999991</v>
      </c>
    </row>
    <row r="99" spans="1:15">
      <c r="A99" t="s">
        <v>1448</v>
      </c>
      <c r="B99" s="7">
        <v>45587</v>
      </c>
      <c r="C99" t="s">
        <v>638</v>
      </c>
      <c r="D99" t="s">
        <v>1076</v>
      </c>
      <c r="E99" t="s">
        <v>1291</v>
      </c>
      <c r="F99" t="str">
        <f>[1]Raw_Customer_Dim!$A$2</f>
        <v>CUST1000</v>
      </c>
      <c r="G99" t="str">
        <f>_xlfn.XLOOKUP(E99,Store_Dim!A:A,Store_Dim!B:B,"Not Found")</f>
        <v>Johnson-Wright</v>
      </c>
      <c r="H99" t="str">
        <f>_xlfn.XLOOKUP(D99,Product_Dim!A:A,Product_Dim!C:C,"Not Found")</f>
        <v>Not Found</v>
      </c>
      <c r="I99" t="str">
        <f>_xlfn.XLOOKUP(E99,Store_Dim!A:A,Store_Dim!C:C,"Not Found")</f>
        <v>North</v>
      </c>
      <c r="J99" t="str">
        <f>_xlfn.XLOOKUP(C99,Customer_Dim!A:A,Customer_Dim!B:B,"Not Found")</f>
        <v>Cynthia Roberts</v>
      </c>
      <c r="K99">
        <f>Table511[[#This Row],[Total_Amount]]/(L99*(1-Table511[[#This Row],[Discount]]))</f>
        <v>3</v>
      </c>
      <c r="L99" s="5">
        <v>751.94</v>
      </c>
      <c r="M99">
        <v>0.26</v>
      </c>
      <c r="N99" t="s">
        <v>1351</v>
      </c>
      <c r="O99" s="5">
        <v>1669.3068000000001</v>
      </c>
    </row>
    <row r="100" spans="1:15">
      <c r="A100" t="s">
        <v>1449</v>
      </c>
      <c r="B100" s="7">
        <v>45580</v>
      </c>
      <c r="C100" t="s">
        <v>323</v>
      </c>
      <c r="D100" t="s">
        <v>1185</v>
      </c>
      <c r="E100" t="s">
        <v>1304</v>
      </c>
      <c r="F100" t="str">
        <f>[1]Raw_Customer_Dim!$A$2</f>
        <v>CUST1000</v>
      </c>
      <c r="G100" t="str">
        <f>_xlfn.XLOOKUP(E100,Store_Dim!A:A,Store_Dim!B:B,"Not Found")</f>
        <v>Martinez-Mullins</v>
      </c>
      <c r="H100" t="str">
        <f>_xlfn.XLOOKUP(D100,Product_Dim!A:A,Product_Dim!C:C,"Not Found")</f>
        <v>Home</v>
      </c>
      <c r="I100" t="str">
        <f>_xlfn.XLOOKUP(E100,Store_Dim!A:A,Store_Dim!C:C,"Not Found")</f>
        <v>South</v>
      </c>
      <c r="J100" t="str">
        <f>_xlfn.XLOOKUP(C100,Customer_Dim!A:A,Customer_Dim!B:B,"Not Found")</f>
        <v>Joseph Richards</v>
      </c>
      <c r="K100">
        <f>Table511[[#This Row],[Total_Amount]]/(L100*(1-Table511[[#This Row],[Discount]]))</f>
        <v>4.0000000000000009</v>
      </c>
      <c r="L100" s="5">
        <v>476.28</v>
      </c>
      <c r="M100">
        <v>0.17</v>
      </c>
      <c r="N100" t="s">
        <v>1349</v>
      </c>
      <c r="O100" s="5">
        <v>1581.2496000000001</v>
      </c>
    </row>
    <row r="101" spans="1:15">
      <c r="A101" t="s">
        <v>1450</v>
      </c>
      <c r="B101" s="7">
        <v>45479</v>
      </c>
      <c r="C101" t="s">
        <v>714</v>
      </c>
      <c r="D101" t="s">
        <v>1181</v>
      </c>
      <c r="E101" t="s">
        <v>1291</v>
      </c>
      <c r="F101" t="str">
        <f>[1]Raw_Customer_Dim!$A$2</f>
        <v>CUST1000</v>
      </c>
      <c r="G101" t="str">
        <f>_xlfn.XLOOKUP(E101,Store_Dim!A:A,Store_Dim!B:B,"Not Found")</f>
        <v>Johnson-Wright</v>
      </c>
      <c r="H101" t="str">
        <f>_xlfn.XLOOKUP(D101,Product_Dim!A:A,Product_Dim!C:C,"Not Found")</f>
        <v>Sports</v>
      </c>
      <c r="I101" t="str">
        <f>_xlfn.XLOOKUP(E101,Store_Dim!A:A,Store_Dim!C:C,"Not Found")</f>
        <v>North</v>
      </c>
      <c r="J101" t="str">
        <f>_xlfn.XLOOKUP(C101,Customer_Dim!A:A,Customer_Dim!B:B,"Not Found")</f>
        <v>Andrew Smith</v>
      </c>
      <c r="K101">
        <f>Table511[[#This Row],[Total_Amount]]/(L101*(1-Table511[[#This Row],[Discount]]))</f>
        <v>3</v>
      </c>
      <c r="L101" s="5">
        <v>541.99</v>
      </c>
      <c r="M101">
        <v>0.24</v>
      </c>
      <c r="N101" t="s">
        <v>1354</v>
      </c>
      <c r="O101" s="5">
        <v>1235.7372</v>
      </c>
    </row>
    <row r="102" spans="1:15">
      <c r="A102" t="s">
        <v>1451</v>
      </c>
      <c r="B102" s="7">
        <v>45677</v>
      </c>
      <c r="C102" t="s">
        <v>801</v>
      </c>
      <c r="D102" t="s">
        <v>1139</v>
      </c>
      <c r="E102" t="s">
        <v>1298</v>
      </c>
      <c r="F102" t="str">
        <f>[1]Raw_Customer_Dim!$A$2</f>
        <v>CUST1000</v>
      </c>
      <c r="G102" t="str">
        <f>_xlfn.XLOOKUP(E102,Store_Dim!A:A,Store_Dim!B:B,"Not Found")</f>
        <v>Gray Ltd</v>
      </c>
      <c r="H102" t="str">
        <f>_xlfn.XLOOKUP(D102,Product_Dim!A:A,Product_Dim!C:C,"Not Found")</f>
        <v>Home</v>
      </c>
      <c r="I102" t="str">
        <f>_xlfn.XLOOKUP(E102,Store_Dim!A:A,Store_Dim!C:C,"Not Found")</f>
        <v>North</v>
      </c>
      <c r="J102" t="str">
        <f>_xlfn.XLOOKUP(C102,Customer_Dim!A:A,Customer_Dim!B:B,"Not Found")</f>
        <v>Gregory Allen</v>
      </c>
      <c r="K102">
        <f>Table511[[#This Row],[Total_Amount]]/(L102*(1-Table511[[#This Row],[Discount]]))</f>
        <v>2</v>
      </c>
      <c r="L102" s="5">
        <v>401.5</v>
      </c>
      <c r="M102">
        <v>0.18</v>
      </c>
      <c r="N102" t="s">
        <v>1349</v>
      </c>
      <c r="O102" s="5">
        <v>658.46</v>
      </c>
    </row>
    <row r="103" spans="1:15">
      <c r="A103" t="s">
        <v>1452</v>
      </c>
      <c r="B103" s="7">
        <v>45453</v>
      </c>
      <c r="C103" t="s">
        <v>222</v>
      </c>
      <c r="D103" t="s">
        <v>1123</v>
      </c>
      <c r="E103" t="s">
        <v>1322</v>
      </c>
      <c r="F103" t="str">
        <f>[1]Raw_Customer_Dim!$A$2</f>
        <v>CUST1000</v>
      </c>
      <c r="G103" t="str">
        <f>_xlfn.XLOOKUP(E103,Store_Dim!A:A,Store_Dim!B:B,"Not Found")</f>
        <v>Gardner, Humphrey and Contreras</v>
      </c>
      <c r="H103" t="str">
        <f>_xlfn.XLOOKUP(D103,Product_Dim!A:A,Product_Dim!C:C,"Not Found")</f>
        <v>Clothing</v>
      </c>
      <c r="I103" t="str">
        <f>_xlfn.XLOOKUP(E103,Store_Dim!A:A,Store_Dim!C:C,"Not Found")</f>
        <v>East</v>
      </c>
      <c r="J103" t="str">
        <f>_xlfn.XLOOKUP(C103,Customer_Dim!A:A,Customer_Dim!B:B,"Not Found")</f>
        <v>Christy Hoffman</v>
      </c>
      <c r="K103">
        <f>Table511[[#This Row],[Total_Amount]]/(L103*(1-Table511[[#This Row],[Discount]]))</f>
        <v>3</v>
      </c>
      <c r="L103" s="5">
        <v>359.56</v>
      </c>
      <c r="M103">
        <v>0.17</v>
      </c>
      <c r="N103" t="s">
        <v>1351</v>
      </c>
      <c r="O103" s="5">
        <v>895.30439999999999</v>
      </c>
    </row>
    <row r="104" spans="1:15">
      <c r="A104" t="s">
        <v>1453</v>
      </c>
      <c r="B104" s="7">
        <v>45552</v>
      </c>
      <c r="C104" t="s">
        <v>252</v>
      </c>
      <c r="D104" t="s">
        <v>1233</v>
      </c>
      <c r="E104" t="s">
        <v>1319</v>
      </c>
      <c r="F104" t="str">
        <f>[1]Raw_Customer_Dim!$A$2</f>
        <v>CUST1000</v>
      </c>
      <c r="G104" t="str">
        <f>_xlfn.XLOOKUP(E104,Store_Dim!A:A,Store_Dim!B:B,"Not Found")</f>
        <v>Thomas, Bridges and Harris</v>
      </c>
      <c r="H104" t="str">
        <f>_xlfn.XLOOKUP(D104,Product_Dim!A:A,Product_Dim!C:C,"Not Found")</f>
        <v>Home</v>
      </c>
      <c r="I104" t="str">
        <f>_xlfn.XLOOKUP(E104,Store_Dim!A:A,Store_Dim!C:C,"Not Found")</f>
        <v>North</v>
      </c>
      <c r="J104" t="str">
        <f>_xlfn.XLOOKUP(C104,Customer_Dim!A:A,Customer_Dim!B:B,"Not Found")</f>
        <v>David Cobb</v>
      </c>
      <c r="K104">
        <f>Table511[[#This Row],[Total_Amount]]/(L104*(1-Table511[[#This Row],[Discount]]))</f>
        <v>2</v>
      </c>
      <c r="L104" s="5">
        <v>471.88</v>
      </c>
      <c r="M104">
        <v>0.24</v>
      </c>
      <c r="N104" t="s">
        <v>1351</v>
      </c>
      <c r="O104" s="5">
        <v>717.25760000000002</v>
      </c>
    </row>
    <row r="105" spans="1:15">
      <c r="A105" t="s">
        <v>1454</v>
      </c>
      <c r="B105" s="7">
        <v>45907</v>
      </c>
      <c r="C105" t="s">
        <v>426</v>
      </c>
      <c r="D105" t="s">
        <v>1141</v>
      </c>
      <c r="E105" t="s">
        <v>1294</v>
      </c>
      <c r="F105" t="str">
        <f>[1]Raw_Customer_Dim!$A$2</f>
        <v>CUST1000</v>
      </c>
      <c r="G105" t="str">
        <f>_xlfn.XLOOKUP(E105,Store_Dim!A:A,Store_Dim!B:B,"Not Found")</f>
        <v>Alexander Group</v>
      </c>
      <c r="H105" t="str">
        <f>_xlfn.XLOOKUP(D105,Product_Dim!A:A,Product_Dim!C:C,"Not Found")</f>
        <v>Electronics</v>
      </c>
      <c r="I105" t="str">
        <f>_xlfn.XLOOKUP(E105,Store_Dim!A:A,Store_Dim!C:C,"Not Found")</f>
        <v>South</v>
      </c>
      <c r="J105" t="str">
        <f>_xlfn.XLOOKUP(C105,Customer_Dim!A:A,Customer_Dim!B:B,"Not Found")</f>
        <v>Melissa Hamilton</v>
      </c>
      <c r="K105">
        <f>Table511[[#This Row],[Total_Amount]]/(L105*(1-Table511[[#This Row],[Discount]]))</f>
        <v>4.0000000000000009</v>
      </c>
      <c r="L105" s="5">
        <v>925.19</v>
      </c>
      <c r="M105">
        <v>0.19</v>
      </c>
      <c r="N105" t="s">
        <v>1351</v>
      </c>
      <c r="O105" s="5">
        <v>2997.615600000001</v>
      </c>
    </row>
    <row r="106" spans="1:15">
      <c r="A106" t="s">
        <v>1455</v>
      </c>
      <c r="B106" s="7">
        <v>45330</v>
      </c>
      <c r="C106" t="s">
        <v>92</v>
      </c>
      <c r="D106" t="s">
        <v>1245</v>
      </c>
      <c r="E106" t="s">
        <v>1317</v>
      </c>
      <c r="F106" t="str">
        <f>[1]Raw_Customer_Dim!$A$2</f>
        <v>CUST1000</v>
      </c>
      <c r="G106" t="str">
        <f>_xlfn.XLOOKUP(E106,Store_Dim!A:A,Store_Dim!B:B,"Not Found")</f>
        <v>Aguirre-Keller</v>
      </c>
      <c r="H106" t="str">
        <f>_xlfn.XLOOKUP(D106,Product_Dim!A:A,Product_Dim!C:C,"Not Found")</f>
        <v>Home</v>
      </c>
      <c r="I106" t="str">
        <f>_xlfn.XLOOKUP(E106,Store_Dim!A:A,Store_Dim!C:C,"Not Found")</f>
        <v>South</v>
      </c>
      <c r="J106" t="str">
        <f>_xlfn.XLOOKUP(C106,Customer_Dim!A:A,Customer_Dim!B:B,"Not Found")</f>
        <v>David Arnold</v>
      </c>
      <c r="K106">
        <f>Table511[[#This Row],[Total_Amount]]/(L106*(1-Table511[[#This Row],[Discount]]))</f>
        <v>2</v>
      </c>
      <c r="L106" s="5">
        <v>879.63</v>
      </c>
      <c r="M106">
        <v>7.0000000000000007E-2</v>
      </c>
      <c r="N106" t="s">
        <v>1354</v>
      </c>
      <c r="O106" s="5">
        <v>1636.1117999999999</v>
      </c>
    </row>
    <row r="107" spans="1:15">
      <c r="A107" t="s">
        <v>1456</v>
      </c>
      <c r="B107" s="7">
        <v>45214</v>
      </c>
      <c r="C107" t="s">
        <v>18</v>
      </c>
      <c r="D107" t="s">
        <v>1231</v>
      </c>
      <c r="E107" t="s">
        <v>1332</v>
      </c>
      <c r="F107" t="str">
        <f>[1]Raw_Customer_Dim!$A$2</f>
        <v>CUST1000</v>
      </c>
      <c r="G107" t="str">
        <f>_xlfn.XLOOKUP(E107,Store_Dim!A:A,Store_Dim!B:B,"Not Found")</f>
        <v>Holloway Ltd</v>
      </c>
      <c r="H107" t="str">
        <f>_xlfn.XLOOKUP(D107,Product_Dim!A:A,Product_Dim!C:C,"Not Found")</f>
        <v>Home</v>
      </c>
      <c r="I107" t="str">
        <f>_xlfn.XLOOKUP(E107,Store_Dim!A:A,Store_Dim!C:C,"Not Found")</f>
        <v>North</v>
      </c>
      <c r="J107" t="str">
        <f>_xlfn.XLOOKUP(C107,Customer_Dim!A:A,Customer_Dim!B:B,"Not Found")</f>
        <v>dr. Benjamin Price</v>
      </c>
      <c r="K107">
        <f>Table511[[#This Row],[Total_Amount]]/(L107*(1-Table511[[#This Row],[Discount]]))</f>
        <v>2</v>
      </c>
      <c r="L107" s="5">
        <v>418.23</v>
      </c>
      <c r="M107">
        <v>0.28000000000000003</v>
      </c>
      <c r="N107" t="s">
        <v>1349</v>
      </c>
      <c r="O107" s="5">
        <v>602.25120000000004</v>
      </c>
    </row>
    <row r="108" spans="1:15">
      <c r="A108" t="s">
        <v>1457</v>
      </c>
      <c r="B108" s="7">
        <v>45891</v>
      </c>
      <c r="C108" t="s">
        <v>602</v>
      </c>
      <c r="D108" t="s">
        <v>1111</v>
      </c>
      <c r="E108" t="s">
        <v>1335</v>
      </c>
      <c r="F108" t="str">
        <f>[1]Raw_Customer_Dim!$A$2</f>
        <v>CUST1000</v>
      </c>
      <c r="G108" t="str">
        <f>_xlfn.XLOOKUP(E108,Store_Dim!A:A,Store_Dim!B:B,"Not Found")</f>
        <v>Guerrero-Schmitt</v>
      </c>
      <c r="H108" t="str">
        <f>_xlfn.XLOOKUP(D108,Product_Dim!A:A,Product_Dim!C:C,"Not Found")</f>
        <v>Sports</v>
      </c>
      <c r="I108" t="str">
        <f>_xlfn.XLOOKUP(E108,Store_Dim!A:A,Store_Dim!C:C,"Not Found")</f>
        <v>East</v>
      </c>
      <c r="J108" t="str">
        <f>_xlfn.XLOOKUP(C108,Customer_Dim!A:A,Customer_Dim!B:B,"Not Found")</f>
        <v>Tyrone Olson</v>
      </c>
      <c r="K108">
        <f>Table511[[#This Row],[Total_Amount]]/(L108*(1-Table511[[#This Row],[Discount]]))</f>
        <v>3</v>
      </c>
      <c r="L108" s="5">
        <v>551.72</v>
      </c>
      <c r="M108">
        <v>0.03</v>
      </c>
      <c r="N108" t="s">
        <v>1354</v>
      </c>
      <c r="O108" s="5">
        <v>1605.5052000000001</v>
      </c>
    </row>
    <row r="109" spans="1:15">
      <c r="A109" t="s">
        <v>1458</v>
      </c>
      <c r="B109" s="7">
        <v>45323</v>
      </c>
      <c r="C109" t="s">
        <v>740</v>
      </c>
      <c r="D109" t="s">
        <v>1245</v>
      </c>
      <c r="E109" t="s">
        <v>1304</v>
      </c>
      <c r="F109" t="str">
        <f>[1]Raw_Customer_Dim!$A$2</f>
        <v>CUST1000</v>
      </c>
      <c r="G109" t="str">
        <f>_xlfn.XLOOKUP(E109,Store_Dim!A:A,Store_Dim!B:B,"Not Found")</f>
        <v>Martinez-Mullins</v>
      </c>
      <c r="H109" t="str">
        <f>_xlfn.XLOOKUP(D109,Product_Dim!A:A,Product_Dim!C:C,"Not Found")</f>
        <v>Home</v>
      </c>
      <c r="I109" t="str">
        <f>_xlfn.XLOOKUP(E109,Store_Dim!A:A,Store_Dim!C:C,"Not Found")</f>
        <v>South</v>
      </c>
      <c r="J109" t="str">
        <f>_xlfn.XLOOKUP(C109,Customer_Dim!A:A,Customer_Dim!B:B,"Not Found")</f>
        <v>Jasmine Snyder</v>
      </c>
      <c r="K109">
        <f>Table511[[#This Row],[Total_Amount]]/(L109*(1-Table511[[#This Row],[Discount]]))</f>
        <v>4</v>
      </c>
      <c r="L109" s="5">
        <v>525.61</v>
      </c>
      <c r="M109">
        <v>0.02</v>
      </c>
      <c r="N109" t="s">
        <v>1351</v>
      </c>
      <c r="O109" s="5">
        <v>2060.3912</v>
      </c>
    </row>
    <row r="110" spans="1:15">
      <c r="A110" t="s">
        <v>1459</v>
      </c>
      <c r="B110" s="7">
        <v>45785</v>
      </c>
      <c r="C110" t="s">
        <v>120</v>
      </c>
      <c r="D110" t="s">
        <v>1117</v>
      </c>
      <c r="E110" t="s">
        <v>1322</v>
      </c>
      <c r="F110" t="str">
        <f>[1]Raw_Customer_Dim!$A$2</f>
        <v>CUST1000</v>
      </c>
      <c r="G110" t="str">
        <f>_xlfn.XLOOKUP(E110,Store_Dim!A:A,Store_Dim!B:B,"Not Found")</f>
        <v>Gardner, Humphrey and Contreras</v>
      </c>
      <c r="H110" t="str">
        <f>_xlfn.XLOOKUP(D110,Product_Dim!A:A,Product_Dim!C:C,"Not Found")</f>
        <v>Sports</v>
      </c>
      <c r="I110" t="str">
        <f>_xlfn.XLOOKUP(E110,Store_Dim!A:A,Store_Dim!C:C,"Not Found")</f>
        <v>East</v>
      </c>
      <c r="J110" t="str">
        <f>_xlfn.XLOOKUP(C110,Customer_Dim!A:A,Customer_Dim!B:B,"Not Found")</f>
        <v>James Gibbs</v>
      </c>
      <c r="K110">
        <f>Table511[[#This Row],[Total_Amount]]/(L110*(1-Table511[[#This Row],[Discount]]))</f>
        <v>3.0000000000000004</v>
      </c>
      <c r="L110" s="5">
        <v>815.3</v>
      </c>
      <c r="M110">
        <v>0.03</v>
      </c>
      <c r="N110" t="s">
        <v>1349</v>
      </c>
      <c r="O110" s="5">
        <v>2372.5230000000001</v>
      </c>
    </row>
    <row r="111" spans="1:15">
      <c r="A111" t="s">
        <v>1460</v>
      </c>
      <c r="B111" s="7">
        <v>45738</v>
      </c>
      <c r="C111" t="s">
        <v>490</v>
      </c>
      <c r="D111" t="s">
        <v>1255</v>
      </c>
      <c r="E111" t="s">
        <v>1277</v>
      </c>
      <c r="F111" t="str">
        <f>[1]Raw_Customer_Dim!$A$2</f>
        <v>CUST1000</v>
      </c>
      <c r="G111" t="str">
        <f>_xlfn.XLOOKUP(E111,Store_Dim!A:A,Store_Dim!B:B,"Not Found")</f>
        <v>Rivera-Warner</v>
      </c>
      <c r="H111" t="str">
        <f>_xlfn.XLOOKUP(D111,Product_Dim!A:A,Product_Dim!C:C,"Not Found")</f>
        <v>Clothing</v>
      </c>
      <c r="I111" t="str">
        <f>_xlfn.XLOOKUP(E111,Store_Dim!A:A,Store_Dim!C:C,"Not Found")</f>
        <v>East</v>
      </c>
      <c r="J111" t="str">
        <f>_xlfn.XLOOKUP(C111,Customer_Dim!A:A,Customer_Dim!B:B,"Not Found")</f>
        <v>Eric Todd</v>
      </c>
      <c r="K111">
        <f>Table511[[#This Row],[Total_Amount]]/(L111*(1-Table511[[#This Row],[Discount]]))</f>
        <v>3</v>
      </c>
      <c r="L111" s="5">
        <v>376.46</v>
      </c>
      <c r="M111">
        <v>0.09</v>
      </c>
      <c r="N111" t="s">
        <v>1354</v>
      </c>
      <c r="O111" s="5">
        <v>1027.7357999999999</v>
      </c>
    </row>
    <row r="112" spans="1:15">
      <c r="A112" t="s">
        <v>1461</v>
      </c>
      <c r="B112" s="7">
        <v>45851</v>
      </c>
      <c r="C112" t="s">
        <v>33</v>
      </c>
      <c r="D112" t="s">
        <v>1157</v>
      </c>
      <c r="E112" t="s">
        <v>1307</v>
      </c>
      <c r="F112" t="str">
        <f>[1]Raw_Customer_Dim!$A$2</f>
        <v>CUST1000</v>
      </c>
      <c r="G112" t="str">
        <f>_xlfn.XLOOKUP(E112,Store_Dim!A:A,Store_Dim!B:B,"Not Found")</f>
        <v>Bean, Jones and Park</v>
      </c>
      <c r="H112" t="str">
        <f>_xlfn.XLOOKUP(D112,Product_Dim!A:A,Product_Dim!C:C,"Not Found")</f>
        <v>Electronics</v>
      </c>
      <c r="I112" t="str">
        <f>_xlfn.XLOOKUP(E112,Store_Dim!A:A,Store_Dim!C:C,"Not Found")</f>
        <v>West</v>
      </c>
      <c r="J112" t="str">
        <f>_xlfn.XLOOKUP(C112,Customer_Dim!A:A,Customer_Dim!B:B,"Not Found")</f>
        <v>Daniel Boyd</v>
      </c>
      <c r="K112">
        <f>Table511[[#This Row],[Total_Amount]]/(L112*(1-Table511[[#This Row],[Discount]]))</f>
        <v>4</v>
      </c>
      <c r="L112" s="5">
        <v>239.83</v>
      </c>
      <c r="M112">
        <v>0.08</v>
      </c>
      <c r="N112" t="s">
        <v>1349</v>
      </c>
      <c r="O112" s="5">
        <v>882.57440000000008</v>
      </c>
    </row>
    <row r="113" spans="1:15">
      <c r="A113" t="s">
        <v>1462</v>
      </c>
      <c r="B113" s="7">
        <v>45798</v>
      </c>
      <c r="C113" t="s">
        <v>298</v>
      </c>
      <c r="D113" t="s">
        <v>1253</v>
      </c>
      <c r="E113" t="s">
        <v>1291</v>
      </c>
      <c r="F113" t="str">
        <f>[1]Raw_Customer_Dim!$A$2</f>
        <v>CUST1000</v>
      </c>
      <c r="G113" t="str">
        <f>_xlfn.XLOOKUP(E113,Store_Dim!A:A,Store_Dim!B:B,"Not Found")</f>
        <v>Johnson-Wright</v>
      </c>
      <c r="H113" t="str">
        <f>_xlfn.XLOOKUP(D113,Product_Dim!A:A,Product_Dim!C:C,"Not Found")</f>
        <v>Electronics</v>
      </c>
      <c r="I113" t="str">
        <f>_xlfn.XLOOKUP(E113,Store_Dim!A:A,Store_Dim!C:C,"Not Found")</f>
        <v>North</v>
      </c>
      <c r="J113" t="str">
        <f>_xlfn.XLOOKUP(C113,Customer_Dim!A:A,Customer_Dim!B:B,"Not Found")</f>
        <v>Michael Jones</v>
      </c>
      <c r="K113">
        <f>Table511[[#This Row],[Total_Amount]]/(L113*(1-Table511[[#This Row],[Discount]]))</f>
        <v>1.9999999999999998</v>
      </c>
      <c r="L113" s="5">
        <v>845.71</v>
      </c>
      <c r="M113">
        <v>0.01</v>
      </c>
      <c r="N113" t="s">
        <v>1351</v>
      </c>
      <c r="O113" s="5">
        <v>1674.5057999999999</v>
      </c>
    </row>
    <row r="114" spans="1:15">
      <c r="A114" t="s">
        <v>1463</v>
      </c>
      <c r="B114" s="7">
        <v>45705</v>
      </c>
      <c r="C114" t="s">
        <v>229</v>
      </c>
      <c r="D114" t="s">
        <v>1225</v>
      </c>
      <c r="E114" t="s">
        <v>1322</v>
      </c>
      <c r="F114" t="str">
        <f>[1]Raw_Customer_Dim!$A$2</f>
        <v>CUST1000</v>
      </c>
      <c r="G114" t="str">
        <f>_xlfn.XLOOKUP(E114,Store_Dim!A:A,Store_Dim!B:B,"Not Found")</f>
        <v>Gardner, Humphrey and Contreras</v>
      </c>
      <c r="H114" t="str">
        <f>_xlfn.XLOOKUP(D114,Product_Dim!A:A,Product_Dim!C:C,"Not Found")</f>
        <v>Electronics</v>
      </c>
      <c r="I114" t="str">
        <f>_xlfn.XLOOKUP(E114,Store_Dim!A:A,Store_Dim!C:C,"Not Found")</f>
        <v>East</v>
      </c>
      <c r="J114" t="str">
        <f>_xlfn.XLOOKUP(C114,Customer_Dim!A:A,Customer_Dim!B:B,"Not Found")</f>
        <v>Melissa Duffy MD</v>
      </c>
      <c r="K114">
        <f>Table511[[#This Row],[Total_Amount]]/(L114*(1-Table511[[#This Row],[Discount]]))</f>
        <v>3.0000000000000004</v>
      </c>
      <c r="L114" s="5">
        <v>948.69</v>
      </c>
      <c r="M114">
        <v>0.28999999999999998</v>
      </c>
      <c r="N114" t="s">
        <v>1349</v>
      </c>
      <c r="O114" s="5">
        <v>2020.7097000000001</v>
      </c>
    </row>
    <row r="115" spans="1:15">
      <c r="A115" t="s">
        <v>1464</v>
      </c>
      <c r="B115" s="7">
        <v>45413</v>
      </c>
      <c r="C115" t="s">
        <v>996</v>
      </c>
      <c r="D115" t="s">
        <v>1127</v>
      </c>
      <c r="E115" t="s">
        <v>1314</v>
      </c>
      <c r="F115" t="str">
        <f>[1]Raw_Customer_Dim!$A$2</f>
        <v>CUST1000</v>
      </c>
      <c r="G115" t="str">
        <f>_xlfn.XLOOKUP(E115,Store_Dim!A:A,Store_Dim!B:B,"Not Found")</f>
        <v>Hill, Wagner and Ballard</v>
      </c>
      <c r="H115" t="str">
        <f>_xlfn.XLOOKUP(D115,Product_Dim!A:A,Product_Dim!C:C,"Not Found")</f>
        <v>Home</v>
      </c>
      <c r="I115" t="str">
        <f>_xlfn.XLOOKUP(E115,Store_Dim!A:A,Store_Dim!C:C,"Not Found")</f>
        <v>East</v>
      </c>
      <c r="J115" t="str">
        <f>_xlfn.XLOOKUP(C115,Customer_Dim!A:A,Customer_Dim!B:B,"Not Found")</f>
        <v>Michael Foley</v>
      </c>
      <c r="K115">
        <f>Table511[[#This Row],[Total_Amount]]/(L115*(1-Table511[[#This Row],[Discount]]))</f>
        <v>0.99999999999999989</v>
      </c>
      <c r="L115" s="5">
        <v>281.97000000000003</v>
      </c>
      <c r="M115">
        <v>0.2</v>
      </c>
      <c r="N115" t="s">
        <v>1351</v>
      </c>
      <c r="O115" s="5">
        <v>225.57599999999999</v>
      </c>
    </row>
    <row r="116" spans="1:15">
      <c r="A116" t="s">
        <v>1465</v>
      </c>
      <c r="B116" s="7">
        <v>45482</v>
      </c>
      <c r="C116" t="s">
        <v>365</v>
      </c>
      <c r="D116" t="s">
        <v>1255</v>
      </c>
      <c r="E116" t="s">
        <v>1294</v>
      </c>
      <c r="F116" t="str">
        <f>[1]Raw_Customer_Dim!$A$2</f>
        <v>CUST1000</v>
      </c>
      <c r="G116" t="str">
        <f>_xlfn.XLOOKUP(E116,Store_Dim!A:A,Store_Dim!B:B,"Not Found")</f>
        <v>Alexander Group</v>
      </c>
      <c r="H116" t="str">
        <f>_xlfn.XLOOKUP(D116,Product_Dim!A:A,Product_Dim!C:C,"Not Found")</f>
        <v>Clothing</v>
      </c>
      <c r="I116" t="str">
        <f>_xlfn.XLOOKUP(E116,Store_Dim!A:A,Store_Dim!C:C,"Not Found")</f>
        <v>South</v>
      </c>
      <c r="J116" t="str">
        <f>_xlfn.XLOOKUP(C116,Customer_Dim!A:A,Customer_Dim!B:B,"Not Found")</f>
        <v>Patrick Roberts</v>
      </c>
      <c r="K116">
        <f>Table511[[#This Row],[Total_Amount]]/(L116*(1-Table511[[#This Row],[Discount]]))</f>
        <v>2.0000000000000004</v>
      </c>
      <c r="L116" s="5">
        <v>731.01</v>
      </c>
      <c r="M116">
        <v>0.05</v>
      </c>
      <c r="N116" t="s">
        <v>1351</v>
      </c>
      <c r="O116" s="5">
        <v>1388.9190000000001</v>
      </c>
    </row>
    <row r="117" spans="1:15">
      <c r="A117" t="s">
        <v>1466</v>
      </c>
      <c r="B117" s="7">
        <v>45925</v>
      </c>
      <c r="C117" t="s">
        <v>577</v>
      </c>
      <c r="D117" t="s">
        <v>1243</v>
      </c>
      <c r="E117" t="s">
        <v>1304</v>
      </c>
      <c r="F117" t="str">
        <f>[1]Raw_Customer_Dim!$A$2</f>
        <v>CUST1000</v>
      </c>
      <c r="G117" t="str">
        <f>_xlfn.XLOOKUP(E117,Store_Dim!A:A,Store_Dim!B:B,"Not Found")</f>
        <v>Martinez-Mullins</v>
      </c>
      <c r="H117" t="str">
        <f>_xlfn.XLOOKUP(D117,Product_Dim!A:A,Product_Dim!C:C,"Not Found")</f>
        <v>Clothing</v>
      </c>
      <c r="I117" t="str">
        <f>_xlfn.XLOOKUP(E117,Store_Dim!A:A,Store_Dim!C:C,"Not Found")</f>
        <v>South</v>
      </c>
      <c r="J117" t="str">
        <f>_xlfn.XLOOKUP(C117,Customer_Dim!A:A,Customer_Dim!B:B,"Not Found")</f>
        <v>Christopher David</v>
      </c>
      <c r="K117">
        <f>Table511[[#This Row],[Total_Amount]]/(L117*(1-Table511[[#This Row],[Discount]]))</f>
        <v>4</v>
      </c>
      <c r="L117" s="5">
        <v>930.85</v>
      </c>
      <c r="M117">
        <v>0.13</v>
      </c>
      <c r="N117" t="s">
        <v>1351</v>
      </c>
      <c r="O117" s="5">
        <v>3239.3580000000002</v>
      </c>
    </row>
    <row r="118" spans="1:15">
      <c r="A118" t="s">
        <v>1467</v>
      </c>
      <c r="B118" s="7">
        <v>45420</v>
      </c>
      <c r="C118" t="s">
        <v>901</v>
      </c>
      <c r="D118" t="s">
        <v>1076</v>
      </c>
      <c r="E118" t="s">
        <v>1307</v>
      </c>
      <c r="F118" t="str">
        <f>[1]Raw_Customer_Dim!$A$2</f>
        <v>CUST1000</v>
      </c>
      <c r="G118" t="str">
        <f>_xlfn.XLOOKUP(E118,Store_Dim!A:A,Store_Dim!B:B,"Not Found")</f>
        <v>Bean, Jones and Park</v>
      </c>
      <c r="H118" t="str">
        <f>_xlfn.XLOOKUP(D118,Product_Dim!A:A,Product_Dim!C:C,"Not Found")</f>
        <v>Not Found</v>
      </c>
      <c r="I118" t="str">
        <f>_xlfn.XLOOKUP(E118,Store_Dim!A:A,Store_Dim!C:C,"Not Found")</f>
        <v>West</v>
      </c>
      <c r="J118" t="str">
        <f>_xlfn.XLOOKUP(C118,Customer_Dim!A:A,Customer_Dim!B:B,"Not Found")</f>
        <v>Monica Miller</v>
      </c>
      <c r="K118">
        <f>Table511[[#This Row],[Total_Amount]]/(L118*(1-Table511[[#This Row],[Discount]]))</f>
        <v>4</v>
      </c>
      <c r="L118" s="5">
        <v>770.77</v>
      </c>
      <c r="M118">
        <v>0.22</v>
      </c>
      <c r="N118" t="s">
        <v>1349</v>
      </c>
      <c r="O118" s="5">
        <v>2404.8024</v>
      </c>
    </row>
    <row r="119" spans="1:15">
      <c r="A119" t="s">
        <v>1468</v>
      </c>
      <c r="B119" s="7">
        <v>45554</v>
      </c>
      <c r="C119" t="s">
        <v>182</v>
      </c>
      <c r="D119" t="s">
        <v>1165</v>
      </c>
      <c r="E119" t="s">
        <v>1294</v>
      </c>
      <c r="F119" t="str">
        <f>[1]Raw_Customer_Dim!$A$2</f>
        <v>CUST1000</v>
      </c>
      <c r="G119" t="str">
        <f>_xlfn.XLOOKUP(E119,Store_Dim!A:A,Store_Dim!B:B,"Not Found")</f>
        <v>Alexander Group</v>
      </c>
      <c r="H119" t="str">
        <f>_xlfn.XLOOKUP(D119,Product_Dim!A:A,Product_Dim!C:C,"Not Found")</f>
        <v>Clothing</v>
      </c>
      <c r="I119" t="str">
        <f>_xlfn.XLOOKUP(E119,Store_Dim!A:A,Store_Dim!C:C,"Not Found")</f>
        <v>South</v>
      </c>
      <c r="J119" t="str">
        <f>_xlfn.XLOOKUP(C119,Customer_Dim!A:A,Customer_Dim!B:B,"Not Found")</f>
        <v>Amber Mcclain</v>
      </c>
      <c r="K119">
        <f>Table511[[#This Row],[Total_Amount]]/(L119*(1-Table511[[#This Row],[Discount]]))</f>
        <v>3</v>
      </c>
      <c r="L119" s="5">
        <v>479.63</v>
      </c>
      <c r="M119">
        <v>0.3</v>
      </c>
      <c r="N119" t="s">
        <v>1351</v>
      </c>
      <c r="O119" s="5">
        <v>1007.223</v>
      </c>
    </row>
    <row r="120" spans="1:15">
      <c r="A120" t="s">
        <v>1469</v>
      </c>
      <c r="B120" s="7">
        <v>45405</v>
      </c>
      <c r="C120" t="s">
        <v>269</v>
      </c>
      <c r="D120" t="s">
        <v>1151</v>
      </c>
      <c r="E120" t="s">
        <v>1317</v>
      </c>
      <c r="F120" t="str">
        <f>[1]Raw_Customer_Dim!$A$2</f>
        <v>CUST1000</v>
      </c>
      <c r="G120" t="str">
        <f>_xlfn.XLOOKUP(E120,Store_Dim!A:A,Store_Dim!B:B,"Not Found")</f>
        <v>Aguirre-Keller</v>
      </c>
      <c r="H120" t="str">
        <f>_xlfn.XLOOKUP(D120,Product_Dim!A:A,Product_Dim!C:C,"Not Found")</f>
        <v>Electronics</v>
      </c>
      <c r="I120" t="str">
        <f>_xlfn.XLOOKUP(E120,Store_Dim!A:A,Store_Dim!C:C,"Not Found")</f>
        <v>South</v>
      </c>
      <c r="J120" t="str">
        <f>_xlfn.XLOOKUP(C120,Customer_Dim!A:A,Customer_Dim!B:B,"Not Found")</f>
        <v>Lance Baker</v>
      </c>
      <c r="K120">
        <f>Table511[[#This Row],[Total_Amount]]/(L120*(1-Table511[[#This Row],[Discount]]))</f>
        <v>1.0000000000000002</v>
      </c>
      <c r="L120" s="5">
        <v>165</v>
      </c>
      <c r="M120">
        <v>0.3</v>
      </c>
      <c r="N120" t="s">
        <v>1354</v>
      </c>
      <c r="O120" s="5">
        <v>115.5</v>
      </c>
    </row>
    <row r="121" spans="1:15">
      <c r="A121" t="s">
        <v>1470</v>
      </c>
      <c r="B121" s="7">
        <v>45503</v>
      </c>
      <c r="C121" t="s">
        <v>377</v>
      </c>
      <c r="D121" t="s">
        <v>1111</v>
      </c>
      <c r="E121" t="s">
        <v>1307</v>
      </c>
      <c r="F121" t="str">
        <f>[1]Raw_Customer_Dim!$A$2</f>
        <v>CUST1000</v>
      </c>
      <c r="G121" t="str">
        <f>_xlfn.XLOOKUP(E121,Store_Dim!A:A,Store_Dim!B:B,"Not Found")</f>
        <v>Bean, Jones and Park</v>
      </c>
      <c r="H121" t="str">
        <f>_xlfn.XLOOKUP(D121,Product_Dim!A:A,Product_Dim!C:C,"Not Found")</f>
        <v>Sports</v>
      </c>
      <c r="I121" t="str">
        <f>_xlfn.XLOOKUP(E121,Store_Dim!A:A,Store_Dim!C:C,"Not Found")</f>
        <v>West</v>
      </c>
      <c r="J121" t="str">
        <f>_xlfn.XLOOKUP(C121,Customer_Dim!A:A,Customer_Dim!B:B,"Not Found")</f>
        <v>Sean Powell</v>
      </c>
      <c r="K121">
        <f>Table511[[#This Row],[Total_Amount]]/(L121*(1-Table511[[#This Row],[Discount]]))</f>
        <v>2.0000000000000004</v>
      </c>
      <c r="L121" s="5">
        <v>151.51</v>
      </c>
      <c r="M121">
        <v>0.28999999999999998</v>
      </c>
      <c r="N121" t="s">
        <v>1354</v>
      </c>
      <c r="O121" s="5">
        <v>215.14420000000001</v>
      </c>
    </row>
    <row r="122" spans="1:15">
      <c r="A122" t="s">
        <v>1471</v>
      </c>
      <c r="B122" s="7">
        <v>45274</v>
      </c>
      <c r="C122" t="s">
        <v>525</v>
      </c>
      <c r="D122" t="s">
        <v>1135</v>
      </c>
      <c r="E122" t="s">
        <v>1332</v>
      </c>
      <c r="F122" t="str">
        <f>[1]Raw_Customer_Dim!$A$2</f>
        <v>CUST1000</v>
      </c>
      <c r="G122" t="str">
        <f>_xlfn.XLOOKUP(E122,Store_Dim!A:A,Store_Dim!B:B,"Not Found")</f>
        <v>Holloway Ltd</v>
      </c>
      <c r="H122" t="str">
        <f>_xlfn.XLOOKUP(D122,Product_Dim!A:A,Product_Dim!C:C,"Not Found")</f>
        <v>Sports</v>
      </c>
      <c r="I122" t="str">
        <f>_xlfn.XLOOKUP(E122,Store_Dim!A:A,Store_Dim!C:C,"Not Found")</f>
        <v>North</v>
      </c>
      <c r="J122" t="str">
        <f>_xlfn.XLOOKUP(C122,Customer_Dim!A:A,Customer_Dim!B:B,"Not Found")</f>
        <v>Timothy Juarez</v>
      </c>
      <c r="K122">
        <f>Table511[[#This Row],[Total_Amount]]/(L122*(1-Table511[[#This Row],[Discount]]))</f>
        <v>2.0000000000000004</v>
      </c>
      <c r="L122" s="5">
        <v>872.93</v>
      </c>
      <c r="M122">
        <v>0.28999999999999998</v>
      </c>
      <c r="N122" t="s">
        <v>1354</v>
      </c>
      <c r="O122" s="5">
        <v>1239.5606</v>
      </c>
    </row>
    <row r="123" spans="1:15">
      <c r="A123" t="s">
        <v>1472</v>
      </c>
      <c r="B123" s="7">
        <v>45558</v>
      </c>
      <c r="C123" t="s">
        <v>591</v>
      </c>
      <c r="D123" t="s">
        <v>1117</v>
      </c>
      <c r="E123" t="s">
        <v>1314</v>
      </c>
      <c r="F123" t="str">
        <f>[1]Raw_Customer_Dim!$A$2</f>
        <v>CUST1000</v>
      </c>
      <c r="G123" t="str">
        <f>_xlfn.XLOOKUP(E123,Store_Dim!A:A,Store_Dim!B:B,"Not Found")</f>
        <v>Hill, Wagner and Ballard</v>
      </c>
      <c r="H123" t="str">
        <f>_xlfn.XLOOKUP(D123,Product_Dim!A:A,Product_Dim!C:C,"Not Found")</f>
        <v>Sports</v>
      </c>
      <c r="I123" t="str">
        <f>_xlfn.XLOOKUP(E123,Store_Dim!A:A,Store_Dim!C:C,"Not Found")</f>
        <v>East</v>
      </c>
      <c r="J123" t="str">
        <f>_xlfn.XLOOKUP(C123,Customer_Dim!A:A,Customer_Dim!B:B,"Not Found")</f>
        <v>Matthew Payne</v>
      </c>
      <c r="K123">
        <f>Table511[[#This Row],[Total_Amount]]/(L123*(1-Table511[[#This Row],[Discount]]))</f>
        <v>3</v>
      </c>
      <c r="L123" s="5">
        <v>432.4</v>
      </c>
      <c r="M123">
        <v>0.04</v>
      </c>
      <c r="N123" t="s">
        <v>1349</v>
      </c>
      <c r="O123" s="5">
        <v>1245.3119999999999</v>
      </c>
    </row>
    <row r="124" spans="1:15">
      <c r="A124" t="s">
        <v>1473</v>
      </c>
      <c r="B124" s="7">
        <v>45886</v>
      </c>
      <c r="C124" t="s">
        <v>740</v>
      </c>
      <c r="D124" t="s">
        <v>1173</v>
      </c>
      <c r="E124" t="s">
        <v>1304</v>
      </c>
      <c r="F124" t="str">
        <f>[1]Raw_Customer_Dim!$A$2</f>
        <v>CUST1000</v>
      </c>
      <c r="G124" t="str">
        <f>_xlfn.XLOOKUP(E124,Store_Dim!A:A,Store_Dim!B:B,"Not Found")</f>
        <v>Martinez-Mullins</v>
      </c>
      <c r="H124" t="str">
        <f>_xlfn.XLOOKUP(D124,Product_Dim!A:A,Product_Dim!C:C,"Not Found")</f>
        <v>Sports</v>
      </c>
      <c r="I124" t="str">
        <f>_xlfn.XLOOKUP(E124,Store_Dim!A:A,Store_Dim!C:C,"Not Found")</f>
        <v>South</v>
      </c>
      <c r="J124" t="str">
        <f>_xlfn.XLOOKUP(C124,Customer_Dim!A:A,Customer_Dim!B:B,"Not Found")</f>
        <v>Jasmine Snyder</v>
      </c>
      <c r="K124">
        <f>Table511[[#This Row],[Total_Amount]]/(L124*(1-Table511[[#This Row],[Discount]]))</f>
        <v>2.0000000000000004</v>
      </c>
      <c r="L124" s="5">
        <v>197.76</v>
      </c>
      <c r="M124">
        <v>0.04</v>
      </c>
      <c r="N124" t="s">
        <v>1349</v>
      </c>
      <c r="O124" s="5">
        <v>379.69920000000002</v>
      </c>
    </row>
    <row r="125" spans="1:15">
      <c r="A125" t="s">
        <v>1474</v>
      </c>
      <c r="B125" s="7">
        <v>45674</v>
      </c>
      <c r="C125" t="s">
        <v>1014</v>
      </c>
      <c r="D125" t="s">
        <v>1153</v>
      </c>
      <c r="E125" t="s">
        <v>1286</v>
      </c>
      <c r="F125" t="str">
        <f>[1]Raw_Customer_Dim!$A$2</f>
        <v>CUST1000</v>
      </c>
      <c r="G125" t="str">
        <f>_xlfn.XLOOKUP(E125,Store_Dim!A:A,Store_Dim!B:B,"Not Found")</f>
        <v>Black-Horn</v>
      </c>
      <c r="H125" t="str">
        <f>_xlfn.XLOOKUP(D125,Product_Dim!A:A,Product_Dim!C:C,"Not Found")</f>
        <v>Electronics</v>
      </c>
      <c r="I125" t="str">
        <f>_xlfn.XLOOKUP(E125,Store_Dim!A:A,Store_Dim!C:C,"Not Found")</f>
        <v>South</v>
      </c>
      <c r="J125" t="str">
        <f>_xlfn.XLOOKUP(C125,Customer_Dim!A:A,Customer_Dim!B:B,"Not Found")</f>
        <v>Elizabeth Foster</v>
      </c>
      <c r="K125">
        <f>Table511[[#This Row],[Total_Amount]]/(L125*(1-Table511[[#This Row],[Discount]]))</f>
        <v>3</v>
      </c>
      <c r="L125" s="5">
        <v>334.6</v>
      </c>
      <c r="M125">
        <v>0.11</v>
      </c>
      <c r="N125" t="s">
        <v>1351</v>
      </c>
      <c r="O125" s="5">
        <v>893.38200000000006</v>
      </c>
    </row>
    <row r="126" spans="1:15">
      <c r="A126" t="s">
        <v>1475</v>
      </c>
      <c r="B126" s="7">
        <v>45777</v>
      </c>
      <c r="C126" t="s">
        <v>229</v>
      </c>
      <c r="D126" t="s">
        <v>1101</v>
      </c>
      <c r="E126" t="s">
        <v>1291</v>
      </c>
      <c r="F126" t="str">
        <f>[1]Raw_Customer_Dim!$A$2</f>
        <v>CUST1000</v>
      </c>
      <c r="G126" t="str">
        <f>_xlfn.XLOOKUP(E126,Store_Dim!A:A,Store_Dim!B:B,"Not Found")</f>
        <v>Johnson-Wright</v>
      </c>
      <c r="H126" t="str">
        <f>_xlfn.XLOOKUP(D126,Product_Dim!A:A,Product_Dim!C:C,"Not Found")</f>
        <v>Home</v>
      </c>
      <c r="I126" t="str">
        <f>_xlfn.XLOOKUP(E126,Store_Dim!A:A,Store_Dim!C:C,"Not Found")</f>
        <v>North</v>
      </c>
      <c r="J126" t="str">
        <f>_xlfn.XLOOKUP(C126,Customer_Dim!A:A,Customer_Dim!B:B,"Not Found")</f>
        <v>Melissa Duffy MD</v>
      </c>
      <c r="K126">
        <f>Table511[[#This Row],[Total_Amount]]/(L126*(1-Table511[[#This Row],[Discount]]))</f>
        <v>2</v>
      </c>
      <c r="L126" s="5">
        <v>44.35</v>
      </c>
      <c r="M126">
        <v>0.2</v>
      </c>
      <c r="N126" t="s">
        <v>1354</v>
      </c>
      <c r="O126" s="5">
        <v>70.960000000000008</v>
      </c>
    </row>
    <row r="127" spans="1:15">
      <c r="A127" t="s">
        <v>1476</v>
      </c>
      <c r="B127" s="7">
        <v>45598</v>
      </c>
      <c r="C127" t="s">
        <v>1057</v>
      </c>
      <c r="D127" t="s">
        <v>1087</v>
      </c>
      <c r="E127" t="s">
        <v>1301</v>
      </c>
      <c r="F127" t="str">
        <f>[1]Raw_Customer_Dim!$A$2</f>
        <v>CUST1000</v>
      </c>
      <c r="G127" t="str">
        <f>_xlfn.XLOOKUP(E127,Store_Dim!A:A,Store_Dim!B:B,"Not Found")</f>
        <v>Benson-Elliott</v>
      </c>
      <c r="H127" t="str">
        <f>_xlfn.XLOOKUP(D127,Product_Dim!A:A,Product_Dim!C:C,"Not Found")</f>
        <v>Electronics</v>
      </c>
      <c r="I127" t="str">
        <f>_xlfn.XLOOKUP(E127,Store_Dim!A:A,Store_Dim!C:C,"Not Found")</f>
        <v>East</v>
      </c>
      <c r="J127" t="str">
        <f>_xlfn.XLOOKUP(C127,Customer_Dim!A:A,Customer_Dim!B:B,"Not Found")</f>
        <v>Traci Gonzalez</v>
      </c>
      <c r="K127">
        <f>Table511[[#This Row],[Total_Amount]]/(L127*(1-Table511[[#This Row],[Discount]]))</f>
        <v>1</v>
      </c>
      <c r="L127" s="5">
        <v>846.31</v>
      </c>
      <c r="M127">
        <v>0.05</v>
      </c>
      <c r="N127" t="s">
        <v>1351</v>
      </c>
      <c r="O127" s="5">
        <v>803.9944999999999</v>
      </c>
    </row>
    <row r="128" spans="1:15">
      <c r="A128" t="s">
        <v>1477</v>
      </c>
      <c r="B128" s="7">
        <v>45884</v>
      </c>
      <c r="C128" t="s">
        <v>323</v>
      </c>
      <c r="D128" t="s">
        <v>1143</v>
      </c>
      <c r="E128" t="s">
        <v>1319</v>
      </c>
      <c r="F128" t="str">
        <f>[1]Raw_Customer_Dim!$A$2</f>
        <v>CUST1000</v>
      </c>
      <c r="G128" t="str">
        <f>_xlfn.XLOOKUP(E128,Store_Dim!A:A,Store_Dim!B:B,"Not Found")</f>
        <v>Thomas, Bridges and Harris</v>
      </c>
      <c r="H128" t="str">
        <f>_xlfn.XLOOKUP(D128,Product_Dim!A:A,Product_Dim!C:C,"Not Found")</f>
        <v>Home</v>
      </c>
      <c r="I128" t="str">
        <f>_xlfn.XLOOKUP(E128,Store_Dim!A:A,Store_Dim!C:C,"Not Found")</f>
        <v>North</v>
      </c>
      <c r="J128" t="str">
        <f>_xlfn.XLOOKUP(C128,Customer_Dim!A:A,Customer_Dim!B:B,"Not Found")</f>
        <v>Joseph Richards</v>
      </c>
      <c r="K128">
        <f>Table511[[#This Row],[Total_Amount]]/(L128*(1-Table511[[#This Row],[Discount]]))</f>
        <v>1</v>
      </c>
      <c r="L128" s="5">
        <v>996.48</v>
      </c>
      <c r="M128">
        <v>7.0000000000000007E-2</v>
      </c>
      <c r="N128" t="s">
        <v>1354</v>
      </c>
      <c r="O128" s="5">
        <v>926.7263999999999</v>
      </c>
    </row>
    <row r="129" spans="1:15">
      <c r="A129" t="s">
        <v>1478</v>
      </c>
      <c r="B129" s="7">
        <v>45916</v>
      </c>
      <c r="C129" t="s">
        <v>618</v>
      </c>
      <c r="D129" t="s">
        <v>1259</v>
      </c>
      <c r="E129" t="s">
        <v>1301</v>
      </c>
      <c r="F129" t="str">
        <f>[1]Raw_Customer_Dim!$A$2</f>
        <v>CUST1000</v>
      </c>
      <c r="G129" t="str">
        <f>_xlfn.XLOOKUP(E129,Store_Dim!A:A,Store_Dim!B:B,"Not Found")</f>
        <v>Benson-Elliott</v>
      </c>
      <c r="H129" t="str">
        <f>_xlfn.XLOOKUP(D129,Product_Dim!A:A,Product_Dim!C:C,"Not Found")</f>
        <v>Electronics</v>
      </c>
      <c r="I129" t="str">
        <f>_xlfn.XLOOKUP(E129,Store_Dim!A:A,Store_Dim!C:C,"Not Found")</f>
        <v>East</v>
      </c>
      <c r="J129" t="str">
        <f>_xlfn.XLOOKUP(C129,Customer_Dim!A:A,Customer_Dim!B:B,"Not Found")</f>
        <v>Jeffrey Gomez</v>
      </c>
      <c r="K129">
        <f>Table511[[#This Row],[Total_Amount]]/(L129*(1-Table511[[#This Row],[Discount]]))</f>
        <v>3</v>
      </c>
      <c r="L129" s="5">
        <v>949.19</v>
      </c>
      <c r="M129">
        <v>0.03</v>
      </c>
      <c r="N129" t="s">
        <v>1354</v>
      </c>
      <c r="O129" s="5">
        <v>2762.1428999999998</v>
      </c>
    </row>
    <row r="130" spans="1:15">
      <c r="A130" t="s">
        <v>1479</v>
      </c>
      <c r="B130" s="7">
        <v>45347</v>
      </c>
      <c r="C130" t="s">
        <v>857</v>
      </c>
      <c r="D130" t="s">
        <v>1261</v>
      </c>
      <c r="E130" t="s">
        <v>1311</v>
      </c>
      <c r="F130" t="str">
        <f>[1]Raw_Customer_Dim!$A$2</f>
        <v>CUST1000</v>
      </c>
      <c r="G130" t="str">
        <f>_xlfn.XLOOKUP(E130,Store_Dim!A:A,Store_Dim!B:B,"Not Found")</f>
        <v>Moore, Padilla and Butler</v>
      </c>
      <c r="H130" t="str">
        <f>_xlfn.XLOOKUP(D130,Product_Dim!A:A,Product_Dim!C:C,"Not Found")</f>
        <v>Beauty</v>
      </c>
      <c r="I130" t="str">
        <f>_xlfn.XLOOKUP(E130,Store_Dim!A:A,Store_Dim!C:C,"Not Found")</f>
        <v>South</v>
      </c>
      <c r="J130" t="str">
        <f>_xlfn.XLOOKUP(C130,Customer_Dim!A:A,Customer_Dim!B:B,"Not Found")</f>
        <v>Charles Norman PhD</v>
      </c>
      <c r="K130">
        <f>Table511[[#This Row],[Total_Amount]]/(L130*(1-Table511[[#This Row],[Discount]]))</f>
        <v>1.9999999999999996</v>
      </c>
      <c r="L130" s="5">
        <v>724.97</v>
      </c>
      <c r="M130">
        <v>0.1</v>
      </c>
      <c r="N130" t="s">
        <v>1349</v>
      </c>
      <c r="O130" s="5">
        <v>1304.9459999999999</v>
      </c>
    </row>
    <row r="131" spans="1:15">
      <c r="A131" t="s">
        <v>1480</v>
      </c>
      <c r="B131" s="7">
        <v>45723</v>
      </c>
      <c r="C131" t="s">
        <v>694</v>
      </c>
      <c r="D131" t="s">
        <v>1071</v>
      </c>
      <c r="E131" t="s">
        <v>1329</v>
      </c>
      <c r="F131" t="str">
        <f>[1]Raw_Customer_Dim!$A$2</f>
        <v>CUST1000</v>
      </c>
      <c r="G131" t="str">
        <f>_xlfn.XLOOKUP(E131,Store_Dim!A:A,Store_Dim!B:B,"Not Found")</f>
        <v>Frederick-Wright</v>
      </c>
      <c r="H131" t="str">
        <f>_xlfn.XLOOKUP(D131,Product_Dim!A:A,Product_Dim!C:C,"Not Found")</f>
        <v>Clothing</v>
      </c>
      <c r="I131" t="str">
        <f>_xlfn.XLOOKUP(E131,Store_Dim!A:A,Store_Dim!C:C,"Not Found")</f>
        <v>West</v>
      </c>
      <c r="J131" t="str">
        <f>_xlfn.XLOOKUP(C131,Customer_Dim!A:A,Customer_Dim!B:B,"Not Found")</f>
        <v>William Rodriguez</v>
      </c>
      <c r="K131">
        <f>Table511[[#This Row],[Total_Amount]]/(L131*(1-Table511[[#This Row],[Discount]]))</f>
        <v>1</v>
      </c>
      <c r="L131" s="5">
        <v>783.25</v>
      </c>
      <c r="M131">
        <v>0.3</v>
      </c>
      <c r="N131" t="s">
        <v>1349</v>
      </c>
      <c r="O131" s="5">
        <v>548.27499999999998</v>
      </c>
    </row>
    <row r="132" spans="1:15">
      <c r="A132" t="s">
        <v>1481</v>
      </c>
      <c r="B132" s="7">
        <v>45495</v>
      </c>
      <c r="C132" t="s">
        <v>750</v>
      </c>
      <c r="D132" t="s">
        <v>1107</v>
      </c>
      <c r="E132" t="s">
        <v>1291</v>
      </c>
      <c r="F132" t="str">
        <f>[1]Raw_Customer_Dim!$A$2</f>
        <v>CUST1000</v>
      </c>
      <c r="G132" t="str">
        <f>_xlfn.XLOOKUP(E132,Store_Dim!A:A,Store_Dim!B:B,"Not Found")</f>
        <v>Johnson-Wright</v>
      </c>
      <c r="H132" t="str">
        <f>_xlfn.XLOOKUP(D132,Product_Dim!A:A,Product_Dim!C:C,"Not Found")</f>
        <v>Sports</v>
      </c>
      <c r="I132" t="str">
        <f>_xlfn.XLOOKUP(E132,Store_Dim!A:A,Store_Dim!C:C,"Not Found")</f>
        <v>North</v>
      </c>
      <c r="J132" t="str">
        <f>_xlfn.XLOOKUP(C132,Customer_Dim!A:A,Customer_Dim!B:B,"Not Found")</f>
        <v>Ryan Moore</v>
      </c>
      <c r="K132">
        <f>Table511[[#This Row],[Total_Amount]]/(L132*(1-Table511[[#This Row],[Discount]]))</f>
        <v>1</v>
      </c>
      <c r="L132" s="5">
        <v>942.38</v>
      </c>
      <c r="M132">
        <v>0.17</v>
      </c>
      <c r="N132" t="s">
        <v>1349</v>
      </c>
      <c r="O132" s="5">
        <v>782.17539999999997</v>
      </c>
    </row>
    <row r="133" spans="1:15">
      <c r="A133" t="s">
        <v>1482</v>
      </c>
      <c r="B133" s="7">
        <v>45444</v>
      </c>
      <c r="C133" t="s">
        <v>1053</v>
      </c>
      <c r="D133" t="s">
        <v>1175</v>
      </c>
      <c r="E133" t="s">
        <v>1317</v>
      </c>
      <c r="F133" t="str">
        <f>[1]Raw_Customer_Dim!$A$2</f>
        <v>CUST1000</v>
      </c>
      <c r="G133" t="str">
        <f>_xlfn.XLOOKUP(E133,Store_Dim!A:A,Store_Dim!B:B,"Not Found")</f>
        <v>Aguirre-Keller</v>
      </c>
      <c r="H133" t="str">
        <f>_xlfn.XLOOKUP(D133,Product_Dim!A:A,Product_Dim!C:C,"Not Found")</f>
        <v>Electronics</v>
      </c>
      <c r="I133" t="str">
        <f>_xlfn.XLOOKUP(E133,Store_Dim!A:A,Store_Dim!C:C,"Not Found")</f>
        <v>South</v>
      </c>
      <c r="J133" t="str">
        <f>_xlfn.XLOOKUP(C133,Customer_Dim!A:A,Customer_Dim!B:B,"Not Found")</f>
        <v>Christopher Ford</v>
      </c>
      <c r="K133">
        <f>Table511[[#This Row],[Total_Amount]]/(L133*(1-Table511[[#This Row],[Discount]]))</f>
        <v>3</v>
      </c>
      <c r="L133" s="5">
        <v>298.35000000000002</v>
      </c>
      <c r="M133">
        <v>0.05</v>
      </c>
      <c r="N133" t="s">
        <v>1354</v>
      </c>
      <c r="O133" s="5">
        <v>850.29750000000001</v>
      </c>
    </row>
    <row r="134" spans="1:15">
      <c r="A134" t="s">
        <v>1483</v>
      </c>
      <c r="B134" s="7">
        <v>45662</v>
      </c>
      <c r="C134" t="s">
        <v>389</v>
      </c>
      <c r="D134" t="s">
        <v>1169</v>
      </c>
      <c r="E134" t="s">
        <v>1319</v>
      </c>
      <c r="F134" t="str">
        <f>[1]Raw_Customer_Dim!$A$2</f>
        <v>CUST1000</v>
      </c>
      <c r="G134" t="str">
        <f>_xlfn.XLOOKUP(E134,Store_Dim!A:A,Store_Dim!B:B,"Not Found")</f>
        <v>Thomas, Bridges and Harris</v>
      </c>
      <c r="H134" t="str">
        <f>_xlfn.XLOOKUP(D134,Product_Dim!A:A,Product_Dim!C:C,"Not Found")</f>
        <v>Electronics</v>
      </c>
      <c r="I134" t="str">
        <f>_xlfn.XLOOKUP(E134,Store_Dim!A:A,Store_Dim!C:C,"Not Found")</f>
        <v>North</v>
      </c>
      <c r="J134" t="str">
        <f>_xlfn.XLOOKUP(C134,Customer_Dim!A:A,Customer_Dim!B:B,"Not Found")</f>
        <v>Daniel Rivas</v>
      </c>
      <c r="K134">
        <f>Table511[[#This Row],[Total_Amount]]/(L134*(1-Table511[[#This Row],[Discount]]))</f>
        <v>4</v>
      </c>
      <c r="L134" s="5">
        <v>950.04</v>
      </c>
      <c r="M134">
        <v>0.13</v>
      </c>
      <c r="N134" t="s">
        <v>1351</v>
      </c>
      <c r="O134" s="5">
        <v>3306.1392000000001</v>
      </c>
    </row>
    <row r="135" spans="1:15">
      <c r="A135" t="s">
        <v>1484</v>
      </c>
      <c r="B135" s="7">
        <v>45910</v>
      </c>
      <c r="C135" t="s">
        <v>722</v>
      </c>
      <c r="D135" t="s">
        <v>1187</v>
      </c>
      <c r="E135" t="s">
        <v>1294</v>
      </c>
      <c r="F135" t="str">
        <f>[1]Raw_Customer_Dim!$A$2</f>
        <v>CUST1000</v>
      </c>
      <c r="G135" t="str">
        <f>_xlfn.XLOOKUP(E135,Store_Dim!A:A,Store_Dim!B:B,"Not Found")</f>
        <v>Alexander Group</v>
      </c>
      <c r="H135" t="str">
        <f>_xlfn.XLOOKUP(D135,Product_Dim!A:A,Product_Dim!C:C,"Not Found")</f>
        <v>Sports</v>
      </c>
      <c r="I135" t="str">
        <f>_xlfn.XLOOKUP(E135,Store_Dim!A:A,Store_Dim!C:C,"Not Found")</f>
        <v>South</v>
      </c>
      <c r="J135" t="str">
        <f>_xlfn.XLOOKUP(C135,Customer_Dim!A:A,Customer_Dim!B:B,"Not Found")</f>
        <v>Victor Mcintosh</v>
      </c>
      <c r="K135">
        <f>Table511[[#This Row],[Total_Amount]]/(L135*(1-Table511[[#This Row],[Discount]]))</f>
        <v>2.0000000000000004</v>
      </c>
      <c r="L135" s="5">
        <v>267.19</v>
      </c>
      <c r="M135">
        <v>7.0000000000000007E-2</v>
      </c>
      <c r="N135" t="s">
        <v>1349</v>
      </c>
      <c r="O135" s="5">
        <v>496.97340000000003</v>
      </c>
    </row>
    <row r="136" spans="1:15">
      <c r="A136" t="s">
        <v>1485</v>
      </c>
      <c r="B136" s="7">
        <v>45827</v>
      </c>
      <c r="C136" t="s">
        <v>464</v>
      </c>
      <c r="D136" t="s">
        <v>1247</v>
      </c>
      <c r="E136" t="s">
        <v>1326</v>
      </c>
      <c r="F136" t="str">
        <f>[1]Raw_Customer_Dim!$A$2</f>
        <v>CUST1000</v>
      </c>
      <c r="G136" t="str">
        <f>_xlfn.XLOOKUP(E136,Store_Dim!A:A,Store_Dim!B:B,"Not Found")</f>
        <v>Shelton PLC</v>
      </c>
      <c r="H136" t="str">
        <f>_xlfn.XLOOKUP(D136,Product_Dim!A:A,Product_Dim!C:C,"Not Found")</f>
        <v>Home</v>
      </c>
      <c r="I136" t="str">
        <f>_xlfn.XLOOKUP(E136,Store_Dim!A:A,Store_Dim!C:C,"Not Found")</f>
        <v>North</v>
      </c>
      <c r="J136" t="str">
        <f>_xlfn.XLOOKUP(C136,Customer_Dim!A:A,Customer_Dim!B:B,"Not Found")</f>
        <v>Mary Boyd</v>
      </c>
      <c r="K136">
        <f>Table511[[#This Row],[Total_Amount]]/(L136*(1-Table511[[#This Row],[Discount]]))</f>
        <v>4</v>
      </c>
      <c r="L136" s="5">
        <v>72.63</v>
      </c>
      <c r="M136">
        <v>0.06</v>
      </c>
      <c r="N136" t="s">
        <v>1351</v>
      </c>
      <c r="O136" s="5">
        <v>273.08879999999999</v>
      </c>
    </row>
    <row r="137" spans="1:15">
      <c r="A137" t="s">
        <v>1486</v>
      </c>
      <c r="B137" s="7">
        <v>45544</v>
      </c>
      <c r="C137" t="s">
        <v>917</v>
      </c>
      <c r="D137" t="s">
        <v>1179</v>
      </c>
      <c r="E137" t="s">
        <v>1298</v>
      </c>
      <c r="F137" t="str">
        <f>[1]Raw_Customer_Dim!$A$2</f>
        <v>CUST1000</v>
      </c>
      <c r="G137" t="str">
        <f>_xlfn.XLOOKUP(E137,Store_Dim!A:A,Store_Dim!B:B,"Not Found")</f>
        <v>Gray Ltd</v>
      </c>
      <c r="H137" t="str">
        <f>_xlfn.XLOOKUP(D137,Product_Dim!A:A,Product_Dim!C:C,"Not Found")</f>
        <v>Clothing</v>
      </c>
      <c r="I137" t="str">
        <f>_xlfn.XLOOKUP(E137,Store_Dim!A:A,Store_Dim!C:C,"Not Found")</f>
        <v>North</v>
      </c>
      <c r="J137" t="str">
        <f>_xlfn.XLOOKUP(C137,Customer_Dim!A:A,Customer_Dim!B:B,"Not Found")</f>
        <v>Jose Stewart</v>
      </c>
      <c r="K137">
        <f>Table511[[#This Row],[Total_Amount]]/(L137*(1-Table511[[#This Row],[Discount]]))</f>
        <v>3</v>
      </c>
      <c r="L137" s="5">
        <v>576.52</v>
      </c>
      <c r="M137">
        <v>0.22</v>
      </c>
      <c r="N137" t="s">
        <v>1354</v>
      </c>
      <c r="O137" s="5">
        <v>1349.0568000000001</v>
      </c>
    </row>
    <row r="138" spans="1:15">
      <c r="A138" t="s">
        <v>1487</v>
      </c>
      <c r="B138" s="7">
        <v>45751</v>
      </c>
      <c r="C138" t="s">
        <v>762</v>
      </c>
      <c r="D138" t="s">
        <v>1215</v>
      </c>
      <c r="E138" t="s">
        <v>1311</v>
      </c>
      <c r="F138" t="str">
        <f>[1]Raw_Customer_Dim!$A$2</f>
        <v>CUST1000</v>
      </c>
      <c r="G138" t="str">
        <f>_xlfn.XLOOKUP(E138,Store_Dim!A:A,Store_Dim!B:B,"Not Found")</f>
        <v>Moore, Padilla and Butler</v>
      </c>
      <c r="H138" t="str">
        <f>_xlfn.XLOOKUP(D138,Product_Dim!A:A,Product_Dim!C:C,"Not Found")</f>
        <v>Beauty</v>
      </c>
      <c r="I138" t="str">
        <f>_xlfn.XLOOKUP(E138,Store_Dim!A:A,Store_Dim!C:C,"Not Found")</f>
        <v>South</v>
      </c>
      <c r="J138" t="str">
        <f>_xlfn.XLOOKUP(C138,Customer_Dim!A:A,Customer_Dim!B:B,"Not Found")</f>
        <v>Heather Valenzuela</v>
      </c>
      <c r="K138">
        <f>Table511[[#This Row],[Total_Amount]]/(L138*(1-Table511[[#This Row],[Discount]]))</f>
        <v>3</v>
      </c>
      <c r="L138" s="5">
        <v>849.36</v>
      </c>
      <c r="M138">
        <v>0.03</v>
      </c>
      <c r="N138" t="s">
        <v>1349</v>
      </c>
      <c r="O138" s="5">
        <v>2471.6376</v>
      </c>
    </row>
    <row r="139" spans="1:15">
      <c r="A139" t="s">
        <v>1488</v>
      </c>
      <c r="B139" s="7">
        <v>45392</v>
      </c>
      <c r="C139" t="s">
        <v>1008</v>
      </c>
      <c r="D139" t="s">
        <v>1173</v>
      </c>
      <c r="E139" t="s">
        <v>1301</v>
      </c>
      <c r="F139" t="str">
        <f>[1]Raw_Customer_Dim!$A$2</f>
        <v>CUST1000</v>
      </c>
      <c r="G139" t="str">
        <f>_xlfn.XLOOKUP(E139,Store_Dim!A:A,Store_Dim!B:B,"Not Found")</f>
        <v>Benson-Elliott</v>
      </c>
      <c r="H139" t="str">
        <f>_xlfn.XLOOKUP(D139,Product_Dim!A:A,Product_Dim!C:C,"Not Found")</f>
        <v>Sports</v>
      </c>
      <c r="I139" t="str">
        <f>_xlfn.XLOOKUP(E139,Store_Dim!A:A,Store_Dim!C:C,"Not Found")</f>
        <v>East</v>
      </c>
      <c r="J139" t="str">
        <f>_xlfn.XLOOKUP(C139,Customer_Dim!A:A,Customer_Dim!B:B,"Not Found")</f>
        <v>Laura Mathews</v>
      </c>
      <c r="K139">
        <f>Table511[[#This Row],[Total_Amount]]/(L139*(1-Table511[[#This Row],[Discount]]))</f>
        <v>1</v>
      </c>
      <c r="L139" s="5">
        <v>245.85</v>
      </c>
      <c r="M139">
        <v>0.18</v>
      </c>
      <c r="N139" t="s">
        <v>1354</v>
      </c>
      <c r="O139" s="5">
        <v>201.59700000000001</v>
      </c>
    </row>
    <row r="140" spans="1:15">
      <c r="A140" t="s">
        <v>1489</v>
      </c>
      <c r="B140" s="7">
        <v>45589</v>
      </c>
      <c r="C140" t="s">
        <v>418</v>
      </c>
      <c r="D140" t="s">
        <v>1267</v>
      </c>
      <c r="E140" t="s">
        <v>1314</v>
      </c>
      <c r="F140" t="str">
        <f>[1]Raw_Customer_Dim!$A$2</f>
        <v>CUST1000</v>
      </c>
      <c r="G140" t="str">
        <f>_xlfn.XLOOKUP(E140,Store_Dim!A:A,Store_Dim!B:B,"Not Found")</f>
        <v>Hill, Wagner and Ballard</v>
      </c>
      <c r="H140" t="str">
        <f>_xlfn.XLOOKUP(D140,Product_Dim!A:A,Product_Dim!C:C,"Not Found")</f>
        <v>Sports</v>
      </c>
      <c r="I140" t="str">
        <f>_xlfn.XLOOKUP(E140,Store_Dim!A:A,Store_Dim!C:C,"Not Found")</f>
        <v>East</v>
      </c>
      <c r="J140" t="str">
        <f>_xlfn.XLOOKUP(C140,Customer_Dim!A:A,Customer_Dim!B:B,"Not Found")</f>
        <v>Michelle Myers</v>
      </c>
      <c r="K140">
        <f>Table511[[#This Row],[Total_Amount]]/(L140*(1-Table511[[#This Row],[Discount]]))</f>
        <v>3</v>
      </c>
      <c r="L140" s="5">
        <v>237.68</v>
      </c>
      <c r="M140">
        <v>0.1</v>
      </c>
      <c r="N140" t="s">
        <v>1354</v>
      </c>
      <c r="O140" s="5">
        <v>641.73599999999999</v>
      </c>
    </row>
    <row r="141" spans="1:15">
      <c r="A141" t="s">
        <v>1490</v>
      </c>
      <c r="B141" s="7">
        <v>45756</v>
      </c>
      <c r="C141" t="s">
        <v>738</v>
      </c>
      <c r="D141" t="s">
        <v>1215</v>
      </c>
      <c r="E141" t="s">
        <v>1324</v>
      </c>
      <c r="F141" t="str">
        <f>[1]Raw_Customer_Dim!$A$2</f>
        <v>CUST1000</v>
      </c>
      <c r="G141" t="str">
        <f>_xlfn.XLOOKUP(E141,Store_Dim!A:A,Store_Dim!B:B,"Not Found")</f>
        <v>Mcdonald Inc</v>
      </c>
      <c r="H141" t="str">
        <f>_xlfn.XLOOKUP(D141,Product_Dim!A:A,Product_Dim!C:C,"Not Found")</f>
        <v>Beauty</v>
      </c>
      <c r="I141" t="str">
        <f>_xlfn.XLOOKUP(E141,Store_Dim!A:A,Store_Dim!C:C,"Not Found")</f>
        <v>South</v>
      </c>
      <c r="J141" t="str">
        <f>_xlfn.XLOOKUP(C141,Customer_Dim!A:A,Customer_Dim!B:B,"Not Found")</f>
        <v>Carol Lewis</v>
      </c>
      <c r="K141">
        <f>Table511[[#This Row],[Total_Amount]]/(L141*(1-Table511[[#This Row],[Discount]]))</f>
        <v>4</v>
      </c>
      <c r="L141" s="5">
        <v>715.85</v>
      </c>
      <c r="M141">
        <v>0.25</v>
      </c>
      <c r="N141" t="s">
        <v>1351</v>
      </c>
      <c r="O141" s="5">
        <v>2147.5500000000002</v>
      </c>
    </row>
    <row r="142" spans="1:15">
      <c r="A142" t="s">
        <v>1491</v>
      </c>
      <c r="B142" s="7">
        <v>45255</v>
      </c>
      <c r="C142" t="s">
        <v>403</v>
      </c>
      <c r="D142" t="s">
        <v>1253</v>
      </c>
      <c r="E142" t="s">
        <v>1298</v>
      </c>
      <c r="F142" t="str">
        <f>[1]Raw_Customer_Dim!$A$2</f>
        <v>CUST1000</v>
      </c>
      <c r="G142" t="str">
        <f>_xlfn.XLOOKUP(E142,Store_Dim!A:A,Store_Dim!B:B,"Not Found")</f>
        <v>Gray Ltd</v>
      </c>
      <c r="H142" t="str">
        <f>_xlfn.XLOOKUP(D142,Product_Dim!A:A,Product_Dim!C:C,"Not Found")</f>
        <v>Electronics</v>
      </c>
      <c r="I142" t="str">
        <f>_xlfn.XLOOKUP(E142,Store_Dim!A:A,Store_Dim!C:C,"Not Found")</f>
        <v>North</v>
      </c>
      <c r="J142" t="str">
        <f>_xlfn.XLOOKUP(C142,Customer_Dim!A:A,Customer_Dim!B:B,"Not Found")</f>
        <v>Amy Wilson</v>
      </c>
      <c r="K142">
        <f>Table511[[#This Row],[Total_Amount]]/(L142*(1-Table511[[#This Row],[Discount]]))</f>
        <v>2</v>
      </c>
      <c r="L142" s="5">
        <v>478.85</v>
      </c>
      <c r="M142">
        <v>0.01</v>
      </c>
      <c r="N142" t="s">
        <v>1354</v>
      </c>
      <c r="O142" s="5">
        <v>948.12300000000005</v>
      </c>
    </row>
    <row r="143" spans="1:15">
      <c r="A143" t="s">
        <v>1492</v>
      </c>
      <c r="B143" s="7">
        <v>45718</v>
      </c>
      <c r="C143" t="s">
        <v>286</v>
      </c>
      <c r="D143" t="s">
        <v>1167</v>
      </c>
      <c r="E143" t="s">
        <v>1277</v>
      </c>
      <c r="F143" t="str">
        <f>[1]Raw_Customer_Dim!$A$2</f>
        <v>CUST1000</v>
      </c>
      <c r="G143" t="str">
        <f>_xlfn.XLOOKUP(E143,Store_Dim!A:A,Store_Dim!B:B,"Not Found")</f>
        <v>Rivera-Warner</v>
      </c>
      <c r="H143" t="str">
        <f>_xlfn.XLOOKUP(D143,Product_Dim!A:A,Product_Dim!C:C,"Not Found")</f>
        <v>Beauty</v>
      </c>
      <c r="I143" t="str">
        <f>_xlfn.XLOOKUP(E143,Store_Dim!A:A,Store_Dim!C:C,"Not Found")</f>
        <v>East</v>
      </c>
      <c r="J143" t="str">
        <f>_xlfn.XLOOKUP(C143,Customer_Dim!A:A,Customer_Dim!B:B,"Not Found")</f>
        <v>Edward Hall</v>
      </c>
      <c r="K143">
        <f>Table511[[#This Row],[Total_Amount]]/(L143*(1-Table511[[#This Row],[Discount]]))</f>
        <v>1</v>
      </c>
      <c r="L143" s="5">
        <v>503.95</v>
      </c>
      <c r="M143">
        <v>0.26</v>
      </c>
      <c r="N143" t="s">
        <v>1354</v>
      </c>
      <c r="O143" s="5">
        <v>372.923</v>
      </c>
    </row>
    <row r="144" spans="1:15">
      <c r="A144" t="s">
        <v>1493</v>
      </c>
      <c r="B144" s="7">
        <v>45573</v>
      </c>
      <c r="C144" t="s">
        <v>861</v>
      </c>
      <c r="D144" t="s">
        <v>1205</v>
      </c>
      <c r="E144" t="s">
        <v>1319</v>
      </c>
      <c r="F144" t="str">
        <f>[1]Raw_Customer_Dim!$A$2</f>
        <v>CUST1000</v>
      </c>
      <c r="G144" t="str">
        <f>_xlfn.XLOOKUP(E144,Store_Dim!A:A,Store_Dim!B:B,"Not Found")</f>
        <v>Thomas, Bridges and Harris</v>
      </c>
      <c r="H144" t="str">
        <f>_xlfn.XLOOKUP(D144,Product_Dim!A:A,Product_Dim!C:C,"Not Found")</f>
        <v>Beauty</v>
      </c>
      <c r="I144" t="str">
        <f>_xlfn.XLOOKUP(E144,Store_Dim!A:A,Store_Dim!C:C,"Not Found")</f>
        <v>North</v>
      </c>
      <c r="J144" t="str">
        <f>_xlfn.XLOOKUP(C144,Customer_Dim!A:A,Customer_Dim!B:B,"Not Found")</f>
        <v>John Donaldson</v>
      </c>
      <c r="K144">
        <f>Table511[[#This Row],[Total_Amount]]/(L144*(1-Table511[[#This Row],[Discount]]))</f>
        <v>2</v>
      </c>
      <c r="L144" s="5">
        <v>975.48</v>
      </c>
      <c r="M144">
        <v>0.26</v>
      </c>
      <c r="N144" t="s">
        <v>1354</v>
      </c>
      <c r="O144" s="5">
        <v>1443.7103999999999</v>
      </c>
    </row>
    <row r="145" spans="1:15">
      <c r="A145" t="s">
        <v>1494</v>
      </c>
      <c r="B145" s="7">
        <v>45884</v>
      </c>
      <c r="C145" t="s">
        <v>865</v>
      </c>
      <c r="D145" t="s">
        <v>1141</v>
      </c>
      <c r="E145" t="s">
        <v>1329</v>
      </c>
      <c r="F145" t="str">
        <f>[1]Raw_Customer_Dim!$A$2</f>
        <v>CUST1000</v>
      </c>
      <c r="G145" t="str">
        <f>_xlfn.XLOOKUP(E145,Store_Dim!A:A,Store_Dim!B:B,"Not Found")</f>
        <v>Frederick-Wright</v>
      </c>
      <c r="H145" t="str">
        <f>_xlfn.XLOOKUP(D145,Product_Dim!A:A,Product_Dim!C:C,"Not Found")</f>
        <v>Electronics</v>
      </c>
      <c r="I145" t="str">
        <f>_xlfn.XLOOKUP(E145,Store_Dim!A:A,Store_Dim!C:C,"Not Found")</f>
        <v>West</v>
      </c>
      <c r="J145" t="str">
        <f>_xlfn.XLOOKUP(C145,Customer_Dim!A:A,Customer_Dim!B:B,"Not Found")</f>
        <v>Terry Moses</v>
      </c>
      <c r="K145">
        <f>Table511[[#This Row],[Total_Amount]]/(L145*(1-Table511[[#This Row],[Discount]]))</f>
        <v>4</v>
      </c>
      <c r="L145" s="5">
        <v>450.12</v>
      </c>
      <c r="M145">
        <v>0.28999999999999998</v>
      </c>
      <c r="N145" t="s">
        <v>1354</v>
      </c>
      <c r="O145" s="5">
        <v>1278.3407999999999</v>
      </c>
    </row>
    <row r="146" spans="1:15">
      <c r="A146" t="s">
        <v>1495</v>
      </c>
      <c r="B146" s="7">
        <v>45448</v>
      </c>
      <c r="C146" t="s">
        <v>933</v>
      </c>
      <c r="D146" t="s">
        <v>1145</v>
      </c>
      <c r="E146" t="s">
        <v>1307</v>
      </c>
      <c r="F146" t="str">
        <f>[1]Raw_Customer_Dim!$A$2</f>
        <v>CUST1000</v>
      </c>
      <c r="G146" t="str">
        <f>_xlfn.XLOOKUP(E146,Store_Dim!A:A,Store_Dim!B:B,"Not Found")</f>
        <v>Bean, Jones and Park</v>
      </c>
      <c r="H146" t="str">
        <f>_xlfn.XLOOKUP(D146,Product_Dim!A:A,Product_Dim!C:C,"Not Found")</f>
        <v>Clothing</v>
      </c>
      <c r="I146" t="str">
        <f>_xlfn.XLOOKUP(E146,Store_Dim!A:A,Store_Dim!C:C,"Not Found")</f>
        <v>West</v>
      </c>
      <c r="J146" t="str">
        <f>_xlfn.XLOOKUP(C146,Customer_Dim!A:A,Customer_Dim!B:B,"Not Found")</f>
        <v>Lindsay Beasley</v>
      </c>
      <c r="K146">
        <f>Table511[[#This Row],[Total_Amount]]/(L146*(1-Table511[[#This Row],[Discount]]))</f>
        <v>3</v>
      </c>
      <c r="L146" s="5">
        <v>237.24</v>
      </c>
      <c r="M146">
        <v>0.24</v>
      </c>
      <c r="N146" t="s">
        <v>1351</v>
      </c>
      <c r="O146" s="5">
        <v>540.90719999999999</v>
      </c>
    </row>
    <row r="147" spans="1:15">
      <c r="A147" t="s">
        <v>1496</v>
      </c>
      <c r="B147" s="7">
        <v>45522</v>
      </c>
      <c r="C147" t="s">
        <v>981</v>
      </c>
      <c r="D147" t="s">
        <v>1181</v>
      </c>
      <c r="E147" t="s">
        <v>1326</v>
      </c>
      <c r="F147" t="str">
        <f>[1]Raw_Customer_Dim!$A$2</f>
        <v>CUST1000</v>
      </c>
      <c r="G147" t="str">
        <f>_xlfn.XLOOKUP(E147,Store_Dim!A:A,Store_Dim!B:B,"Not Found")</f>
        <v>Shelton PLC</v>
      </c>
      <c r="H147" t="str">
        <f>_xlfn.XLOOKUP(D147,Product_Dim!A:A,Product_Dim!C:C,"Not Found")</f>
        <v>Sports</v>
      </c>
      <c r="I147" t="str">
        <f>_xlfn.XLOOKUP(E147,Store_Dim!A:A,Store_Dim!C:C,"Not Found")</f>
        <v>North</v>
      </c>
      <c r="J147" t="str">
        <f>_xlfn.XLOOKUP(C147,Customer_Dim!A:A,Customer_Dim!B:B,"Not Found")</f>
        <v>John Perez</v>
      </c>
      <c r="K147">
        <f>Table511[[#This Row],[Total_Amount]]/(L147*(1-Table511[[#This Row],[Discount]]))</f>
        <v>2</v>
      </c>
      <c r="L147" s="5">
        <v>536.84</v>
      </c>
      <c r="M147">
        <v>0.09</v>
      </c>
      <c r="N147" t="s">
        <v>1354</v>
      </c>
      <c r="O147" s="5">
        <v>977.04880000000014</v>
      </c>
    </row>
    <row r="148" spans="1:15">
      <c r="A148" t="s">
        <v>1497</v>
      </c>
      <c r="B148" s="7">
        <v>45626</v>
      </c>
      <c r="C148" t="s">
        <v>949</v>
      </c>
      <c r="D148" t="s">
        <v>1145</v>
      </c>
      <c r="E148" t="s">
        <v>1338</v>
      </c>
      <c r="F148" t="str">
        <f>[1]Raw_Customer_Dim!$A$2</f>
        <v>CUST1000</v>
      </c>
      <c r="G148" t="str">
        <f>_xlfn.XLOOKUP(E148,Store_Dim!A:A,Store_Dim!B:B,"Not Found")</f>
        <v>Mann-Austin</v>
      </c>
      <c r="H148" t="str">
        <f>_xlfn.XLOOKUP(D148,Product_Dim!A:A,Product_Dim!C:C,"Not Found")</f>
        <v>Clothing</v>
      </c>
      <c r="I148" t="str">
        <f>_xlfn.XLOOKUP(E148,Store_Dim!A:A,Store_Dim!C:C,"Not Found")</f>
        <v>East</v>
      </c>
      <c r="J148" t="str">
        <f>_xlfn.XLOOKUP(C148,Customer_Dim!A:A,Customer_Dim!B:B,"Not Found")</f>
        <v>Adam Castro</v>
      </c>
      <c r="K148">
        <f>Table511[[#This Row],[Total_Amount]]/(L148*(1-Table511[[#This Row],[Discount]]))</f>
        <v>3</v>
      </c>
      <c r="L148" s="5">
        <v>584.41</v>
      </c>
      <c r="M148">
        <v>0</v>
      </c>
      <c r="N148" t="s">
        <v>1354</v>
      </c>
      <c r="O148" s="5">
        <v>1753.23</v>
      </c>
    </row>
    <row r="149" spans="1:15">
      <c r="A149" t="s">
        <v>1498</v>
      </c>
      <c r="B149" s="7">
        <v>45617</v>
      </c>
      <c r="C149" t="s">
        <v>652</v>
      </c>
      <c r="D149" t="s">
        <v>1237</v>
      </c>
      <c r="E149" t="s">
        <v>1338</v>
      </c>
      <c r="F149" t="str">
        <f>[1]Raw_Customer_Dim!$A$2</f>
        <v>CUST1000</v>
      </c>
      <c r="G149" t="str">
        <f>_xlfn.XLOOKUP(E149,Store_Dim!A:A,Store_Dim!B:B,"Not Found")</f>
        <v>Mann-Austin</v>
      </c>
      <c r="H149" t="str">
        <f>_xlfn.XLOOKUP(D149,Product_Dim!A:A,Product_Dim!C:C,"Not Found")</f>
        <v>Sports</v>
      </c>
      <c r="I149" t="str">
        <f>_xlfn.XLOOKUP(E149,Store_Dim!A:A,Store_Dim!C:C,"Not Found")</f>
        <v>East</v>
      </c>
      <c r="J149" t="str">
        <f>_xlfn.XLOOKUP(C149,Customer_Dim!A:A,Customer_Dim!B:B,"Not Found")</f>
        <v>Lisa Chandler</v>
      </c>
      <c r="K149">
        <f>Table511[[#This Row],[Total_Amount]]/(L149*(1-Table511[[#This Row],[Discount]]))</f>
        <v>1</v>
      </c>
      <c r="L149" s="5">
        <v>653.87</v>
      </c>
      <c r="M149">
        <v>0.14000000000000001</v>
      </c>
      <c r="N149" t="s">
        <v>1351</v>
      </c>
      <c r="O149" s="5">
        <v>562.32820000000004</v>
      </c>
    </row>
    <row r="150" spans="1:15">
      <c r="A150" t="s">
        <v>1499</v>
      </c>
      <c r="B150" s="7">
        <v>45878</v>
      </c>
      <c r="C150" t="s">
        <v>1047</v>
      </c>
      <c r="D150" t="s">
        <v>1247</v>
      </c>
      <c r="E150" t="s">
        <v>1277</v>
      </c>
      <c r="F150" t="str">
        <f>[1]Raw_Customer_Dim!$A$2</f>
        <v>CUST1000</v>
      </c>
      <c r="G150" t="str">
        <f>_xlfn.XLOOKUP(E150,Store_Dim!A:A,Store_Dim!B:B,"Not Found")</f>
        <v>Rivera-Warner</v>
      </c>
      <c r="H150" t="str">
        <f>_xlfn.XLOOKUP(D150,Product_Dim!A:A,Product_Dim!C:C,"Not Found")</f>
        <v>Home</v>
      </c>
      <c r="I150" t="str">
        <f>_xlfn.XLOOKUP(E150,Store_Dim!A:A,Store_Dim!C:C,"Not Found")</f>
        <v>East</v>
      </c>
      <c r="J150" t="str">
        <f>_xlfn.XLOOKUP(C150,Customer_Dim!A:A,Customer_Dim!B:B,"Not Found")</f>
        <v>Amanda Powell</v>
      </c>
      <c r="K150">
        <f>Table511[[#This Row],[Total_Amount]]/(L150*(1-Table511[[#This Row],[Discount]]))</f>
        <v>1</v>
      </c>
      <c r="L150" s="5">
        <v>652.03</v>
      </c>
      <c r="M150">
        <v>0.27</v>
      </c>
      <c r="N150" t="s">
        <v>1349</v>
      </c>
      <c r="O150" s="5">
        <v>475.9819</v>
      </c>
    </row>
    <row r="151" spans="1:15">
      <c r="A151" t="s">
        <v>1500</v>
      </c>
      <c r="B151" s="7">
        <v>45502</v>
      </c>
      <c r="C151" t="s">
        <v>244</v>
      </c>
      <c r="D151" t="s">
        <v>1080</v>
      </c>
      <c r="E151" t="s">
        <v>1319</v>
      </c>
      <c r="F151" t="str">
        <f>[1]Raw_Customer_Dim!$A$2</f>
        <v>CUST1000</v>
      </c>
      <c r="G151" t="str">
        <f>_xlfn.XLOOKUP(E151,Store_Dim!A:A,Store_Dim!B:B,"Not Found")</f>
        <v>Thomas, Bridges and Harris</v>
      </c>
      <c r="H151" t="str">
        <f>_xlfn.XLOOKUP(D151,Product_Dim!A:A,Product_Dim!C:C,"Not Found")</f>
        <v>Clothing</v>
      </c>
      <c r="I151" t="str">
        <f>_xlfn.XLOOKUP(E151,Store_Dim!A:A,Store_Dim!C:C,"Not Found")</f>
        <v>North</v>
      </c>
      <c r="J151" t="str">
        <f>_xlfn.XLOOKUP(C151,Customer_Dim!A:A,Customer_Dim!B:B,"Not Found")</f>
        <v>Christy Vasquez</v>
      </c>
      <c r="K151">
        <f>Table511[[#This Row],[Total_Amount]]/(L151*(1-Table511[[#This Row],[Discount]]))</f>
        <v>3</v>
      </c>
      <c r="L151" s="5">
        <v>513.36</v>
      </c>
      <c r="M151">
        <v>7.0000000000000007E-2</v>
      </c>
      <c r="N151" t="s">
        <v>1354</v>
      </c>
      <c r="O151" s="5">
        <v>1432.2744</v>
      </c>
    </row>
    <row r="152" spans="1:15">
      <c r="A152" t="s">
        <v>1501</v>
      </c>
      <c r="B152" s="7">
        <v>45433</v>
      </c>
      <c r="C152" t="s">
        <v>185</v>
      </c>
      <c r="D152" t="s">
        <v>1177</v>
      </c>
      <c r="E152" t="s">
        <v>1298</v>
      </c>
      <c r="F152" t="str">
        <f>[1]Raw_Customer_Dim!$A$2</f>
        <v>CUST1000</v>
      </c>
      <c r="G152" t="str">
        <f>_xlfn.XLOOKUP(E152,Store_Dim!A:A,Store_Dim!B:B,"Not Found")</f>
        <v>Gray Ltd</v>
      </c>
      <c r="H152" t="str">
        <f>_xlfn.XLOOKUP(D152,Product_Dim!A:A,Product_Dim!C:C,"Not Found")</f>
        <v>Sports</v>
      </c>
      <c r="I152" t="str">
        <f>_xlfn.XLOOKUP(E152,Store_Dim!A:A,Store_Dim!C:C,"Not Found")</f>
        <v>North</v>
      </c>
      <c r="J152" t="str">
        <f>_xlfn.XLOOKUP(C152,Customer_Dim!A:A,Customer_Dim!B:B,"Not Found")</f>
        <v>Mr. Mark Beasley</v>
      </c>
      <c r="K152">
        <f>Table511[[#This Row],[Total_Amount]]/(L152*(1-Table511[[#This Row],[Discount]]))</f>
        <v>4</v>
      </c>
      <c r="L152" s="5">
        <v>355.64</v>
      </c>
      <c r="M152">
        <v>0.16</v>
      </c>
      <c r="N152" t="s">
        <v>1354</v>
      </c>
      <c r="O152" s="5">
        <v>1194.9503999999999</v>
      </c>
    </row>
    <row r="153" spans="1:15">
      <c r="A153" t="s">
        <v>1502</v>
      </c>
      <c r="B153" s="7">
        <v>45594</v>
      </c>
      <c r="C153" t="s">
        <v>75</v>
      </c>
      <c r="D153" t="s">
        <v>1099</v>
      </c>
      <c r="E153" t="s">
        <v>1307</v>
      </c>
      <c r="F153" t="str">
        <f>[1]Raw_Customer_Dim!$A$2</f>
        <v>CUST1000</v>
      </c>
      <c r="G153" t="str">
        <f>_xlfn.XLOOKUP(E153,Store_Dim!A:A,Store_Dim!B:B,"Not Found")</f>
        <v>Bean, Jones and Park</v>
      </c>
      <c r="H153" t="str">
        <f>_xlfn.XLOOKUP(D153,Product_Dim!A:A,Product_Dim!C:C,"Not Found")</f>
        <v>Electronics</v>
      </c>
      <c r="I153" t="str">
        <f>_xlfn.XLOOKUP(E153,Store_Dim!A:A,Store_Dim!C:C,"Not Found")</f>
        <v>West</v>
      </c>
      <c r="J153" t="str">
        <f>_xlfn.XLOOKUP(C153,Customer_Dim!A:A,Customer_Dim!B:B,"Not Found")</f>
        <v xml:space="preserve">   paul fox</v>
      </c>
      <c r="K153">
        <f>Table511[[#This Row],[Total_Amount]]/(L153*(1-Table511[[#This Row],[Discount]]))</f>
        <v>4.0000000000000009</v>
      </c>
      <c r="L153" s="5">
        <v>535.4</v>
      </c>
      <c r="M153">
        <v>0.26</v>
      </c>
      <c r="N153" t="s">
        <v>1351</v>
      </c>
      <c r="O153" s="5">
        <v>1584.7840000000001</v>
      </c>
    </row>
    <row r="154" spans="1:15">
      <c r="A154" t="s">
        <v>1503</v>
      </c>
      <c r="B154" s="7">
        <v>45798</v>
      </c>
      <c r="C154" t="s">
        <v>549</v>
      </c>
      <c r="D154" t="s">
        <v>1211</v>
      </c>
      <c r="E154" t="s">
        <v>1338</v>
      </c>
      <c r="F154" t="str">
        <f>[1]Raw_Customer_Dim!$A$2</f>
        <v>CUST1000</v>
      </c>
      <c r="G154" t="str">
        <f>_xlfn.XLOOKUP(E154,Store_Dim!A:A,Store_Dim!B:B,"Not Found")</f>
        <v>Mann-Austin</v>
      </c>
      <c r="H154" t="str">
        <f>_xlfn.XLOOKUP(D154,Product_Dim!A:A,Product_Dim!C:C,"Not Found")</f>
        <v>Clothing</v>
      </c>
      <c r="I154" t="str">
        <f>_xlfn.XLOOKUP(E154,Store_Dim!A:A,Store_Dim!C:C,"Not Found")</f>
        <v>East</v>
      </c>
      <c r="J154" t="str">
        <f>_xlfn.XLOOKUP(C154,Customer_Dim!A:A,Customer_Dim!B:B,"Not Found")</f>
        <v>Brian Hammond</v>
      </c>
      <c r="K154">
        <f>Table511[[#This Row],[Total_Amount]]/(L154*(1-Table511[[#This Row],[Discount]]))</f>
        <v>2</v>
      </c>
      <c r="L154" s="5">
        <v>108.74</v>
      </c>
      <c r="M154">
        <v>0.11</v>
      </c>
      <c r="N154" t="s">
        <v>1351</v>
      </c>
      <c r="O154" s="5">
        <v>193.55719999999999</v>
      </c>
    </row>
    <row r="155" spans="1:15">
      <c r="A155" t="s">
        <v>1504</v>
      </c>
      <c r="B155" s="7">
        <v>45579</v>
      </c>
      <c r="C155" t="s">
        <v>692</v>
      </c>
      <c r="D155" t="s">
        <v>1095</v>
      </c>
      <c r="E155" t="s">
        <v>1338</v>
      </c>
      <c r="F155" t="str">
        <f>[1]Raw_Customer_Dim!$A$2</f>
        <v>CUST1000</v>
      </c>
      <c r="G155" t="str">
        <f>_xlfn.XLOOKUP(E155,Store_Dim!A:A,Store_Dim!B:B,"Not Found")</f>
        <v>Mann-Austin</v>
      </c>
      <c r="H155" t="str">
        <f>_xlfn.XLOOKUP(D155,Product_Dim!A:A,Product_Dim!C:C,"Not Found")</f>
        <v>Electronics</v>
      </c>
      <c r="I155" t="str">
        <f>_xlfn.XLOOKUP(E155,Store_Dim!A:A,Store_Dim!C:C,"Not Found")</f>
        <v>East</v>
      </c>
      <c r="J155" t="str">
        <f>_xlfn.XLOOKUP(C155,Customer_Dim!A:A,Customer_Dim!B:B,"Not Found")</f>
        <v>Elizabeth Johnson</v>
      </c>
      <c r="K155">
        <f>Table511[[#This Row],[Total_Amount]]/(L155*(1-Table511[[#This Row],[Discount]]))</f>
        <v>3.0000000000000004</v>
      </c>
      <c r="L155" s="5">
        <v>591.98</v>
      </c>
      <c r="M155">
        <v>0.16</v>
      </c>
      <c r="N155" t="s">
        <v>1349</v>
      </c>
      <c r="O155" s="5">
        <v>1491.7896000000001</v>
      </c>
    </row>
    <row r="156" spans="1:15">
      <c r="A156" t="s">
        <v>1505</v>
      </c>
      <c r="B156" s="7">
        <v>45613</v>
      </c>
      <c r="C156" t="s">
        <v>873</v>
      </c>
      <c r="D156" t="s">
        <v>1169</v>
      </c>
      <c r="E156" t="s">
        <v>1286</v>
      </c>
      <c r="F156" t="str">
        <f>[1]Raw_Customer_Dim!$A$2</f>
        <v>CUST1000</v>
      </c>
      <c r="G156" t="str">
        <f>_xlfn.XLOOKUP(E156,Store_Dim!A:A,Store_Dim!B:B,"Not Found")</f>
        <v>Black-Horn</v>
      </c>
      <c r="H156" t="str">
        <f>_xlfn.XLOOKUP(D156,Product_Dim!A:A,Product_Dim!C:C,"Not Found")</f>
        <v>Electronics</v>
      </c>
      <c r="I156" t="str">
        <f>_xlfn.XLOOKUP(E156,Store_Dim!A:A,Store_Dim!C:C,"Not Found")</f>
        <v>South</v>
      </c>
      <c r="J156" t="str">
        <f>_xlfn.XLOOKUP(C156,Customer_Dim!A:A,Customer_Dim!B:B,"Not Found")</f>
        <v>Eric Wolfe</v>
      </c>
      <c r="K156">
        <f>Table511[[#This Row],[Total_Amount]]/(L156*(1-Table511[[#This Row],[Discount]]))</f>
        <v>1</v>
      </c>
      <c r="L156" s="5">
        <v>345.06</v>
      </c>
      <c r="M156">
        <v>0.13</v>
      </c>
      <c r="N156" t="s">
        <v>1354</v>
      </c>
      <c r="O156" s="5">
        <v>300.2022</v>
      </c>
    </row>
    <row r="157" spans="1:15">
      <c r="A157" t="s">
        <v>1506</v>
      </c>
      <c r="B157" s="7">
        <v>45745</v>
      </c>
      <c r="C157" t="s">
        <v>678</v>
      </c>
      <c r="D157" t="s">
        <v>1259</v>
      </c>
      <c r="E157" t="s">
        <v>1319</v>
      </c>
      <c r="F157" t="str">
        <f>[1]Raw_Customer_Dim!$A$2</f>
        <v>CUST1000</v>
      </c>
      <c r="G157" t="str">
        <f>_xlfn.XLOOKUP(E157,Store_Dim!A:A,Store_Dim!B:B,"Not Found")</f>
        <v>Thomas, Bridges and Harris</v>
      </c>
      <c r="H157" t="str">
        <f>_xlfn.XLOOKUP(D157,Product_Dim!A:A,Product_Dim!C:C,"Not Found")</f>
        <v>Electronics</v>
      </c>
      <c r="I157" t="str">
        <f>_xlfn.XLOOKUP(E157,Store_Dim!A:A,Store_Dim!C:C,"Not Found")</f>
        <v>North</v>
      </c>
      <c r="J157" t="str">
        <f>_xlfn.XLOOKUP(C157,Customer_Dim!A:A,Customer_Dim!B:B,"Not Found")</f>
        <v>Brandy Thompson</v>
      </c>
      <c r="K157">
        <f>Table511[[#This Row],[Total_Amount]]/(L157*(1-Table511[[#This Row],[Discount]]))</f>
        <v>4</v>
      </c>
      <c r="L157" s="5">
        <v>986.41</v>
      </c>
      <c r="M157">
        <v>0.22</v>
      </c>
      <c r="N157" t="s">
        <v>1349</v>
      </c>
      <c r="O157" s="5">
        <v>3077.5992000000001</v>
      </c>
    </row>
    <row r="158" spans="1:15">
      <c r="A158" t="s">
        <v>1507</v>
      </c>
      <c r="B158" s="7">
        <v>45494</v>
      </c>
      <c r="C158" t="s">
        <v>702</v>
      </c>
      <c r="D158" t="s">
        <v>1171</v>
      </c>
      <c r="E158" t="s">
        <v>1277</v>
      </c>
      <c r="F158" t="str">
        <f>[1]Raw_Customer_Dim!$A$2</f>
        <v>CUST1000</v>
      </c>
      <c r="G158" t="str">
        <f>_xlfn.XLOOKUP(E158,Store_Dim!A:A,Store_Dim!B:B,"Not Found")</f>
        <v>Rivera-Warner</v>
      </c>
      <c r="H158" t="str">
        <f>_xlfn.XLOOKUP(D158,Product_Dim!A:A,Product_Dim!C:C,"Not Found")</f>
        <v>Beauty</v>
      </c>
      <c r="I158" t="str">
        <f>_xlfn.XLOOKUP(E158,Store_Dim!A:A,Store_Dim!C:C,"Not Found")</f>
        <v>East</v>
      </c>
      <c r="J158" t="str">
        <f>_xlfn.XLOOKUP(C158,Customer_Dim!A:A,Customer_Dim!B:B,"Not Found")</f>
        <v>Casey Simpson</v>
      </c>
      <c r="K158">
        <f>Table511[[#This Row],[Total_Amount]]/(L158*(1-Table511[[#This Row],[Discount]]))</f>
        <v>2</v>
      </c>
      <c r="L158" s="5">
        <v>921.52</v>
      </c>
      <c r="M158">
        <v>0</v>
      </c>
      <c r="N158" t="s">
        <v>1351</v>
      </c>
      <c r="O158" s="5">
        <v>1843.04</v>
      </c>
    </row>
    <row r="159" spans="1:15">
      <c r="A159" t="s">
        <v>1508</v>
      </c>
      <c r="B159" s="7">
        <v>45883</v>
      </c>
      <c r="C159" t="s">
        <v>252</v>
      </c>
      <c r="D159" t="s">
        <v>1183</v>
      </c>
      <c r="E159" t="s">
        <v>1298</v>
      </c>
      <c r="F159" t="str">
        <f>[1]Raw_Customer_Dim!$A$2</f>
        <v>CUST1000</v>
      </c>
      <c r="G159" t="str">
        <f>_xlfn.XLOOKUP(E159,Store_Dim!A:A,Store_Dim!B:B,"Not Found")</f>
        <v>Gray Ltd</v>
      </c>
      <c r="H159" t="str">
        <f>_xlfn.XLOOKUP(D159,Product_Dim!A:A,Product_Dim!C:C,"Not Found")</f>
        <v>Home</v>
      </c>
      <c r="I159" t="str">
        <f>_xlfn.XLOOKUP(E159,Store_Dim!A:A,Store_Dim!C:C,"Not Found")</f>
        <v>North</v>
      </c>
      <c r="J159" t="str">
        <f>_xlfn.XLOOKUP(C159,Customer_Dim!A:A,Customer_Dim!B:B,"Not Found")</f>
        <v>David Cobb</v>
      </c>
      <c r="K159">
        <f>Table511[[#This Row],[Total_Amount]]/(L159*(1-Table511[[#This Row],[Discount]]))</f>
        <v>1</v>
      </c>
      <c r="L159" s="5">
        <v>83.1</v>
      </c>
      <c r="M159">
        <v>0.04</v>
      </c>
      <c r="N159" t="s">
        <v>1351</v>
      </c>
      <c r="O159" s="5">
        <v>79.775999999999996</v>
      </c>
    </row>
    <row r="160" spans="1:15">
      <c r="A160" t="s">
        <v>1509</v>
      </c>
      <c r="B160" s="7">
        <v>45601</v>
      </c>
      <c r="C160" t="s">
        <v>801</v>
      </c>
      <c r="D160" t="s">
        <v>1129</v>
      </c>
      <c r="E160" t="s">
        <v>1317</v>
      </c>
      <c r="F160" t="str">
        <f>[1]Raw_Customer_Dim!$A$2</f>
        <v>CUST1000</v>
      </c>
      <c r="G160" t="str">
        <f>_xlfn.XLOOKUP(E160,Store_Dim!A:A,Store_Dim!B:B,"Not Found")</f>
        <v>Aguirre-Keller</v>
      </c>
      <c r="H160" t="str">
        <f>_xlfn.XLOOKUP(D160,Product_Dim!A:A,Product_Dim!C:C,"Not Found")</f>
        <v>Sports</v>
      </c>
      <c r="I160" t="str">
        <f>_xlfn.XLOOKUP(E160,Store_Dim!A:A,Store_Dim!C:C,"Not Found")</f>
        <v>South</v>
      </c>
      <c r="J160" t="str">
        <f>_xlfn.XLOOKUP(C160,Customer_Dim!A:A,Customer_Dim!B:B,"Not Found")</f>
        <v>Gregory Allen</v>
      </c>
      <c r="K160">
        <f>Table511[[#This Row],[Total_Amount]]/(L160*(1-Table511[[#This Row],[Discount]]))</f>
        <v>2</v>
      </c>
      <c r="L160" s="5">
        <v>60.98</v>
      </c>
      <c r="M160">
        <v>0.23</v>
      </c>
      <c r="N160" t="s">
        <v>1351</v>
      </c>
      <c r="O160" s="5">
        <v>93.909199999999998</v>
      </c>
    </row>
    <row r="161" spans="1:15">
      <c r="A161" t="s">
        <v>1510</v>
      </c>
      <c r="B161" s="7">
        <v>45454</v>
      </c>
      <c r="C161" t="s">
        <v>851</v>
      </c>
      <c r="D161" t="s">
        <v>1251</v>
      </c>
      <c r="E161" t="s">
        <v>1329</v>
      </c>
      <c r="F161" t="str">
        <f>[1]Raw_Customer_Dim!$A$2</f>
        <v>CUST1000</v>
      </c>
      <c r="G161" t="str">
        <f>_xlfn.XLOOKUP(E161,Store_Dim!A:A,Store_Dim!B:B,"Not Found")</f>
        <v>Frederick-Wright</v>
      </c>
      <c r="H161" t="str">
        <f>_xlfn.XLOOKUP(D161,Product_Dim!A:A,Product_Dim!C:C,"Not Found")</f>
        <v>Beauty</v>
      </c>
      <c r="I161" t="str">
        <f>_xlfn.XLOOKUP(E161,Store_Dim!A:A,Store_Dim!C:C,"Not Found")</f>
        <v>West</v>
      </c>
      <c r="J161" t="str">
        <f>_xlfn.XLOOKUP(C161,Customer_Dim!A:A,Customer_Dim!B:B,"Not Found")</f>
        <v>Alejandro Evans</v>
      </c>
      <c r="K161">
        <f>Table511[[#This Row],[Total_Amount]]/(L161*(1-Table511[[#This Row],[Discount]]))</f>
        <v>2</v>
      </c>
      <c r="L161" s="5">
        <v>122.23</v>
      </c>
      <c r="M161">
        <v>0.21</v>
      </c>
      <c r="N161" t="s">
        <v>1354</v>
      </c>
      <c r="O161" s="5">
        <v>193.1234</v>
      </c>
    </row>
    <row r="162" spans="1:15">
      <c r="A162" t="s">
        <v>1511</v>
      </c>
      <c r="B162" s="7">
        <v>45918</v>
      </c>
      <c r="C162" t="s">
        <v>69</v>
      </c>
      <c r="D162" t="s">
        <v>1213</v>
      </c>
      <c r="E162" t="s">
        <v>1335</v>
      </c>
      <c r="F162" t="str">
        <f>[1]Raw_Customer_Dim!$A$2</f>
        <v>CUST1000</v>
      </c>
      <c r="G162" t="str">
        <f>_xlfn.XLOOKUP(E162,Store_Dim!A:A,Store_Dim!B:B,"Not Found")</f>
        <v>Guerrero-Schmitt</v>
      </c>
      <c r="H162" t="str">
        <f>_xlfn.XLOOKUP(D162,Product_Dim!A:A,Product_Dim!C:C,"Not Found")</f>
        <v>Home</v>
      </c>
      <c r="I162" t="str">
        <f>_xlfn.XLOOKUP(E162,Store_Dim!A:A,Store_Dim!C:C,"Not Found")</f>
        <v>East</v>
      </c>
      <c r="J162" t="str">
        <f>_xlfn.XLOOKUP(C162,Customer_Dim!A:A,Customer_Dim!B:B,"Not Found")</f>
        <v>Bridget Allen</v>
      </c>
      <c r="K162">
        <f>Table511[[#This Row],[Total_Amount]]/(L162*(1-Table511[[#This Row],[Discount]]))</f>
        <v>2</v>
      </c>
      <c r="L162" s="5">
        <v>623.38</v>
      </c>
      <c r="M162">
        <v>0.13</v>
      </c>
      <c r="N162" t="s">
        <v>1349</v>
      </c>
      <c r="O162" s="5">
        <v>1084.6812</v>
      </c>
    </row>
    <row r="163" spans="1:15">
      <c r="A163" t="s">
        <v>1512</v>
      </c>
      <c r="B163" s="7">
        <v>45729</v>
      </c>
      <c r="C163" t="s">
        <v>162</v>
      </c>
      <c r="D163" t="s">
        <v>1213</v>
      </c>
      <c r="E163" t="s">
        <v>1277</v>
      </c>
      <c r="F163" t="str">
        <f>[1]Raw_Customer_Dim!$A$2</f>
        <v>CUST1000</v>
      </c>
      <c r="G163" t="str">
        <f>_xlfn.XLOOKUP(E163,Store_Dim!A:A,Store_Dim!B:B,"Not Found")</f>
        <v>Rivera-Warner</v>
      </c>
      <c r="H163" t="str">
        <f>_xlfn.XLOOKUP(D163,Product_Dim!A:A,Product_Dim!C:C,"Not Found")</f>
        <v>Home</v>
      </c>
      <c r="I163" t="str">
        <f>_xlfn.XLOOKUP(E163,Store_Dim!A:A,Store_Dim!C:C,"Not Found")</f>
        <v>East</v>
      </c>
      <c r="J163" t="str">
        <f>_xlfn.XLOOKUP(C163,Customer_Dim!A:A,Customer_Dim!B:B,"Not Found")</f>
        <v>Cheryl Copeland</v>
      </c>
      <c r="K163">
        <f>Table511[[#This Row],[Total_Amount]]/(L163*(1-Table511[[#This Row],[Discount]]))</f>
        <v>0.99999999999999989</v>
      </c>
      <c r="L163" s="5">
        <v>479.58</v>
      </c>
      <c r="M163">
        <v>0.05</v>
      </c>
      <c r="N163" t="s">
        <v>1351</v>
      </c>
      <c r="O163" s="5">
        <v>455.60099999999989</v>
      </c>
    </row>
    <row r="164" spans="1:15">
      <c r="A164" t="s">
        <v>1513</v>
      </c>
      <c r="B164" s="7">
        <v>45276</v>
      </c>
      <c r="C164" t="s">
        <v>660</v>
      </c>
      <c r="D164" t="s">
        <v>1219</v>
      </c>
      <c r="E164" t="s">
        <v>1301</v>
      </c>
      <c r="F164" t="str">
        <f>[1]Raw_Customer_Dim!$A$2</f>
        <v>CUST1000</v>
      </c>
      <c r="G164" t="str">
        <f>_xlfn.XLOOKUP(E164,Store_Dim!A:A,Store_Dim!B:B,"Not Found")</f>
        <v>Benson-Elliott</v>
      </c>
      <c r="H164" t="str">
        <f>_xlfn.XLOOKUP(D164,Product_Dim!A:A,Product_Dim!C:C,"Not Found")</f>
        <v>Sports</v>
      </c>
      <c r="I164" t="str">
        <f>_xlfn.XLOOKUP(E164,Store_Dim!A:A,Store_Dim!C:C,"Not Found")</f>
        <v>East</v>
      </c>
      <c r="J164" t="str">
        <f>_xlfn.XLOOKUP(C164,Customer_Dim!A:A,Customer_Dim!B:B,"Not Found")</f>
        <v>Tracy Stephens</v>
      </c>
      <c r="K164">
        <f>Table511[[#This Row],[Total_Amount]]/(L164*(1-Table511[[#This Row],[Discount]]))</f>
        <v>3</v>
      </c>
      <c r="L164" s="5">
        <v>369.32</v>
      </c>
      <c r="M164">
        <v>0.14000000000000001</v>
      </c>
      <c r="N164" t="s">
        <v>1351</v>
      </c>
      <c r="O164" s="5">
        <v>952.84559999999999</v>
      </c>
    </row>
    <row r="165" spans="1:15">
      <c r="A165" t="s">
        <v>1514</v>
      </c>
      <c r="B165" s="7">
        <v>45851</v>
      </c>
      <c r="C165" t="s">
        <v>204</v>
      </c>
      <c r="D165" t="s">
        <v>1137</v>
      </c>
      <c r="E165" t="s">
        <v>1282</v>
      </c>
      <c r="F165" t="str">
        <f>[1]Raw_Customer_Dim!$A$2</f>
        <v>CUST1000</v>
      </c>
      <c r="G165" t="str">
        <f>_xlfn.XLOOKUP(E165,Store_Dim!A:A,Store_Dim!B:B,"Not Found")</f>
        <v>Martinez, Adkins and Johnson</v>
      </c>
      <c r="H165" t="str">
        <f>_xlfn.XLOOKUP(D165,Product_Dim!A:A,Product_Dim!C:C,"Not Found")</f>
        <v>Beauty</v>
      </c>
      <c r="I165" t="str">
        <f>_xlfn.XLOOKUP(E165,Store_Dim!A:A,Store_Dim!C:C,"Not Found")</f>
        <v>North</v>
      </c>
      <c r="J165" t="str">
        <f>_xlfn.XLOOKUP(C165,Customer_Dim!A:A,Customer_Dim!B:B,"Not Found")</f>
        <v>Nathan Campbell</v>
      </c>
      <c r="K165">
        <f>Table511[[#This Row],[Total_Amount]]/(L165*(1-Table511[[#This Row],[Discount]]))</f>
        <v>1.0000000000000002</v>
      </c>
      <c r="L165" s="5">
        <v>488.31</v>
      </c>
      <c r="M165">
        <v>0.03</v>
      </c>
      <c r="N165" t="s">
        <v>1351</v>
      </c>
      <c r="O165" s="5">
        <v>473.66070000000002</v>
      </c>
    </row>
    <row r="166" spans="1:15">
      <c r="A166" t="s">
        <v>1515</v>
      </c>
      <c r="B166" s="7">
        <v>45418</v>
      </c>
      <c r="C166" t="s">
        <v>616</v>
      </c>
      <c r="D166" t="s">
        <v>1181</v>
      </c>
      <c r="E166" t="s">
        <v>1319</v>
      </c>
      <c r="F166" t="str">
        <f>[1]Raw_Customer_Dim!$A$2</f>
        <v>CUST1000</v>
      </c>
      <c r="G166" t="str">
        <f>_xlfn.XLOOKUP(E166,Store_Dim!A:A,Store_Dim!B:B,"Not Found")</f>
        <v>Thomas, Bridges and Harris</v>
      </c>
      <c r="H166" t="str">
        <f>_xlfn.XLOOKUP(D166,Product_Dim!A:A,Product_Dim!C:C,"Not Found")</f>
        <v>Sports</v>
      </c>
      <c r="I166" t="str">
        <f>_xlfn.XLOOKUP(E166,Store_Dim!A:A,Store_Dim!C:C,"Not Found")</f>
        <v>North</v>
      </c>
      <c r="J166" t="str">
        <f>_xlfn.XLOOKUP(C166,Customer_Dim!A:A,Customer_Dim!B:B,"Not Found")</f>
        <v>Arthur Warren</v>
      </c>
      <c r="K166">
        <f>Table511[[#This Row],[Total_Amount]]/(L166*(1-Table511[[#This Row],[Discount]]))</f>
        <v>3.9999999999999996</v>
      </c>
      <c r="L166" s="5">
        <v>164.04</v>
      </c>
      <c r="M166">
        <v>0.26</v>
      </c>
      <c r="N166" t="s">
        <v>1349</v>
      </c>
      <c r="O166" s="5">
        <v>485.55839999999989</v>
      </c>
    </row>
    <row r="167" spans="1:15">
      <c r="A167" t="s">
        <v>1516</v>
      </c>
      <c r="B167" s="7">
        <v>45508</v>
      </c>
      <c r="C167" t="s">
        <v>197</v>
      </c>
      <c r="D167" t="s">
        <v>1093</v>
      </c>
      <c r="E167" t="s">
        <v>1332</v>
      </c>
      <c r="F167" t="str">
        <f>[1]Raw_Customer_Dim!$A$2</f>
        <v>CUST1000</v>
      </c>
      <c r="G167" t="str">
        <f>_xlfn.XLOOKUP(E167,Store_Dim!A:A,Store_Dim!B:B,"Not Found")</f>
        <v>Holloway Ltd</v>
      </c>
      <c r="H167" t="str">
        <f>_xlfn.XLOOKUP(D167,Product_Dim!A:A,Product_Dim!C:C,"Not Found")</f>
        <v>Home</v>
      </c>
      <c r="I167" t="str">
        <f>_xlfn.XLOOKUP(E167,Store_Dim!A:A,Store_Dim!C:C,"Not Found")</f>
        <v>North</v>
      </c>
      <c r="J167" t="str">
        <f>_xlfn.XLOOKUP(C167,Customer_Dim!A:A,Customer_Dim!B:B,"Not Found")</f>
        <v>Christopher Brown</v>
      </c>
      <c r="K167">
        <f>Table511[[#This Row],[Total_Amount]]/(L167*(1-Table511[[#This Row],[Discount]]))</f>
        <v>2.9999999999999996</v>
      </c>
      <c r="L167" s="5">
        <v>707.95</v>
      </c>
      <c r="M167">
        <v>0.18</v>
      </c>
      <c r="N167" t="s">
        <v>1351</v>
      </c>
      <c r="O167" s="5">
        <v>1741.557</v>
      </c>
    </row>
    <row r="168" spans="1:15">
      <c r="A168" t="s">
        <v>1517</v>
      </c>
      <c r="B168" s="7">
        <v>45269</v>
      </c>
      <c r="C168" t="s">
        <v>654</v>
      </c>
      <c r="D168" t="s">
        <v>1211</v>
      </c>
      <c r="E168" t="s">
        <v>1307</v>
      </c>
      <c r="F168" t="str">
        <f>[1]Raw_Customer_Dim!$A$2</f>
        <v>CUST1000</v>
      </c>
      <c r="G168" t="str">
        <f>_xlfn.XLOOKUP(E168,Store_Dim!A:A,Store_Dim!B:B,"Not Found")</f>
        <v>Bean, Jones and Park</v>
      </c>
      <c r="H168" t="str">
        <f>_xlfn.XLOOKUP(D168,Product_Dim!A:A,Product_Dim!C:C,"Not Found")</f>
        <v>Clothing</v>
      </c>
      <c r="I168" t="str">
        <f>_xlfn.XLOOKUP(E168,Store_Dim!A:A,Store_Dim!C:C,"Not Found")</f>
        <v>West</v>
      </c>
      <c r="J168" t="str">
        <f>_xlfn.XLOOKUP(C168,Customer_Dim!A:A,Customer_Dim!B:B,"Not Found")</f>
        <v>Crystal Waters</v>
      </c>
      <c r="K168">
        <f>Table511[[#This Row],[Total_Amount]]/(L168*(1-Table511[[#This Row],[Discount]]))</f>
        <v>4</v>
      </c>
      <c r="L168" s="5">
        <v>714.47</v>
      </c>
      <c r="M168">
        <v>0.18</v>
      </c>
      <c r="N168" t="s">
        <v>1354</v>
      </c>
      <c r="O168" s="5">
        <v>2343.4616000000001</v>
      </c>
    </row>
    <row r="169" spans="1:15">
      <c r="A169" t="s">
        <v>1518</v>
      </c>
      <c r="B169" s="7">
        <v>45866</v>
      </c>
      <c r="C169" t="s">
        <v>893</v>
      </c>
      <c r="D169" t="s">
        <v>1231</v>
      </c>
      <c r="E169" t="s">
        <v>1304</v>
      </c>
      <c r="F169" t="str">
        <f>[1]Raw_Customer_Dim!$A$2</f>
        <v>CUST1000</v>
      </c>
      <c r="G169" t="str">
        <f>_xlfn.XLOOKUP(E169,Store_Dim!A:A,Store_Dim!B:B,"Not Found")</f>
        <v>Martinez-Mullins</v>
      </c>
      <c r="H169" t="str">
        <f>_xlfn.XLOOKUP(D169,Product_Dim!A:A,Product_Dim!C:C,"Not Found")</f>
        <v>Home</v>
      </c>
      <c r="I169" t="str">
        <f>_xlfn.XLOOKUP(E169,Store_Dim!A:A,Store_Dim!C:C,"Not Found")</f>
        <v>South</v>
      </c>
      <c r="J169" t="str">
        <f>_xlfn.XLOOKUP(C169,Customer_Dim!A:A,Customer_Dim!B:B,"Not Found")</f>
        <v>Tyler Cook</v>
      </c>
      <c r="K169">
        <f>Table511[[#This Row],[Total_Amount]]/(L169*(1-Table511[[#This Row],[Discount]]))</f>
        <v>4</v>
      </c>
      <c r="L169" s="5">
        <v>422.09</v>
      </c>
      <c r="M169">
        <v>0.04</v>
      </c>
      <c r="N169" t="s">
        <v>1349</v>
      </c>
      <c r="O169" s="5">
        <v>1620.8255999999999</v>
      </c>
    </row>
    <row r="170" spans="1:15">
      <c r="A170" t="s">
        <v>1519</v>
      </c>
      <c r="B170" s="7">
        <v>45462</v>
      </c>
      <c r="C170" t="s">
        <v>275</v>
      </c>
      <c r="D170" t="s">
        <v>1133</v>
      </c>
      <c r="E170" t="s">
        <v>1311</v>
      </c>
      <c r="F170" t="str">
        <f>[1]Raw_Customer_Dim!$A$2</f>
        <v>CUST1000</v>
      </c>
      <c r="G170" t="str">
        <f>_xlfn.XLOOKUP(E170,Store_Dim!A:A,Store_Dim!B:B,"Not Found")</f>
        <v>Moore, Padilla and Butler</v>
      </c>
      <c r="H170" t="str">
        <f>_xlfn.XLOOKUP(D170,Product_Dim!A:A,Product_Dim!C:C,"Not Found")</f>
        <v>Home</v>
      </c>
      <c r="I170" t="str">
        <f>_xlfn.XLOOKUP(E170,Store_Dim!A:A,Store_Dim!C:C,"Not Found")</f>
        <v>South</v>
      </c>
      <c r="J170" t="str">
        <f>_xlfn.XLOOKUP(C170,Customer_Dim!A:A,Customer_Dim!B:B,"Not Found")</f>
        <v>Travis Holland</v>
      </c>
      <c r="K170">
        <f>Table511[[#This Row],[Total_Amount]]/(L170*(1-Table511[[#This Row],[Discount]]))</f>
        <v>1</v>
      </c>
      <c r="L170" s="5">
        <v>998.19</v>
      </c>
      <c r="M170">
        <v>0.2</v>
      </c>
      <c r="N170" t="s">
        <v>1349</v>
      </c>
      <c r="O170" s="5">
        <v>798.55200000000013</v>
      </c>
    </row>
    <row r="171" spans="1:15">
      <c r="A171" t="s">
        <v>1520</v>
      </c>
      <c r="B171" s="7">
        <v>45313</v>
      </c>
      <c r="C171" t="s">
        <v>809</v>
      </c>
      <c r="D171" t="s">
        <v>1217</v>
      </c>
      <c r="E171" t="s">
        <v>1304</v>
      </c>
      <c r="F171" t="str">
        <f>[1]Raw_Customer_Dim!$A$2</f>
        <v>CUST1000</v>
      </c>
      <c r="G171" t="str">
        <f>_xlfn.XLOOKUP(E171,Store_Dim!A:A,Store_Dim!B:B,"Not Found")</f>
        <v>Martinez-Mullins</v>
      </c>
      <c r="H171" t="str">
        <f>_xlfn.XLOOKUP(D171,Product_Dim!A:A,Product_Dim!C:C,"Not Found")</f>
        <v>Sports</v>
      </c>
      <c r="I171" t="str">
        <f>_xlfn.XLOOKUP(E171,Store_Dim!A:A,Store_Dim!C:C,"Not Found")</f>
        <v>South</v>
      </c>
      <c r="J171" t="str">
        <f>_xlfn.XLOOKUP(C171,Customer_Dim!A:A,Customer_Dim!B:B,"Not Found")</f>
        <v>James Orozco</v>
      </c>
      <c r="K171">
        <f>Table511[[#This Row],[Total_Amount]]/(L171*(1-Table511[[#This Row],[Discount]]))</f>
        <v>2</v>
      </c>
      <c r="L171" s="5">
        <v>343.42</v>
      </c>
      <c r="M171">
        <v>0.12</v>
      </c>
      <c r="N171" t="s">
        <v>1354</v>
      </c>
      <c r="O171" s="5">
        <v>604.41920000000005</v>
      </c>
    </row>
    <row r="172" spans="1:15">
      <c r="A172" t="s">
        <v>1521</v>
      </c>
      <c r="B172" s="7">
        <v>45390</v>
      </c>
      <c r="C172" t="s">
        <v>575</v>
      </c>
      <c r="D172" t="s">
        <v>1141</v>
      </c>
      <c r="E172" t="s">
        <v>1301</v>
      </c>
      <c r="F172" t="str">
        <f>[1]Raw_Customer_Dim!$A$2</f>
        <v>CUST1000</v>
      </c>
      <c r="G172" t="str">
        <f>_xlfn.XLOOKUP(E172,Store_Dim!A:A,Store_Dim!B:B,"Not Found")</f>
        <v>Benson-Elliott</v>
      </c>
      <c r="H172" t="str">
        <f>_xlfn.XLOOKUP(D172,Product_Dim!A:A,Product_Dim!C:C,"Not Found")</f>
        <v>Electronics</v>
      </c>
      <c r="I172" t="str">
        <f>_xlfn.XLOOKUP(E172,Store_Dim!A:A,Store_Dim!C:C,"Not Found")</f>
        <v>East</v>
      </c>
      <c r="J172" t="str">
        <f>_xlfn.XLOOKUP(C172,Customer_Dim!A:A,Customer_Dim!B:B,"Not Found")</f>
        <v>Kristen Fischer</v>
      </c>
      <c r="K172">
        <f>Table511[[#This Row],[Total_Amount]]/(L172*(1-Table511[[#This Row],[Discount]]))</f>
        <v>1.0000000000000002</v>
      </c>
      <c r="L172" s="5">
        <v>152.16999999999999</v>
      </c>
      <c r="M172">
        <v>0.28000000000000003</v>
      </c>
      <c r="N172" t="s">
        <v>1354</v>
      </c>
      <c r="O172" s="5">
        <v>109.5624</v>
      </c>
    </row>
    <row r="173" spans="1:15">
      <c r="A173" t="s">
        <v>1522</v>
      </c>
      <c r="B173" s="7">
        <v>45795</v>
      </c>
      <c r="C173" t="s">
        <v>411</v>
      </c>
      <c r="D173" t="s">
        <v>1171</v>
      </c>
      <c r="E173" t="s">
        <v>1317</v>
      </c>
      <c r="F173" t="str">
        <f>[1]Raw_Customer_Dim!$A$2</f>
        <v>CUST1000</v>
      </c>
      <c r="G173" t="str">
        <f>_xlfn.XLOOKUP(E173,Store_Dim!A:A,Store_Dim!B:B,"Not Found")</f>
        <v>Aguirre-Keller</v>
      </c>
      <c r="H173" t="str">
        <f>_xlfn.XLOOKUP(D173,Product_Dim!A:A,Product_Dim!C:C,"Not Found")</f>
        <v>Beauty</v>
      </c>
      <c r="I173" t="str">
        <f>_xlfn.XLOOKUP(E173,Store_Dim!A:A,Store_Dim!C:C,"Not Found")</f>
        <v>South</v>
      </c>
      <c r="J173" t="str">
        <f>_xlfn.XLOOKUP(C173,Customer_Dim!A:A,Customer_Dim!B:B,"Not Found")</f>
        <v>Michelle Rogers</v>
      </c>
      <c r="K173">
        <f>Table511[[#This Row],[Total_Amount]]/(L173*(1-Table511[[#This Row],[Discount]]))</f>
        <v>1.0000000000000002</v>
      </c>
      <c r="L173" s="5">
        <v>325.08</v>
      </c>
      <c r="M173">
        <v>0.26</v>
      </c>
      <c r="N173" t="s">
        <v>1351</v>
      </c>
      <c r="O173" s="5">
        <v>240.5592</v>
      </c>
    </row>
    <row r="174" spans="1:15">
      <c r="A174" t="s">
        <v>1523</v>
      </c>
      <c r="B174" s="7">
        <v>45267</v>
      </c>
      <c r="C174" t="s">
        <v>752</v>
      </c>
      <c r="D174" t="s">
        <v>1251</v>
      </c>
      <c r="E174" t="s">
        <v>1314</v>
      </c>
      <c r="F174" t="str">
        <f>[1]Raw_Customer_Dim!$A$2</f>
        <v>CUST1000</v>
      </c>
      <c r="G174" t="str">
        <f>_xlfn.XLOOKUP(E174,Store_Dim!A:A,Store_Dim!B:B,"Not Found")</f>
        <v>Hill, Wagner and Ballard</v>
      </c>
      <c r="H174" t="str">
        <f>_xlfn.XLOOKUP(D174,Product_Dim!A:A,Product_Dim!C:C,"Not Found")</f>
        <v>Beauty</v>
      </c>
      <c r="I174" t="str">
        <f>_xlfn.XLOOKUP(E174,Store_Dim!A:A,Store_Dim!C:C,"Not Found")</f>
        <v>East</v>
      </c>
      <c r="J174" t="str">
        <f>_xlfn.XLOOKUP(C174,Customer_Dim!A:A,Customer_Dim!B:B,"Not Found")</f>
        <v>Evelyn Brown</v>
      </c>
      <c r="K174">
        <f>Table511[[#This Row],[Total_Amount]]/(L174*(1-Table511[[#This Row],[Discount]]))</f>
        <v>2.0000000000000004</v>
      </c>
      <c r="L174" s="5">
        <v>827.92</v>
      </c>
      <c r="M174">
        <v>0.25</v>
      </c>
      <c r="N174" t="s">
        <v>1354</v>
      </c>
      <c r="O174" s="5">
        <v>1241.8800000000001</v>
      </c>
    </row>
    <row r="175" spans="1:15">
      <c r="A175" t="s">
        <v>1524</v>
      </c>
      <c r="B175" s="7">
        <v>45314</v>
      </c>
      <c r="C175" t="s">
        <v>1031</v>
      </c>
      <c r="D175" t="s">
        <v>1125</v>
      </c>
      <c r="E175" t="s">
        <v>1286</v>
      </c>
      <c r="F175" t="str">
        <f>[1]Raw_Customer_Dim!$A$2</f>
        <v>CUST1000</v>
      </c>
      <c r="G175" t="str">
        <f>_xlfn.XLOOKUP(E175,Store_Dim!A:A,Store_Dim!B:B,"Not Found")</f>
        <v>Black-Horn</v>
      </c>
      <c r="H175" t="str">
        <f>_xlfn.XLOOKUP(D175,Product_Dim!A:A,Product_Dim!C:C,"Not Found")</f>
        <v>Electronics</v>
      </c>
      <c r="I175" t="str">
        <f>_xlfn.XLOOKUP(E175,Store_Dim!A:A,Store_Dim!C:C,"Not Found")</f>
        <v>South</v>
      </c>
      <c r="J175" t="str">
        <f>_xlfn.XLOOKUP(C175,Customer_Dim!A:A,Customer_Dim!B:B,"Not Found")</f>
        <v>Sara Ingram</v>
      </c>
      <c r="K175">
        <f>Table511[[#This Row],[Total_Amount]]/(L175*(1-Table511[[#This Row],[Discount]]))</f>
        <v>2</v>
      </c>
      <c r="L175" s="5">
        <v>593.47</v>
      </c>
      <c r="M175">
        <v>0.1</v>
      </c>
      <c r="N175" t="s">
        <v>1354</v>
      </c>
      <c r="O175" s="5">
        <v>1068.2460000000001</v>
      </c>
    </row>
    <row r="176" spans="1:15">
      <c r="A176" t="s">
        <v>1525</v>
      </c>
      <c r="B176" s="7">
        <v>45267</v>
      </c>
      <c r="C176" t="s">
        <v>650</v>
      </c>
      <c r="D176" t="s">
        <v>1113</v>
      </c>
      <c r="E176" t="s">
        <v>1304</v>
      </c>
      <c r="F176" t="str">
        <f>[1]Raw_Customer_Dim!$A$2</f>
        <v>CUST1000</v>
      </c>
      <c r="G176" t="str">
        <f>_xlfn.XLOOKUP(E176,Store_Dim!A:A,Store_Dim!B:B,"Not Found")</f>
        <v>Martinez-Mullins</v>
      </c>
      <c r="H176" t="str">
        <f>_xlfn.XLOOKUP(D176,Product_Dim!A:A,Product_Dim!C:C,"Not Found")</f>
        <v>Sports</v>
      </c>
      <c r="I176" t="str">
        <f>_xlfn.XLOOKUP(E176,Store_Dim!A:A,Store_Dim!C:C,"Not Found")</f>
        <v>South</v>
      </c>
      <c r="J176" t="str">
        <f>_xlfn.XLOOKUP(C176,Customer_Dim!A:A,Customer_Dim!B:B,"Not Found")</f>
        <v>Gloria Taylor</v>
      </c>
      <c r="K176">
        <f>Table511[[#This Row],[Total_Amount]]/(L176*(1-Table511[[#This Row],[Discount]]))</f>
        <v>4.0000000000000009</v>
      </c>
      <c r="L176" s="5">
        <v>756.28</v>
      </c>
      <c r="M176">
        <v>0.05</v>
      </c>
      <c r="N176" t="s">
        <v>1354</v>
      </c>
      <c r="O176" s="5">
        <v>2873.864</v>
      </c>
    </row>
    <row r="177" spans="1:15">
      <c r="A177" t="s">
        <v>1526</v>
      </c>
      <c r="B177" s="7">
        <v>45641</v>
      </c>
      <c r="C177" t="s">
        <v>817</v>
      </c>
      <c r="D177" t="s">
        <v>1257</v>
      </c>
      <c r="E177" t="s">
        <v>1282</v>
      </c>
      <c r="F177" t="str">
        <f>[1]Raw_Customer_Dim!$A$2</f>
        <v>CUST1000</v>
      </c>
      <c r="G177" t="str">
        <f>_xlfn.XLOOKUP(E177,Store_Dim!A:A,Store_Dim!B:B,"Not Found")</f>
        <v>Martinez, Adkins and Johnson</v>
      </c>
      <c r="H177" t="str">
        <f>_xlfn.XLOOKUP(D177,Product_Dim!A:A,Product_Dim!C:C,"Not Found")</f>
        <v>Home</v>
      </c>
      <c r="I177" t="str">
        <f>_xlfn.XLOOKUP(E177,Store_Dim!A:A,Store_Dim!C:C,"Not Found")</f>
        <v>North</v>
      </c>
      <c r="J177" t="str">
        <f>_xlfn.XLOOKUP(C177,Customer_Dim!A:A,Customer_Dim!B:B,"Not Found")</f>
        <v>Charles Conley</v>
      </c>
      <c r="K177">
        <f>Table511[[#This Row],[Total_Amount]]/(L177*(1-Table511[[#This Row],[Discount]]))</f>
        <v>2</v>
      </c>
      <c r="L177" s="5">
        <v>707.65</v>
      </c>
      <c r="M177">
        <v>0.14000000000000001</v>
      </c>
      <c r="N177" t="s">
        <v>1349</v>
      </c>
      <c r="O177" s="5">
        <v>1217.1579999999999</v>
      </c>
    </row>
    <row r="178" spans="1:15">
      <c r="A178" t="s">
        <v>1527</v>
      </c>
      <c r="B178" s="7">
        <v>45371</v>
      </c>
      <c r="C178" t="s">
        <v>317</v>
      </c>
      <c r="D178" t="s">
        <v>1123</v>
      </c>
      <c r="E178" t="s">
        <v>1326</v>
      </c>
      <c r="F178" t="str">
        <f>[1]Raw_Customer_Dim!$A$2</f>
        <v>CUST1000</v>
      </c>
      <c r="G178" t="str">
        <f>_xlfn.XLOOKUP(E178,Store_Dim!A:A,Store_Dim!B:B,"Not Found")</f>
        <v>Shelton PLC</v>
      </c>
      <c r="H178" t="str">
        <f>_xlfn.XLOOKUP(D178,Product_Dim!A:A,Product_Dim!C:C,"Not Found")</f>
        <v>Clothing</v>
      </c>
      <c r="I178" t="str">
        <f>_xlfn.XLOOKUP(E178,Store_Dim!A:A,Store_Dim!C:C,"Not Found")</f>
        <v>North</v>
      </c>
      <c r="J178" t="str">
        <f>_xlfn.XLOOKUP(C178,Customer_Dim!A:A,Customer_Dim!B:B,"Not Found")</f>
        <v>Susan Mcdonald</v>
      </c>
      <c r="K178">
        <f>Table511[[#This Row],[Total_Amount]]/(L178*(1-Table511[[#This Row],[Discount]]))</f>
        <v>1</v>
      </c>
      <c r="L178" s="5">
        <v>857.35</v>
      </c>
      <c r="M178">
        <v>0.28000000000000003</v>
      </c>
      <c r="N178" t="s">
        <v>1351</v>
      </c>
      <c r="O178" s="5">
        <v>617.29200000000003</v>
      </c>
    </row>
    <row r="179" spans="1:15">
      <c r="A179" t="s">
        <v>1528</v>
      </c>
      <c r="B179" s="7">
        <v>45670</v>
      </c>
      <c r="C179" t="s">
        <v>1059</v>
      </c>
      <c r="D179" t="s">
        <v>1183</v>
      </c>
      <c r="E179" t="s">
        <v>1307</v>
      </c>
      <c r="F179" t="str">
        <f>[1]Raw_Customer_Dim!$A$2</f>
        <v>CUST1000</v>
      </c>
      <c r="G179" t="str">
        <f>_xlfn.XLOOKUP(E179,Store_Dim!A:A,Store_Dim!B:B,"Not Found")</f>
        <v>Bean, Jones and Park</v>
      </c>
      <c r="H179" t="str">
        <f>_xlfn.XLOOKUP(D179,Product_Dim!A:A,Product_Dim!C:C,"Not Found")</f>
        <v>Home</v>
      </c>
      <c r="I179" t="str">
        <f>_xlfn.XLOOKUP(E179,Store_Dim!A:A,Store_Dim!C:C,"Not Found")</f>
        <v>West</v>
      </c>
      <c r="J179" t="str">
        <f>_xlfn.XLOOKUP(C179,Customer_Dim!A:A,Customer_Dim!B:B,"Not Found")</f>
        <v>Not Found</v>
      </c>
      <c r="K179">
        <f>Table511[[#This Row],[Total_Amount]]/(L179*(1-Table511[[#This Row],[Discount]]))</f>
        <v>1</v>
      </c>
      <c r="L179" s="5">
        <v>79</v>
      </c>
      <c r="M179">
        <v>0.04</v>
      </c>
      <c r="N179" t="s">
        <v>1351</v>
      </c>
      <c r="O179" s="5">
        <v>75.84</v>
      </c>
    </row>
    <row r="180" spans="1:15">
      <c r="A180" t="s">
        <v>1529</v>
      </c>
      <c r="B180" s="7">
        <v>45885</v>
      </c>
      <c r="C180" t="s">
        <v>180</v>
      </c>
      <c r="D180" t="s">
        <v>1261</v>
      </c>
      <c r="E180" t="s">
        <v>1298</v>
      </c>
      <c r="F180" t="str">
        <f>[1]Raw_Customer_Dim!$A$2</f>
        <v>CUST1000</v>
      </c>
      <c r="G180" t="str">
        <f>_xlfn.XLOOKUP(E180,Store_Dim!A:A,Store_Dim!B:B,"Not Found")</f>
        <v>Gray Ltd</v>
      </c>
      <c r="H180" t="str">
        <f>_xlfn.XLOOKUP(D180,Product_Dim!A:A,Product_Dim!C:C,"Not Found")</f>
        <v>Beauty</v>
      </c>
      <c r="I180" t="str">
        <f>_xlfn.XLOOKUP(E180,Store_Dim!A:A,Store_Dim!C:C,"Not Found")</f>
        <v>North</v>
      </c>
      <c r="J180" t="str">
        <f>_xlfn.XLOOKUP(C180,Customer_Dim!A:A,Customer_Dim!B:B,"Not Found")</f>
        <v>Cody Diaz</v>
      </c>
      <c r="K180">
        <f>Table511[[#This Row],[Total_Amount]]/(L180*(1-Table511[[#This Row],[Discount]]))</f>
        <v>4</v>
      </c>
      <c r="L180" s="5">
        <v>638.91</v>
      </c>
      <c r="M180">
        <v>0</v>
      </c>
      <c r="N180" t="s">
        <v>1354</v>
      </c>
      <c r="O180" s="5">
        <v>2555.64</v>
      </c>
    </row>
    <row r="181" spans="1:15">
      <c r="A181" t="s">
        <v>1530</v>
      </c>
      <c r="B181" s="7">
        <v>45812</v>
      </c>
      <c r="C181" t="s">
        <v>216</v>
      </c>
      <c r="D181" t="s">
        <v>1163</v>
      </c>
      <c r="E181" t="s">
        <v>1277</v>
      </c>
      <c r="F181" t="str">
        <f>[1]Raw_Customer_Dim!$A$2</f>
        <v>CUST1000</v>
      </c>
      <c r="G181" t="str">
        <f>_xlfn.XLOOKUP(E181,Store_Dim!A:A,Store_Dim!B:B,"Not Found")</f>
        <v>Rivera-Warner</v>
      </c>
      <c r="H181" t="str">
        <f>_xlfn.XLOOKUP(D181,Product_Dim!A:A,Product_Dim!C:C,"Not Found")</f>
        <v>Sports</v>
      </c>
      <c r="I181" t="str">
        <f>_xlfn.XLOOKUP(E181,Store_Dim!A:A,Store_Dim!C:C,"Not Found")</f>
        <v>East</v>
      </c>
      <c r="J181" t="str">
        <f>_xlfn.XLOOKUP(C181,Customer_Dim!A:A,Customer_Dim!B:B,"Not Found")</f>
        <v>Krystal Ford</v>
      </c>
      <c r="K181">
        <f>Table511[[#This Row],[Total_Amount]]/(L181*(1-Table511[[#This Row],[Discount]]))</f>
        <v>2</v>
      </c>
      <c r="L181" s="5">
        <v>522.16999999999996</v>
      </c>
      <c r="M181">
        <v>0.27</v>
      </c>
      <c r="N181" t="s">
        <v>1349</v>
      </c>
      <c r="O181" s="5">
        <v>762.36819999999989</v>
      </c>
    </row>
    <row r="182" spans="1:15">
      <c r="A182" t="s">
        <v>1531</v>
      </c>
      <c r="B182" s="7">
        <v>45235</v>
      </c>
      <c r="C182" t="s">
        <v>1018</v>
      </c>
      <c r="D182" t="s">
        <v>1151</v>
      </c>
      <c r="E182" t="s">
        <v>1319</v>
      </c>
      <c r="F182" t="str">
        <f>[1]Raw_Customer_Dim!$A$2</f>
        <v>CUST1000</v>
      </c>
      <c r="G182" t="str">
        <f>_xlfn.XLOOKUP(E182,Store_Dim!A:A,Store_Dim!B:B,"Not Found")</f>
        <v>Thomas, Bridges and Harris</v>
      </c>
      <c r="H182" t="str">
        <f>_xlfn.XLOOKUP(D182,Product_Dim!A:A,Product_Dim!C:C,"Not Found")</f>
        <v>Electronics</v>
      </c>
      <c r="I182" t="str">
        <f>_xlfn.XLOOKUP(E182,Store_Dim!A:A,Store_Dim!C:C,"Not Found")</f>
        <v>North</v>
      </c>
      <c r="J182" t="str">
        <f>_xlfn.XLOOKUP(C182,Customer_Dim!A:A,Customer_Dim!B:B,"Not Found")</f>
        <v>Earl Smith DDS</v>
      </c>
      <c r="K182">
        <f>Table511[[#This Row],[Total_Amount]]/(L182*(1-Table511[[#This Row],[Discount]]))</f>
        <v>3.0000000000000004</v>
      </c>
      <c r="L182" s="5">
        <v>954.29</v>
      </c>
      <c r="M182">
        <v>0.27</v>
      </c>
      <c r="N182" t="s">
        <v>1349</v>
      </c>
      <c r="O182" s="5">
        <v>2089.8951000000002</v>
      </c>
    </row>
    <row r="183" spans="1:15">
      <c r="A183" t="s">
        <v>1532</v>
      </c>
      <c r="B183" s="7">
        <v>45710</v>
      </c>
      <c r="C183" t="s">
        <v>986</v>
      </c>
      <c r="D183" t="s">
        <v>1139</v>
      </c>
      <c r="E183" t="s">
        <v>1322</v>
      </c>
      <c r="F183" t="str">
        <f>[1]Raw_Customer_Dim!$A$2</f>
        <v>CUST1000</v>
      </c>
      <c r="G183" t="str">
        <f>_xlfn.XLOOKUP(E183,Store_Dim!A:A,Store_Dim!B:B,"Not Found")</f>
        <v>Gardner, Humphrey and Contreras</v>
      </c>
      <c r="H183" t="str">
        <f>_xlfn.XLOOKUP(D183,Product_Dim!A:A,Product_Dim!C:C,"Not Found")</f>
        <v>Home</v>
      </c>
      <c r="I183" t="str">
        <f>_xlfn.XLOOKUP(E183,Store_Dim!A:A,Store_Dim!C:C,"Not Found")</f>
        <v>East</v>
      </c>
      <c r="J183" t="str">
        <f>_xlfn.XLOOKUP(C183,Customer_Dim!A:A,Customer_Dim!B:B,"Not Found")</f>
        <v>Beth Martin</v>
      </c>
      <c r="K183">
        <f>Table511[[#This Row],[Total_Amount]]/(L183*(1-Table511[[#This Row],[Discount]]))</f>
        <v>3</v>
      </c>
      <c r="L183" s="5">
        <v>53.92</v>
      </c>
      <c r="M183">
        <v>0.15</v>
      </c>
      <c r="N183" t="s">
        <v>1351</v>
      </c>
      <c r="O183" s="5">
        <v>137.49600000000001</v>
      </c>
    </row>
    <row r="184" spans="1:15">
      <c r="A184" t="s">
        <v>1533</v>
      </c>
      <c r="B184" s="7">
        <v>45753</v>
      </c>
      <c r="C184" t="s">
        <v>855</v>
      </c>
      <c r="D184" t="s">
        <v>1141</v>
      </c>
      <c r="E184" t="s">
        <v>1277</v>
      </c>
      <c r="F184" t="str">
        <f>[1]Raw_Customer_Dim!$A$2</f>
        <v>CUST1000</v>
      </c>
      <c r="G184" t="str">
        <f>_xlfn.XLOOKUP(E184,Store_Dim!A:A,Store_Dim!B:B,"Not Found")</f>
        <v>Rivera-Warner</v>
      </c>
      <c r="H184" t="str">
        <f>_xlfn.XLOOKUP(D184,Product_Dim!A:A,Product_Dim!C:C,"Not Found")</f>
        <v>Electronics</v>
      </c>
      <c r="I184" t="str">
        <f>_xlfn.XLOOKUP(E184,Store_Dim!A:A,Store_Dim!C:C,"Not Found")</f>
        <v>East</v>
      </c>
      <c r="J184" t="str">
        <f>_xlfn.XLOOKUP(C184,Customer_Dim!A:A,Customer_Dim!B:B,"Not Found")</f>
        <v>Alexander Byrd</v>
      </c>
      <c r="K184">
        <f>Table511[[#This Row],[Total_Amount]]/(L184*(1-Table511[[#This Row],[Discount]]))</f>
        <v>4.0000000000000009</v>
      </c>
      <c r="L184" s="5">
        <v>741.88</v>
      </c>
      <c r="M184">
        <v>0.02</v>
      </c>
      <c r="N184" t="s">
        <v>1354</v>
      </c>
      <c r="O184" s="5">
        <v>2908.1696000000002</v>
      </c>
    </row>
    <row r="185" spans="1:15">
      <c r="A185" t="s">
        <v>1534</v>
      </c>
      <c r="B185" s="7">
        <v>45594</v>
      </c>
      <c r="C185" t="s">
        <v>102</v>
      </c>
      <c r="D185" t="s">
        <v>1165</v>
      </c>
      <c r="E185" t="s">
        <v>1291</v>
      </c>
      <c r="F185" t="str">
        <f>[1]Raw_Customer_Dim!$A$2</f>
        <v>CUST1000</v>
      </c>
      <c r="G185" t="str">
        <f>_xlfn.XLOOKUP(E185,Store_Dim!A:A,Store_Dim!B:B,"Not Found")</f>
        <v>Johnson-Wright</v>
      </c>
      <c r="H185" t="str">
        <f>_xlfn.XLOOKUP(D185,Product_Dim!A:A,Product_Dim!C:C,"Not Found")</f>
        <v>Clothing</v>
      </c>
      <c r="I185" t="str">
        <f>_xlfn.XLOOKUP(E185,Store_Dim!A:A,Store_Dim!C:C,"Not Found")</f>
        <v>North</v>
      </c>
      <c r="J185" t="str">
        <f>_xlfn.XLOOKUP(C185,Customer_Dim!A:A,Customer_Dim!B:B,"Not Found")</f>
        <v>Robert Jones DDS</v>
      </c>
      <c r="K185">
        <f>Table511[[#This Row],[Total_Amount]]/(L185*(1-Table511[[#This Row],[Discount]]))</f>
        <v>1</v>
      </c>
      <c r="L185" s="5">
        <v>547.09</v>
      </c>
      <c r="M185">
        <v>0.01</v>
      </c>
      <c r="N185" t="s">
        <v>1351</v>
      </c>
      <c r="O185" s="5">
        <v>541.6191</v>
      </c>
    </row>
    <row r="186" spans="1:15">
      <c r="A186" t="s">
        <v>1535</v>
      </c>
      <c r="B186" s="7">
        <v>45686</v>
      </c>
      <c r="C186" t="s">
        <v>1039</v>
      </c>
      <c r="D186" t="s">
        <v>1251</v>
      </c>
      <c r="E186" t="s">
        <v>1291</v>
      </c>
      <c r="F186" t="str">
        <f>[1]Raw_Customer_Dim!$A$2</f>
        <v>CUST1000</v>
      </c>
      <c r="G186" t="str">
        <f>_xlfn.XLOOKUP(E186,Store_Dim!A:A,Store_Dim!B:B,"Not Found")</f>
        <v>Johnson-Wright</v>
      </c>
      <c r="H186" t="str">
        <f>_xlfn.XLOOKUP(D186,Product_Dim!A:A,Product_Dim!C:C,"Not Found")</f>
        <v>Beauty</v>
      </c>
      <c r="I186" t="str">
        <f>_xlfn.XLOOKUP(E186,Store_Dim!A:A,Store_Dim!C:C,"Not Found")</f>
        <v>North</v>
      </c>
      <c r="J186" t="str">
        <f>_xlfn.XLOOKUP(C186,Customer_Dim!A:A,Customer_Dim!B:B,"Not Found")</f>
        <v>Melinda Thomas</v>
      </c>
      <c r="K186">
        <f>Table511[[#This Row],[Total_Amount]]/(L186*(1-Table511[[#This Row],[Discount]]))</f>
        <v>1</v>
      </c>
      <c r="L186" s="5">
        <v>789.35</v>
      </c>
      <c r="M186">
        <v>0.14000000000000001</v>
      </c>
      <c r="N186" t="s">
        <v>1351</v>
      </c>
      <c r="O186" s="5">
        <v>678.84100000000001</v>
      </c>
    </row>
    <row r="187" spans="1:15">
      <c r="A187" t="s">
        <v>1536</v>
      </c>
      <c r="B187" s="7">
        <v>45354</v>
      </c>
      <c r="C187" t="s">
        <v>919</v>
      </c>
      <c r="D187" t="s">
        <v>1199</v>
      </c>
      <c r="E187" t="s">
        <v>1291</v>
      </c>
      <c r="F187" t="str">
        <f>[1]Raw_Customer_Dim!$A$2</f>
        <v>CUST1000</v>
      </c>
      <c r="G187" t="str">
        <f>_xlfn.XLOOKUP(E187,Store_Dim!A:A,Store_Dim!B:B,"Not Found")</f>
        <v>Johnson-Wright</v>
      </c>
      <c r="H187" t="str">
        <f>_xlfn.XLOOKUP(D187,Product_Dim!A:A,Product_Dim!C:C,"Not Found")</f>
        <v>Beauty</v>
      </c>
      <c r="I187" t="str">
        <f>_xlfn.XLOOKUP(E187,Store_Dim!A:A,Store_Dim!C:C,"Not Found")</f>
        <v>North</v>
      </c>
      <c r="J187" t="str">
        <f>_xlfn.XLOOKUP(C187,Customer_Dim!A:A,Customer_Dim!B:B,"Not Found")</f>
        <v>Samuel Mullins</v>
      </c>
      <c r="K187">
        <f>Table511[[#This Row],[Total_Amount]]/(L187*(1-Table511[[#This Row],[Discount]]))</f>
        <v>3</v>
      </c>
      <c r="L187" s="5">
        <v>476.78</v>
      </c>
      <c r="M187">
        <v>0.09</v>
      </c>
      <c r="N187" t="s">
        <v>1354</v>
      </c>
      <c r="O187" s="5">
        <v>1301.6094000000001</v>
      </c>
    </row>
    <row r="188" spans="1:15">
      <c r="A188" t="s">
        <v>1537</v>
      </c>
      <c r="B188" s="7">
        <v>45600</v>
      </c>
      <c r="C188" t="s">
        <v>969</v>
      </c>
      <c r="D188" t="s">
        <v>1231</v>
      </c>
      <c r="E188" t="s">
        <v>1335</v>
      </c>
      <c r="F188" t="str">
        <f>[1]Raw_Customer_Dim!$A$2</f>
        <v>CUST1000</v>
      </c>
      <c r="G188" t="str">
        <f>_xlfn.XLOOKUP(E188,Store_Dim!A:A,Store_Dim!B:B,"Not Found")</f>
        <v>Guerrero-Schmitt</v>
      </c>
      <c r="H188" t="str">
        <f>_xlfn.XLOOKUP(D188,Product_Dim!A:A,Product_Dim!C:C,"Not Found")</f>
        <v>Home</v>
      </c>
      <c r="I188" t="str">
        <f>_xlfn.XLOOKUP(E188,Store_Dim!A:A,Store_Dim!C:C,"Not Found")</f>
        <v>East</v>
      </c>
      <c r="J188" t="str">
        <f>_xlfn.XLOOKUP(C188,Customer_Dim!A:A,Customer_Dim!B:B,"Not Found")</f>
        <v>April Phillips</v>
      </c>
      <c r="K188">
        <f>Table511[[#This Row],[Total_Amount]]/(L188*(1-Table511[[#This Row],[Discount]]))</f>
        <v>2</v>
      </c>
      <c r="L188" s="5">
        <v>504.26</v>
      </c>
      <c r="M188">
        <v>0.04</v>
      </c>
      <c r="N188" t="s">
        <v>1351</v>
      </c>
      <c r="O188" s="5">
        <v>968.17919999999992</v>
      </c>
    </row>
    <row r="189" spans="1:15">
      <c r="A189" t="s">
        <v>1538</v>
      </c>
      <c r="B189" s="7">
        <v>45538</v>
      </c>
      <c r="C189" t="s">
        <v>608</v>
      </c>
      <c r="D189" t="s">
        <v>1235</v>
      </c>
      <c r="E189" t="s">
        <v>1301</v>
      </c>
      <c r="F189" t="str">
        <f>[1]Raw_Customer_Dim!$A$2</f>
        <v>CUST1000</v>
      </c>
      <c r="G189" t="str">
        <f>_xlfn.XLOOKUP(E189,Store_Dim!A:A,Store_Dim!B:B,"Not Found")</f>
        <v>Benson-Elliott</v>
      </c>
      <c r="H189" t="str">
        <f>_xlfn.XLOOKUP(D189,Product_Dim!A:A,Product_Dim!C:C,"Not Found")</f>
        <v>Sports</v>
      </c>
      <c r="I189" t="str">
        <f>_xlfn.XLOOKUP(E189,Store_Dim!A:A,Store_Dim!C:C,"Not Found")</f>
        <v>East</v>
      </c>
      <c r="J189" t="str">
        <f>_xlfn.XLOOKUP(C189,Customer_Dim!A:A,Customer_Dim!B:B,"Not Found")</f>
        <v>Adam Rowland</v>
      </c>
      <c r="K189">
        <f>Table511[[#This Row],[Total_Amount]]/(L189*(1-Table511[[#This Row],[Discount]]))</f>
        <v>1.9999999999999996</v>
      </c>
      <c r="L189" s="5">
        <v>549.33000000000004</v>
      </c>
      <c r="M189">
        <v>0.01</v>
      </c>
      <c r="N189" t="s">
        <v>1354</v>
      </c>
      <c r="O189" s="5">
        <v>1087.6733999999999</v>
      </c>
    </row>
    <row r="190" spans="1:15">
      <c r="A190" t="s">
        <v>1539</v>
      </c>
      <c r="B190" s="7">
        <v>45411</v>
      </c>
      <c r="C190" t="s">
        <v>827</v>
      </c>
      <c r="D190" t="s">
        <v>1078</v>
      </c>
      <c r="E190" t="s">
        <v>1291</v>
      </c>
      <c r="F190" t="str">
        <f>[1]Raw_Customer_Dim!$A$2</f>
        <v>CUST1000</v>
      </c>
      <c r="G190" t="str">
        <f>_xlfn.XLOOKUP(E190,Store_Dim!A:A,Store_Dim!B:B,"Not Found")</f>
        <v>Johnson-Wright</v>
      </c>
      <c r="H190" t="str">
        <f>_xlfn.XLOOKUP(D190,Product_Dim!A:A,Product_Dim!C:C,"Not Found")</f>
        <v>Clothing</v>
      </c>
      <c r="I190" t="str">
        <f>_xlfn.XLOOKUP(E190,Store_Dim!A:A,Store_Dim!C:C,"Not Found")</f>
        <v>North</v>
      </c>
      <c r="J190" t="str">
        <f>_xlfn.XLOOKUP(C190,Customer_Dim!A:A,Customer_Dim!B:B,"Not Found")</f>
        <v>Martha Brown</v>
      </c>
      <c r="K190">
        <f>Table511[[#This Row],[Total_Amount]]/(L190*(1-Table511[[#This Row],[Discount]]))</f>
        <v>3</v>
      </c>
      <c r="L190" s="5">
        <v>620.22</v>
      </c>
      <c r="M190">
        <v>0.04</v>
      </c>
      <c r="N190" t="s">
        <v>1349</v>
      </c>
      <c r="O190" s="5">
        <v>1786.2336</v>
      </c>
    </row>
    <row r="191" spans="1:15">
      <c r="A191" t="s">
        <v>1540</v>
      </c>
      <c r="B191" s="7">
        <v>45411</v>
      </c>
      <c r="C191" t="s">
        <v>240</v>
      </c>
      <c r="D191" t="s">
        <v>1165</v>
      </c>
      <c r="E191" t="s">
        <v>1291</v>
      </c>
      <c r="F191" t="str">
        <f>[1]Raw_Customer_Dim!$A$2</f>
        <v>CUST1000</v>
      </c>
      <c r="G191" t="str">
        <f>_xlfn.XLOOKUP(E191,Store_Dim!A:A,Store_Dim!B:B,"Not Found")</f>
        <v>Johnson-Wright</v>
      </c>
      <c r="H191" t="str">
        <f>_xlfn.XLOOKUP(D191,Product_Dim!A:A,Product_Dim!C:C,"Not Found")</f>
        <v>Clothing</v>
      </c>
      <c r="I191" t="str">
        <f>_xlfn.XLOOKUP(E191,Store_Dim!A:A,Store_Dim!C:C,"Not Found")</f>
        <v>North</v>
      </c>
      <c r="J191" t="str">
        <f>_xlfn.XLOOKUP(C191,Customer_Dim!A:A,Customer_Dim!B:B,"Not Found")</f>
        <v>Donna Gregory</v>
      </c>
      <c r="K191">
        <f>Table511[[#This Row],[Total_Amount]]/(L191*(1-Table511[[#This Row],[Discount]]))</f>
        <v>1</v>
      </c>
      <c r="L191" s="5">
        <v>580.76</v>
      </c>
      <c r="M191">
        <v>0.1</v>
      </c>
      <c r="N191" t="s">
        <v>1354</v>
      </c>
      <c r="O191" s="5">
        <v>522.68399999999997</v>
      </c>
    </row>
    <row r="192" spans="1:15">
      <c r="A192" t="s">
        <v>1541</v>
      </c>
      <c r="B192" s="7">
        <v>45775</v>
      </c>
      <c r="C192" t="s">
        <v>732</v>
      </c>
      <c r="D192" t="s">
        <v>1215</v>
      </c>
      <c r="E192" t="s">
        <v>1311</v>
      </c>
      <c r="F192" t="str">
        <f>[1]Raw_Customer_Dim!$A$2</f>
        <v>CUST1000</v>
      </c>
      <c r="G192" t="str">
        <f>_xlfn.XLOOKUP(E192,Store_Dim!A:A,Store_Dim!B:B,"Not Found")</f>
        <v>Moore, Padilla and Butler</v>
      </c>
      <c r="H192" t="str">
        <f>_xlfn.XLOOKUP(D192,Product_Dim!A:A,Product_Dim!C:C,"Not Found")</f>
        <v>Beauty</v>
      </c>
      <c r="I192" t="str">
        <f>_xlfn.XLOOKUP(E192,Store_Dim!A:A,Store_Dim!C:C,"Not Found")</f>
        <v>South</v>
      </c>
      <c r="J192" t="str">
        <f>_xlfn.XLOOKUP(C192,Customer_Dim!A:A,Customer_Dim!B:B,"Not Found")</f>
        <v>Mr. Christopher Sims</v>
      </c>
      <c r="K192">
        <f>Table511[[#This Row],[Total_Amount]]/(L192*(1-Table511[[#This Row],[Discount]]))</f>
        <v>3.0000000000000004</v>
      </c>
      <c r="L192" s="5">
        <v>444.55</v>
      </c>
      <c r="M192">
        <v>0.14000000000000001</v>
      </c>
      <c r="N192" t="s">
        <v>1351</v>
      </c>
      <c r="O192" s="5">
        <v>1146.9390000000001</v>
      </c>
    </row>
    <row r="193" spans="1:15">
      <c r="A193" t="s">
        <v>1542</v>
      </c>
      <c r="B193" s="7">
        <v>45459</v>
      </c>
      <c r="C193" t="s">
        <v>337</v>
      </c>
      <c r="D193" t="s">
        <v>1165</v>
      </c>
      <c r="E193" t="s">
        <v>1335</v>
      </c>
      <c r="F193" t="str">
        <f>[1]Raw_Customer_Dim!$A$2</f>
        <v>CUST1000</v>
      </c>
      <c r="G193" t="str">
        <f>_xlfn.XLOOKUP(E193,Store_Dim!A:A,Store_Dim!B:B,"Not Found")</f>
        <v>Guerrero-Schmitt</v>
      </c>
      <c r="H193" t="str">
        <f>_xlfn.XLOOKUP(D193,Product_Dim!A:A,Product_Dim!C:C,"Not Found")</f>
        <v>Clothing</v>
      </c>
      <c r="I193" t="str">
        <f>_xlfn.XLOOKUP(E193,Store_Dim!A:A,Store_Dim!C:C,"Not Found")</f>
        <v>East</v>
      </c>
      <c r="J193" t="str">
        <f>_xlfn.XLOOKUP(C193,Customer_Dim!A:A,Customer_Dim!B:B,"Not Found")</f>
        <v>Sean Roth</v>
      </c>
      <c r="K193">
        <f>Table511[[#This Row],[Total_Amount]]/(L193*(1-Table511[[#This Row],[Discount]]))</f>
        <v>1</v>
      </c>
      <c r="L193" s="5">
        <v>804.9</v>
      </c>
      <c r="M193">
        <v>0.03</v>
      </c>
      <c r="N193" t="s">
        <v>1351</v>
      </c>
      <c r="O193" s="5">
        <v>780.75299999999993</v>
      </c>
    </row>
    <row r="194" spans="1:15">
      <c r="A194" t="s">
        <v>1543</v>
      </c>
      <c r="B194" s="7">
        <v>45617</v>
      </c>
      <c r="C194" t="s">
        <v>911</v>
      </c>
      <c r="D194" t="s">
        <v>1257</v>
      </c>
      <c r="E194" t="s">
        <v>1324</v>
      </c>
      <c r="F194" t="str">
        <f>[1]Raw_Customer_Dim!$A$2</f>
        <v>CUST1000</v>
      </c>
      <c r="G194" t="str">
        <f>_xlfn.XLOOKUP(E194,Store_Dim!A:A,Store_Dim!B:B,"Not Found")</f>
        <v>Mcdonald Inc</v>
      </c>
      <c r="H194" t="str">
        <f>_xlfn.XLOOKUP(D194,Product_Dim!A:A,Product_Dim!C:C,"Not Found")</f>
        <v>Home</v>
      </c>
      <c r="I194" t="str">
        <f>_xlfn.XLOOKUP(E194,Store_Dim!A:A,Store_Dim!C:C,"Not Found")</f>
        <v>South</v>
      </c>
      <c r="J194" t="str">
        <f>_xlfn.XLOOKUP(C194,Customer_Dim!A:A,Customer_Dim!B:B,"Not Found")</f>
        <v>Edwin Barnes</v>
      </c>
      <c r="K194">
        <f>Table511[[#This Row],[Total_Amount]]/(L194*(1-Table511[[#This Row],[Discount]]))</f>
        <v>3</v>
      </c>
      <c r="L194" s="5">
        <v>361.65</v>
      </c>
      <c r="M194">
        <v>0.15</v>
      </c>
      <c r="N194" t="s">
        <v>1354</v>
      </c>
      <c r="O194" s="5">
        <v>922.20749999999987</v>
      </c>
    </row>
    <row r="195" spans="1:15">
      <c r="A195" t="s">
        <v>1544</v>
      </c>
      <c r="B195" s="7">
        <v>45763</v>
      </c>
      <c r="C195" t="s">
        <v>385</v>
      </c>
      <c r="D195" t="s">
        <v>1085</v>
      </c>
      <c r="E195" t="s">
        <v>1294</v>
      </c>
      <c r="F195" t="str">
        <f>[1]Raw_Customer_Dim!$A$2</f>
        <v>CUST1000</v>
      </c>
      <c r="G195" t="str">
        <f>_xlfn.XLOOKUP(E195,Store_Dim!A:A,Store_Dim!B:B,"Not Found")</f>
        <v>Alexander Group</v>
      </c>
      <c r="H195" t="str">
        <f>_xlfn.XLOOKUP(D195,Product_Dim!A:A,Product_Dim!C:C,"Not Found")</f>
        <v>Home</v>
      </c>
      <c r="I195" t="str">
        <f>_xlfn.XLOOKUP(E195,Store_Dim!A:A,Store_Dim!C:C,"Not Found")</f>
        <v>South</v>
      </c>
      <c r="J195" t="str">
        <f>_xlfn.XLOOKUP(C195,Customer_Dim!A:A,Customer_Dim!B:B,"Not Found")</f>
        <v>Mariah Brown</v>
      </c>
      <c r="K195">
        <f>Table511[[#This Row],[Total_Amount]]/(L195*(1-Table511[[#This Row],[Discount]]))</f>
        <v>1</v>
      </c>
      <c r="L195" s="5">
        <v>271.76</v>
      </c>
      <c r="M195">
        <v>0.03</v>
      </c>
      <c r="N195" t="s">
        <v>1349</v>
      </c>
      <c r="O195" s="5">
        <v>263.60719999999998</v>
      </c>
    </row>
    <row r="196" spans="1:15">
      <c r="A196" t="s">
        <v>1545</v>
      </c>
      <c r="B196" s="7">
        <v>45618</v>
      </c>
      <c r="C196" t="s">
        <v>710</v>
      </c>
      <c r="D196" t="s">
        <v>1171</v>
      </c>
      <c r="E196" t="s">
        <v>1314</v>
      </c>
      <c r="F196" t="str">
        <f>[1]Raw_Customer_Dim!$A$2</f>
        <v>CUST1000</v>
      </c>
      <c r="G196" t="str">
        <f>_xlfn.XLOOKUP(E196,Store_Dim!A:A,Store_Dim!B:B,"Not Found")</f>
        <v>Hill, Wagner and Ballard</v>
      </c>
      <c r="H196" t="str">
        <f>_xlfn.XLOOKUP(D196,Product_Dim!A:A,Product_Dim!C:C,"Not Found")</f>
        <v>Beauty</v>
      </c>
      <c r="I196" t="str">
        <f>_xlfn.XLOOKUP(E196,Store_Dim!A:A,Store_Dim!C:C,"Not Found")</f>
        <v>East</v>
      </c>
      <c r="J196" t="str">
        <f>_xlfn.XLOOKUP(C196,Customer_Dim!A:A,Customer_Dim!B:B,"Not Found")</f>
        <v>Kristy Dunlap</v>
      </c>
      <c r="K196">
        <f>Table511[[#This Row],[Total_Amount]]/(L196*(1-Table511[[#This Row],[Discount]]))</f>
        <v>3</v>
      </c>
      <c r="L196" s="5">
        <v>958.15</v>
      </c>
      <c r="M196">
        <v>0.24</v>
      </c>
      <c r="N196" t="s">
        <v>1354</v>
      </c>
      <c r="O196" s="5">
        <v>2184.5819999999999</v>
      </c>
    </row>
    <row r="197" spans="1:15">
      <c r="A197" t="s">
        <v>1546</v>
      </c>
      <c r="B197" s="7">
        <v>45290</v>
      </c>
      <c r="C197" t="s">
        <v>917</v>
      </c>
      <c r="D197" t="s">
        <v>1193</v>
      </c>
      <c r="E197" t="s">
        <v>1332</v>
      </c>
      <c r="F197" t="str">
        <f>[1]Raw_Customer_Dim!$A$2</f>
        <v>CUST1000</v>
      </c>
      <c r="G197" t="str">
        <f>_xlfn.XLOOKUP(E197,Store_Dim!A:A,Store_Dim!B:B,"Not Found")</f>
        <v>Holloway Ltd</v>
      </c>
      <c r="H197" t="str">
        <f>_xlfn.XLOOKUP(D197,Product_Dim!A:A,Product_Dim!C:C,"Not Found")</f>
        <v>Beauty</v>
      </c>
      <c r="I197" t="str">
        <f>_xlfn.XLOOKUP(E197,Store_Dim!A:A,Store_Dim!C:C,"Not Found")</f>
        <v>North</v>
      </c>
      <c r="J197" t="str">
        <f>_xlfn.XLOOKUP(C197,Customer_Dim!A:A,Customer_Dim!B:B,"Not Found")</f>
        <v>Jose Stewart</v>
      </c>
      <c r="K197">
        <f>Table511[[#This Row],[Total_Amount]]/(L197*(1-Table511[[#This Row],[Discount]]))</f>
        <v>1</v>
      </c>
      <c r="L197" s="5">
        <v>889.19</v>
      </c>
      <c r="M197">
        <v>0.03</v>
      </c>
      <c r="N197" t="s">
        <v>1349</v>
      </c>
      <c r="O197" s="5">
        <v>862.51430000000005</v>
      </c>
    </row>
    <row r="198" spans="1:15">
      <c r="A198" t="s">
        <v>1547</v>
      </c>
      <c r="B198" s="7">
        <v>45904</v>
      </c>
      <c r="C198" t="s">
        <v>990</v>
      </c>
      <c r="D198" t="s">
        <v>1187</v>
      </c>
      <c r="E198" t="s">
        <v>1329</v>
      </c>
      <c r="F198" t="str">
        <f>[1]Raw_Customer_Dim!$A$2</f>
        <v>CUST1000</v>
      </c>
      <c r="G198" t="str">
        <f>_xlfn.XLOOKUP(E198,Store_Dim!A:A,Store_Dim!B:B,"Not Found")</f>
        <v>Frederick-Wright</v>
      </c>
      <c r="H198" t="str">
        <f>_xlfn.XLOOKUP(D198,Product_Dim!A:A,Product_Dim!C:C,"Not Found")</f>
        <v>Sports</v>
      </c>
      <c r="I198" t="str">
        <f>_xlfn.XLOOKUP(E198,Store_Dim!A:A,Store_Dim!C:C,"Not Found")</f>
        <v>West</v>
      </c>
      <c r="J198" t="str">
        <f>_xlfn.XLOOKUP(C198,Customer_Dim!A:A,Customer_Dim!B:B,"Not Found")</f>
        <v>Not Found</v>
      </c>
      <c r="K198">
        <f>Table511[[#This Row],[Total_Amount]]/(L198*(1-Table511[[#This Row],[Discount]]))</f>
        <v>4.0000000000000009</v>
      </c>
      <c r="L198" s="5">
        <v>689.67</v>
      </c>
      <c r="M198">
        <v>0.05</v>
      </c>
      <c r="N198" t="s">
        <v>1354</v>
      </c>
      <c r="O198" s="5">
        <v>2620.7460000000001</v>
      </c>
    </row>
    <row r="199" spans="1:15">
      <c r="A199" t="s">
        <v>1548</v>
      </c>
      <c r="B199" s="7">
        <v>45227</v>
      </c>
      <c r="C199" t="s">
        <v>331</v>
      </c>
      <c r="D199" t="s">
        <v>1161</v>
      </c>
      <c r="E199" t="s">
        <v>1317</v>
      </c>
      <c r="F199" t="str">
        <f>[1]Raw_Customer_Dim!$A$2</f>
        <v>CUST1000</v>
      </c>
      <c r="G199" t="str">
        <f>_xlfn.XLOOKUP(E199,Store_Dim!A:A,Store_Dim!B:B,"Not Found")</f>
        <v>Aguirre-Keller</v>
      </c>
      <c r="H199" t="str">
        <f>_xlfn.XLOOKUP(D199,Product_Dim!A:A,Product_Dim!C:C,"Not Found")</f>
        <v>Sports</v>
      </c>
      <c r="I199" t="str">
        <f>_xlfn.XLOOKUP(E199,Store_Dim!A:A,Store_Dim!C:C,"Not Found")</f>
        <v>South</v>
      </c>
      <c r="J199" t="str">
        <f>_xlfn.XLOOKUP(C199,Customer_Dim!A:A,Customer_Dim!B:B,"Not Found")</f>
        <v>Matthew Hanna</v>
      </c>
      <c r="K199">
        <f>Table511[[#This Row],[Total_Amount]]/(L199*(1-Table511[[#This Row],[Discount]]))</f>
        <v>1</v>
      </c>
      <c r="L199" s="5">
        <v>541.24</v>
      </c>
      <c r="M199">
        <v>0.03</v>
      </c>
      <c r="N199" t="s">
        <v>1351</v>
      </c>
      <c r="O199" s="5">
        <v>525.00279999999998</v>
      </c>
    </row>
    <row r="200" spans="1:15">
      <c r="A200" t="s">
        <v>1549</v>
      </c>
      <c r="B200" s="7">
        <v>45600</v>
      </c>
      <c r="C200" t="s">
        <v>959</v>
      </c>
      <c r="D200" t="s">
        <v>1235</v>
      </c>
      <c r="E200" t="s">
        <v>1301</v>
      </c>
      <c r="F200" t="str">
        <f>[1]Raw_Customer_Dim!$A$2</f>
        <v>CUST1000</v>
      </c>
      <c r="G200" t="str">
        <f>_xlfn.XLOOKUP(E200,Store_Dim!A:A,Store_Dim!B:B,"Not Found")</f>
        <v>Benson-Elliott</v>
      </c>
      <c r="H200" t="str">
        <f>_xlfn.XLOOKUP(D200,Product_Dim!A:A,Product_Dim!C:C,"Not Found")</f>
        <v>Sports</v>
      </c>
      <c r="I200" t="str">
        <f>_xlfn.XLOOKUP(E200,Store_Dim!A:A,Store_Dim!C:C,"Not Found")</f>
        <v>East</v>
      </c>
      <c r="J200" t="str">
        <f>_xlfn.XLOOKUP(C200,Customer_Dim!A:A,Customer_Dim!B:B,"Not Found")</f>
        <v>Eric Holmes</v>
      </c>
      <c r="K200">
        <f>Table511[[#This Row],[Total_Amount]]/(L200*(1-Table511[[#This Row],[Discount]]))</f>
        <v>1</v>
      </c>
      <c r="L200" s="5">
        <v>454.71</v>
      </c>
      <c r="M200">
        <v>0.16</v>
      </c>
      <c r="N200" t="s">
        <v>1351</v>
      </c>
      <c r="O200" s="5">
        <v>381.95639999999997</v>
      </c>
    </row>
    <row r="201" spans="1:15">
      <c r="A201" t="s">
        <v>1550</v>
      </c>
      <c r="B201" s="7">
        <v>45646</v>
      </c>
      <c r="C201" t="s">
        <v>113</v>
      </c>
      <c r="D201" t="s">
        <v>1205</v>
      </c>
      <c r="E201" t="s">
        <v>1298</v>
      </c>
      <c r="F201" t="str">
        <f>[1]Raw_Customer_Dim!$A$2</f>
        <v>CUST1000</v>
      </c>
      <c r="G201" t="str">
        <f>_xlfn.XLOOKUP(E201,Store_Dim!A:A,Store_Dim!B:B,"Not Found")</f>
        <v>Gray Ltd</v>
      </c>
      <c r="H201" t="str">
        <f>_xlfn.XLOOKUP(D201,Product_Dim!A:A,Product_Dim!C:C,"Not Found")</f>
        <v>Beauty</v>
      </c>
      <c r="I201" t="str">
        <f>_xlfn.XLOOKUP(E201,Store_Dim!A:A,Store_Dim!C:C,"Not Found")</f>
        <v>North</v>
      </c>
      <c r="J201" t="str">
        <f>_xlfn.XLOOKUP(C201,Customer_Dim!A:A,Customer_Dim!B:B,"Not Found")</f>
        <v>Deanna Simpson</v>
      </c>
      <c r="K201">
        <f>Table511[[#This Row],[Total_Amount]]/(L201*(1-Table511[[#This Row],[Discount]]))</f>
        <v>2</v>
      </c>
      <c r="L201" s="5">
        <v>397.63</v>
      </c>
      <c r="M201">
        <v>0.26</v>
      </c>
      <c r="N201" t="s">
        <v>1349</v>
      </c>
      <c r="O201" s="5">
        <v>588.49239999999998</v>
      </c>
    </row>
    <row r="202" spans="1:15">
      <c r="A202" t="s">
        <v>1551</v>
      </c>
      <c r="B202" s="7">
        <v>45725</v>
      </c>
      <c r="C202" t="s">
        <v>401</v>
      </c>
      <c r="D202" t="s">
        <v>1239</v>
      </c>
      <c r="E202" t="s">
        <v>1301</v>
      </c>
      <c r="F202" t="str">
        <f>[1]Raw_Customer_Dim!$A$2</f>
        <v>CUST1000</v>
      </c>
      <c r="G202" t="str">
        <f>_xlfn.XLOOKUP(E202,Store_Dim!A:A,Store_Dim!B:B,"Not Found")</f>
        <v>Benson-Elliott</v>
      </c>
      <c r="H202" t="str">
        <f>_xlfn.XLOOKUP(D202,Product_Dim!A:A,Product_Dim!C:C,"Not Found")</f>
        <v>Beauty</v>
      </c>
      <c r="I202" t="str">
        <f>_xlfn.XLOOKUP(E202,Store_Dim!A:A,Store_Dim!C:C,"Not Found")</f>
        <v>East</v>
      </c>
      <c r="J202" t="str">
        <f>_xlfn.XLOOKUP(C202,Customer_Dim!A:A,Customer_Dim!B:B,"Not Found")</f>
        <v>Christopher Garcia DDS</v>
      </c>
      <c r="K202">
        <f>Table511[[#This Row],[Total_Amount]]/(L202*(1-Table511[[#This Row],[Discount]]))</f>
        <v>3</v>
      </c>
      <c r="L202" s="5">
        <v>748.56</v>
      </c>
      <c r="M202">
        <v>0.26</v>
      </c>
      <c r="N202" t="s">
        <v>1351</v>
      </c>
      <c r="O202" s="5">
        <v>1661.8032000000001</v>
      </c>
    </row>
    <row r="203" spans="1:15">
      <c r="A203" t="s">
        <v>1552</v>
      </c>
      <c r="B203" s="7">
        <v>45742</v>
      </c>
      <c r="C203" t="s">
        <v>349</v>
      </c>
      <c r="D203" t="s">
        <v>1139</v>
      </c>
      <c r="E203" t="s">
        <v>1294</v>
      </c>
      <c r="F203" t="str">
        <f>[1]Raw_Customer_Dim!$A$2</f>
        <v>CUST1000</v>
      </c>
      <c r="G203" t="str">
        <f>_xlfn.XLOOKUP(E203,Store_Dim!A:A,Store_Dim!B:B,"Not Found")</f>
        <v>Alexander Group</v>
      </c>
      <c r="H203" t="str">
        <f>_xlfn.XLOOKUP(D203,Product_Dim!A:A,Product_Dim!C:C,"Not Found")</f>
        <v>Home</v>
      </c>
      <c r="I203" t="str">
        <f>_xlfn.XLOOKUP(E203,Store_Dim!A:A,Store_Dim!C:C,"Not Found")</f>
        <v>South</v>
      </c>
      <c r="J203" t="str">
        <f>_xlfn.XLOOKUP(C203,Customer_Dim!A:A,Customer_Dim!B:B,"Not Found")</f>
        <v>Justin Cross</v>
      </c>
      <c r="K203">
        <f>Table511[[#This Row],[Total_Amount]]/(L203*(1-Table511[[#This Row],[Discount]]))</f>
        <v>1</v>
      </c>
      <c r="L203" s="5">
        <v>885.72</v>
      </c>
      <c r="M203">
        <v>0.15</v>
      </c>
      <c r="N203" t="s">
        <v>1349</v>
      </c>
      <c r="O203" s="5">
        <v>752.86199999999997</v>
      </c>
    </row>
    <row r="204" spans="1:15">
      <c r="A204" t="s">
        <v>1553</v>
      </c>
      <c r="B204" s="7">
        <v>45750</v>
      </c>
      <c r="C204" t="s">
        <v>275</v>
      </c>
      <c r="D204" t="s">
        <v>1197</v>
      </c>
      <c r="E204" t="s">
        <v>1282</v>
      </c>
      <c r="F204" t="str">
        <f>[1]Raw_Customer_Dim!$A$2</f>
        <v>CUST1000</v>
      </c>
      <c r="G204" t="str">
        <f>_xlfn.XLOOKUP(E204,Store_Dim!A:A,Store_Dim!B:B,"Not Found")</f>
        <v>Martinez, Adkins and Johnson</v>
      </c>
      <c r="H204" t="str">
        <f>_xlfn.XLOOKUP(D204,Product_Dim!A:A,Product_Dim!C:C,"Not Found")</f>
        <v>Electronics</v>
      </c>
      <c r="I204" t="str">
        <f>_xlfn.XLOOKUP(E204,Store_Dim!A:A,Store_Dim!C:C,"Not Found")</f>
        <v>North</v>
      </c>
      <c r="J204" t="str">
        <f>_xlfn.XLOOKUP(C204,Customer_Dim!A:A,Customer_Dim!B:B,"Not Found")</f>
        <v>Travis Holland</v>
      </c>
      <c r="K204">
        <f>Table511[[#This Row],[Total_Amount]]/(L204*(1-Table511[[#This Row],[Discount]]))</f>
        <v>4.0000000000000009</v>
      </c>
      <c r="L204" s="5">
        <v>408.07</v>
      </c>
      <c r="M204">
        <v>0.28000000000000003</v>
      </c>
      <c r="N204" t="s">
        <v>1354</v>
      </c>
      <c r="O204" s="5">
        <v>1175.2416000000001</v>
      </c>
    </row>
    <row r="205" spans="1:15">
      <c r="A205" t="s">
        <v>1554</v>
      </c>
      <c r="B205" s="7">
        <v>45327</v>
      </c>
      <c r="C205" t="s">
        <v>1006</v>
      </c>
      <c r="D205" t="s">
        <v>1141</v>
      </c>
      <c r="E205" t="s">
        <v>1311</v>
      </c>
      <c r="F205" t="str">
        <f>[1]Raw_Customer_Dim!$A$2</f>
        <v>CUST1000</v>
      </c>
      <c r="G205" t="str">
        <f>_xlfn.XLOOKUP(E205,Store_Dim!A:A,Store_Dim!B:B,"Not Found")</f>
        <v>Moore, Padilla and Butler</v>
      </c>
      <c r="H205" t="str">
        <f>_xlfn.XLOOKUP(D205,Product_Dim!A:A,Product_Dim!C:C,"Not Found")</f>
        <v>Electronics</v>
      </c>
      <c r="I205" t="str">
        <f>_xlfn.XLOOKUP(E205,Store_Dim!A:A,Store_Dim!C:C,"Not Found")</f>
        <v>South</v>
      </c>
      <c r="J205" t="str">
        <f>_xlfn.XLOOKUP(C205,Customer_Dim!A:A,Customer_Dim!B:B,"Not Found")</f>
        <v>Philip Mendoza</v>
      </c>
      <c r="K205">
        <f>Table511[[#This Row],[Total_Amount]]/(L205*(1-Table511[[#This Row],[Discount]]))</f>
        <v>2</v>
      </c>
      <c r="L205" s="5">
        <v>597.07000000000005</v>
      </c>
      <c r="M205">
        <v>0.28000000000000003</v>
      </c>
      <c r="N205" t="s">
        <v>1351</v>
      </c>
      <c r="O205" s="5">
        <v>859.7808</v>
      </c>
    </row>
    <row r="206" spans="1:15">
      <c r="A206" t="s">
        <v>1555</v>
      </c>
      <c r="B206" s="7">
        <v>45465</v>
      </c>
      <c r="C206" t="s">
        <v>75</v>
      </c>
      <c r="D206" t="s">
        <v>1207</v>
      </c>
      <c r="E206" t="s">
        <v>1311</v>
      </c>
      <c r="F206" t="str">
        <f>[1]Raw_Customer_Dim!$A$2</f>
        <v>CUST1000</v>
      </c>
      <c r="G206" t="str">
        <f>_xlfn.XLOOKUP(E206,Store_Dim!A:A,Store_Dim!B:B,"Not Found")</f>
        <v>Moore, Padilla and Butler</v>
      </c>
      <c r="H206" t="str">
        <f>_xlfn.XLOOKUP(D206,Product_Dim!A:A,Product_Dim!C:C,"Not Found")</f>
        <v>Electronics</v>
      </c>
      <c r="I206" t="str">
        <f>_xlfn.XLOOKUP(E206,Store_Dim!A:A,Store_Dim!C:C,"Not Found")</f>
        <v>South</v>
      </c>
      <c r="J206" t="str">
        <f>_xlfn.XLOOKUP(C206,Customer_Dim!A:A,Customer_Dim!B:B,"Not Found")</f>
        <v xml:space="preserve">   paul fox</v>
      </c>
      <c r="K206">
        <f>Table511[[#This Row],[Total_Amount]]/(L206*(1-Table511[[#This Row],[Discount]]))</f>
        <v>3</v>
      </c>
      <c r="L206" s="5">
        <v>723.47</v>
      </c>
      <c r="M206">
        <v>0.12</v>
      </c>
      <c r="N206" t="s">
        <v>1354</v>
      </c>
      <c r="O206" s="5">
        <v>1909.9608000000001</v>
      </c>
    </row>
    <row r="207" spans="1:15">
      <c r="A207" t="s">
        <v>1556</v>
      </c>
      <c r="B207" s="7">
        <v>45883</v>
      </c>
      <c r="C207" t="s">
        <v>937</v>
      </c>
      <c r="D207" t="s">
        <v>1249</v>
      </c>
      <c r="E207" t="s">
        <v>1298</v>
      </c>
      <c r="F207" t="str">
        <f>[1]Raw_Customer_Dim!$A$2</f>
        <v>CUST1000</v>
      </c>
      <c r="G207" t="str">
        <f>_xlfn.XLOOKUP(E207,Store_Dim!A:A,Store_Dim!B:B,"Not Found")</f>
        <v>Gray Ltd</v>
      </c>
      <c r="H207" t="str">
        <f>_xlfn.XLOOKUP(D207,Product_Dim!A:A,Product_Dim!C:C,"Not Found")</f>
        <v>Sports</v>
      </c>
      <c r="I207" t="str">
        <f>_xlfn.XLOOKUP(E207,Store_Dim!A:A,Store_Dim!C:C,"Not Found")</f>
        <v>North</v>
      </c>
      <c r="J207" t="str">
        <f>_xlfn.XLOOKUP(C207,Customer_Dim!A:A,Customer_Dim!B:B,"Not Found")</f>
        <v>Melinda Rivera</v>
      </c>
      <c r="K207">
        <f>Table511[[#This Row],[Total_Amount]]/(L207*(1-Table511[[#This Row],[Discount]]))</f>
        <v>0.99999999999999989</v>
      </c>
      <c r="L207" s="5">
        <v>479.93</v>
      </c>
      <c r="M207">
        <v>0.22</v>
      </c>
      <c r="N207" t="s">
        <v>1349</v>
      </c>
      <c r="O207" s="5">
        <v>374.34539999999998</v>
      </c>
    </row>
    <row r="208" spans="1:15">
      <c r="A208" t="s">
        <v>1557</v>
      </c>
      <c r="B208" s="7">
        <v>45445</v>
      </c>
      <c r="C208" t="s">
        <v>549</v>
      </c>
      <c r="D208" t="s">
        <v>1141</v>
      </c>
      <c r="E208" t="s">
        <v>1329</v>
      </c>
      <c r="F208" t="str">
        <f>[1]Raw_Customer_Dim!$A$2</f>
        <v>CUST1000</v>
      </c>
      <c r="G208" t="str">
        <f>_xlfn.XLOOKUP(E208,Store_Dim!A:A,Store_Dim!B:B,"Not Found")</f>
        <v>Frederick-Wright</v>
      </c>
      <c r="H208" t="str">
        <f>_xlfn.XLOOKUP(D208,Product_Dim!A:A,Product_Dim!C:C,"Not Found")</f>
        <v>Electronics</v>
      </c>
      <c r="I208" t="str">
        <f>_xlfn.XLOOKUP(E208,Store_Dim!A:A,Store_Dim!C:C,"Not Found")</f>
        <v>West</v>
      </c>
      <c r="J208" t="str">
        <f>_xlfn.XLOOKUP(C208,Customer_Dim!A:A,Customer_Dim!B:B,"Not Found")</f>
        <v>Brian Hammond</v>
      </c>
      <c r="K208">
        <f>Table511[[#This Row],[Total_Amount]]/(L208*(1-Table511[[#This Row],[Discount]]))</f>
        <v>3.9999999999999991</v>
      </c>
      <c r="L208" s="5">
        <v>362.81</v>
      </c>
      <c r="M208">
        <v>0.21</v>
      </c>
      <c r="N208" t="s">
        <v>1354</v>
      </c>
      <c r="O208" s="5">
        <v>1146.4795999999999</v>
      </c>
    </row>
    <row r="209" spans="1:15">
      <c r="A209" t="s">
        <v>1558</v>
      </c>
      <c r="B209" s="7">
        <v>45640</v>
      </c>
      <c r="C209" t="s">
        <v>432</v>
      </c>
      <c r="D209" t="s">
        <v>1231</v>
      </c>
      <c r="E209" t="s">
        <v>1291</v>
      </c>
      <c r="F209" t="str">
        <f>[1]Raw_Customer_Dim!$A$2</f>
        <v>CUST1000</v>
      </c>
      <c r="G209" t="str">
        <f>_xlfn.XLOOKUP(E209,Store_Dim!A:A,Store_Dim!B:B,"Not Found")</f>
        <v>Johnson-Wright</v>
      </c>
      <c r="H209" t="str">
        <f>_xlfn.XLOOKUP(D209,Product_Dim!A:A,Product_Dim!C:C,"Not Found")</f>
        <v>Home</v>
      </c>
      <c r="I209" t="str">
        <f>_xlfn.XLOOKUP(E209,Store_Dim!A:A,Store_Dim!C:C,"Not Found")</f>
        <v>North</v>
      </c>
      <c r="J209" t="str">
        <f>_xlfn.XLOOKUP(C209,Customer_Dim!A:A,Customer_Dim!B:B,"Not Found")</f>
        <v>Brent Rivas</v>
      </c>
      <c r="K209">
        <f>Table511[[#This Row],[Total_Amount]]/(L209*(1-Table511[[#This Row],[Discount]]))</f>
        <v>1</v>
      </c>
      <c r="L209" s="5">
        <v>127.11</v>
      </c>
      <c r="M209">
        <v>0.01</v>
      </c>
      <c r="N209" t="s">
        <v>1351</v>
      </c>
      <c r="O209" s="5">
        <v>125.8389</v>
      </c>
    </row>
    <row r="210" spans="1:15">
      <c r="A210" t="s">
        <v>1559</v>
      </c>
      <c r="B210" s="7">
        <v>45411</v>
      </c>
      <c r="C210" t="s">
        <v>430</v>
      </c>
      <c r="D210" t="s">
        <v>1141</v>
      </c>
      <c r="E210" t="s">
        <v>1332</v>
      </c>
      <c r="F210" t="str">
        <f>[1]Raw_Customer_Dim!$A$2</f>
        <v>CUST1000</v>
      </c>
      <c r="G210" t="str">
        <f>_xlfn.XLOOKUP(E210,Store_Dim!A:A,Store_Dim!B:B,"Not Found")</f>
        <v>Holloway Ltd</v>
      </c>
      <c r="H210" t="str">
        <f>_xlfn.XLOOKUP(D210,Product_Dim!A:A,Product_Dim!C:C,"Not Found")</f>
        <v>Electronics</v>
      </c>
      <c r="I210" t="str">
        <f>_xlfn.XLOOKUP(E210,Store_Dim!A:A,Store_Dim!C:C,"Not Found")</f>
        <v>North</v>
      </c>
      <c r="J210" t="str">
        <f>_xlfn.XLOOKUP(C210,Customer_Dim!A:A,Customer_Dim!B:B,"Not Found")</f>
        <v>Leonard Cochran</v>
      </c>
      <c r="K210">
        <f>Table511[[#This Row],[Total_Amount]]/(L210*(1-Table511[[#This Row],[Discount]]))</f>
        <v>4</v>
      </c>
      <c r="L210" s="5">
        <v>931.26</v>
      </c>
      <c r="M210">
        <v>0.04</v>
      </c>
      <c r="N210" t="s">
        <v>1349</v>
      </c>
      <c r="O210" s="5">
        <v>3576.0383999999999</v>
      </c>
    </row>
    <row r="211" spans="1:15">
      <c r="A211" t="s">
        <v>1560</v>
      </c>
      <c r="B211" s="7">
        <v>45224</v>
      </c>
      <c r="C211" t="s">
        <v>805</v>
      </c>
      <c r="D211" t="s">
        <v>1207</v>
      </c>
      <c r="E211" t="s">
        <v>1307</v>
      </c>
      <c r="F211" t="str">
        <f>[1]Raw_Customer_Dim!$A$2</f>
        <v>CUST1000</v>
      </c>
      <c r="G211" t="str">
        <f>_xlfn.XLOOKUP(E211,Store_Dim!A:A,Store_Dim!B:B,"Not Found")</f>
        <v>Bean, Jones and Park</v>
      </c>
      <c r="H211" t="str">
        <f>_xlfn.XLOOKUP(D211,Product_Dim!A:A,Product_Dim!C:C,"Not Found")</f>
        <v>Electronics</v>
      </c>
      <c r="I211" t="str">
        <f>_xlfn.XLOOKUP(E211,Store_Dim!A:A,Store_Dim!C:C,"Not Found")</f>
        <v>West</v>
      </c>
      <c r="J211" t="str">
        <f>_xlfn.XLOOKUP(C211,Customer_Dim!A:A,Customer_Dim!B:B,"Not Found")</f>
        <v>Michael Garner</v>
      </c>
      <c r="K211">
        <f>Table511[[#This Row],[Total_Amount]]/(L211*(1-Table511[[#This Row],[Discount]]))</f>
        <v>1</v>
      </c>
      <c r="L211" s="5">
        <v>620.80999999999995</v>
      </c>
      <c r="M211">
        <v>0.04</v>
      </c>
      <c r="N211" t="s">
        <v>1351</v>
      </c>
      <c r="O211" s="5">
        <v>595.97759999999994</v>
      </c>
    </row>
    <row r="212" spans="1:15">
      <c r="A212" t="s">
        <v>1561</v>
      </c>
      <c r="B212" s="7">
        <v>45497</v>
      </c>
      <c r="C212" t="s">
        <v>246</v>
      </c>
      <c r="D212" t="s">
        <v>1173</v>
      </c>
      <c r="E212" t="s">
        <v>1286</v>
      </c>
      <c r="F212" t="str">
        <f>[1]Raw_Customer_Dim!$A$2</f>
        <v>CUST1000</v>
      </c>
      <c r="G212" t="str">
        <f>_xlfn.XLOOKUP(E212,Store_Dim!A:A,Store_Dim!B:B,"Not Found")</f>
        <v>Black-Horn</v>
      </c>
      <c r="H212" t="str">
        <f>_xlfn.XLOOKUP(D212,Product_Dim!A:A,Product_Dim!C:C,"Not Found")</f>
        <v>Sports</v>
      </c>
      <c r="I212" t="str">
        <f>_xlfn.XLOOKUP(E212,Store_Dim!A:A,Store_Dim!C:C,"Not Found")</f>
        <v>South</v>
      </c>
      <c r="J212" t="str">
        <f>_xlfn.XLOOKUP(C212,Customer_Dim!A:A,Customer_Dim!B:B,"Not Found")</f>
        <v>David Patterson</v>
      </c>
      <c r="K212">
        <f>Table511[[#This Row],[Total_Amount]]/(L212*(1-Table511[[#This Row],[Discount]]))</f>
        <v>1</v>
      </c>
      <c r="L212" s="5">
        <v>823.26</v>
      </c>
      <c r="M212">
        <v>0.27</v>
      </c>
      <c r="N212" t="s">
        <v>1354</v>
      </c>
      <c r="O212" s="5">
        <v>600.97979999999995</v>
      </c>
    </row>
    <row r="213" spans="1:15">
      <c r="A213" t="s">
        <v>1562</v>
      </c>
      <c r="B213" s="7">
        <v>45807</v>
      </c>
      <c r="C213" t="s">
        <v>47</v>
      </c>
      <c r="D213" t="s">
        <v>1127</v>
      </c>
      <c r="E213" t="s">
        <v>1307</v>
      </c>
      <c r="F213" t="str">
        <f>[1]Raw_Customer_Dim!$A$2</f>
        <v>CUST1000</v>
      </c>
      <c r="G213" t="str">
        <f>_xlfn.XLOOKUP(E213,Store_Dim!A:A,Store_Dim!B:B,"Not Found")</f>
        <v>Bean, Jones and Park</v>
      </c>
      <c r="H213" t="str">
        <f>_xlfn.XLOOKUP(D213,Product_Dim!A:A,Product_Dim!C:C,"Not Found")</f>
        <v>Home</v>
      </c>
      <c r="I213" t="str">
        <f>_xlfn.XLOOKUP(E213,Store_Dim!A:A,Store_Dim!C:C,"Not Found")</f>
        <v>West</v>
      </c>
      <c r="J213" t="str">
        <f>_xlfn.XLOOKUP(C213,Customer_Dim!A:A,Customer_Dim!B:B,"Not Found")</f>
        <v>Kenneth Lambert</v>
      </c>
      <c r="K213">
        <f>Table511[[#This Row],[Total_Amount]]/(L213*(1-Table511[[#This Row],[Discount]]))</f>
        <v>3.0000000000000004</v>
      </c>
      <c r="L213" s="5">
        <v>681.01</v>
      </c>
      <c r="M213">
        <v>0.27</v>
      </c>
      <c r="N213" t="s">
        <v>1354</v>
      </c>
      <c r="O213" s="5">
        <v>1491.4119000000001</v>
      </c>
    </row>
    <row r="214" spans="1:15">
      <c r="A214" t="s">
        <v>1563</v>
      </c>
      <c r="B214" s="7">
        <v>45942</v>
      </c>
      <c r="C214" t="s">
        <v>947</v>
      </c>
      <c r="D214" t="s">
        <v>1185</v>
      </c>
      <c r="E214" t="s">
        <v>1338</v>
      </c>
      <c r="F214" t="str">
        <f>[1]Raw_Customer_Dim!$A$2</f>
        <v>CUST1000</v>
      </c>
      <c r="G214" t="str">
        <f>_xlfn.XLOOKUP(E214,Store_Dim!A:A,Store_Dim!B:B,"Not Found")</f>
        <v>Mann-Austin</v>
      </c>
      <c r="H214" t="str">
        <f>_xlfn.XLOOKUP(D214,Product_Dim!A:A,Product_Dim!C:C,"Not Found")</f>
        <v>Home</v>
      </c>
      <c r="I214" t="str">
        <f>_xlfn.XLOOKUP(E214,Store_Dim!A:A,Store_Dim!C:C,"Not Found")</f>
        <v>East</v>
      </c>
      <c r="J214" t="str">
        <f>_xlfn.XLOOKUP(C214,Customer_Dim!A:A,Customer_Dim!B:B,"Not Found")</f>
        <v>Kelli Smith</v>
      </c>
      <c r="K214">
        <f>Table511[[#This Row],[Total_Amount]]/(L214*(1-Table511[[#This Row],[Discount]]))</f>
        <v>4</v>
      </c>
      <c r="L214" s="5">
        <v>119.83</v>
      </c>
      <c r="M214">
        <v>0.13</v>
      </c>
      <c r="N214" t="s">
        <v>1349</v>
      </c>
      <c r="O214" s="5">
        <v>417.00839999999999</v>
      </c>
    </row>
    <row r="215" spans="1:15">
      <c r="A215" t="s">
        <v>1564</v>
      </c>
      <c r="B215" s="7">
        <v>45314</v>
      </c>
      <c r="C215" t="s">
        <v>678</v>
      </c>
      <c r="D215" t="s">
        <v>1229</v>
      </c>
      <c r="E215" t="s">
        <v>1286</v>
      </c>
      <c r="F215" t="str">
        <f>[1]Raw_Customer_Dim!$A$2</f>
        <v>CUST1000</v>
      </c>
      <c r="G215" t="str">
        <f>_xlfn.XLOOKUP(E215,Store_Dim!A:A,Store_Dim!B:B,"Not Found")</f>
        <v>Black-Horn</v>
      </c>
      <c r="H215" t="str">
        <f>_xlfn.XLOOKUP(D215,Product_Dim!A:A,Product_Dim!C:C,"Not Found")</f>
        <v>Home</v>
      </c>
      <c r="I215" t="str">
        <f>_xlfn.XLOOKUP(E215,Store_Dim!A:A,Store_Dim!C:C,"Not Found")</f>
        <v>South</v>
      </c>
      <c r="J215" t="str">
        <f>_xlfn.XLOOKUP(C215,Customer_Dim!A:A,Customer_Dim!B:B,"Not Found")</f>
        <v>Brandy Thompson</v>
      </c>
      <c r="K215">
        <f>Table511[[#This Row],[Total_Amount]]/(L215*(1-Table511[[#This Row],[Discount]]))</f>
        <v>1</v>
      </c>
      <c r="L215" s="5">
        <v>575.66</v>
      </c>
      <c r="M215">
        <v>0.03</v>
      </c>
      <c r="N215" t="s">
        <v>1351</v>
      </c>
      <c r="O215" s="5">
        <v>558.39019999999994</v>
      </c>
    </row>
    <row r="216" spans="1:15">
      <c r="A216" t="s">
        <v>1565</v>
      </c>
      <c r="B216" s="7">
        <v>45943</v>
      </c>
      <c r="C216" t="s">
        <v>460</v>
      </c>
      <c r="D216" t="s">
        <v>1169</v>
      </c>
      <c r="E216" t="s">
        <v>1329</v>
      </c>
      <c r="F216" t="str">
        <f>[1]Raw_Customer_Dim!$A$2</f>
        <v>CUST1000</v>
      </c>
      <c r="G216" t="str">
        <f>_xlfn.XLOOKUP(E216,Store_Dim!A:A,Store_Dim!B:B,"Not Found")</f>
        <v>Frederick-Wright</v>
      </c>
      <c r="H216" t="str">
        <f>_xlfn.XLOOKUP(D216,Product_Dim!A:A,Product_Dim!C:C,"Not Found")</f>
        <v>Electronics</v>
      </c>
      <c r="I216" t="str">
        <f>_xlfn.XLOOKUP(E216,Store_Dim!A:A,Store_Dim!C:C,"Not Found")</f>
        <v>West</v>
      </c>
      <c r="J216" t="str">
        <f>_xlfn.XLOOKUP(C216,Customer_Dim!A:A,Customer_Dim!B:B,"Not Found")</f>
        <v>Carmen Price</v>
      </c>
      <c r="K216">
        <f>Table511[[#This Row],[Total_Amount]]/(L216*(1-Table511[[#This Row],[Discount]]))</f>
        <v>1</v>
      </c>
      <c r="L216" s="5">
        <v>775.84</v>
      </c>
      <c r="M216">
        <v>0.26</v>
      </c>
      <c r="N216" t="s">
        <v>1349</v>
      </c>
      <c r="O216" s="5">
        <v>574.12160000000006</v>
      </c>
    </row>
    <row r="217" spans="1:15">
      <c r="A217" t="s">
        <v>1566</v>
      </c>
      <c r="B217" s="7">
        <v>45356</v>
      </c>
      <c r="C217" t="s">
        <v>949</v>
      </c>
      <c r="D217" t="s">
        <v>1101</v>
      </c>
      <c r="E217" t="s">
        <v>1311</v>
      </c>
      <c r="F217" t="str">
        <f>[1]Raw_Customer_Dim!$A$2</f>
        <v>CUST1000</v>
      </c>
      <c r="G217" t="str">
        <f>_xlfn.XLOOKUP(E217,Store_Dim!A:A,Store_Dim!B:B,"Not Found")</f>
        <v>Moore, Padilla and Butler</v>
      </c>
      <c r="H217" t="str">
        <f>_xlfn.XLOOKUP(D217,Product_Dim!A:A,Product_Dim!C:C,"Not Found")</f>
        <v>Home</v>
      </c>
      <c r="I217" t="str">
        <f>_xlfn.XLOOKUP(E217,Store_Dim!A:A,Store_Dim!C:C,"Not Found")</f>
        <v>South</v>
      </c>
      <c r="J217" t="str">
        <f>_xlfn.XLOOKUP(C217,Customer_Dim!A:A,Customer_Dim!B:B,"Not Found")</f>
        <v>Adam Castro</v>
      </c>
      <c r="K217">
        <f>Table511[[#This Row],[Total_Amount]]/(L217*(1-Table511[[#This Row],[Discount]]))</f>
        <v>3</v>
      </c>
      <c r="L217" s="5">
        <v>318.43</v>
      </c>
      <c r="M217">
        <v>0.05</v>
      </c>
      <c r="N217" t="s">
        <v>1349</v>
      </c>
      <c r="O217" s="5">
        <v>907.52549999999997</v>
      </c>
    </row>
    <row r="218" spans="1:15">
      <c r="A218" t="s">
        <v>1567</v>
      </c>
      <c r="B218" s="7">
        <v>45854</v>
      </c>
      <c r="C218" t="s">
        <v>367</v>
      </c>
      <c r="D218" t="s">
        <v>1217</v>
      </c>
      <c r="E218" t="s">
        <v>1307</v>
      </c>
      <c r="F218" t="str">
        <f>[1]Raw_Customer_Dim!$A$2</f>
        <v>CUST1000</v>
      </c>
      <c r="G218" t="str">
        <f>_xlfn.XLOOKUP(E218,Store_Dim!A:A,Store_Dim!B:B,"Not Found")</f>
        <v>Bean, Jones and Park</v>
      </c>
      <c r="H218" t="str">
        <f>_xlfn.XLOOKUP(D218,Product_Dim!A:A,Product_Dim!C:C,"Not Found")</f>
        <v>Sports</v>
      </c>
      <c r="I218" t="str">
        <f>_xlfn.XLOOKUP(E218,Store_Dim!A:A,Store_Dim!C:C,"Not Found")</f>
        <v>West</v>
      </c>
      <c r="J218" t="str">
        <f>_xlfn.XLOOKUP(C218,Customer_Dim!A:A,Customer_Dim!B:B,"Not Found")</f>
        <v>Joseph Faulkner</v>
      </c>
      <c r="K218">
        <f>Table511[[#This Row],[Total_Amount]]/(L218*(1-Table511[[#This Row],[Discount]]))</f>
        <v>3</v>
      </c>
      <c r="L218" s="5">
        <v>141.6</v>
      </c>
      <c r="M218">
        <v>0.08</v>
      </c>
      <c r="N218" t="s">
        <v>1354</v>
      </c>
      <c r="O218" s="5">
        <v>390.81599999999997</v>
      </c>
    </row>
    <row r="219" spans="1:15">
      <c r="A219" t="s">
        <v>1568</v>
      </c>
      <c r="B219" s="7">
        <v>45219</v>
      </c>
      <c r="C219" t="s">
        <v>596</v>
      </c>
      <c r="D219" t="s">
        <v>1103</v>
      </c>
      <c r="E219" t="s">
        <v>1338</v>
      </c>
      <c r="F219" t="str">
        <f>[1]Raw_Customer_Dim!$A$2</f>
        <v>CUST1000</v>
      </c>
      <c r="G219" t="str">
        <f>_xlfn.XLOOKUP(E219,Store_Dim!A:A,Store_Dim!B:B,"Not Found")</f>
        <v>Mann-Austin</v>
      </c>
      <c r="H219" t="str">
        <f>_xlfn.XLOOKUP(D219,Product_Dim!A:A,Product_Dim!C:C,"Not Found")</f>
        <v>Electronics</v>
      </c>
      <c r="I219" t="str">
        <f>_xlfn.XLOOKUP(E219,Store_Dim!A:A,Store_Dim!C:C,"Not Found")</f>
        <v>East</v>
      </c>
      <c r="J219" t="str">
        <f>_xlfn.XLOOKUP(C219,Customer_Dim!A:A,Customer_Dim!B:B,"Not Found")</f>
        <v>Cynthia Payne</v>
      </c>
      <c r="K219">
        <f>Table511[[#This Row],[Total_Amount]]/(L219*(1-Table511[[#This Row],[Discount]]))</f>
        <v>1</v>
      </c>
      <c r="L219" s="5">
        <v>332.82</v>
      </c>
      <c r="M219">
        <v>0.14000000000000001</v>
      </c>
      <c r="N219" t="s">
        <v>1351</v>
      </c>
      <c r="O219" s="5">
        <v>286.22519999999997</v>
      </c>
    </row>
    <row r="220" spans="1:15">
      <c r="A220" t="s">
        <v>1569</v>
      </c>
      <c r="B220" s="7">
        <v>45447</v>
      </c>
      <c r="C220" t="s">
        <v>555</v>
      </c>
      <c r="D220" t="s">
        <v>1217</v>
      </c>
      <c r="E220" t="s">
        <v>1282</v>
      </c>
      <c r="F220" t="str">
        <f>[1]Raw_Customer_Dim!$A$2</f>
        <v>CUST1000</v>
      </c>
      <c r="G220" t="str">
        <f>_xlfn.XLOOKUP(E220,Store_Dim!A:A,Store_Dim!B:B,"Not Found")</f>
        <v>Martinez, Adkins and Johnson</v>
      </c>
      <c r="H220" t="str">
        <f>_xlfn.XLOOKUP(D220,Product_Dim!A:A,Product_Dim!C:C,"Not Found")</f>
        <v>Sports</v>
      </c>
      <c r="I220" t="str">
        <f>_xlfn.XLOOKUP(E220,Store_Dim!A:A,Store_Dim!C:C,"Not Found")</f>
        <v>North</v>
      </c>
      <c r="J220" t="str">
        <f>_xlfn.XLOOKUP(C220,Customer_Dim!A:A,Customer_Dim!B:B,"Not Found")</f>
        <v>Mary Russell</v>
      </c>
      <c r="K220">
        <f>Table511[[#This Row],[Total_Amount]]/(L220*(1-Table511[[#This Row],[Discount]]))</f>
        <v>4</v>
      </c>
      <c r="L220" s="5">
        <v>640.97</v>
      </c>
      <c r="M220">
        <v>0.11</v>
      </c>
      <c r="N220" t="s">
        <v>1354</v>
      </c>
      <c r="O220" s="5">
        <v>2281.8532</v>
      </c>
    </row>
    <row r="221" spans="1:15">
      <c r="A221" t="s">
        <v>1570</v>
      </c>
      <c r="B221" s="7">
        <v>45225</v>
      </c>
      <c r="C221" t="s">
        <v>468</v>
      </c>
      <c r="D221" t="s">
        <v>1253</v>
      </c>
      <c r="E221" t="s">
        <v>1326</v>
      </c>
      <c r="F221" t="str">
        <f>[1]Raw_Customer_Dim!$A$2</f>
        <v>CUST1000</v>
      </c>
      <c r="G221" t="str">
        <f>_xlfn.XLOOKUP(E221,Store_Dim!A:A,Store_Dim!B:B,"Not Found")</f>
        <v>Shelton PLC</v>
      </c>
      <c r="H221" t="str">
        <f>_xlfn.XLOOKUP(D221,Product_Dim!A:A,Product_Dim!C:C,"Not Found")</f>
        <v>Electronics</v>
      </c>
      <c r="I221" t="str">
        <f>_xlfn.XLOOKUP(E221,Store_Dim!A:A,Store_Dim!C:C,"Not Found")</f>
        <v>North</v>
      </c>
      <c r="J221" t="str">
        <f>_xlfn.XLOOKUP(C221,Customer_Dim!A:A,Customer_Dim!B:B,"Not Found")</f>
        <v>Sarah Brady</v>
      </c>
      <c r="K221">
        <f>Table511[[#This Row],[Total_Amount]]/(L221*(1-Table511[[#This Row],[Discount]]))</f>
        <v>4</v>
      </c>
      <c r="L221" s="5">
        <v>75.37</v>
      </c>
      <c r="M221">
        <v>0.02</v>
      </c>
      <c r="N221" t="s">
        <v>1354</v>
      </c>
      <c r="O221" s="5">
        <v>295.4504</v>
      </c>
    </row>
    <row r="222" spans="1:15">
      <c r="A222" t="s">
        <v>1571</v>
      </c>
      <c r="B222" s="7">
        <v>45754</v>
      </c>
      <c r="C222" t="s">
        <v>202</v>
      </c>
      <c r="D222" t="s">
        <v>1105</v>
      </c>
      <c r="E222" t="s">
        <v>1335</v>
      </c>
      <c r="F222" t="str">
        <f>[1]Raw_Customer_Dim!$A$2</f>
        <v>CUST1000</v>
      </c>
      <c r="G222" t="str">
        <f>_xlfn.XLOOKUP(E222,Store_Dim!A:A,Store_Dim!B:B,"Not Found")</f>
        <v>Guerrero-Schmitt</v>
      </c>
      <c r="H222" t="str">
        <f>_xlfn.XLOOKUP(D222,Product_Dim!A:A,Product_Dim!C:C,"Not Found")</f>
        <v>Not Found</v>
      </c>
      <c r="I222" t="str">
        <f>_xlfn.XLOOKUP(E222,Store_Dim!A:A,Store_Dim!C:C,"Not Found")</f>
        <v>East</v>
      </c>
      <c r="J222" t="str">
        <f>_xlfn.XLOOKUP(C222,Customer_Dim!A:A,Customer_Dim!B:B,"Not Found")</f>
        <v>Rhonda Morales</v>
      </c>
      <c r="K222">
        <f>Table511[[#This Row],[Total_Amount]]/(L222*(1-Table511[[#This Row],[Discount]]))</f>
        <v>3</v>
      </c>
      <c r="L222" s="5">
        <v>434.55</v>
      </c>
      <c r="M222">
        <v>0.08</v>
      </c>
      <c r="N222" t="s">
        <v>1354</v>
      </c>
      <c r="O222" s="5">
        <v>1199.3579999999999</v>
      </c>
    </row>
    <row r="223" spans="1:15">
      <c r="A223" t="s">
        <v>1572</v>
      </c>
      <c r="B223" s="7">
        <v>45729</v>
      </c>
      <c r="C223" t="s">
        <v>256</v>
      </c>
      <c r="D223" t="s">
        <v>1125</v>
      </c>
      <c r="E223" t="s">
        <v>1324</v>
      </c>
      <c r="F223" t="str">
        <f>[1]Raw_Customer_Dim!$A$2</f>
        <v>CUST1000</v>
      </c>
      <c r="G223" t="str">
        <f>_xlfn.XLOOKUP(E223,Store_Dim!A:A,Store_Dim!B:B,"Not Found")</f>
        <v>Mcdonald Inc</v>
      </c>
      <c r="H223" t="str">
        <f>_xlfn.XLOOKUP(D223,Product_Dim!A:A,Product_Dim!C:C,"Not Found")</f>
        <v>Electronics</v>
      </c>
      <c r="I223" t="str">
        <f>_xlfn.XLOOKUP(E223,Store_Dim!A:A,Store_Dim!C:C,"Not Found")</f>
        <v>South</v>
      </c>
      <c r="J223" t="str">
        <f>_xlfn.XLOOKUP(C223,Customer_Dim!A:A,Customer_Dim!B:B,"Not Found")</f>
        <v>Sheila Wilson</v>
      </c>
      <c r="K223">
        <f>Table511[[#This Row],[Total_Amount]]/(L223*(1-Table511[[#This Row],[Discount]]))</f>
        <v>4</v>
      </c>
      <c r="L223" s="5">
        <v>652.28</v>
      </c>
      <c r="M223">
        <v>0.15</v>
      </c>
      <c r="N223" t="s">
        <v>1349</v>
      </c>
      <c r="O223" s="5">
        <v>2217.752</v>
      </c>
    </row>
    <row r="224" spans="1:15">
      <c r="A224" t="s">
        <v>1573</v>
      </c>
      <c r="B224" s="7">
        <v>45480</v>
      </c>
      <c r="C224" t="s">
        <v>602</v>
      </c>
      <c r="D224" t="s">
        <v>1225</v>
      </c>
      <c r="E224" t="s">
        <v>1332</v>
      </c>
      <c r="F224" t="str">
        <f>[1]Raw_Customer_Dim!$A$2</f>
        <v>CUST1000</v>
      </c>
      <c r="G224" t="str">
        <f>_xlfn.XLOOKUP(E224,Store_Dim!A:A,Store_Dim!B:B,"Not Found")</f>
        <v>Holloway Ltd</v>
      </c>
      <c r="H224" t="str">
        <f>_xlfn.XLOOKUP(D224,Product_Dim!A:A,Product_Dim!C:C,"Not Found")</f>
        <v>Electronics</v>
      </c>
      <c r="I224" t="str">
        <f>_xlfn.XLOOKUP(E224,Store_Dim!A:A,Store_Dim!C:C,"Not Found")</f>
        <v>North</v>
      </c>
      <c r="J224" t="str">
        <f>_xlfn.XLOOKUP(C224,Customer_Dim!A:A,Customer_Dim!B:B,"Not Found")</f>
        <v>Tyrone Olson</v>
      </c>
      <c r="K224">
        <f>Table511[[#This Row],[Total_Amount]]/(L224*(1-Table511[[#This Row],[Discount]]))</f>
        <v>3.0000000000000004</v>
      </c>
      <c r="L224" s="5">
        <v>207.8</v>
      </c>
      <c r="M224">
        <v>0.15</v>
      </c>
      <c r="N224" t="s">
        <v>1349</v>
      </c>
      <c r="O224" s="5">
        <v>529.8900000000001</v>
      </c>
    </row>
    <row r="225" spans="1:15">
      <c r="A225" t="s">
        <v>1574</v>
      </c>
      <c r="B225" s="7">
        <v>45361</v>
      </c>
      <c r="C225" t="s">
        <v>1051</v>
      </c>
      <c r="D225" t="s">
        <v>1195</v>
      </c>
      <c r="E225" t="s">
        <v>1326</v>
      </c>
      <c r="F225" t="str">
        <f>[1]Raw_Customer_Dim!$A$2</f>
        <v>CUST1000</v>
      </c>
      <c r="G225" t="str">
        <f>_xlfn.XLOOKUP(E225,Store_Dim!A:A,Store_Dim!B:B,"Not Found")</f>
        <v>Shelton PLC</v>
      </c>
      <c r="H225" t="str">
        <f>_xlfn.XLOOKUP(D225,Product_Dim!A:A,Product_Dim!C:C,"Not Found")</f>
        <v>Sports</v>
      </c>
      <c r="I225" t="str">
        <f>_xlfn.XLOOKUP(E225,Store_Dim!A:A,Store_Dim!C:C,"Not Found")</f>
        <v>North</v>
      </c>
      <c r="J225" t="str">
        <f>_xlfn.XLOOKUP(C225,Customer_Dim!A:A,Customer_Dim!B:B,"Not Found")</f>
        <v>James Berger</v>
      </c>
      <c r="K225">
        <f>Table511[[#This Row],[Total_Amount]]/(L225*(1-Table511[[#This Row],[Discount]]))</f>
        <v>4</v>
      </c>
      <c r="L225" s="5">
        <v>385.5</v>
      </c>
      <c r="M225">
        <v>0.03</v>
      </c>
      <c r="N225" t="s">
        <v>1351</v>
      </c>
      <c r="O225" s="5">
        <v>1495.74</v>
      </c>
    </row>
    <row r="226" spans="1:15">
      <c r="A226" t="s">
        <v>1575</v>
      </c>
      <c r="B226" s="7">
        <v>45915</v>
      </c>
      <c r="C226" t="s">
        <v>250</v>
      </c>
      <c r="D226" t="s">
        <v>1203</v>
      </c>
      <c r="E226" t="s">
        <v>1301</v>
      </c>
      <c r="F226" t="str">
        <f>[1]Raw_Customer_Dim!$A$2</f>
        <v>CUST1000</v>
      </c>
      <c r="G226" t="str">
        <f>_xlfn.XLOOKUP(E226,Store_Dim!A:A,Store_Dim!B:B,"Not Found")</f>
        <v>Benson-Elliott</v>
      </c>
      <c r="H226" t="str">
        <f>_xlfn.XLOOKUP(D226,Product_Dim!A:A,Product_Dim!C:C,"Not Found")</f>
        <v>Sports</v>
      </c>
      <c r="I226" t="str">
        <f>_xlfn.XLOOKUP(E226,Store_Dim!A:A,Store_Dim!C:C,"Not Found")</f>
        <v>East</v>
      </c>
      <c r="J226" t="str">
        <f>_xlfn.XLOOKUP(C226,Customer_Dim!A:A,Customer_Dim!B:B,"Not Found")</f>
        <v>Samantha Walker</v>
      </c>
      <c r="K226">
        <f>Table511[[#This Row],[Total_Amount]]/(L226*(1-Table511[[#This Row],[Discount]]))</f>
        <v>3</v>
      </c>
      <c r="L226" s="5">
        <v>548.19000000000005</v>
      </c>
      <c r="M226">
        <v>0.12</v>
      </c>
      <c r="N226" t="s">
        <v>1349</v>
      </c>
      <c r="O226" s="5">
        <v>1447.2216000000001</v>
      </c>
    </row>
    <row r="227" spans="1:15">
      <c r="A227" t="s">
        <v>1576</v>
      </c>
      <c r="B227" s="7">
        <v>45607</v>
      </c>
      <c r="C227" t="s">
        <v>188</v>
      </c>
      <c r="D227" t="s">
        <v>1219</v>
      </c>
      <c r="E227" t="s">
        <v>1311</v>
      </c>
      <c r="F227" t="str">
        <f>[1]Raw_Customer_Dim!$A$2</f>
        <v>CUST1000</v>
      </c>
      <c r="G227" t="str">
        <f>_xlfn.XLOOKUP(E227,Store_Dim!A:A,Store_Dim!B:B,"Not Found")</f>
        <v>Moore, Padilla and Butler</v>
      </c>
      <c r="H227" t="str">
        <f>_xlfn.XLOOKUP(D227,Product_Dim!A:A,Product_Dim!C:C,"Not Found")</f>
        <v>Sports</v>
      </c>
      <c r="I227" t="str">
        <f>_xlfn.XLOOKUP(E227,Store_Dim!A:A,Store_Dim!C:C,"Not Found")</f>
        <v>South</v>
      </c>
      <c r="J227" t="str">
        <f>_xlfn.XLOOKUP(C227,Customer_Dim!A:A,Customer_Dim!B:B,"Not Found")</f>
        <v>Roy Cole</v>
      </c>
      <c r="K227">
        <f>Table511[[#This Row],[Total_Amount]]/(L227*(1-Table511[[#This Row],[Discount]]))</f>
        <v>2.9999999999999996</v>
      </c>
      <c r="L227" s="5">
        <v>927.6</v>
      </c>
      <c r="M227">
        <v>0.09</v>
      </c>
      <c r="N227" t="s">
        <v>1349</v>
      </c>
      <c r="O227" s="5">
        <v>2532.348</v>
      </c>
    </row>
    <row r="228" spans="1:15">
      <c r="A228" t="s">
        <v>1577</v>
      </c>
      <c r="B228" s="7">
        <v>45666</v>
      </c>
      <c r="C228" t="s">
        <v>596</v>
      </c>
      <c r="D228" t="s">
        <v>1195</v>
      </c>
      <c r="E228" t="s">
        <v>1291</v>
      </c>
      <c r="F228" t="str">
        <f>[1]Raw_Customer_Dim!$A$2</f>
        <v>CUST1000</v>
      </c>
      <c r="G228" t="str">
        <f>_xlfn.XLOOKUP(E228,Store_Dim!A:A,Store_Dim!B:B,"Not Found")</f>
        <v>Johnson-Wright</v>
      </c>
      <c r="H228" t="str">
        <f>_xlfn.XLOOKUP(D228,Product_Dim!A:A,Product_Dim!C:C,"Not Found")</f>
        <v>Sports</v>
      </c>
      <c r="I228" t="str">
        <f>_xlfn.XLOOKUP(E228,Store_Dim!A:A,Store_Dim!C:C,"Not Found")</f>
        <v>North</v>
      </c>
      <c r="J228" t="str">
        <f>_xlfn.XLOOKUP(C228,Customer_Dim!A:A,Customer_Dim!B:B,"Not Found")</f>
        <v>Cynthia Payne</v>
      </c>
      <c r="K228">
        <f>Table511[[#This Row],[Total_Amount]]/(L228*(1-Table511[[#This Row],[Discount]]))</f>
        <v>4.0000000000000009</v>
      </c>
      <c r="L228" s="5">
        <v>585.04</v>
      </c>
      <c r="M228">
        <v>0.22</v>
      </c>
      <c r="N228" t="s">
        <v>1351</v>
      </c>
      <c r="O228" s="5">
        <v>1825.3248000000001</v>
      </c>
    </row>
    <row r="229" spans="1:15">
      <c r="A229" t="s">
        <v>1578</v>
      </c>
      <c r="B229" s="7">
        <v>45406</v>
      </c>
      <c r="C229" t="s">
        <v>1059</v>
      </c>
      <c r="D229" t="s">
        <v>1151</v>
      </c>
      <c r="E229" t="s">
        <v>1286</v>
      </c>
      <c r="F229" t="str">
        <f>[1]Raw_Customer_Dim!$A$2</f>
        <v>CUST1000</v>
      </c>
      <c r="G229" t="str">
        <f>_xlfn.XLOOKUP(E229,Store_Dim!A:A,Store_Dim!B:B,"Not Found")</f>
        <v>Black-Horn</v>
      </c>
      <c r="H229" t="str">
        <f>_xlfn.XLOOKUP(D229,Product_Dim!A:A,Product_Dim!C:C,"Not Found")</f>
        <v>Electronics</v>
      </c>
      <c r="I229" t="str">
        <f>_xlfn.XLOOKUP(E229,Store_Dim!A:A,Store_Dim!C:C,"Not Found")</f>
        <v>South</v>
      </c>
      <c r="J229" t="str">
        <f>_xlfn.XLOOKUP(C229,Customer_Dim!A:A,Customer_Dim!B:B,"Not Found")</f>
        <v>Not Found</v>
      </c>
      <c r="K229">
        <f>Table511[[#This Row],[Total_Amount]]/(L229*(1-Table511[[#This Row],[Discount]]))</f>
        <v>2</v>
      </c>
      <c r="L229" s="5">
        <v>999.89</v>
      </c>
      <c r="M229">
        <v>0.09</v>
      </c>
      <c r="N229" t="s">
        <v>1349</v>
      </c>
      <c r="O229" s="5">
        <v>1819.7998</v>
      </c>
    </row>
    <row r="230" spans="1:15">
      <c r="A230" t="s">
        <v>1579</v>
      </c>
      <c r="B230" s="7">
        <v>45284</v>
      </c>
      <c r="C230" t="s">
        <v>273</v>
      </c>
      <c r="D230" t="s">
        <v>1223</v>
      </c>
      <c r="E230" t="s">
        <v>1291</v>
      </c>
      <c r="F230" t="str">
        <f>[1]Raw_Customer_Dim!$A$2</f>
        <v>CUST1000</v>
      </c>
      <c r="G230" t="str">
        <f>_xlfn.XLOOKUP(E230,Store_Dim!A:A,Store_Dim!B:B,"Not Found")</f>
        <v>Johnson-Wright</v>
      </c>
      <c r="H230" t="str">
        <f>_xlfn.XLOOKUP(D230,Product_Dim!A:A,Product_Dim!C:C,"Not Found")</f>
        <v>Clothing</v>
      </c>
      <c r="I230" t="str">
        <f>_xlfn.XLOOKUP(E230,Store_Dim!A:A,Store_Dim!C:C,"Not Found")</f>
        <v>North</v>
      </c>
      <c r="J230" t="str">
        <f>_xlfn.XLOOKUP(C230,Customer_Dim!A:A,Customer_Dim!B:B,"Not Found")</f>
        <v>Erica Carney</v>
      </c>
      <c r="K230">
        <f>Table511[[#This Row],[Total_Amount]]/(L230*(1-Table511[[#This Row],[Discount]]))</f>
        <v>2</v>
      </c>
      <c r="L230" s="5">
        <v>848.98</v>
      </c>
      <c r="M230">
        <v>0.04</v>
      </c>
      <c r="N230" t="s">
        <v>1351</v>
      </c>
      <c r="O230" s="5">
        <v>1630.0416</v>
      </c>
    </row>
    <row r="231" spans="1:15">
      <c r="A231" t="s">
        <v>1580</v>
      </c>
      <c r="B231" s="7">
        <v>45348</v>
      </c>
      <c r="C231" t="s">
        <v>345</v>
      </c>
      <c r="D231" t="s">
        <v>1193</v>
      </c>
      <c r="E231" t="s">
        <v>1324</v>
      </c>
      <c r="F231" t="str">
        <f>[1]Raw_Customer_Dim!$A$2</f>
        <v>CUST1000</v>
      </c>
      <c r="G231" t="str">
        <f>_xlfn.XLOOKUP(E231,Store_Dim!A:A,Store_Dim!B:B,"Not Found")</f>
        <v>Mcdonald Inc</v>
      </c>
      <c r="H231" t="str">
        <f>_xlfn.XLOOKUP(D231,Product_Dim!A:A,Product_Dim!C:C,"Not Found")</f>
        <v>Beauty</v>
      </c>
      <c r="I231" t="str">
        <f>_xlfn.XLOOKUP(E231,Store_Dim!A:A,Store_Dim!C:C,"Not Found")</f>
        <v>South</v>
      </c>
      <c r="J231" t="str">
        <f>_xlfn.XLOOKUP(C231,Customer_Dim!A:A,Customer_Dim!B:B,"Not Found")</f>
        <v>Maria Ramirez</v>
      </c>
      <c r="K231">
        <f>Table511[[#This Row],[Total_Amount]]/(L231*(1-Table511[[#This Row],[Discount]]))</f>
        <v>3</v>
      </c>
      <c r="L231" s="5">
        <v>769.56</v>
      </c>
      <c r="M231">
        <v>0.08</v>
      </c>
      <c r="N231" t="s">
        <v>1349</v>
      </c>
      <c r="O231" s="5">
        <v>2123.9856</v>
      </c>
    </row>
    <row r="232" spans="1:15">
      <c r="A232" t="s">
        <v>1581</v>
      </c>
      <c r="B232" s="7">
        <v>45676</v>
      </c>
      <c r="C232" t="s">
        <v>140</v>
      </c>
      <c r="D232" t="s">
        <v>1169</v>
      </c>
      <c r="E232" t="s">
        <v>1322</v>
      </c>
      <c r="F232" t="str">
        <f>[1]Raw_Customer_Dim!$A$2</f>
        <v>CUST1000</v>
      </c>
      <c r="G232" t="str">
        <f>_xlfn.XLOOKUP(E232,Store_Dim!A:A,Store_Dim!B:B,"Not Found")</f>
        <v>Gardner, Humphrey and Contreras</v>
      </c>
      <c r="H232" t="str">
        <f>_xlfn.XLOOKUP(D232,Product_Dim!A:A,Product_Dim!C:C,"Not Found")</f>
        <v>Electronics</v>
      </c>
      <c r="I232" t="str">
        <f>_xlfn.XLOOKUP(E232,Store_Dim!A:A,Store_Dim!C:C,"Not Found")</f>
        <v>East</v>
      </c>
      <c r="J232" t="str">
        <f>_xlfn.XLOOKUP(C232,Customer_Dim!A:A,Customer_Dim!B:B,"Not Found")</f>
        <v>Timothy Weaver</v>
      </c>
      <c r="K232">
        <f>Table511[[#This Row],[Total_Amount]]/(L232*(1-Table511[[#This Row],[Discount]]))</f>
        <v>3</v>
      </c>
      <c r="L232" s="5">
        <v>449.88</v>
      </c>
      <c r="M232">
        <v>0.1</v>
      </c>
      <c r="N232" t="s">
        <v>1351</v>
      </c>
      <c r="O232" s="5">
        <v>1214.6759999999999</v>
      </c>
    </row>
    <row r="233" spans="1:15">
      <c r="A233" t="s">
        <v>1582</v>
      </c>
      <c r="B233" s="7">
        <v>45863</v>
      </c>
      <c r="C233" t="s">
        <v>614</v>
      </c>
      <c r="D233" t="s">
        <v>1211</v>
      </c>
      <c r="E233" t="s">
        <v>1319</v>
      </c>
      <c r="F233" t="str">
        <f>[1]Raw_Customer_Dim!$A$2</f>
        <v>CUST1000</v>
      </c>
      <c r="G233" t="str">
        <f>_xlfn.XLOOKUP(E233,Store_Dim!A:A,Store_Dim!B:B,"Not Found")</f>
        <v>Thomas, Bridges and Harris</v>
      </c>
      <c r="H233" t="str">
        <f>_xlfn.XLOOKUP(D233,Product_Dim!A:A,Product_Dim!C:C,"Not Found")</f>
        <v>Clothing</v>
      </c>
      <c r="I233" t="str">
        <f>_xlfn.XLOOKUP(E233,Store_Dim!A:A,Store_Dim!C:C,"Not Found")</f>
        <v>North</v>
      </c>
      <c r="J233" t="str">
        <f>_xlfn.XLOOKUP(C233,Customer_Dim!A:A,Customer_Dim!B:B,"Not Found")</f>
        <v>Shannon Miller</v>
      </c>
      <c r="K233">
        <f>Table511[[#This Row],[Total_Amount]]/(L233*(1-Table511[[#This Row],[Discount]]))</f>
        <v>4</v>
      </c>
      <c r="L233" s="5">
        <v>383.74</v>
      </c>
      <c r="M233">
        <v>0.01</v>
      </c>
      <c r="N233" t="s">
        <v>1349</v>
      </c>
      <c r="O233" s="5">
        <v>1519.6104</v>
      </c>
    </row>
    <row r="234" spans="1:15">
      <c r="A234" t="s">
        <v>1583</v>
      </c>
      <c r="B234" s="7">
        <v>45409</v>
      </c>
      <c r="C234" t="s">
        <v>357</v>
      </c>
      <c r="D234" t="s">
        <v>1189</v>
      </c>
      <c r="E234" t="s">
        <v>1314</v>
      </c>
      <c r="F234" t="str">
        <f>[1]Raw_Customer_Dim!$A$2</f>
        <v>CUST1000</v>
      </c>
      <c r="G234" t="str">
        <f>_xlfn.XLOOKUP(E234,Store_Dim!A:A,Store_Dim!B:B,"Not Found")</f>
        <v>Hill, Wagner and Ballard</v>
      </c>
      <c r="H234" t="str">
        <f>_xlfn.XLOOKUP(D234,Product_Dim!A:A,Product_Dim!C:C,"Not Found")</f>
        <v>Clothing</v>
      </c>
      <c r="I234" t="str">
        <f>_xlfn.XLOOKUP(E234,Store_Dim!A:A,Store_Dim!C:C,"Not Found")</f>
        <v>East</v>
      </c>
      <c r="J234" t="str">
        <f>_xlfn.XLOOKUP(C234,Customer_Dim!A:A,Customer_Dim!B:B,"Not Found")</f>
        <v>Theresa Campbell</v>
      </c>
      <c r="K234">
        <f>Table511[[#This Row],[Total_Amount]]/(L234*(1-Table511[[#This Row],[Discount]]))</f>
        <v>3.9999999999999991</v>
      </c>
      <c r="L234" s="5">
        <v>794.97</v>
      </c>
      <c r="M234">
        <v>0.24</v>
      </c>
      <c r="N234" t="s">
        <v>1351</v>
      </c>
      <c r="O234" s="5">
        <v>2416.7087999999999</v>
      </c>
    </row>
    <row r="235" spans="1:15">
      <c r="A235" t="s">
        <v>1584</v>
      </c>
      <c r="B235" s="7">
        <v>45880</v>
      </c>
      <c r="C235" t="s">
        <v>42</v>
      </c>
      <c r="D235" t="s">
        <v>1231</v>
      </c>
      <c r="E235" t="s">
        <v>1298</v>
      </c>
      <c r="F235" t="str">
        <f>[1]Raw_Customer_Dim!$A$2</f>
        <v>CUST1000</v>
      </c>
      <c r="G235" t="str">
        <f>_xlfn.XLOOKUP(E235,Store_Dim!A:A,Store_Dim!B:B,"Not Found")</f>
        <v>Gray Ltd</v>
      </c>
      <c r="H235" t="str">
        <f>_xlfn.XLOOKUP(D235,Product_Dim!A:A,Product_Dim!C:C,"Not Found")</f>
        <v>Home</v>
      </c>
      <c r="I235" t="str">
        <f>_xlfn.XLOOKUP(E235,Store_Dim!A:A,Store_Dim!C:C,"Not Found")</f>
        <v>North</v>
      </c>
      <c r="J235" t="str">
        <f>_xlfn.XLOOKUP(C235,Customer_Dim!A:A,Customer_Dim!B:B,"Not Found")</f>
        <v>Dominic Page</v>
      </c>
      <c r="K235">
        <f>Table511[[#This Row],[Total_Amount]]/(L235*(1-Table511[[#This Row],[Discount]]))</f>
        <v>1</v>
      </c>
      <c r="L235" s="5">
        <v>989.63</v>
      </c>
      <c r="M235">
        <v>0.05</v>
      </c>
      <c r="N235" t="s">
        <v>1351</v>
      </c>
      <c r="O235" s="5">
        <v>940.1484999999999</v>
      </c>
    </row>
    <row r="236" spans="1:15">
      <c r="A236" t="s">
        <v>1585</v>
      </c>
      <c r="B236" s="7">
        <v>45731</v>
      </c>
      <c r="C236" t="s">
        <v>734</v>
      </c>
      <c r="D236" t="s">
        <v>1181</v>
      </c>
      <c r="E236" t="s">
        <v>1277</v>
      </c>
      <c r="F236" t="str">
        <f>[1]Raw_Customer_Dim!$A$2</f>
        <v>CUST1000</v>
      </c>
      <c r="G236" t="str">
        <f>_xlfn.XLOOKUP(E236,Store_Dim!A:A,Store_Dim!B:B,"Not Found")</f>
        <v>Rivera-Warner</v>
      </c>
      <c r="H236" t="str">
        <f>_xlfn.XLOOKUP(D236,Product_Dim!A:A,Product_Dim!C:C,"Not Found")</f>
        <v>Sports</v>
      </c>
      <c r="I236" t="str">
        <f>_xlfn.XLOOKUP(E236,Store_Dim!A:A,Store_Dim!C:C,"Not Found")</f>
        <v>East</v>
      </c>
      <c r="J236" t="str">
        <f>_xlfn.XLOOKUP(C236,Customer_Dim!A:A,Customer_Dim!B:B,"Not Found")</f>
        <v>Jennifer Woods</v>
      </c>
      <c r="K236">
        <f>Table511[[#This Row],[Total_Amount]]/(L236*(1-Table511[[#This Row],[Discount]]))</f>
        <v>1</v>
      </c>
      <c r="L236" s="5">
        <v>447.16</v>
      </c>
      <c r="M236">
        <v>0.22</v>
      </c>
      <c r="N236" t="s">
        <v>1354</v>
      </c>
      <c r="O236" s="5">
        <v>348.78480000000002</v>
      </c>
    </row>
    <row r="237" spans="1:15">
      <c r="A237" t="s">
        <v>1586</v>
      </c>
      <c r="B237" s="7">
        <v>45671</v>
      </c>
      <c r="C237" t="s">
        <v>36</v>
      </c>
      <c r="D237" t="s">
        <v>1261</v>
      </c>
      <c r="E237" t="s">
        <v>1301</v>
      </c>
      <c r="F237" t="str">
        <f>[1]Raw_Customer_Dim!$A$2</f>
        <v>CUST1000</v>
      </c>
      <c r="G237" t="str">
        <f>_xlfn.XLOOKUP(E237,Store_Dim!A:A,Store_Dim!B:B,"Not Found")</f>
        <v>Benson-Elliott</v>
      </c>
      <c r="H237" t="str">
        <f>_xlfn.XLOOKUP(D237,Product_Dim!A:A,Product_Dim!C:C,"Not Found")</f>
        <v>Beauty</v>
      </c>
      <c r="I237" t="str">
        <f>_xlfn.XLOOKUP(E237,Store_Dim!A:A,Store_Dim!C:C,"Not Found")</f>
        <v>East</v>
      </c>
      <c r="J237" t="str">
        <f>_xlfn.XLOOKUP(C237,Customer_Dim!A:A,Customer_Dim!B:B,"Not Found")</f>
        <v>Melissa Howard</v>
      </c>
      <c r="K237">
        <f>Table511[[#This Row],[Total_Amount]]/(L237*(1-Table511[[#This Row],[Discount]]))</f>
        <v>1</v>
      </c>
      <c r="L237" s="5">
        <v>946.9</v>
      </c>
      <c r="M237">
        <v>0.28999999999999998</v>
      </c>
      <c r="N237" t="s">
        <v>1354</v>
      </c>
      <c r="O237" s="5">
        <v>672.29899999999998</v>
      </c>
    </row>
    <row r="238" spans="1:15">
      <c r="A238" t="s">
        <v>1587</v>
      </c>
      <c r="B238" s="7">
        <v>45809</v>
      </c>
      <c r="C238" t="s">
        <v>399</v>
      </c>
      <c r="D238" t="s">
        <v>1107</v>
      </c>
      <c r="E238" t="s">
        <v>1277</v>
      </c>
      <c r="F238" t="str">
        <f>[1]Raw_Customer_Dim!$A$2</f>
        <v>CUST1000</v>
      </c>
      <c r="G238" t="str">
        <f>_xlfn.XLOOKUP(E238,Store_Dim!A:A,Store_Dim!B:B,"Not Found")</f>
        <v>Rivera-Warner</v>
      </c>
      <c r="H238" t="str">
        <f>_xlfn.XLOOKUP(D238,Product_Dim!A:A,Product_Dim!C:C,"Not Found")</f>
        <v>Sports</v>
      </c>
      <c r="I238" t="str">
        <f>_xlfn.XLOOKUP(E238,Store_Dim!A:A,Store_Dim!C:C,"Not Found")</f>
        <v>East</v>
      </c>
      <c r="J238" t="str">
        <f>_xlfn.XLOOKUP(C238,Customer_Dim!A:A,Customer_Dim!B:B,"Not Found")</f>
        <v>Steve Mclaughlin</v>
      </c>
      <c r="K238">
        <f>Table511[[#This Row],[Total_Amount]]/(L238*(1-Table511[[#This Row],[Discount]]))</f>
        <v>4</v>
      </c>
      <c r="L238" s="5">
        <v>469.68</v>
      </c>
      <c r="M238">
        <v>0.19</v>
      </c>
      <c r="N238" t="s">
        <v>1349</v>
      </c>
      <c r="O238" s="5">
        <v>1521.7632000000001</v>
      </c>
    </row>
    <row r="239" spans="1:15">
      <c r="A239" t="s">
        <v>1588</v>
      </c>
      <c r="B239" s="7">
        <v>45559</v>
      </c>
      <c r="C239" t="s">
        <v>1049</v>
      </c>
      <c r="D239" t="s">
        <v>1129</v>
      </c>
      <c r="E239" t="s">
        <v>1332</v>
      </c>
      <c r="F239" t="str">
        <f>[1]Raw_Customer_Dim!$A$2</f>
        <v>CUST1000</v>
      </c>
      <c r="G239" t="str">
        <f>_xlfn.XLOOKUP(E239,Store_Dim!A:A,Store_Dim!B:B,"Not Found")</f>
        <v>Holloway Ltd</v>
      </c>
      <c r="H239" t="str">
        <f>_xlfn.XLOOKUP(D239,Product_Dim!A:A,Product_Dim!C:C,"Not Found")</f>
        <v>Sports</v>
      </c>
      <c r="I239" t="str">
        <f>_xlfn.XLOOKUP(E239,Store_Dim!A:A,Store_Dim!C:C,"Not Found")</f>
        <v>North</v>
      </c>
      <c r="J239" t="str">
        <f>_xlfn.XLOOKUP(C239,Customer_Dim!A:A,Customer_Dim!B:B,"Not Found")</f>
        <v>Justin Lopez</v>
      </c>
      <c r="K239">
        <f>Table511[[#This Row],[Total_Amount]]/(L239*(1-Table511[[#This Row],[Discount]]))</f>
        <v>4</v>
      </c>
      <c r="L239" s="5">
        <v>320.64</v>
      </c>
      <c r="M239">
        <v>0.2</v>
      </c>
      <c r="N239" t="s">
        <v>1354</v>
      </c>
      <c r="O239" s="5">
        <v>1026.048</v>
      </c>
    </row>
    <row r="240" spans="1:15">
      <c r="A240" t="s">
        <v>1589</v>
      </c>
      <c r="B240" s="7">
        <v>45253</v>
      </c>
      <c r="C240" t="s">
        <v>331</v>
      </c>
      <c r="D240" t="s">
        <v>1103</v>
      </c>
      <c r="E240" t="s">
        <v>1298</v>
      </c>
      <c r="F240" t="str">
        <f>[1]Raw_Customer_Dim!$A$2</f>
        <v>CUST1000</v>
      </c>
      <c r="G240" t="str">
        <f>_xlfn.XLOOKUP(E240,Store_Dim!A:A,Store_Dim!B:B,"Not Found")</f>
        <v>Gray Ltd</v>
      </c>
      <c r="H240" t="str">
        <f>_xlfn.XLOOKUP(D240,Product_Dim!A:A,Product_Dim!C:C,"Not Found")</f>
        <v>Electronics</v>
      </c>
      <c r="I240" t="str">
        <f>_xlfn.XLOOKUP(E240,Store_Dim!A:A,Store_Dim!C:C,"Not Found")</f>
        <v>North</v>
      </c>
      <c r="J240" t="str">
        <f>_xlfn.XLOOKUP(C240,Customer_Dim!A:A,Customer_Dim!B:B,"Not Found")</f>
        <v>Matthew Hanna</v>
      </c>
      <c r="K240">
        <f>Table511[[#This Row],[Total_Amount]]/(L240*(1-Table511[[#This Row],[Discount]]))</f>
        <v>0.99999999999999989</v>
      </c>
      <c r="L240" s="5">
        <v>594.44000000000005</v>
      </c>
      <c r="M240">
        <v>0.21</v>
      </c>
      <c r="N240" t="s">
        <v>1349</v>
      </c>
      <c r="O240" s="5">
        <v>469.60759999999999</v>
      </c>
    </row>
    <row r="241" spans="1:15">
      <c r="A241" t="s">
        <v>1590</v>
      </c>
      <c r="B241" s="7">
        <v>45861</v>
      </c>
      <c r="C241" t="s">
        <v>494</v>
      </c>
      <c r="D241" t="s">
        <v>1245</v>
      </c>
      <c r="E241" t="s">
        <v>1307</v>
      </c>
      <c r="F241" t="str">
        <f>[1]Raw_Customer_Dim!$A$2</f>
        <v>CUST1000</v>
      </c>
      <c r="G241" t="str">
        <f>_xlfn.XLOOKUP(E241,Store_Dim!A:A,Store_Dim!B:B,"Not Found")</f>
        <v>Bean, Jones and Park</v>
      </c>
      <c r="H241" t="str">
        <f>_xlfn.XLOOKUP(D241,Product_Dim!A:A,Product_Dim!C:C,"Not Found")</f>
        <v>Home</v>
      </c>
      <c r="I241" t="str">
        <f>_xlfn.XLOOKUP(E241,Store_Dim!A:A,Store_Dim!C:C,"Not Found")</f>
        <v>West</v>
      </c>
      <c r="J241" t="str">
        <f>_xlfn.XLOOKUP(C241,Customer_Dim!A:A,Customer_Dim!B:B,"Not Found")</f>
        <v>Kathryn Garcia</v>
      </c>
      <c r="K241">
        <f>Table511[[#This Row],[Total_Amount]]/(L241*(1-Table511[[#This Row],[Discount]]))</f>
        <v>3</v>
      </c>
      <c r="L241" s="5">
        <v>91.7</v>
      </c>
      <c r="M241">
        <v>0.08</v>
      </c>
      <c r="N241" t="s">
        <v>1354</v>
      </c>
      <c r="O241" s="5">
        <v>253.09200000000001</v>
      </c>
    </row>
    <row r="242" spans="1:15">
      <c r="A242" t="s">
        <v>1591</v>
      </c>
      <c r="B242" s="7">
        <v>45917</v>
      </c>
      <c r="C242" t="s">
        <v>96</v>
      </c>
      <c r="D242" t="s">
        <v>1197</v>
      </c>
      <c r="E242" t="s">
        <v>1319</v>
      </c>
      <c r="F242" t="str">
        <f>[1]Raw_Customer_Dim!$A$2</f>
        <v>CUST1000</v>
      </c>
      <c r="G242" t="str">
        <f>_xlfn.XLOOKUP(E242,Store_Dim!A:A,Store_Dim!B:B,"Not Found")</f>
        <v>Thomas, Bridges and Harris</v>
      </c>
      <c r="H242" t="str">
        <f>_xlfn.XLOOKUP(D242,Product_Dim!A:A,Product_Dim!C:C,"Not Found")</f>
        <v>Electronics</v>
      </c>
      <c r="I242" t="str">
        <f>_xlfn.XLOOKUP(E242,Store_Dim!A:A,Store_Dim!C:C,"Not Found")</f>
        <v>North</v>
      </c>
      <c r="J242" t="str">
        <f>_xlfn.XLOOKUP(C242,Customer_Dim!A:A,Customer_Dim!B:B,"Not Found")</f>
        <v>Sarah Vance</v>
      </c>
      <c r="K242">
        <f>Table511[[#This Row],[Total_Amount]]/(L242*(1-Table511[[#This Row],[Discount]]))</f>
        <v>3</v>
      </c>
      <c r="L242" s="5">
        <v>741.33</v>
      </c>
      <c r="M242">
        <v>0.03</v>
      </c>
      <c r="N242" t="s">
        <v>1349</v>
      </c>
      <c r="O242" s="5">
        <v>2157.2703000000001</v>
      </c>
    </row>
    <row r="243" spans="1:15">
      <c r="A243" t="s">
        <v>1592</v>
      </c>
      <c r="B243" s="7">
        <v>45754</v>
      </c>
      <c r="C243" t="s">
        <v>1014</v>
      </c>
      <c r="D243" t="s">
        <v>1105</v>
      </c>
      <c r="E243" t="s">
        <v>1338</v>
      </c>
      <c r="F243" t="str">
        <f>[1]Raw_Customer_Dim!$A$2</f>
        <v>CUST1000</v>
      </c>
      <c r="G243" t="str">
        <f>_xlfn.XLOOKUP(E243,Store_Dim!A:A,Store_Dim!B:B,"Not Found")</f>
        <v>Mann-Austin</v>
      </c>
      <c r="H243" t="str">
        <f>_xlfn.XLOOKUP(D243,Product_Dim!A:A,Product_Dim!C:C,"Not Found")</f>
        <v>Not Found</v>
      </c>
      <c r="I243" t="str">
        <f>_xlfn.XLOOKUP(E243,Store_Dim!A:A,Store_Dim!C:C,"Not Found")</f>
        <v>East</v>
      </c>
      <c r="J243" t="str">
        <f>_xlfn.XLOOKUP(C243,Customer_Dim!A:A,Customer_Dim!B:B,"Not Found")</f>
        <v>Elizabeth Foster</v>
      </c>
      <c r="K243">
        <f>Table511[[#This Row],[Total_Amount]]/(L243*(1-Table511[[#This Row],[Discount]]))</f>
        <v>1</v>
      </c>
      <c r="L243" s="5">
        <v>922.78</v>
      </c>
      <c r="M243">
        <v>0.28999999999999998</v>
      </c>
      <c r="N243" t="s">
        <v>1354</v>
      </c>
      <c r="O243" s="5">
        <v>655.17379999999991</v>
      </c>
    </row>
    <row r="244" spans="1:15">
      <c r="A244" t="s">
        <v>1593</v>
      </c>
      <c r="B244" s="7">
        <v>45312</v>
      </c>
      <c r="C244" t="s">
        <v>714</v>
      </c>
      <c r="D244" t="s">
        <v>1087</v>
      </c>
      <c r="E244" t="s">
        <v>1329</v>
      </c>
      <c r="F244" t="str">
        <f>[1]Raw_Customer_Dim!$A$2</f>
        <v>CUST1000</v>
      </c>
      <c r="G244" t="str">
        <f>_xlfn.XLOOKUP(E244,Store_Dim!A:A,Store_Dim!B:B,"Not Found")</f>
        <v>Frederick-Wright</v>
      </c>
      <c r="H244" t="str">
        <f>_xlfn.XLOOKUP(D244,Product_Dim!A:A,Product_Dim!C:C,"Not Found")</f>
        <v>Electronics</v>
      </c>
      <c r="I244" t="str">
        <f>_xlfn.XLOOKUP(E244,Store_Dim!A:A,Store_Dim!C:C,"Not Found")</f>
        <v>West</v>
      </c>
      <c r="J244" t="str">
        <f>_xlfn.XLOOKUP(C244,Customer_Dim!A:A,Customer_Dim!B:B,"Not Found")</f>
        <v>Andrew Smith</v>
      </c>
      <c r="K244">
        <f>Table511[[#This Row],[Total_Amount]]/(L244*(1-Table511[[#This Row],[Discount]]))</f>
        <v>0.99999999999999989</v>
      </c>
      <c r="L244" s="5">
        <v>394.35</v>
      </c>
      <c r="M244">
        <v>0.09</v>
      </c>
      <c r="N244" t="s">
        <v>1351</v>
      </c>
      <c r="O244" s="5">
        <v>358.85849999999999</v>
      </c>
    </row>
    <row r="245" spans="1:15">
      <c r="A245" t="s">
        <v>1594</v>
      </c>
      <c r="B245" s="7">
        <v>45480</v>
      </c>
      <c r="C245" t="s">
        <v>791</v>
      </c>
      <c r="D245" t="s">
        <v>1203</v>
      </c>
      <c r="E245" t="s">
        <v>1317</v>
      </c>
      <c r="F245" t="str">
        <f>[1]Raw_Customer_Dim!$A$2</f>
        <v>CUST1000</v>
      </c>
      <c r="G245" t="str">
        <f>_xlfn.XLOOKUP(E245,Store_Dim!A:A,Store_Dim!B:B,"Not Found")</f>
        <v>Aguirre-Keller</v>
      </c>
      <c r="H245" t="str">
        <f>_xlfn.XLOOKUP(D245,Product_Dim!A:A,Product_Dim!C:C,"Not Found")</f>
        <v>Sports</v>
      </c>
      <c r="I245" t="str">
        <f>_xlfn.XLOOKUP(E245,Store_Dim!A:A,Store_Dim!C:C,"Not Found")</f>
        <v>South</v>
      </c>
      <c r="J245" t="str">
        <f>_xlfn.XLOOKUP(C245,Customer_Dim!A:A,Customer_Dim!B:B,"Not Found")</f>
        <v>Chloe Aguilar</v>
      </c>
      <c r="K245">
        <f>Table511[[#This Row],[Total_Amount]]/(L245*(1-Table511[[#This Row],[Discount]]))</f>
        <v>2</v>
      </c>
      <c r="L245" s="5">
        <v>703.95</v>
      </c>
      <c r="M245">
        <v>0.03</v>
      </c>
      <c r="N245" t="s">
        <v>1349</v>
      </c>
      <c r="O245" s="5">
        <v>1365.663</v>
      </c>
    </row>
    <row r="246" spans="1:15">
      <c r="A246" t="s">
        <v>1595</v>
      </c>
      <c r="B246" s="7">
        <v>45780</v>
      </c>
      <c r="C246" t="s">
        <v>462</v>
      </c>
      <c r="D246" t="s">
        <v>1101</v>
      </c>
      <c r="E246" t="s">
        <v>1277</v>
      </c>
      <c r="F246" t="str">
        <f>[1]Raw_Customer_Dim!$A$2</f>
        <v>CUST1000</v>
      </c>
      <c r="G246" t="str">
        <f>_xlfn.XLOOKUP(E246,Store_Dim!A:A,Store_Dim!B:B,"Not Found")</f>
        <v>Rivera-Warner</v>
      </c>
      <c r="H246" t="str">
        <f>_xlfn.XLOOKUP(D246,Product_Dim!A:A,Product_Dim!C:C,"Not Found")</f>
        <v>Home</v>
      </c>
      <c r="I246" t="str">
        <f>_xlfn.XLOOKUP(E246,Store_Dim!A:A,Store_Dim!C:C,"Not Found")</f>
        <v>East</v>
      </c>
      <c r="J246" t="str">
        <f>_xlfn.XLOOKUP(C246,Customer_Dim!A:A,Customer_Dim!B:B,"Not Found")</f>
        <v>Anna Perez</v>
      </c>
      <c r="K246">
        <f>Table511[[#This Row],[Total_Amount]]/(L246*(1-Table511[[#This Row],[Discount]]))</f>
        <v>4</v>
      </c>
      <c r="L246" s="5">
        <v>452.67</v>
      </c>
      <c r="M246">
        <v>0.28000000000000003</v>
      </c>
      <c r="N246" t="s">
        <v>1351</v>
      </c>
      <c r="O246" s="5">
        <v>1303.6895999999999</v>
      </c>
    </row>
    <row r="247" spans="1:15">
      <c r="A247" t="s">
        <v>1596</v>
      </c>
      <c r="B247" s="7">
        <v>45349</v>
      </c>
      <c r="C247" t="s">
        <v>988</v>
      </c>
      <c r="D247" t="s">
        <v>1087</v>
      </c>
      <c r="E247" t="s">
        <v>1304</v>
      </c>
      <c r="F247" t="str">
        <f>[1]Raw_Customer_Dim!$A$2</f>
        <v>CUST1000</v>
      </c>
      <c r="G247" t="str">
        <f>_xlfn.XLOOKUP(E247,Store_Dim!A:A,Store_Dim!B:B,"Not Found")</f>
        <v>Martinez-Mullins</v>
      </c>
      <c r="H247" t="str">
        <f>_xlfn.XLOOKUP(D247,Product_Dim!A:A,Product_Dim!C:C,"Not Found")</f>
        <v>Electronics</v>
      </c>
      <c r="I247" t="str">
        <f>_xlfn.XLOOKUP(E247,Store_Dim!A:A,Store_Dim!C:C,"Not Found")</f>
        <v>South</v>
      </c>
      <c r="J247" t="str">
        <f>_xlfn.XLOOKUP(C247,Customer_Dim!A:A,Customer_Dim!B:B,"Not Found")</f>
        <v>Samantha Lee</v>
      </c>
      <c r="K247">
        <f>Table511[[#This Row],[Total_Amount]]/(L247*(1-Table511[[#This Row],[Discount]]))</f>
        <v>2</v>
      </c>
      <c r="L247" s="5">
        <v>377.3</v>
      </c>
      <c r="M247">
        <v>0.15</v>
      </c>
      <c r="N247" t="s">
        <v>1351</v>
      </c>
      <c r="O247" s="5">
        <v>641.41</v>
      </c>
    </row>
    <row r="248" spans="1:15">
      <c r="A248" t="s">
        <v>1597</v>
      </c>
      <c r="B248" s="7">
        <v>45846</v>
      </c>
      <c r="C248" t="s">
        <v>752</v>
      </c>
      <c r="D248" t="s">
        <v>1221</v>
      </c>
      <c r="E248" t="s">
        <v>1304</v>
      </c>
      <c r="F248" t="str">
        <f>[1]Raw_Customer_Dim!$A$2</f>
        <v>CUST1000</v>
      </c>
      <c r="G248" t="str">
        <f>_xlfn.XLOOKUP(E248,Store_Dim!A:A,Store_Dim!B:B,"Not Found")</f>
        <v>Martinez-Mullins</v>
      </c>
      <c r="H248" t="str">
        <f>_xlfn.XLOOKUP(D248,Product_Dim!A:A,Product_Dim!C:C,"Not Found")</f>
        <v>Electronics</v>
      </c>
      <c r="I248" t="str">
        <f>_xlfn.XLOOKUP(E248,Store_Dim!A:A,Store_Dim!C:C,"Not Found")</f>
        <v>South</v>
      </c>
      <c r="J248" t="str">
        <f>_xlfn.XLOOKUP(C248,Customer_Dim!A:A,Customer_Dim!B:B,"Not Found")</f>
        <v>Evelyn Brown</v>
      </c>
      <c r="K248">
        <f>Table511[[#This Row],[Total_Amount]]/(L248*(1-Table511[[#This Row],[Discount]]))</f>
        <v>2</v>
      </c>
      <c r="L248" s="5">
        <v>130.47999999999999</v>
      </c>
      <c r="M248">
        <v>0.23</v>
      </c>
      <c r="N248" t="s">
        <v>1351</v>
      </c>
      <c r="O248" s="5">
        <v>200.9392</v>
      </c>
    </row>
    <row r="249" spans="1:15">
      <c r="A249" t="s">
        <v>1598</v>
      </c>
      <c r="B249" s="7">
        <v>45729</v>
      </c>
      <c r="C249" t="s">
        <v>933</v>
      </c>
      <c r="D249" t="s">
        <v>1261</v>
      </c>
      <c r="E249" t="s">
        <v>1319</v>
      </c>
      <c r="F249" t="str">
        <f>[1]Raw_Customer_Dim!$A$2</f>
        <v>CUST1000</v>
      </c>
      <c r="G249" t="str">
        <f>_xlfn.XLOOKUP(E249,Store_Dim!A:A,Store_Dim!B:B,"Not Found")</f>
        <v>Thomas, Bridges and Harris</v>
      </c>
      <c r="H249" t="str">
        <f>_xlfn.XLOOKUP(D249,Product_Dim!A:A,Product_Dim!C:C,"Not Found")</f>
        <v>Beauty</v>
      </c>
      <c r="I249" t="str">
        <f>_xlfn.XLOOKUP(E249,Store_Dim!A:A,Store_Dim!C:C,"Not Found")</f>
        <v>North</v>
      </c>
      <c r="J249" t="str">
        <f>_xlfn.XLOOKUP(C249,Customer_Dim!A:A,Customer_Dim!B:B,"Not Found")</f>
        <v>Lindsay Beasley</v>
      </c>
      <c r="K249">
        <f>Table511[[#This Row],[Total_Amount]]/(L249*(1-Table511[[#This Row],[Discount]]))</f>
        <v>1</v>
      </c>
      <c r="L249" s="5">
        <v>809.45</v>
      </c>
      <c r="M249">
        <v>0.09</v>
      </c>
      <c r="N249" t="s">
        <v>1354</v>
      </c>
      <c r="O249" s="5">
        <v>736.59950000000003</v>
      </c>
    </row>
    <row r="250" spans="1:15">
      <c r="A250" t="s">
        <v>1599</v>
      </c>
      <c r="B250" s="7">
        <v>45768</v>
      </c>
      <c r="C250" t="s">
        <v>220</v>
      </c>
      <c r="D250" t="s">
        <v>1163</v>
      </c>
      <c r="E250" t="s">
        <v>1311</v>
      </c>
      <c r="F250" t="str">
        <f>[1]Raw_Customer_Dim!$A$2</f>
        <v>CUST1000</v>
      </c>
      <c r="G250" t="str">
        <f>_xlfn.XLOOKUP(E250,Store_Dim!A:A,Store_Dim!B:B,"Not Found")</f>
        <v>Moore, Padilla and Butler</v>
      </c>
      <c r="H250" t="str">
        <f>_xlfn.XLOOKUP(D250,Product_Dim!A:A,Product_Dim!C:C,"Not Found")</f>
        <v>Sports</v>
      </c>
      <c r="I250" t="str">
        <f>_xlfn.XLOOKUP(E250,Store_Dim!A:A,Store_Dim!C:C,"Not Found")</f>
        <v>South</v>
      </c>
      <c r="J250" t="str">
        <f>_xlfn.XLOOKUP(C250,Customer_Dim!A:A,Customer_Dim!B:B,"Not Found")</f>
        <v>Thomas Robinson</v>
      </c>
      <c r="K250">
        <f>Table511[[#This Row],[Total_Amount]]/(L250*(1-Table511[[#This Row],[Discount]]))</f>
        <v>3</v>
      </c>
      <c r="L250" s="5">
        <v>499.12</v>
      </c>
      <c r="M250">
        <v>0.05</v>
      </c>
      <c r="N250" t="s">
        <v>1351</v>
      </c>
      <c r="O250" s="5">
        <v>1422.492</v>
      </c>
    </row>
    <row r="251" spans="1:15">
      <c r="A251" t="s">
        <v>1600</v>
      </c>
      <c r="B251" s="7">
        <v>45606</v>
      </c>
      <c r="C251" t="s">
        <v>77</v>
      </c>
      <c r="D251" t="s">
        <v>1209</v>
      </c>
      <c r="E251" t="s">
        <v>1291</v>
      </c>
      <c r="F251" t="str">
        <f>[1]Raw_Customer_Dim!$A$2</f>
        <v>CUST1000</v>
      </c>
      <c r="G251" t="str">
        <f>_xlfn.XLOOKUP(E251,Store_Dim!A:A,Store_Dim!B:B,"Not Found")</f>
        <v>Johnson-Wright</v>
      </c>
      <c r="H251" t="str">
        <f>_xlfn.XLOOKUP(D251,Product_Dim!A:A,Product_Dim!C:C,"Not Found")</f>
        <v>Home</v>
      </c>
      <c r="I251" t="str">
        <f>_xlfn.XLOOKUP(E251,Store_Dim!A:A,Store_Dim!C:C,"Not Found")</f>
        <v>North</v>
      </c>
      <c r="J251" t="str">
        <f>_xlfn.XLOOKUP(C251,Customer_Dim!A:A,Customer_Dim!B:B,"Not Found")</f>
        <v>Jonathan Steele</v>
      </c>
      <c r="K251">
        <f>Table511[[#This Row],[Total_Amount]]/(L251*(1-Table511[[#This Row],[Discount]]))</f>
        <v>1.9999999999999996</v>
      </c>
      <c r="L251" s="5">
        <v>894.58</v>
      </c>
      <c r="M251">
        <v>0.25</v>
      </c>
      <c r="N251" t="s">
        <v>1349</v>
      </c>
      <c r="O251" s="5">
        <v>1341.87</v>
      </c>
    </row>
    <row r="252" spans="1:15">
      <c r="A252" t="s">
        <v>1601</v>
      </c>
      <c r="B252" s="7">
        <v>45513</v>
      </c>
      <c r="C252" t="s">
        <v>323</v>
      </c>
      <c r="D252" t="s">
        <v>1223</v>
      </c>
      <c r="E252" t="s">
        <v>1311</v>
      </c>
      <c r="F252" t="str">
        <f>[1]Raw_Customer_Dim!$A$2</f>
        <v>CUST1000</v>
      </c>
      <c r="G252" t="str">
        <f>_xlfn.XLOOKUP(E252,Store_Dim!A:A,Store_Dim!B:B,"Not Found")</f>
        <v>Moore, Padilla and Butler</v>
      </c>
      <c r="H252" t="str">
        <f>_xlfn.XLOOKUP(D252,Product_Dim!A:A,Product_Dim!C:C,"Not Found")</f>
        <v>Clothing</v>
      </c>
      <c r="I252" t="str">
        <f>_xlfn.XLOOKUP(E252,Store_Dim!A:A,Store_Dim!C:C,"Not Found")</f>
        <v>South</v>
      </c>
      <c r="J252" t="str">
        <f>_xlfn.XLOOKUP(C252,Customer_Dim!A:A,Customer_Dim!B:B,"Not Found")</f>
        <v>Joseph Richards</v>
      </c>
      <c r="K252">
        <f>Table511[[#This Row],[Total_Amount]]/(L252*(1-Table511[[#This Row],[Discount]]))</f>
        <v>4</v>
      </c>
      <c r="L252" s="5">
        <v>578.39</v>
      </c>
      <c r="M252">
        <v>0.01</v>
      </c>
      <c r="N252" t="s">
        <v>1349</v>
      </c>
      <c r="O252" s="5">
        <v>2290.4243999999999</v>
      </c>
    </row>
    <row r="253" spans="1:15">
      <c r="A253" t="s">
        <v>1602</v>
      </c>
      <c r="B253" s="7">
        <v>45356</v>
      </c>
      <c r="C253" t="s">
        <v>1031</v>
      </c>
      <c r="D253" t="s">
        <v>1155</v>
      </c>
      <c r="E253" t="s">
        <v>1332</v>
      </c>
      <c r="F253" t="str">
        <f>[1]Raw_Customer_Dim!$A$2</f>
        <v>CUST1000</v>
      </c>
      <c r="G253" t="str">
        <f>_xlfn.XLOOKUP(E253,Store_Dim!A:A,Store_Dim!B:B,"Not Found")</f>
        <v>Holloway Ltd</v>
      </c>
      <c r="H253" t="str">
        <f>_xlfn.XLOOKUP(D253,Product_Dim!A:A,Product_Dim!C:C,"Not Found")</f>
        <v>Sports</v>
      </c>
      <c r="I253" t="str">
        <f>_xlfn.XLOOKUP(E253,Store_Dim!A:A,Store_Dim!C:C,"Not Found")</f>
        <v>North</v>
      </c>
      <c r="J253" t="str">
        <f>_xlfn.XLOOKUP(C253,Customer_Dim!A:A,Customer_Dim!B:B,"Not Found")</f>
        <v>Sara Ingram</v>
      </c>
      <c r="K253">
        <f>Table511[[#This Row],[Total_Amount]]/(L253*(1-Table511[[#This Row],[Discount]]))</f>
        <v>4</v>
      </c>
      <c r="L253" s="5">
        <v>982.45</v>
      </c>
      <c r="M253">
        <v>0.2</v>
      </c>
      <c r="N253" t="s">
        <v>1351</v>
      </c>
      <c r="O253" s="5">
        <v>3143.84</v>
      </c>
    </row>
    <row r="254" spans="1:15">
      <c r="A254" t="s">
        <v>1603</v>
      </c>
      <c r="B254" s="7">
        <v>45925</v>
      </c>
      <c r="C254" t="s">
        <v>961</v>
      </c>
      <c r="D254" t="s">
        <v>1269</v>
      </c>
      <c r="E254" t="s">
        <v>1338</v>
      </c>
      <c r="F254" t="str">
        <f>[1]Raw_Customer_Dim!$A$2</f>
        <v>CUST1000</v>
      </c>
      <c r="G254" t="str">
        <f>_xlfn.XLOOKUP(E254,Store_Dim!A:A,Store_Dim!B:B,"Not Found")</f>
        <v>Mann-Austin</v>
      </c>
      <c r="H254" t="str">
        <f>_xlfn.XLOOKUP(D254,Product_Dim!A:A,Product_Dim!C:C,"Not Found")</f>
        <v>Electronics</v>
      </c>
      <c r="I254" t="str">
        <f>_xlfn.XLOOKUP(E254,Store_Dim!A:A,Store_Dim!C:C,"Not Found")</f>
        <v>East</v>
      </c>
      <c r="J254" t="str">
        <f>_xlfn.XLOOKUP(C254,Customer_Dim!A:A,Customer_Dim!B:B,"Not Found")</f>
        <v>William Cortez</v>
      </c>
      <c r="K254">
        <f>Table511[[#This Row],[Total_Amount]]/(L254*(1-Table511[[#This Row],[Discount]]))</f>
        <v>1</v>
      </c>
      <c r="L254" s="5">
        <v>549.52</v>
      </c>
      <c r="M254">
        <v>0.1</v>
      </c>
      <c r="N254" t="s">
        <v>1351</v>
      </c>
      <c r="O254" s="5">
        <v>494.56799999999998</v>
      </c>
    </row>
    <row r="255" spans="1:15">
      <c r="A255" t="s">
        <v>1604</v>
      </c>
      <c r="B255" s="7">
        <v>45876</v>
      </c>
      <c r="C255" t="s">
        <v>543</v>
      </c>
      <c r="D255" t="s">
        <v>1257</v>
      </c>
      <c r="E255" t="s">
        <v>1335</v>
      </c>
      <c r="F255" t="str">
        <f>[1]Raw_Customer_Dim!$A$2</f>
        <v>CUST1000</v>
      </c>
      <c r="G255" t="str">
        <f>_xlfn.XLOOKUP(E255,Store_Dim!A:A,Store_Dim!B:B,"Not Found")</f>
        <v>Guerrero-Schmitt</v>
      </c>
      <c r="H255" t="str">
        <f>_xlfn.XLOOKUP(D255,Product_Dim!A:A,Product_Dim!C:C,"Not Found")</f>
        <v>Home</v>
      </c>
      <c r="I255" t="str">
        <f>_xlfn.XLOOKUP(E255,Store_Dim!A:A,Store_Dim!C:C,"Not Found")</f>
        <v>East</v>
      </c>
      <c r="J255" t="str">
        <f>_xlfn.XLOOKUP(C255,Customer_Dim!A:A,Customer_Dim!B:B,"Not Found")</f>
        <v>William Hull</v>
      </c>
      <c r="K255">
        <f>Table511[[#This Row],[Total_Amount]]/(L255*(1-Table511[[#This Row],[Discount]]))</f>
        <v>2.0000000000000004</v>
      </c>
      <c r="L255" s="5">
        <v>239.92</v>
      </c>
      <c r="M255">
        <v>0.16</v>
      </c>
      <c r="N255" t="s">
        <v>1349</v>
      </c>
      <c r="O255" s="5">
        <v>403.06560000000002</v>
      </c>
    </row>
    <row r="256" spans="1:15">
      <c r="A256" t="s">
        <v>1605</v>
      </c>
      <c r="B256" s="7">
        <v>45338</v>
      </c>
      <c r="C256" t="s">
        <v>218</v>
      </c>
      <c r="D256" t="s">
        <v>1257</v>
      </c>
      <c r="E256" t="s">
        <v>1301</v>
      </c>
      <c r="F256" t="str">
        <f>[1]Raw_Customer_Dim!$A$2</f>
        <v>CUST1000</v>
      </c>
      <c r="G256" t="str">
        <f>_xlfn.XLOOKUP(E256,Store_Dim!A:A,Store_Dim!B:B,"Not Found")</f>
        <v>Benson-Elliott</v>
      </c>
      <c r="H256" t="str">
        <f>_xlfn.XLOOKUP(D256,Product_Dim!A:A,Product_Dim!C:C,"Not Found")</f>
        <v>Home</v>
      </c>
      <c r="I256" t="str">
        <f>_xlfn.XLOOKUP(E256,Store_Dim!A:A,Store_Dim!C:C,"Not Found")</f>
        <v>East</v>
      </c>
      <c r="J256" t="str">
        <f>_xlfn.XLOOKUP(C256,Customer_Dim!A:A,Customer_Dim!B:B,"Not Found")</f>
        <v>George Rosario</v>
      </c>
      <c r="K256">
        <f>Table511[[#This Row],[Total_Amount]]/(L256*(1-Table511[[#This Row],[Discount]]))</f>
        <v>2.0000000000000004</v>
      </c>
      <c r="L256" s="5">
        <v>878.05</v>
      </c>
      <c r="M256">
        <v>0.11</v>
      </c>
      <c r="N256" t="s">
        <v>1351</v>
      </c>
      <c r="O256" s="5">
        <v>1562.9290000000001</v>
      </c>
    </row>
    <row r="257" spans="1:15">
      <c r="A257" t="s">
        <v>1606</v>
      </c>
      <c r="B257" s="7">
        <v>45746</v>
      </c>
      <c r="C257" t="s">
        <v>129</v>
      </c>
      <c r="D257" t="s">
        <v>1071</v>
      </c>
      <c r="E257" t="s">
        <v>1311</v>
      </c>
      <c r="F257" t="str">
        <f>[1]Raw_Customer_Dim!$A$2</f>
        <v>CUST1000</v>
      </c>
      <c r="G257" t="str">
        <f>_xlfn.XLOOKUP(E257,Store_Dim!A:A,Store_Dim!B:B,"Not Found")</f>
        <v>Moore, Padilla and Butler</v>
      </c>
      <c r="H257" t="str">
        <f>_xlfn.XLOOKUP(D257,Product_Dim!A:A,Product_Dim!C:C,"Not Found")</f>
        <v>Clothing</v>
      </c>
      <c r="I257" t="str">
        <f>_xlfn.XLOOKUP(E257,Store_Dim!A:A,Store_Dim!C:C,"Not Found")</f>
        <v>South</v>
      </c>
      <c r="J257" t="str">
        <f>_xlfn.XLOOKUP(C257,Customer_Dim!A:A,Customer_Dim!B:B,"Not Found")</f>
        <v>Denise Williams</v>
      </c>
      <c r="K257">
        <f>Table511[[#This Row],[Total_Amount]]/(L257*(1-Table511[[#This Row],[Discount]]))</f>
        <v>3</v>
      </c>
      <c r="L257" s="5">
        <v>546.96</v>
      </c>
      <c r="M257">
        <v>0.19</v>
      </c>
      <c r="N257" t="s">
        <v>1349</v>
      </c>
      <c r="O257" s="5">
        <v>1329.1128000000001</v>
      </c>
    </row>
    <row r="258" spans="1:15">
      <c r="A258" t="s">
        <v>1607</v>
      </c>
      <c r="B258" s="7">
        <v>45706</v>
      </c>
      <c r="C258" t="s">
        <v>1004</v>
      </c>
      <c r="D258" t="s">
        <v>1107</v>
      </c>
      <c r="E258" t="s">
        <v>1314</v>
      </c>
      <c r="F258" t="str">
        <f>[1]Raw_Customer_Dim!$A$2</f>
        <v>CUST1000</v>
      </c>
      <c r="G258" t="str">
        <f>_xlfn.XLOOKUP(E258,Store_Dim!A:A,Store_Dim!B:B,"Not Found")</f>
        <v>Hill, Wagner and Ballard</v>
      </c>
      <c r="H258" t="str">
        <f>_xlfn.XLOOKUP(D258,Product_Dim!A:A,Product_Dim!C:C,"Not Found")</f>
        <v>Sports</v>
      </c>
      <c r="I258" t="str">
        <f>_xlfn.XLOOKUP(E258,Store_Dim!A:A,Store_Dim!C:C,"Not Found")</f>
        <v>East</v>
      </c>
      <c r="J258" t="str">
        <f>_xlfn.XLOOKUP(C258,Customer_Dim!A:A,Customer_Dim!B:B,"Not Found")</f>
        <v>Debra Mccullough</v>
      </c>
      <c r="K258">
        <f>Table511[[#This Row],[Total_Amount]]/(L258*(1-Table511[[#This Row],[Discount]]))</f>
        <v>2.0000000000000004</v>
      </c>
      <c r="L258" s="5">
        <v>71.77</v>
      </c>
      <c r="M258">
        <v>0.22</v>
      </c>
      <c r="N258" t="s">
        <v>1349</v>
      </c>
      <c r="O258" s="5">
        <v>111.96120000000001</v>
      </c>
    </row>
    <row r="259" spans="1:15">
      <c r="A259" t="s">
        <v>1608</v>
      </c>
      <c r="B259" s="7">
        <v>45717</v>
      </c>
      <c r="C259" t="s">
        <v>50</v>
      </c>
      <c r="D259" t="s">
        <v>1121</v>
      </c>
      <c r="E259" t="s">
        <v>1282</v>
      </c>
      <c r="F259" t="str">
        <f>[1]Raw_Customer_Dim!$A$2</f>
        <v>CUST1000</v>
      </c>
      <c r="G259" t="str">
        <f>_xlfn.XLOOKUP(E259,Store_Dim!A:A,Store_Dim!B:B,"Not Found")</f>
        <v>Martinez, Adkins and Johnson</v>
      </c>
      <c r="H259" t="str">
        <f>_xlfn.XLOOKUP(D259,Product_Dim!A:A,Product_Dim!C:C,"Not Found")</f>
        <v>Sports</v>
      </c>
      <c r="I259" t="str">
        <f>_xlfn.XLOOKUP(E259,Store_Dim!A:A,Store_Dim!C:C,"Not Found")</f>
        <v>North</v>
      </c>
      <c r="J259" t="str">
        <f>_xlfn.XLOOKUP(C259,Customer_Dim!A:A,Customer_Dim!B:B,"Not Found")</f>
        <v>Nathan Hernandez</v>
      </c>
      <c r="K259">
        <f>Table511[[#This Row],[Total_Amount]]/(L259*(1-Table511[[#This Row],[Discount]]))</f>
        <v>2</v>
      </c>
      <c r="L259" s="5">
        <v>679.86</v>
      </c>
      <c r="M259">
        <v>0.22</v>
      </c>
      <c r="N259" t="s">
        <v>1354</v>
      </c>
      <c r="O259" s="5">
        <v>1060.5816</v>
      </c>
    </row>
    <row r="260" spans="1:15">
      <c r="A260" t="s">
        <v>1609</v>
      </c>
      <c r="B260" s="7">
        <v>45300</v>
      </c>
      <c r="C260" t="s">
        <v>333</v>
      </c>
      <c r="D260" t="s">
        <v>1143</v>
      </c>
      <c r="E260" t="s">
        <v>1332</v>
      </c>
      <c r="F260" t="str">
        <f>[1]Raw_Customer_Dim!$A$2</f>
        <v>CUST1000</v>
      </c>
      <c r="G260" t="str">
        <f>_xlfn.XLOOKUP(E260,Store_Dim!A:A,Store_Dim!B:B,"Not Found")</f>
        <v>Holloway Ltd</v>
      </c>
      <c r="H260" t="str">
        <f>_xlfn.XLOOKUP(D260,Product_Dim!A:A,Product_Dim!C:C,"Not Found")</f>
        <v>Home</v>
      </c>
      <c r="I260" t="str">
        <f>_xlfn.XLOOKUP(E260,Store_Dim!A:A,Store_Dim!C:C,"Not Found")</f>
        <v>North</v>
      </c>
      <c r="J260" t="str">
        <f>_xlfn.XLOOKUP(C260,Customer_Dim!A:A,Customer_Dim!B:B,"Not Found")</f>
        <v>Patrick Coleman</v>
      </c>
      <c r="K260">
        <f>Table511[[#This Row],[Total_Amount]]/(L260*(1-Table511[[#This Row],[Discount]]))</f>
        <v>1</v>
      </c>
      <c r="L260" s="5">
        <v>222.94</v>
      </c>
      <c r="M260">
        <v>0.19</v>
      </c>
      <c r="N260" t="s">
        <v>1349</v>
      </c>
      <c r="O260" s="5">
        <v>180.5814</v>
      </c>
    </row>
    <row r="261" spans="1:15">
      <c r="A261" t="s">
        <v>1610</v>
      </c>
      <c r="B261" s="7">
        <v>45773</v>
      </c>
      <c r="C261" t="s">
        <v>559</v>
      </c>
      <c r="D261" t="s">
        <v>1143</v>
      </c>
      <c r="E261" t="s">
        <v>1286</v>
      </c>
      <c r="F261" t="str">
        <f>[1]Raw_Customer_Dim!$A$2</f>
        <v>CUST1000</v>
      </c>
      <c r="G261" t="str">
        <f>_xlfn.XLOOKUP(E261,Store_Dim!A:A,Store_Dim!B:B,"Not Found")</f>
        <v>Black-Horn</v>
      </c>
      <c r="H261" t="str">
        <f>_xlfn.XLOOKUP(D261,Product_Dim!A:A,Product_Dim!C:C,"Not Found")</f>
        <v>Home</v>
      </c>
      <c r="I261" t="str">
        <f>_xlfn.XLOOKUP(E261,Store_Dim!A:A,Store_Dim!C:C,"Not Found")</f>
        <v>South</v>
      </c>
      <c r="J261" t="str">
        <f>_xlfn.XLOOKUP(C261,Customer_Dim!A:A,Customer_Dim!B:B,"Not Found")</f>
        <v>Nicholas Webb</v>
      </c>
      <c r="K261" t="s">
        <v>3492</v>
      </c>
      <c r="L261" s="5">
        <v>355.3</v>
      </c>
      <c r="M261" t="s">
        <v>3491</v>
      </c>
      <c r="N261" t="s">
        <v>1351</v>
      </c>
      <c r="O261" s="5">
        <v>589.798</v>
      </c>
    </row>
    <row r="262" spans="1:15">
      <c r="A262" t="s">
        <v>1611</v>
      </c>
      <c r="B262" s="7">
        <v>45497</v>
      </c>
      <c r="C262" t="s">
        <v>265</v>
      </c>
      <c r="D262" t="s">
        <v>1251</v>
      </c>
      <c r="E262" t="s">
        <v>1338</v>
      </c>
      <c r="F262" t="str">
        <f>[1]Raw_Customer_Dim!$A$2</f>
        <v>CUST1000</v>
      </c>
      <c r="G262" t="str">
        <f>_xlfn.XLOOKUP(E262,Store_Dim!A:A,Store_Dim!B:B,"Not Found")</f>
        <v>Mann-Austin</v>
      </c>
      <c r="H262" t="str">
        <f>_xlfn.XLOOKUP(D262,Product_Dim!A:A,Product_Dim!C:C,"Not Found")</f>
        <v>Beauty</v>
      </c>
      <c r="I262" t="str">
        <f>_xlfn.XLOOKUP(E262,Store_Dim!A:A,Store_Dim!C:C,"Not Found")</f>
        <v>East</v>
      </c>
      <c r="J262" t="str">
        <f>_xlfn.XLOOKUP(C262,Customer_Dim!A:A,Customer_Dim!B:B,"Not Found")</f>
        <v>Steven Stein</v>
      </c>
      <c r="K262">
        <f>Table511[[#This Row],[Total_Amount]]/(L262*(1-Table511[[#This Row],[Discount]]))</f>
        <v>4</v>
      </c>
      <c r="L262" s="5">
        <v>611.29999999999995</v>
      </c>
      <c r="M262">
        <v>0.11</v>
      </c>
      <c r="N262" t="s">
        <v>1351</v>
      </c>
      <c r="O262" s="5">
        <v>2176.2280000000001</v>
      </c>
    </row>
    <row r="263" spans="1:15">
      <c r="A263" t="s">
        <v>1612</v>
      </c>
      <c r="B263" s="7">
        <v>45742</v>
      </c>
      <c r="C263" t="s">
        <v>730</v>
      </c>
      <c r="D263" t="s">
        <v>1068</v>
      </c>
      <c r="E263" t="s">
        <v>1307</v>
      </c>
      <c r="F263" t="str">
        <f>[1]Raw_Customer_Dim!$A$2</f>
        <v>CUST1000</v>
      </c>
      <c r="G263" t="str">
        <f>_xlfn.XLOOKUP(E263,Store_Dim!A:A,Store_Dim!B:B,"Not Found")</f>
        <v>Bean, Jones and Park</v>
      </c>
      <c r="H263" t="str">
        <f>_xlfn.XLOOKUP(D263,Product_Dim!A:A,Product_Dim!C:C,"Not Found")</f>
        <v>Electronics</v>
      </c>
      <c r="I263" t="str">
        <f>_xlfn.XLOOKUP(E263,Store_Dim!A:A,Store_Dim!C:C,"Not Found")</f>
        <v>West</v>
      </c>
      <c r="J263" t="str">
        <f>_xlfn.XLOOKUP(C263,Customer_Dim!A:A,Customer_Dim!B:B,"Not Found")</f>
        <v>Teresa Johnson</v>
      </c>
      <c r="K263">
        <f>Table511[[#This Row],[Total_Amount]]/(L263*(1-Table511[[#This Row],[Discount]]))</f>
        <v>4</v>
      </c>
      <c r="L263" s="5">
        <v>849.21</v>
      </c>
      <c r="M263">
        <v>7.0000000000000007E-2</v>
      </c>
      <c r="N263" t="s">
        <v>1349</v>
      </c>
      <c r="O263" s="5">
        <v>3159.0612000000001</v>
      </c>
    </row>
    <row r="264" spans="1:15">
      <c r="A264" t="s">
        <v>1613</v>
      </c>
      <c r="B264" s="7">
        <v>45713</v>
      </c>
      <c r="C264" t="s">
        <v>480</v>
      </c>
      <c r="D264" t="s">
        <v>1157</v>
      </c>
      <c r="E264" t="s">
        <v>1304</v>
      </c>
      <c r="F264" t="str">
        <f>[1]Raw_Customer_Dim!$A$2</f>
        <v>CUST1000</v>
      </c>
      <c r="G264" t="str">
        <f>_xlfn.XLOOKUP(E264,Store_Dim!A:A,Store_Dim!B:B,"Not Found")</f>
        <v>Martinez-Mullins</v>
      </c>
      <c r="H264" t="str">
        <f>_xlfn.XLOOKUP(D264,Product_Dim!A:A,Product_Dim!C:C,"Not Found")</f>
        <v>Electronics</v>
      </c>
      <c r="I264" t="str">
        <f>_xlfn.XLOOKUP(E264,Store_Dim!A:A,Store_Dim!C:C,"Not Found")</f>
        <v>South</v>
      </c>
      <c r="J264" t="str">
        <f>_xlfn.XLOOKUP(C264,Customer_Dim!A:A,Customer_Dim!B:B,"Not Found")</f>
        <v>Joan Johnson</v>
      </c>
      <c r="K264">
        <f>Table511[[#This Row],[Total_Amount]]/(L264*(1-Table511[[#This Row],[Discount]]))</f>
        <v>3</v>
      </c>
      <c r="L264" s="5">
        <v>553.12</v>
      </c>
      <c r="M264">
        <v>0.28000000000000003</v>
      </c>
      <c r="N264" t="s">
        <v>1354</v>
      </c>
      <c r="O264" s="5">
        <v>1194.7392</v>
      </c>
    </row>
    <row r="265" spans="1:15">
      <c r="A265" t="s">
        <v>1614</v>
      </c>
      <c r="B265" s="7">
        <v>45826</v>
      </c>
      <c r="C265" t="s">
        <v>628</v>
      </c>
      <c r="D265" t="s">
        <v>1255</v>
      </c>
      <c r="E265" t="s">
        <v>1311</v>
      </c>
      <c r="F265" t="str">
        <f>[1]Raw_Customer_Dim!$A$2</f>
        <v>CUST1000</v>
      </c>
      <c r="G265" t="str">
        <f>_xlfn.XLOOKUP(E265,Store_Dim!A:A,Store_Dim!B:B,"Not Found")</f>
        <v>Moore, Padilla and Butler</v>
      </c>
      <c r="H265" t="str">
        <f>_xlfn.XLOOKUP(D265,Product_Dim!A:A,Product_Dim!C:C,"Not Found")</f>
        <v>Clothing</v>
      </c>
      <c r="I265" t="str">
        <f>_xlfn.XLOOKUP(E265,Store_Dim!A:A,Store_Dim!C:C,"Not Found")</f>
        <v>South</v>
      </c>
      <c r="J265" t="str">
        <f>_xlfn.XLOOKUP(C265,Customer_Dim!A:A,Customer_Dim!B:B,"Not Found")</f>
        <v>Kristi Lopez</v>
      </c>
      <c r="K265">
        <f>Table511[[#This Row],[Total_Amount]]/(L265*(1-Table511[[#This Row],[Discount]]))</f>
        <v>2</v>
      </c>
      <c r="L265" s="5">
        <v>903.08</v>
      </c>
      <c r="M265">
        <v>0.18</v>
      </c>
      <c r="N265" t="s">
        <v>1354</v>
      </c>
      <c r="O265" s="5">
        <v>1481.0512000000001</v>
      </c>
    </row>
    <row r="266" spans="1:15">
      <c r="A266" t="s">
        <v>1615</v>
      </c>
      <c r="B266" s="7">
        <v>45648</v>
      </c>
      <c r="C266" t="s">
        <v>1018</v>
      </c>
      <c r="D266" t="s">
        <v>1105</v>
      </c>
      <c r="E266" t="s">
        <v>1317</v>
      </c>
      <c r="F266" t="str">
        <f>[1]Raw_Customer_Dim!$A$2</f>
        <v>CUST1000</v>
      </c>
      <c r="G266" t="str">
        <f>_xlfn.XLOOKUP(E266,Store_Dim!A:A,Store_Dim!B:B,"Not Found")</f>
        <v>Aguirre-Keller</v>
      </c>
      <c r="H266" t="str">
        <f>_xlfn.XLOOKUP(D266,Product_Dim!A:A,Product_Dim!C:C,"Not Found")</f>
        <v>Not Found</v>
      </c>
      <c r="I266" t="str">
        <f>_xlfn.XLOOKUP(E266,Store_Dim!A:A,Store_Dim!C:C,"Not Found")</f>
        <v>South</v>
      </c>
      <c r="J266" t="str">
        <f>_xlfn.XLOOKUP(C266,Customer_Dim!A:A,Customer_Dim!B:B,"Not Found")</f>
        <v>Earl Smith DDS</v>
      </c>
      <c r="K266">
        <f>Table511[[#This Row],[Total_Amount]]/(L266*(1-Table511[[#This Row],[Discount]]))</f>
        <v>4</v>
      </c>
      <c r="L266" s="5">
        <v>640.23</v>
      </c>
      <c r="M266">
        <v>0.06</v>
      </c>
      <c r="N266" t="s">
        <v>1354</v>
      </c>
      <c r="O266" s="5">
        <v>2407.2647999999999</v>
      </c>
    </row>
    <row r="267" spans="1:15">
      <c r="A267" t="s">
        <v>1616</v>
      </c>
      <c r="B267" s="7">
        <v>45836</v>
      </c>
      <c r="C267" t="s">
        <v>343</v>
      </c>
      <c r="D267" t="s">
        <v>1115</v>
      </c>
      <c r="E267" t="s">
        <v>1301</v>
      </c>
      <c r="F267" t="str">
        <f>[1]Raw_Customer_Dim!$A$2</f>
        <v>CUST1000</v>
      </c>
      <c r="G267" t="str">
        <f>_xlfn.XLOOKUP(E267,Store_Dim!A:A,Store_Dim!B:B,"Not Found")</f>
        <v>Benson-Elliott</v>
      </c>
      <c r="H267" t="str">
        <f>_xlfn.XLOOKUP(D267,Product_Dim!A:A,Product_Dim!C:C,"Not Found")</f>
        <v>Home</v>
      </c>
      <c r="I267" t="str">
        <f>_xlfn.XLOOKUP(E267,Store_Dim!A:A,Store_Dim!C:C,"Not Found")</f>
        <v>East</v>
      </c>
      <c r="J267" t="str">
        <f>_xlfn.XLOOKUP(C267,Customer_Dim!A:A,Customer_Dim!B:B,"Not Found")</f>
        <v>Cristian Wright</v>
      </c>
      <c r="K267">
        <f>Table511[[#This Row],[Total_Amount]]/(L267*(1-Table511[[#This Row],[Discount]]))</f>
        <v>1</v>
      </c>
      <c r="L267" s="5">
        <v>518</v>
      </c>
      <c r="M267">
        <v>0.25</v>
      </c>
      <c r="N267" t="s">
        <v>1349</v>
      </c>
      <c r="O267" s="5">
        <v>388.5</v>
      </c>
    </row>
    <row r="268" spans="1:15">
      <c r="A268" t="s">
        <v>1617</v>
      </c>
      <c r="B268" s="7">
        <v>45437</v>
      </c>
      <c r="C268" t="s">
        <v>929</v>
      </c>
      <c r="D268" t="s">
        <v>1201</v>
      </c>
      <c r="E268" t="s">
        <v>1294</v>
      </c>
      <c r="F268" t="str">
        <f>[1]Raw_Customer_Dim!$A$2</f>
        <v>CUST1000</v>
      </c>
      <c r="G268" t="str">
        <f>_xlfn.XLOOKUP(E268,Store_Dim!A:A,Store_Dim!B:B,"Not Found")</f>
        <v>Alexander Group</v>
      </c>
      <c r="H268" t="str">
        <f>_xlfn.XLOOKUP(D268,Product_Dim!A:A,Product_Dim!C:C,"Not Found")</f>
        <v>Beauty</v>
      </c>
      <c r="I268" t="str">
        <f>_xlfn.XLOOKUP(E268,Store_Dim!A:A,Store_Dim!C:C,"Not Found")</f>
        <v>South</v>
      </c>
      <c r="J268" t="str">
        <f>_xlfn.XLOOKUP(C268,Customer_Dim!A:A,Customer_Dim!B:B,"Not Found")</f>
        <v>Thomas Moore</v>
      </c>
      <c r="K268">
        <f>Table511[[#This Row],[Total_Amount]]/(L268*(1-Table511[[#This Row],[Discount]]))</f>
        <v>4</v>
      </c>
      <c r="L268" s="5">
        <v>779.25</v>
      </c>
      <c r="M268">
        <v>0.25</v>
      </c>
      <c r="N268" t="s">
        <v>1349</v>
      </c>
      <c r="O268" s="5">
        <v>2337.75</v>
      </c>
    </row>
    <row r="269" spans="1:15">
      <c r="A269" t="s">
        <v>1618</v>
      </c>
      <c r="B269" s="7">
        <v>45807</v>
      </c>
      <c r="C269" t="s">
        <v>296</v>
      </c>
      <c r="D269" t="s">
        <v>1239</v>
      </c>
      <c r="E269" t="s">
        <v>1304</v>
      </c>
      <c r="F269" t="str">
        <f>[1]Raw_Customer_Dim!$A$2</f>
        <v>CUST1000</v>
      </c>
      <c r="G269" t="str">
        <f>_xlfn.XLOOKUP(E269,Store_Dim!A:A,Store_Dim!B:B,"Not Found")</f>
        <v>Martinez-Mullins</v>
      </c>
      <c r="H269" t="str">
        <f>_xlfn.XLOOKUP(D269,Product_Dim!A:A,Product_Dim!C:C,"Not Found")</f>
        <v>Beauty</v>
      </c>
      <c r="I269" t="str">
        <f>_xlfn.XLOOKUP(E269,Store_Dim!A:A,Store_Dim!C:C,"Not Found")</f>
        <v>South</v>
      </c>
      <c r="J269" t="str">
        <f>_xlfn.XLOOKUP(C269,Customer_Dim!A:A,Customer_Dim!B:B,"Not Found")</f>
        <v>Earl Allen</v>
      </c>
      <c r="K269">
        <f>Table511[[#This Row],[Total_Amount]]/(L269*(1-Table511[[#This Row],[Discount]]))</f>
        <v>2</v>
      </c>
      <c r="L269" s="5">
        <v>467.75</v>
      </c>
      <c r="M269">
        <v>0.26</v>
      </c>
      <c r="N269" t="s">
        <v>1349</v>
      </c>
      <c r="O269" s="5">
        <v>692.27</v>
      </c>
    </row>
    <row r="270" spans="1:15">
      <c r="A270" t="s">
        <v>1619</v>
      </c>
      <c r="B270" s="7">
        <v>45555</v>
      </c>
      <c r="C270" t="s">
        <v>875</v>
      </c>
      <c r="D270" t="s">
        <v>1253</v>
      </c>
      <c r="E270" t="s">
        <v>1335</v>
      </c>
      <c r="F270" t="str">
        <f>[1]Raw_Customer_Dim!$A$2</f>
        <v>CUST1000</v>
      </c>
      <c r="G270" t="str">
        <f>_xlfn.XLOOKUP(E270,Store_Dim!A:A,Store_Dim!B:B,"Not Found")</f>
        <v>Guerrero-Schmitt</v>
      </c>
      <c r="H270" t="str">
        <f>_xlfn.XLOOKUP(D270,Product_Dim!A:A,Product_Dim!C:C,"Not Found")</f>
        <v>Electronics</v>
      </c>
      <c r="I270" t="str">
        <f>_xlfn.XLOOKUP(E270,Store_Dim!A:A,Store_Dim!C:C,"Not Found")</f>
        <v>East</v>
      </c>
      <c r="J270" t="str">
        <f>_xlfn.XLOOKUP(C270,Customer_Dim!A:A,Customer_Dim!B:B,"Not Found")</f>
        <v>David Lozano</v>
      </c>
      <c r="K270" t="s">
        <v>3492</v>
      </c>
      <c r="L270" s="5" t="s">
        <v>3491</v>
      </c>
      <c r="M270">
        <v>0.06</v>
      </c>
      <c r="N270" t="s">
        <v>1349</v>
      </c>
      <c r="O270" s="5">
        <v>315.24779999999998</v>
      </c>
    </row>
    <row r="271" spans="1:15">
      <c r="A271" t="s">
        <v>1620</v>
      </c>
      <c r="B271" s="7">
        <v>45803</v>
      </c>
      <c r="C271" t="s">
        <v>500</v>
      </c>
      <c r="D271" t="s">
        <v>1147</v>
      </c>
      <c r="E271" t="s">
        <v>1277</v>
      </c>
      <c r="F271" t="str">
        <f>[1]Raw_Customer_Dim!$A$2</f>
        <v>CUST1000</v>
      </c>
      <c r="G271" t="str">
        <f>_xlfn.XLOOKUP(E271,Store_Dim!A:A,Store_Dim!B:B,"Not Found")</f>
        <v>Rivera-Warner</v>
      </c>
      <c r="H271" t="str">
        <f>_xlfn.XLOOKUP(D271,Product_Dim!A:A,Product_Dim!C:C,"Not Found")</f>
        <v>Clothing</v>
      </c>
      <c r="I271" t="str">
        <f>_xlfn.XLOOKUP(E271,Store_Dim!A:A,Store_Dim!C:C,"Not Found")</f>
        <v>East</v>
      </c>
      <c r="J271" t="str">
        <f>_xlfn.XLOOKUP(C271,Customer_Dim!A:A,Customer_Dim!B:B,"Not Found")</f>
        <v>Jordan Wells</v>
      </c>
      <c r="K271">
        <f>Table511[[#This Row],[Total_Amount]]/(L271*(1-Table511[[#This Row],[Discount]]))</f>
        <v>4</v>
      </c>
      <c r="L271" s="5">
        <v>747.01</v>
      </c>
      <c r="M271">
        <v>0.13</v>
      </c>
      <c r="N271" t="s">
        <v>1351</v>
      </c>
      <c r="O271" s="5">
        <v>2599.5947999999999</v>
      </c>
    </row>
    <row r="272" spans="1:15">
      <c r="A272" t="s">
        <v>1621</v>
      </c>
      <c r="B272" s="7">
        <v>45735</v>
      </c>
      <c r="C272" t="s">
        <v>261</v>
      </c>
      <c r="D272" t="s">
        <v>1251</v>
      </c>
      <c r="E272" t="s">
        <v>1319</v>
      </c>
      <c r="F272" t="str">
        <f>[1]Raw_Customer_Dim!$A$2</f>
        <v>CUST1000</v>
      </c>
      <c r="G272" t="str">
        <f>_xlfn.XLOOKUP(E272,Store_Dim!A:A,Store_Dim!B:B,"Not Found")</f>
        <v>Thomas, Bridges and Harris</v>
      </c>
      <c r="H272" t="str">
        <f>_xlfn.XLOOKUP(D272,Product_Dim!A:A,Product_Dim!C:C,"Not Found")</f>
        <v>Beauty</v>
      </c>
      <c r="I272" t="str">
        <f>_xlfn.XLOOKUP(E272,Store_Dim!A:A,Store_Dim!C:C,"Not Found")</f>
        <v>North</v>
      </c>
      <c r="J272" t="str">
        <f>_xlfn.XLOOKUP(C272,Customer_Dim!A:A,Customer_Dim!B:B,"Not Found")</f>
        <v>Colleen Maynard</v>
      </c>
      <c r="K272">
        <f>Table511[[#This Row],[Total_Amount]]/(L272*(1-Table511[[#This Row],[Discount]]))</f>
        <v>4.0000000000000009</v>
      </c>
      <c r="L272" s="5">
        <v>461.83</v>
      </c>
      <c r="M272">
        <v>0.28000000000000003</v>
      </c>
      <c r="N272" t="s">
        <v>1351</v>
      </c>
      <c r="O272" s="5">
        <v>1330.0704000000001</v>
      </c>
    </row>
    <row r="273" spans="1:15">
      <c r="A273" t="s">
        <v>1622</v>
      </c>
      <c r="B273" s="7">
        <v>45750</v>
      </c>
      <c r="C273" t="s">
        <v>329</v>
      </c>
      <c r="D273" t="s">
        <v>1213</v>
      </c>
      <c r="E273" t="s">
        <v>1307</v>
      </c>
      <c r="F273" t="str">
        <f>[1]Raw_Customer_Dim!$A$2</f>
        <v>CUST1000</v>
      </c>
      <c r="G273" t="str">
        <f>_xlfn.XLOOKUP(E273,Store_Dim!A:A,Store_Dim!B:B,"Not Found")</f>
        <v>Bean, Jones and Park</v>
      </c>
      <c r="H273" t="str">
        <f>_xlfn.XLOOKUP(D273,Product_Dim!A:A,Product_Dim!C:C,"Not Found")</f>
        <v>Home</v>
      </c>
      <c r="I273" t="str">
        <f>_xlfn.XLOOKUP(E273,Store_Dim!A:A,Store_Dim!C:C,"Not Found")</f>
        <v>West</v>
      </c>
      <c r="J273" t="str">
        <f>_xlfn.XLOOKUP(C273,Customer_Dim!A:A,Customer_Dim!B:B,"Not Found")</f>
        <v>Morgan Bowen</v>
      </c>
      <c r="K273">
        <f>Table511[[#This Row],[Total_Amount]]/(L273*(1-Table511[[#This Row],[Discount]]))</f>
        <v>2</v>
      </c>
      <c r="L273" s="5">
        <v>105.15</v>
      </c>
      <c r="M273">
        <v>0.06</v>
      </c>
      <c r="N273" t="s">
        <v>1349</v>
      </c>
      <c r="O273" s="5">
        <v>197.68199999999999</v>
      </c>
    </row>
    <row r="274" spans="1:15">
      <c r="A274" t="s">
        <v>1623</v>
      </c>
      <c r="B274" s="7">
        <v>45693</v>
      </c>
      <c r="C274" t="s">
        <v>102</v>
      </c>
      <c r="D274" t="s">
        <v>1119</v>
      </c>
      <c r="E274" t="s">
        <v>1291</v>
      </c>
      <c r="F274" t="str">
        <f>[1]Raw_Customer_Dim!$A$2</f>
        <v>CUST1000</v>
      </c>
      <c r="G274" t="str">
        <f>_xlfn.XLOOKUP(E274,Store_Dim!A:A,Store_Dim!B:B,"Not Found")</f>
        <v>Johnson-Wright</v>
      </c>
      <c r="H274" t="str">
        <f>_xlfn.XLOOKUP(D274,Product_Dim!A:A,Product_Dim!C:C,"Not Found")</f>
        <v>Clothing</v>
      </c>
      <c r="I274" t="str">
        <f>_xlfn.XLOOKUP(E274,Store_Dim!A:A,Store_Dim!C:C,"Not Found")</f>
        <v>North</v>
      </c>
      <c r="J274" t="str">
        <f>_xlfn.XLOOKUP(C274,Customer_Dim!A:A,Customer_Dim!B:B,"Not Found")</f>
        <v>Robert Jones DDS</v>
      </c>
      <c r="K274">
        <f>Table511[[#This Row],[Total_Amount]]/(L274*(1-Table511[[#This Row],[Discount]]))</f>
        <v>3</v>
      </c>
      <c r="L274" s="5">
        <v>610.24</v>
      </c>
      <c r="M274">
        <v>0.17</v>
      </c>
      <c r="N274" t="s">
        <v>1354</v>
      </c>
      <c r="O274" s="5">
        <v>1519.4975999999999</v>
      </c>
    </row>
    <row r="275" spans="1:15">
      <c r="A275" t="s">
        <v>1624</v>
      </c>
      <c r="B275" s="7">
        <v>45667</v>
      </c>
      <c r="C275" t="s">
        <v>688</v>
      </c>
      <c r="D275" t="s">
        <v>1221</v>
      </c>
      <c r="E275" t="s">
        <v>1307</v>
      </c>
      <c r="F275" t="str">
        <f>[1]Raw_Customer_Dim!$A$2</f>
        <v>CUST1000</v>
      </c>
      <c r="G275" t="str">
        <f>_xlfn.XLOOKUP(E275,Store_Dim!A:A,Store_Dim!B:B,"Not Found")</f>
        <v>Bean, Jones and Park</v>
      </c>
      <c r="H275" t="str">
        <f>_xlfn.XLOOKUP(D275,Product_Dim!A:A,Product_Dim!C:C,"Not Found")</f>
        <v>Electronics</v>
      </c>
      <c r="I275" t="str">
        <f>_xlfn.XLOOKUP(E275,Store_Dim!A:A,Store_Dim!C:C,"Not Found")</f>
        <v>West</v>
      </c>
      <c r="J275" t="str">
        <f>_xlfn.XLOOKUP(C275,Customer_Dim!A:A,Customer_Dim!B:B,"Not Found")</f>
        <v>Jason Mullins</v>
      </c>
      <c r="K275">
        <f>Table511[[#This Row],[Total_Amount]]/(L275*(1-Table511[[#This Row],[Discount]]))</f>
        <v>1</v>
      </c>
      <c r="L275" s="5">
        <v>872.12</v>
      </c>
      <c r="M275">
        <v>7.0000000000000007E-2</v>
      </c>
      <c r="N275" t="s">
        <v>1351</v>
      </c>
      <c r="O275" s="5">
        <v>811.07159999999999</v>
      </c>
    </row>
    <row r="276" spans="1:15">
      <c r="A276" t="s">
        <v>1625</v>
      </c>
      <c r="B276" s="7">
        <v>45316</v>
      </c>
      <c r="C276" t="s">
        <v>929</v>
      </c>
      <c r="D276" t="s">
        <v>1093</v>
      </c>
      <c r="E276" t="s">
        <v>1282</v>
      </c>
      <c r="F276" t="str">
        <f>[1]Raw_Customer_Dim!$A$2</f>
        <v>CUST1000</v>
      </c>
      <c r="G276" t="str">
        <f>_xlfn.XLOOKUP(E276,Store_Dim!A:A,Store_Dim!B:B,"Not Found")</f>
        <v>Martinez, Adkins and Johnson</v>
      </c>
      <c r="H276" t="str">
        <f>_xlfn.XLOOKUP(D276,Product_Dim!A:A,Product_Dim!C:C,"Not Found")</f>
        <v>Home</v>
      </c>
      <c r="I276" t="str">
        <f>_xlfn.XLOOKUP(E276,Store_Dim!A:A,Store_Dim!C:C,"Not Found")</f>
        <v>North</v>
      </c>
      <c r="J276" t="str">
        <f>_xlfn.XLOOKUP(C276,Customer_Dim!A:A,Customer_Dim!B:B,"Not Found")</f>
        <v>Thomas Moore</v>
      </c>
      <c r="K276">
        <f>Table511[[#This Row],[Total_Amount]]/(L276*(1-Table511[[#This Row],[Discount]]))</f>
        <v>1</v>
      </c>
      <c r="L276" s="5">
        <v>406.79</v>
      </c>
      <c r="M276">
        <v>0.03</v>
      </c>
      <c r="N276" t="s">
        <v>1354</v>
      </c>
      <c r="O276" s="5">
        <v>394.58629999999999</v>
      </c>
    </row>
    <row r="277" spans="1:15">
      <c r="A277" t="s">
        <v>1626</v>
      </c>
      <c r="B277" s="7">
        <v>45932</v>
      </c>
      <c r="C277" t="s">
        <v>807</v>
      </c>
      <c r="D277" t="s">
        <v>1181</v>
      </c>
      <c r="E277" t="s">
        <v>1324</v>
      </c>
      <c r="F277" t="str">
        <f>[1]Raw_Customer_Dim!$A$2</f>
        <v>CUST1000</v>
      </c>
      <c r="G277" t="str">
        <f>_xlfn.XLOOKUP(E277,Store_Dim!A:A,Store_Dim!B:B,"Not Found")</f>
        <v>Mcdonald Inc</v>
      </c>
      <c r="H277" t="str">
        <f>_xlfn.XLOOKUP(D277,Product_Dim!A:A,Product_Dim!C:C,"Not Found")</f>
        <v>Sports</v>
      </c>
      <c r="I277" t="str">
        <f>_xlfn.XLOOKUP(E277,Store_Dim!A:A,Store_Dim!C:C,"Not Found")</f>
        <v>South</v>
      </c>
      <c r="J277" t="str">
        <f>_xlfn.XLOOKUP(C277,Customer_Dim!A:A,Customer_Dim!B:B,"Not Found")</f>
        <v>Jacqueline Anthony</v>
      </c>
      <c r="K277">
        <f>Table511[[#This Row],[Total_Amount]]/(L277*(1-Table511[[#This Row],[Discount]]))</f>
        <v>1</v>
      </c>
      <c r="L277" s="5">
        <v>606.01</v>
      </c>
      <c r="M277">
        <v>0.04</v>
      </c>
      <c r="N277" t="s">
        <v>1351</v>
      </c>
      <c r="O277" s="5">
        <v>581.76959999999997</v>
      </c>
    </row>
    <row r="278" spans="1:15">
      <c r="A278" t="s">
        <v>1627</v>
      </c>
      <c r="B278" s="7">
        <v>45483</v>
      </c>
      <c r="C278" t="s">
        <v>762</v>
      </c>
      <c r="D278" t="s">
        <v>1107</v>
      </c>
      <c r="E278" t="s">
        <v>1298</v>
      </c>
      <c r="F278" t="str">
        <f>[1]Raw_Customer_Dim!$A$2</f>
        <v>CUST1000</v>
      </c>
      <c r="G278" t="str">
        <f>_xlfn.XLOOKUP(E278,Store_Dim!A:A,Store_Dim!B:B,"Not Found")</f>
        <v>Gray Ltd</v>
      </c>
      <c r="H278" t="str">
        <f>_xlfn.XLOOKUP(D278,Product_Dim!A:A,Product_Dim!C:C,"Not Found")</f>
        <v>Sports</v>
      </c>
      <c r="I278" t="str">
        <f>_xlfn.XLOOKUP(E278,Store_Dim!A:A,Store_Dim!C:C,"Not Found")</f>
        <v>North</v>
      </c>
      <c r="J278" t="str">
        <f>_xlfn.XLOOKUP(C278,Customer_Dim!A:A,Customer_Dim!B:B,"Not Found")</f>
        <v>Heather Valenzuela</v>
      </c>
      <c r="K278">
        <f>Table511[[#This Row],[Total_Amount]]/(L278*(1-Table511[[#This Row],[Discount]]))</f>
        <v>4</v>
      </c>
      <c r="L278" s="5">
        <v>322.58</v>
      </c>
      <c r="M278">
        <v>0.06</v>
      </c>
      <c r="N278" t="s">
        <v>1349</v>
      </c>
      <c r="O278" s="5">
        <v>1212.9007999999999</v>
      </c>
    </row>
    <row r="279" spans="1:15">
      <c r="A279" t="s">
        <v>1628</v>
      </c>
      <c r="B279" s="7">
        <v>45661</v>
      </c>
      <c r="C279" t="s">
        <v>1029</v>
      </c>
      <c r="D279" t="s">
        <v>1227</v>
      </c>
      <c r="E279" t="s">
        <v>1335</v>
      </c>
      <c r="F279" t="str">
        <f>[1]Raw_Customer_Dim!$A$2</f>
        <v>CUST1000</v>
      </c>
      <c r="G279" t="str">
        <f>_xlfn.XLOOKUP(E279,Store_Dim!A:A,Store_Dim!B:B,"Not Found")</f>
        <v>Guerrero-Schmitt</v>
      </c>
      <c r="H279" t="str">
        <f>_xlfn.XLOOKUP(D279,Product_Dim!A:A,Product_Dim!C:C,"Not Found")</f>
        <v>Electronics</v>
      </c>
      <c r="I279" t="str">
        <f>_xlfn.XLOOKUP(E279,Store_Dim!A:A,Store_Dim!C:C,"Not Found")</f>
        <v>East</v>
      </c>
      <c r="J279" t="str">
        <f>_xlfn.XLOOKUP(C279,Customer_Dim!A:A,Customer_Dim!B:B,"Not Found")</f>
        <v>Jessica Castro</v>
      </c>
      <c r="K279">
        <f>Table511[[#This Row],[Total_Amount]]/(L279*(1-Table511[[#This Row],[Discount]]))</f>
        <v>4</v>
      </c>
      <c r="L279" s="5">
        <v>463.17</v>
      </c>
      <c r="M279">
        <v>0.06</v>
      </c>
      <c r="N279" t="s">
        <v>1351</v>
      </c>
      <c r="O279" s="5">
        <v>1741.5192</v>
      </c>
    </row>
    <row r="280" spans="1:15">
      <c r="A280" t="s">
        <v>1629</v>
      </c>
      <c r="B280" s="7">
        <v>45798</v>
      </c>
      <c r="C280" t="s">
        <v>696</v>
      </c>
      <c r="D280" t="s">
        <v>1123</v>
      </c>
      <c r="E280" t="s">
        <v>1304</v>
      </c>
      <c r="F280" t="str">
        <f>[1]Raw_Customer_Dim!$A$2</f>
        <v>CUST1000</v>
      </c>
      <c r="G280" t="str">
        <f>_xlfn.XLOOKUP(E280,Store_Dim!A:A,Store_Dim!B:B,"Not Found")</f>
        <v>Martinez-Mullins</v>
      </c>
      <c r="H280" t="str">
        <f>_xlfn.XLOOKUP(D280,Product_Dim!A:A,Product_Dim!C:C,"Not Found")</f>
        <v>Clothing</v>
      </c>
      <c r="I280" t="str">
        <f>_xlfn.XLOOKUP(E280,Store_Dim!A:A,Store_Dim!C:C,"Not Found")</f>
        <v>South</v>
      </c>
      <c r="J280" t="str">
        <f>_xlfn.XLOOKUP(C280,Customer_Dim!A:A,Customer_Dim!B:B,"Not Found")</f>
        <v>Robert House</v>
      </c>
      <c r="K280">
        <f>Table511[[#This Row],[Total_Amount]]/(L280*(1-Table511[[#This Row],[Discount]]))</f>
        <v>4</v>
      </c>
      <c r="L280" s="5">
        <v>285.82</v>
      </c>
      <c r="M280">
        <v>0.18</v>
      </c>
      <c r="N280" t="s">
        <v>1351</v>
      </c>
      <c r="O280" s="5">
        <v>937.4896</v>
      </c>
    </row>
    <row r="281" spans="1:15">
      <c r="A281" t="s">
        <v>1630</v>
      </c>
      <c r="B281" s="7">
        <v>45868</v>
      </c>
      <c r="C281" t="s">
        <v>716</v>
      </c>
      <c r="D281" t="s">
        <v>1147</v>
      </c>
      <c r="E281" t="s">
        <v>1317</v>
      </c>
      <c r="F281" t="str">
        <f>[1]Raw_Customer_Dim!$A$2</f>
        <v>CUST1000</v>
      </c>
      <c r="G281" t="str">
        <f>_xlfn.XLOOKUP(E281,Store_Dim!A:A,Store_Dim!B:B,"Not Found")</f>
        <v>Aguirre-Keller</v>
      </c>
      <c r="H281" t="str">
        <f>_xlfn.XLOOKUP(D281,Product_Dim!A:A,Product_Dim!C:C,"Not Found")</f>
        <v>Clothing</v>
      </c>
      <c r="I281" t="str">
        <f>_xlfn.XLOOKUP(E281,Store_Dim!A:A,Store_Dim!C:C,"Not Found")</f>
        <v>South</v>
      </c>
      <c r="J281" t="str">
        <f>_xlfn.XLOOKUP(C281,Customer_Dim!A:A,Customer_Dim!B:B,"Not Found")</f>
        <v>Robert King</v>
      </c>
      <c r="K281">
        <f>Table511[[#This Row],[Total_Amount]]/(L281*(1-Table511[[#This Row],[Discount]]))</f>
        <v>3</v>
      </c>
      <c r="L281" s="5">
        <v>995.38</v>
      </c>
      <c r="M281">
        <v>0.1</v>
      </c>
      <c r="N281" t="s">
        <v>1351</v>
      </c>
      <c r="O281" s="5">
        <v>2687.5259999999998</v>
      </c>
    </row>
    <row r="282" spans="1:15">
      <c r="A282" t="s">
        <v>1631</v>
      </c>
      <c r="B282" s="7">
        <v>45757</v>
      </c>
      <c r="C282" t="s">
        <v>298</v>
      </c>
      <c r="D282" t="s">
        <v>1197</v>
      </c>
      <c r="E282" t="s">
        <v>1307</v>
      </c>
      <c r="F282" t="str">
        <f>[1]Raw_Customer_Dim!$A$2</f>
        <v>CUST1000</v>
      </c>
      <c r="G282" t="str">
        <f>_xlfn.XLOOKUP(E282,Store_Dim!A:A,Store_Dim!B:B,"Not Found")</f>
        <v>Bean, Jones and Park</v>
      </c>
      <c r="H282" t="str">
        <f>_xlfn.XLOOKUP(D282,Product_Dim!A:A,Product_Dim!C:C,"Not Found")</f>
        <v>Electronics</v>
      </c>
      <c r="I282" t="str">
        <f>_xlfn.XLOOKUP(E282,Store_Dim!A:A,Store_Dim!C:C,"Not Found")</f>
        <v>West</v>
      </c>
      <c r="J282" t="str">
        <f>_xlfn.XLOOKUP(C282,Customer_Dim!A:A,Customer_Dim!B:B,"Not Found")</f>
        <v>Michael Jones</v>
      </c>
      <c r="K282">
        <f>Table511[[#This Row],[Total_Amount]]/(L282*(1-Table511[[#This Row],[Discount]]))</f>
        <v>1</v>
      </c>
      <c r="L282" s="5">
        <v>329.31</v>
      </c>
      <c r="M282">
        <v>0.09</v>
      </c>
      <c r="N282" t="s">
        <v>1349</v>
      </c>
      <c r="O282" s="5">
        <v>299.6721</v>
      </c>
    </row>
    <row r="283" spans="1:15">
      <c r="A283" t="s">
        <v>1632</v>
      </c>
      <c r="B283" s="7">
        <v>45475</v>
      </c>
      <c r="C283" t="s">
        <v>1041</v>
      </c>
      <c r="D283" t="s">
        <v>1167</v>
      </c>
      <c r="E283" t="s">
        <v>1329</v>
      </c>
      <c r="F283" t="str">
        <f>[1]Raw_Customer_Dim!$A$2</f>
        <v>CUST1000</v>
      </c>
      <c r="G283" t="str">
        <f>_xlfn.XLOOKUP(E283,Store_Dim!A:A,Store_Dim!B:B,"Not Found")</f>
        <v>Frederick-Wright</v>
      </c>
      <c r="H283" t="str">
        <f>_xlfn.XLOOKUP(D283,Product_Dim!A:A,Product_Dim!C:C,"Not Found")</f>
        <v>Beauty</v>
      </c>
      <c r="I283" t="str">
        <f>_xlfn.XLOOKUP(E283,Store_Dim!A:A,Store_Dim!C:C,"Not Found")</f>
        <v>West</v>
      </c>
      <c r="J283" t="str">
        <f>_xlfn.XLOOKUP(C283,Customer_Dim!A:A,Customer_Dim!B:B,"Not Found")</f>
        <v>Scott Harris</v>
      </c>
      <c r="K283">
        <f>Table511[[#This Row],[Total_Amount]]/(L283*(1-Table511[[#This Row],[Discount]]))</f>
        <v>2.9999999999999996</v>
      </c>
      <c r="L283" s="5">
        <v>64.2</v>
      </c>
      <c r="M283">
        <v>0.08</v>
      </c>
      <c r="N283" t="s">
        <v>1354</v>
      </c>
      <c r="O283" s="5">
        <v>177.19200000000001</v>
      </c>
    </row>
    <row r="284" spans="1:15">
      <c r="A284" t="s">
        <v>1633</v>
      </c>
      <c r="B284" s="7">
        <v>45829</v>
      </c>
      <c r="C284" t="s">
        <v>587</v>
      </c>
      <c r="D284" t="s">
        <v>1095</v>
      </c>
      <c r="E284" t="s">
        <v>1322</v>
      </c>
      <c r="F284" t="str">
        <f>[1]Raw_Customer_Dim!$A$2</f>
        <v>CUST1000</v>
      </c>
      <c r="G284" t="str">
        <f>_xlfn.XLOOKUP(E284,Store_Dim!A:A,Store_Dim!B:B,"Not Found")</f>
        <v>Gardner, Humphrey and Contreras</v>
      </c>
      <c r="H284" t="str">
        <f>_xlfn.XLOOKUP(D284,Product_Dim!A:A,Product_Dim!C:C,"Not Found")</f>
        <v>Electronics</v>
      </c>
      <c r="I284" t="str">
        <f>_xlfn.XLOOKUP(E284,Store_Dim!A:A,Store_Dim!C:C,"Not Found")</f>
        <v>East</v>
      </c>
      <c r="J284" t="str">
        <f>_xlfn.XLOOKUP(C284,Customer_Dim!A:A,Customer_Dim!B:B,"Not Found")</f>
        <v>Katherine Cowan</v>
      </c>
      <c r="K284">
        <f>Table511[[#This Row],[Total_Amount]]/(L284*(1-Table511[[#This Row],[Discount]]))</f>
        <v>3</v>
      </c>
      <c r="L284" s="5">
        <v>697.13</v>
      </c>
      <c r="M284">
        <v>0.25</v>
      </c>
      <c r="N284" t="s">
        <v>1354</v>
      </c>
      <c r="O284" s="5">
        <v>1568.5425</v>
      </c>
    </row>
    <row r="285" spans="1:15">
      <c r="A285" t="s">
        <v>1634</v>
      </c>
      <c r="B285" s="7">
        <v>45639</v>
      </c>
      <c r="C285" t="s">
        <v>75</v>
      </c>
      <c r="D285" t="s">
        <v>1090</v>
      </c>
      <c r="E285" t="s">
        <v>1298</v>
      </c>
      <c r="F285" t="str">
        <f>[1]Raw_Customer_Dim!$A$2</f>
        <v>CUST1000</v>
      </c>
      <c r="G285" t="str">
        <f>_xlfn.XLOOKUP(E285,Store_Dim!A:A,Store_Dim!B:B,"Not Found")</f>
        <v>Gray Ltd</v>
      </c>
      <c r="H285" t="str">
        <f>_xlfn.XLOOKUP(D285,Product_Dim!A:A,Product_Dim!C:C,"Not Found")</f>
        <v>Sports</v>
      </c>
      <c r="I285" t="str">
        <f>_xlfn.XLOOKUP(E285,Store_Dim!A:A,Store_Dim!C:C,"Not Found")</f>
        <v>North</v>
      </c>
      <c r="J285" t="str">
        <f>_xlfn.XLOOKUP(C285,Customer_Dim!A:A,Customer_Dim!B:B,"Not Found")</f>
        <v xml:space="preserve">   paul fox</v>
      </c>
      <c r="K285">
        <f>Table511[[#This Row],[Total_Amount]]/(L285*(1-Table511[[#This Row],[Discount]]))</f>
        <v>3</v>
      </c>
      <c r="L285" s="5">
        <v>134.30000000000001</v>
      </c>
      <c r="M285">
        <v>0.14000000000000001</v>
      </c>
      <c r="N285" t="s">
        <v>1349</v>
      </c>
      <c r="O285" s="5">
        <v>346.49400000000003</v>
      </c>
    </row>
    <row r="286" spans="1:15">
      <c r="A286" t="s">
        <v>1635</v>
      </c>
      <c r="B286" s="7">
        <v>45518</v>
      </c>
      <c r="C286" t="s">
        <v>583</v>
      </c>
      <c r="D286" t="s">
        <v>1241</v>
      </c>
      <c r="E286" t="s">
        <v>1322</v>
      </c>
      <c r="F286" t="str">
        <f>[1]Raw_Customer_Dim!$A$2</f>
        <v>CUST1000</v>
      </c>
      <c r="G286" t="str">
        <f>_xlfn.XLOOKUP(E286,Store_Dim!A:A,Store_Dim!B:B,"Not Found")</f>
        <v>Gardner, Humphrey and Contreras</v>
      </c>
      <c r="H286" t="str">
        <f>_xlfn.XLOOKUP(D286,Product_Dim!A:A,Product_Dim!C:C,"Not Found")</f>
        <v>Home</v>
      </c>
      <c r="I286" t="str">
        <f>_xlfn.XLOOKUP(E286,Store_Dim!A:A,Store_Dim!C:C,"Not Found")</f>
        <v>East</v>
      </c>
      <c r="J286" t="str">
        <f>_xlfn.XLOOKUP(C286,Customer_Dim!A:A,Customer_Dim!B:B,"Not Found")</f>
        <v>Russell Lamb</v>
      </c>
      <c r="K286">
        <f>Table511[[#This Row],[Total_Amount]]/(L286*(1-Table511[[#This Row],[Discount]]))</f>
        <v>1.0000000000000002</v>
      </c>
      <c r="L286" s="5">
        <v>520.92999999999995</v>
      </c>
      <c r="M286">
        <v>0.15</v>
      </c>
      <c r="N286" t="s">
        <v>1349</v>
      </c>
      <c r="O286" s="5">
        <v>442.79050000000001</v>
      </c>
    </row>
    <row r="287" spans="1:15">
      <c r="A287" t="s">
        <v>1636</v>
      </c>
      <c r="B287" s="7">
        <v>45721</v>
      </c>
      <c r="C287" t="s">
        <v>513</v>
      </c>
      <c r="D287" t="s">
        <v>1111</v>
      </c>
      <c r="E287" t="s">
        <v>1304</v>
      </c>
      <c r="F287" t="str">
        <f>[1]Raw_Customer_Dim!$A$2</f>
        <v>CUST1000</v>
      </c>
      <c r="G287" t="str">
        <f>_xlfn.XLOOKUP(E287,Store_Dim!A:A,Store_Dim!B:B,"Not Found")</f>
        <v>Martinez-Mullins</v>
      </c>
      <c r="H287" t="str">
        <f>_xlfn.XLOOKUP(D287,Product_Dim!A:A,Product_Dim!C:C,"Not Found")</f>
        <v>Sports</v>
      </c>
      <c r="I287" t="str">
        <f>_xlfn.XLOOKUP(E287,Store_Dim!A:A,Store_Dim!C:C,"Not Found")</f>
        <v>South</v>
      </c>
      <c r="J287" t="str">
        <f>_xlfn.XLOOKUP(C287,Customer_Dim!A:A,Customer_Dim!B:B,"Not Found")</f>
        <v>Elizabeth Stanley</v>
      </c>
      <c r="K287">
        <f>Table511[[#This Row],[Total_Amount]]/(L287*(1-Table511[[#This Row],[Discount]]))</f>
        <v>2</v>
      </c>
      <c r="L287" s="5">
        <v>350.12</v>
      </c>
      <c r="M287">
        <v>0.21</v>
      </c>
      <c r="N287" t="s">
        <v>1354</v>
      </c>
      <c r="O287" s="5">
        <v>553.18960000000004</v>
      </c>
    </row>
    <row r="288" spans="1:15">
      <c r="A288" t="s">
        <v>1637</v>
      </c>
      <c r="B288" s="7">
        <v>45308</v>
      </c>
      <c r="C288" t="s">
        <v>994</v>
      </c>
      <c r="D288" t="s">
        <v>1169</v>
      </c>
      <c r="E288" t="s">
        <v>1338</v>
      </c>
      <c r="F288" t="str">
        <f>[1]Raw_Customer_Dim!$A$2</f>
        <v>CUST1000</v>
      </c>
      <c r="G288" t="str">
        <f>_xlfn.XLOOKUP(E288,Store_Dim!A:A,Store_Dim!B:B,"Not Found")</f>
        <v>Mann-Austin</v>
      </c>
      <c r="H288" t="str">
        <f>_xlfn.XLOOKUP(D288,Product_Dim!A:A,Product_Dim!C:C,"Not Found")</f>
        <v>Electronics</v>
      </c>
      <c r="I288" t="str">
        <f>_xlfn.XLOOKUP(E288,Store_Dim!A:A,Store_Dim!C:C,"Not Found")</f>
        <v>East</v>
      </c>
      <c r="J288" t="str">
        <f>_xlfn.XLOOKUP(C288,Customer_Dim!A:A,Customer_Dim!B:B,"Not Found")</f>
        <v>Cynthia Parrish</v>
      </c>
      <c r="K288">
        <f>Table511[[#This Row],[Total_Amount]]/(L288*(1-Table511[[#This Row],[Discount]]))</f>
        <v>3.0000000000000009</v>
      </c>
      <c r="L288" s="5">
        <v>807.95</v>
      </c>
      <c r="M288">
        <v>0.1</v>
      </c>
      <c r="N288" t="s">
        <v>1351</v>
      </c>
      <c r="O288" s="5">
        <v>2181.4650000000011</v>
      </c>
    </row>
    <row r="289" spans="1:15">
      <c r="A289" t="s">
        <v>1638</v>
      </c>
      <c r="B289" s="7">
        <v>45889</v>
      </c>
      <c r="C289" t="s">
        <v>734</v>
      </c>
      <c r="D289" t="s">
        <v>1149</v>
      </c>
      <c r="E289" t="s">
        <v>1301</v>
      </c>
      <c r="F289" t="str">
        <f>[1]Raw_Customer_Dim!$A$2</f>
        <v>CUST1000</v>
      </c>
      <c r="G289" t="str">
        <f>_xlfn.XLOOKUP(E289,Store_Dim!A:A,Store_Dim!B:B,"Not Found")</f>
        <v>Benson-Elliott</v>
      </c>
      <c r="H289" t="str">
        <f>_xlfn.XLOOKUP(D289,Product_Dim!A:A,Product_Dim!C:C,"Not Found")</f>
        <v>Sports</v>
      </c>
      <c r="I289" t="str">
        <f>_xlfn.XLOOKUP(E289,Store_Dim!A:A,Store_Dim!C:C,"Not Found")</f>
        <v>East</v>
      </c>
      <c r="J289" t="str">
        <f>_xlfn.XLOOKUP(C289,Customer_Dim!A:A,Customer_Dim!B:B,"Not Found")</f>
        <v>Jennifer Woods</v>
      </c>
      <c r="K289">
        <f>Table511[[#This Row],[Total_Amount]]/(L289*(1-Table511[[#This Row],[Discount]]))</f>
        <v>4</v>
      </c>
      <c r="L289" s="5">
        <v>766.03</v>
      </c>
      <c r="M289">
        <v>0.28999999999999998</v>
      </c>
      <c r="N289" t="s">
        <v>1351</v>
      </c>
      <c r="O289" s="5">
        <v>2175.5252</v>
      </c>
    </row>
    <row r="290" spans="1:15">
      <c r="A290" t="s">
        <v>1639</v>
      </c>
      <c r="B290" s="7">
        <v>45386</v>
      </c>
      <c r="C290" t="s">
        <v>426</v>
      </c>
      <c r="D290" t="s">
        <v>1187</v>
      </c>
      <c r="E290" t="s">
        <v>1307</v>
      </c>
      <c r="F290" t="str">
        <f>[1]Raw_Customer_Dim!$A$2</f>
        <v>CUST1000</v>
      </c>
      <c r="G290" t="str">
        <f>_xlfn.XLOOKUP(E290,Store_Dim!A:A,Store_Dim!B:B,"Not Found")</f>
        <v>Bean, Jones and Park</v>
      </c>
      <c r="H290" t="str">
        <f>_xlfn.XLOOKUP(D290,Product_Dim!A:A,Product_Dim!C:C,"Not Found")</f>
        <v>Sports</v>
      </c>
      <c r="I290" t="str">
        <f>_xlfn.XLOOKUP(E290,Store_Dim!A:A,Store_Dim!C:C,"Not Found")</f>
        <v>West</v>
      </c>
      <c r="J290" t="str">
        <f>_xlfn.XLOOKUP(C290,Customer_Dim!A:A,Customer_Dim!B:B,"Not Found")</f>
        <v>Melissa Hamilton</v>
      </c>
      <c r="K290">
        <f>Table511[[#This Row],[Total_Amount]]/(L290*(1-Table511[[#This Row],[Discount]]))</f>
        <v>3</v>
      </c>
      <c r="L290" s="5">
        <v>545.1</v>
      </c>
      <c r="M290">
        <v>0.08</v>
      </c>
      <c r="N290" t="s">
        <v>1354</v>
      </c>
      <c r="O290" s="5">
        <v>1504.4760000000001</v>
      </c>
    </row>
    <row r="291" spans="1:15">
      <c r="A291" t="s">
        <v>1640</v>
      </c>
      <c r="B291" s="7">
        <v>45438</v>
      </c>
      <c r="C291" t="s">
        <v>589</v>
      </c>
      <c r="D291" t="s">
        <v>1203</v>
      </c>
      <c r="E291" t="s">
        <v>1304</v>
      </c>
      <c r="F291" t="str">
        <f>[1]Raw_Customer_Dim!$A$2</f>
        <v>CUST1000</v>
      </c>
      <c r="G291" t="str">
        <f>_xlfn.XLOOKUP(E291,Store_Dim!A:A,Store_Dim!B:B,"Not Found")</f>
        <v>Martinez-Mullins</v>
      </c>
      <c r="H291" t="str">
        <f>_xlfn.XLOOKUP(D291,Product_Dim!A:A,Product_Dim!C:C,"Not Found")</f>
        <v>Sports</v>
      </c>
      <c r="I291" t="str">
        <f>_xlfn.XLOOKUP(E291,Store_Dim!A:A,Store_Dim!C:C,"Not Found")</f>
        <v>South</v>
      </c>
      <c r="J291" t="str">
        <f>_xlfn.XLOOKUP(C291,Customer_Dim!A:A,Customer_Dim!B:B,"Not Found")</f>
        <v>Crystal Davis</v>
      </c>
      <c r="K291">
        <f>Table511[[#This Row],[Total_Amount]]/(L291*(1-Table511[[#This Row],[Discount]]))</f>
        <v>0.99999999999999978</v>
      </c>
      <c r="L291" s="5">
        <v>203.61</v>
      </c>
      <c r="M291">
        <v>0.24</v>
      </c>
      <c r="N291" t="s">
        <v>1354</v>
      </c>
      <c r="O291" s="5">
        <v>154.74359999999999</v>
      </c>
    </row>
    <row r="292" spans="1:15">
      <c r="A292" t="s">
        <v>1641</v>
      </c>
      <c r="B292" s="7">
        <v>45856</v>
      </c>
      <c r="C292" t="s">
        <v>897</v>
      </c>
      <c r="D292" t="s">
        <v>1267</v>
      </c>
      <c r="E292" t="s">
        <v>1326</v>
      </c>
      <c r="F292" t="str">
        <f>[1]Raw_Customer_Dim!$A$2</f>
        <v>CUST1000</v>
      </c>
      <c r="G292" t="str">
        <f>_xlfn.XLOOKUP(E292,Store_Dim!A:A,Store_Dim!B:B,"Not Found")</f>
        <v>Shelton PLC</v>
      </c>
      <c r="H292" t="str">
        <f>_xlfn.XLOOKUP(D292,Product_Dim!A:A,Product_Dim!C:C,"Not Found")</f>
        <v>Sports</v>
      </c>
      <c r="I292" t="str">
        <f>_xlfn.XLOOKUP(E292,Store_Dim!A:A,Store_Dim!C:C,"Not Found")</f>
        <v>North</v>
      </c>
      <c r="J292" t="str">
        <f>_xlfn.XLOOKUP(C292,Customer_Dim!A:A,Customer_Dim!B:B,"Not Found")</f>
        <v>Karen King</v>
      </c>
      <c r="K292">
        <f>Table511[[#This Row],[Total_Amount]]/(L292*(1-Table511[[#This Row],[Discount]]))</f>
        <v>4</v>
      </c>
      <c r="L292" s="5">
        <v>493.8</v>
      </c>
      <c r="M292">
        <v>0.24</v>
      </c>
      <c r="N292" t="s">
        <v>1354</v>
      </c>
      <c r="O292" s="5">
        <v>1501.152</v>
      </c>
    </row>
    <row r="293" spans="1:15">
      <c r="A293" t="s">
        <v>1642</v>
      </c>
      <c r="B293" s="7">
        <v>45485</v>
      </c>
      <c r="C293" t="s">
        <v>61</v>
      </c>
      <c r="D293" t="s">
        <v>1155</v>
      </c>
      <c r="E293" t="s">
        <v>1332</v>
      </c>
      <c r="F293" t="str">
        <f>[1]Raw_Customer_Dim!$A$2</f>
        <v>CUST1000</v>
      </c>
      <c r="G293" t="str">
        <f>_xlfn.XLOOKUP(E293,Store_Dim!A:A,Store_Dim!B:B,"Not Found")</f>
        <v>Holloway Ltd</v>
      </c>
      <c r="H293" t="str">
        <f>_xlfn.XLOOKUP(D293,Product_Dim!A:A,Product_Dim!C:C,"Not Found")</f>
        <v>Sports</v>
      </c>
      <c r="I293" t="str">
        <f>_xlfn.XLOOKUP(E293,Store_Dim!A:A,Store_Dim!C:C,"Not Found")</f>
        <v>North</v>
      </c>
      <c r="J293" t="str">
        <f>_xlfn.XLOOKUP(C293,Customer_Dim!A:A,Customer_Dim!B:B,"Not Found")</f>
        <v>Adam Cruz</v>
      </c>
      <c r="K293">
        <f>Table511[[#This Row],[Total_Amount]]/(L293*(1-Table511[[#This Row],[Discount]]))</f>
        <v>1.0000000000000002</v>
      </c>
      <c r="L293" s="5">
        <v>640.54999999999995</v>
      </c>
      <c r="M293">
        <v>0.25</v>
      </c>
      <c r="N293" t="s">
        <v>1349</v>
      </c>
      <c r="O293" s="5">
        <v>480.41250000000002</v>
      </c>
    </row>
    <row r="294" spans="1:15">
      <c r="A294" t="s">
        <v>1643</v>
      </c>
      <c r="B294" s="7">
        <v>45545</v>
      </c>
      <c r="C294" t="s">
        <v>298</v>
      </c>
      <c r="D294" t="s">
        <v>1221</v>
      </c>
      <c r="E294" t="s">
        <v>1294</v>
      </c>
      <c r="F294" t="str">
        <f>[1]Raw_Customer_Dim!$A$2</f>
        <v>CUST1000</v>
      </c>
      <c r="G294" t="str">
        <f>_xlfn.XLOOKUP(E294,Store_Dim!A:A,Store_Dim!B:B,"Not Found")</f>
        <v>Alexander Group</v>
      </c>
      <c r="H294" t="str">
        <f>_xlfn.XLOOKUP(D294,Product_Dim!A:A,Product_Dim!C:C,"Not Found")</f>
        <v>Electronics</v>
      </c>
      <c r="I294" t="str">
        <f>_xlfn.XLOOKUP(E294,Store_Dim!A:A,Store_Dim!C:C,"Not Found")</f>
        <v>South</v>
      </c>
      <c r="J294" t="str">
        <f>_xlfn.XLOOKUP(C294,Customer_Dim!A:A,Customer_Dim!B:B,"Not Found")</f>
        <v>Michael Jones</v>
      </c>
      <c r="K294">
        <f>Table511[[#This Row],[Total_Amount]]/(L294*(1-Table511[[#This Row],[Discount]]))</f>
        <v>1.0000000000000002</v>
      </c>
      <c r="L294" s="5">
        <v>702.53</v>
      </c>
      <c r="M294">
        <v>0.3</v>
      </c>
      <c r="N294" t="s">
        <v>1349</v>
      </c>
      <c r="O294" s="5">
        <v>491.77100000000002</v>
      </c>
    </row>
    <row r="295" spans="1:15">
      <c r="A295" t="s">
        <v>1644</v>
      </c>
      <c r="B295" s="7">
        <v>45826</v>
      </c>
      <c r="C295" t="s">
        <v>511</v>
      </c>
      <c r="D295" t="s">
        <v>1151</v>
      </c>
      <c r="E295" t="s">
        <v>1307</v>
      </c>
      <c r="F295" t="str">
        <f>[1]Raw_Customer_Dim!$A$2</f>
        <v>CUST1000</v>
      </c>
      <c r="G295" t="str">
        <f>_xlfn.XLOOKUP(E295,Store_Dim!A:A,Store_Dim!B:B,"Not Found")</f>
        <v>Bean, Jones and Park</v>
      </c>
      <c r="H295" t="str">
        <f>_xlfn.XLOOKUP(D295,Product_Dim!A:A,Product_Dim!C:C,"Not Found")</f>
        <v>Electronics</v>
      </c>
      <c r="I295" t="str">
        <f>_xlfn.XLOOKUP(E295,Store_Dim!A:A,Store_Dim!C:C,"Not Found")</f>
        <v>West</v>
      </c>
      <c r="J295" t="str">
        <f>_xlfn.XLOOKUP(C295,Customer_Dim!A:A,Customer_Dim!B:B,"Not Found")</f>
        <v>Anthony Morgan</v>
      </c>
      <c r="K295">
        <f>Table511[[#This Row],[Total_Amount]]/(L295*(1-Table511[[#This Row],[Discount]]))</f>
        <v>4</v>
      </c>
      <c r="L295" s="5">
        <v>139.94</v>
      </c>
      <c r="M295">
        <v>0.24</v>
      </c>
      <c r="N295" t="s">
        <v>1349</v>
      </c>
      <c r="O295" s="5">
        <v>425.41759999999999</v>
      </c>
    </row>
    <row r="296" spans="1:15">
      <c r="A296" t="s">
        <v>1645</v>
      </c>
      <c r="B296" s="7">
        <v>45654</v>
      </c>
      <c r="C296" t="s">
        <v>618</v>
      </c>
      <c r="D296" t="s">
        <v>1111</v>
      </c>
      <c r="E296" t="s">
        <v>1307</v>
      </c>
      <c r="F296" t="str">
        <f>[1]Raw_Customer_Dim!$A$2</f>
        <v>CUST1000</v>
      </c>
      <c r="G296" t="str">
        <f>_xlfn.XLOOKUP(E296,Store_Dim!A:A,Store_Dim!B:B,"Not Found")</f>
        <v>Bean, Jones and Park</v>
      </c>
      <c r="H296" t="str">
        <f>_xlfn.XLOOKUP(D296,Product_Dim!A:A,Product_Dim!C:C,"Not Found")</f>
        <v>Sports</v>
      </c>
      <c r="I296" t="str">
        <f>_xlfn.XLOOKUP(E296,Store_Dim!A:A,Store_Dim!C:C,"Not Found")</f>
        <v>West</v>
      </c>
      <c r="J296" t="str">
        <f>_xlfn.XLOOKUP(C296,Customer_Dim!A:A,Customer_Dim!B:B,"Not Found")</f>
        <v>Jeffrey Gomez</v>
      </c>
      <c r="K296">
        <f>Table511[[#This Row],[Total_Amount]]/(L296*(1-Table511[[#This Row],[Discount]]))</f>
        <v>2</v>
      </c>
      <c r="L296" s="5">
        <v>230.85</v>
      </c>
      <c r="M296">
        <v>0.18</v>
      </c>
      <c r="N296" t="s">
        <v>1349</v>
      </c>
      <c r="O296" s="5">
        <v>378.59399999999999</v>
      </c>
    </row>
    <row r="297" spans="1:15">
      <c r="A297" t="s">
        <v>1646</v>
      </c>
      <c r="B297" s="7">
        <v>45556</v>
      </c>
      <c r="C297" t="s">
        <v>484</v>
      </c>
      <c r="D297" t="s">
        <v>1243</v>
      </c>
      <c r="E297" t="s">
        <v>1332</v>
      </c>
      <c r="F297" t="str">
        <f>[1]Raw_Customer_Dim!$A$2</f>
        <v>CUST1000</v>
      </c>
      <c r="G297" t="str">
        <f>_xlfn.XLOOKUP(E297,Store_Dim!A:A,Store_Dim!B:B,"Not Found")</f>
        <v>Holloway Ltd</v>
      </c>
      <c r="H297" t="str">
        <f>_xlfn.XLOOKUP(D297,Product_Dim!A:A,Product_Dim!C:C,"Not Found")</f>
        <v>Clothing</v>
      </c>
      <c r="I297" t="str">
        <f>_xlfn.XLOOKUP(E297,Store_Dim!A:A,Store_Dim!C:C,"Not Found")</f>
        <v>North</v>
      </c>
      <c r="J297" t="str">
        <f>_xlfn.XLOOKUP(C297,Customer_Dim!A:A,Customer_Dim!B:B,"Not Found")</f>
        <v>Rodney Huffman</v>
      </c>
      <c r="K297">
        <f>Table511[[#This Row],[Total_Amount]]/(L297*(1-Table511[[#This Row],[Discount]]))</f>
        <v>3.9999999999999996</v>
      </c>
      <c r="L297" s="5">
        <v>626.35</v>
      </c>
      <c r="M297">
        <v>0.25</v>
      </c>
      <c r="N297" t="s">
        <v>1354</v>
      </c>
      <c r="O297" s="5">
        <v>1879.05</v>
      </c>
    </row>
    <row r="298" spans="1:15">
      <c r="A298" t="s">
        <v>1647</v>
      </c>
      <c r="B298" s="7">
        <v>45434</v>
      </c>
      <c r="C298" t="s">
        <v>218</v>
      </c>
      <c r="D298" t="s">
        <v>1155</v>
      </c>
      <c r="E298" t="s">
        <v>1324</v>
      </c>
      <c r="F298" t="str">
        <f>[1]Raw_Customer_Dim!$A$2</f>
        <v>CUST1000</v>
      </c>
      <c r="G298" t="str">
        <f>_xlfn.XLOOKUP(E298,Store_Dim!A:A,Store_Dim!B:B,"Not Found")</f>
        <v>Mcdonald Inc</v>
      </c>
      <c r="H298" t="str">
        <f>_xlfn.XLOOKUP(D298,Product_Dim!A:A,Product_Dim!C:C,"Not Found")</f>
        <v>Sports</v>
      </c>
      <c r="I298" t="str">
        <f>_xlfn.XLOOKUP(E298,Store_Dim!A:A,Store_Dim!C:C,"Not Found")</f>
        <v>South</v>
      </c>
      <c r="J298" t="str">
        <f>_xlfn.XLOOKUP(C298,Customer_Dim!A:A,Customer_Dim!B:B,"Not Found")</f>
        <v>George Rosario</v>
      </c>
      <c r="K298">
        <f>Table511[[#This Row],[Total_Amount]]/(L298*(1-Table511[[#This Row],[Discount]]))</f>
        <v>3.9999999999999996</v>
      </c>
      <c r="L298" s="5">
        <v>108.55</v>
      </c>
      <c r="M298">
        <v>0.18</v>
      </c>
      <c r="N298" t="s">
        <v>1351</v>
      </c>
      <c r="O298" s="5">
        <v>356.04399999999998</v>
      </c>
    </row>
    <row r="299" spans="1:15">
      <c r="A299" t="s">
        <v>1648</v>
      </c>
      <c r="B299" s="7">
        <v>45871</v>
      </c>
      <c r="C299" t="s">
        <v>444</v>
      </c>
      <c r="D299" t="s">
        <v>1107</v>
      </c>
      <c r="E299" t="s">
        <v>1282</v>
      </c>
      <c r="F299" t="str">
        <f>[1]Raw_Customer_Dim!$A$2</f>
        <v>CUST1000</v>
      </c>
      <c r="G299" t="str">
        <f>_xlfn.XLOOKUP(E299,Store_Dim!A:A,Store_Dim!B:B,"Not Found")</f>
        <v>Martinez, Adkins and Johnson</v>
      </c>
      <c r="H299" t="str">
        <f>_xlfn.XLOOKUP(D299,Product_Dim!A:A,Product_Dim!C:C,"Not Found")</f>
        <v>Sports</v>
      </c>
      <c r="I299" t="str">
        <f>_xlfn.XLOOKUP(E299,Store_Dim!A:A,Store_Dim!C:C,"Not Found")</f>
        <v>North</v>
      </c>
      <c r="J299" t="str">
        <f>_xlfn.XLOOKUP(C299,Customer_Dim!A:A,Customer_Dim!B:B,"Not Found")</f>
        <v>Todd Poole</v>
      </c>
      <c r="K299">
        <f>Table511[[#This Row],[Total_Amount]]/(L299*(1-Table511[[#This Row],[Discount]]))</f>
        <v>4</v>
      </c>
      <c r="L299" s="5">
        <v>353.67</v>
      </c>
      <c r="M299">
        <v>0.03</v>
      </c>
      <c r="N299" t="s">
        <v>1354</v>
      </c>
      <c r="O299" s="5">
        <v>1372.2396000000001</v>
      </c>
    </row>
    <row r="300" spans="1:15">
      <c r="A300" t="s">
        <v>1649</v>
      </c>
      <c r="B300" s="7">
        <v>45583</v>
      </c>
      <c r="C300" t="s">
        <v>178</v>
      </c>
      <c r="D300" t="s">
        <v>1253</v>
      </c>
      <c r="E300" t="s">
        <v>1282</v>
      </c>
      <c r="F300" t="str">
        <f>[1]Raw_Customer_Dim!$A$2</f>
        <v>CUST1000</v>
      </c>
      <c r="G300" t="str">
        <f>_xlfn.XLOOKUP(E300,Store_Dim!A:A,Store_Dim!B:B,"Not Found")</f>
        <v>Martinez, Adkins and Johnson</v>
      </c>
      <c r="H300" t="str">
        <f>_xlfn.XLOOKUP(D300,Product_Dim!A:A,Product_Dim!C:C,"Not Found")</f>
        <v>Electronics</v>
      </c>
      <c r="I300" t="str">
        <f>_xlfn.XLOOKUP(E300,Store_Dim!A:A,Store_Dim!C:C,"Not Found")</f>
        <v>North</v>
      </c>
      <c r="J300" t="str">
        <f>_xlfn.XLOOKUP(C300,Customer_Dim!A:A,Customer_Dim!B:B,"Not Found")</f>
        <v>Michael Thomas</v>
      </c>
      <c r="K300">
        <f>Table511[[#This Row],[Total_Amount]]/(L300*(1-Table511[[#This Row],[Discount]]))</f>
        <v>4.0000000000000009</v>
      </c>
      <c r="L300" s="5">
        <v>61.98</v>
      </c>
      <c r="M300">
        <v>0.16</v>
      </c>
      <c r="N300" t="s">
        <v>1349</v>
      </c>
      <c r="O300" s="5">
        <v>208.25280000000001</v>
      </c>
    </row>
    <row r="301" spans="1:15">
      <c r="A301" t="s">
        <v>1650</v>
      </c>
      <c r="B301" s="7">
        <v>45348</v>
      </c>
      <c r="C301" t="s">
        <v>494</v>
      </c>
      <c r="D301" t="s">
        <v>1117</v>
      </c>
      <c r="E301" t="s">
        <v>1338</v>
      </c>
      <c r="F301" t="str">
        <f>[1]Raw_Customer_Dim!$A$2</f>
        <v>CUST1000</v>
      </c>
      <c r="G301" t="str">
        <f>_xlfn.XLOOKUP(E301,Store_Dim!A:A,Store_Dim!B:B,"Not Found")</f>
        <v>Mann-Austin</v>
      </c>
      <c r="H301" t="str">
        <f>_xlfn.XLOOKUP(D301,Product_Dim!A:A,Product_Dim!C:C,"Not Found")</f>
        <v>Sports</v>
      </c>
      <c r="I301" t="str">
        <f>_xlfn.XLOOKUP(E301,Store_Dim!A:A,Store_Dim!C:C,"Not Found")</f>
        <v>East</v>
      </c>
      <c r="J301" t="str">
        <f>_xlfn.XLOOKUP(C301,Customer_Dim!A:A,Customer_Dim!B:B,"Not Found")</f>
        <v>Kathryn Garcia</v>
      </c>
      <c r="K301">
        <f>Table511[[#This Row],[Total_Amount]]/(L301*(1-Table511[[#This Row],[Discount]]))</f>
        <v>2</v>
      </c>
      <c r="L301" s="5">
        <v>873.1</v>
      </c>
      <c r="M301">
        <v>0.12</v>
      </c>
      <c r="N301" t="s">
        <v>1351</v>
      </c>
      <c r="O301" s="5">
        <v>1536.6559999999999</v>
      </c>
    </row>
    <row r="302" spans="1:15">
      <c r="A302" t="s">
        <v>1651</v>
      </c>
      <c r="B302" s="7">
        <v>45268</v>
      </c>
      <c r="C302" t="s">
        <v>458</v>
      </c>
      <c r="D302" t="s">
        <v>1097</v>
      </c>
      <c r="E302" t="s">
        <v>1326</v>
      </c>
      <c r="F302" t="str">
        <f>[1]Raw_Customer_Dim!$A$2</f>
        <v>CUST1000</v>
      </c>
      <c r="G302" t="str">
        <f>_xlfn.XLOOKUP(E302,Store_Dim!A:A,Store_Dim!B:B,"Not Found")</f>
        <v>Shelton PLC</v>
      </c>
      <c r="H302" t="str">
        <f>_xlfn.XLOOKUP(D302,Product_Dim!A:A,Product_Dim!C:C,"Not Found")</f>
        <v>Beauty</v>
      </c>
      <c r="I302" t="str">
        <f>_xlfn.XLOOKUP(E302,Store_Dim!A:A,Store_Dim!C:C,"Not Found")</f>
        <v>North</v>
      </c>
      <c r="J302" t="str">
        <f>_xlfn.XLOOKUP(C302,Customer_Dim!A:A,Customer_Dim!B:B,"Not Found")</f>
        <v>Wanda Snyder</v>
      </c>
      <c r="K302">
        <f>Table511[[#This Row],[Total_Amount]]/(L302*(1-Table511[[#This Row],[Discount]]))</f>
        <v>4</v>
      </c>
      <c r="L302" s="5">
        <v>889.47</v>
      </c>
      <c r="M302">
        <v>0.24</v>
      </c>
      <c r="N302" t="s">
        <v>1349</v>
      </c>
      <c r="O302" s="5">
        <v>2703.9888000000001</v>
      </c>
    </row>
    <row r="303" spans="1:15">
      <c r="A303" t="s">
        <v>1652</v>
      </c>
      <c r="B303" s="7">
        <v>45596</v>
      </c>
      <c r="C303" t="s">
        <v>90</v>
      </c>
      <c r="D303" t="s">
        <v>1221</v>
      </c>
      <c r="E303" t="s">
        <v>1317</v>
      </c>
      <c r="F303" t="str">
        <f>[1]Raw_Customer_Dim!$A$2</f>
        <v>CUST1000</v>
      </c>
      <c r="G303" t="str">
        <f>_xlfn.XLOOKUP(E303,Store_Dim!A:A,Store_Dim!B:B,"Not Found")</f>
        <v>Aguirre-Keller</v>
      </c>
      <c r="H303" t="str">
        <f>_xlfn.XLOOKUP(D303,Product_Dim!A:A,Product_Dim!C:C,"Not Found")</f>
        <v>Electronics</v>
      </c>
      <c r="I303" t="str">
        <f>_xlfn.XLOOKUP(E303,Store_Dim!A:A,Store_Dim!C:C,"Not Found")</f>
        <v>South</v>
      </c>
      <c r="J303" t="str">
        <f>_xlfn.XLOOKUP(C303,Customer_Dim!A:A,Customer_Dim!B:B,"Not Found")</f>
        <v>Joshua Ryan</v>
      </c>
      <c r="K303">
        <f>Table511[[#This Row],[Total_Amount]]/(L303*(1-Table511[[#This Row],[Discount]]))</f>
        <v>3</v>
      </c>
      <c r="L303" s="5">
        <v>803.76</v>
      </c>
      <c r="M303">
        <v>0.19</v>
      </c>
      <c r="N303" t="s">
        <v>1354</v>
      </c>
      <c r="O303" s="5">
        <v>1953.1368</v>
      </c>
    </row>
    <row r="304" spans="1:15">
      <c r="A304" t="s">
        <v>1653</v>
      </c>
      <c r="B304" s="7">
        <v>45624</v>
      </c>
      <c r="C304" t="s">
        <v>998</v>
      </c>
      <c r="D304" t="s">
        <v>1223</v>
      </c>
      <c r="E304" t="s">
        <v>1298</v>
      </c>
      <c r="F304" t="str">
        <f>[1]Raw_Customer_Dim!$A$2</f>
        <v>CUST1000</v>
      </c>
      <c r="G304" t="str">
        <f>_xlfn.XLOOKUP(E304,Store_Dim!A:A,Store_Dim!B:B,"Not Found")</f>
        <v>Gray Ltd</v>
      </c>
      <c r="H304" t="str">
        <f>_xlfn.XLOOKUP(D304,Product_Dim!A:A,Product_Dim!C:C,"Not Found")</f>
        <v>Clothing</v>
      </c>
      <c r="I304" t="str">
        <f>_xlfn.XLOOKUP(E304,Store_Dim!A:A,Store_Dim!C:C,"Not Found")</f>
        <v>North</v>
      </c>
      <c r="J304" t="str">
        <f>_xlfn.XLOOKUP(C304,Customer_Dim!A:A,Customer_Dim!B:B,"Not Found")</f>
        <v>Gregory Curtis</v>
      </c>
      <c r="K304">
        <f>Table511[[#This Row],[Total_Amount]]/(L304*(1-Table511[[#This Row],[Discount]]))</f>
        <v>1.9999999999999998</v>
      </c>
      <c r="L304" s="5">
        <v>865.14</v>
      </c>
      <c r="M304">
        <v>0.2</v>
      </c>
      <c r="N304" t="s">
        <v>1351</v>
      </c>
      <c r="O304" s="5">
        <v>1384.2239999999999</v>
      </c>
    </row>
    <row r="305" spans="1:15">
      <c r="A305" t="s">
        <v>1654</v>
      </c>
      <c r="B305" s="7">
        <v>45813</v>
      </c>
      <c r="C305" t="s">
        <v>252</v>
      </c>
      <c r="D305" t="s">
        <v>1135</v>
      </c>
      <c r="E305" t="s">
        <v>1311</v>
      </c>
      <c r="F305" t="str">
        <f>[1]Raw_Customer_Dim!$A$2</f>
        <v>CUST1000</v>
      </c>
      <c r="G305" t="str">
        <f>_xlfn.XLOOKUP(E305,Store_Dim!A:A,Store_Dim!B:B,"Not Found")</f>
        <v>Moore, Padilla and Butler</v>
      </c>
      <c r="H305" t="str">
        <f>_xlfn.XLOOKUP(D305,Product_Dim!A:A,Product_Dim!C:C,"Not Found")</f>
        <v>Sports</v>
      </c>
      <c r="I305" t="str">
        <f>_xlfn.XLOOKUP(E305,Store_Dim!A:A,Store_Dim!C:C,"Not Found")</f>
        <v>South</v>
      </c>
      <c r="J305" t="str">
        <f>_xlfn.XLOOKUP(C305,Customer_Dim!A:A,Customer_Dim!B:B,"Not Found")</f>
        <v>David Cobb</v>
      </c>
      <c r="K305">
        <f>Table511[[#This Row],[Total_Amount]]/(L305*(1-Table511[[#This Row],[Discount]]))</f>
        <v>2</v>
      </c>
      <c r="L305" s="5">
        <v>916.49</v>
      </c>
      <c r="M305">
        <v>0.3</v>
      </c>
      <c r="N305" t="s">
        <v>1354</v>
      </c>
      <c r="O305" s="5">
        <v>1283.086</v>
      </c>
    </row>
    <row r="306" spans="1:15">
      <c r="A306" t="s">
        <v>1655</v>
      </c>
      <c r="B306" s="7">
        <v>45615</v>
      </c>
      <c r="C306" t="s">
        <v>123</v>
      </c>
      <c r="D306" t="s">
        <v>1175</v>
      </c>
      <c r="E306" t="s">
        <v>1319</v>
      </c>
      <c r="F306" t="str">
        <f>[1]Raw_Customer_Dim!$A$2</f>
        <v>CUST1000</v>
      </c>
      <c r="G306" t="str">
        <f>_xlfn.XLOOKUP(E306,Store_Dim!A:A,Store_Dim!B:B,"Not Found")</f>
        <v>Thomas, Bridges and Harris</v>
      </c>
      <c r="H306" t="str">
        <f>_xlfn.XLOOKUP(D306,Product_Dim!A:A,Product_Dim!C:C,"Not Found")</f>
        <v>Electronics</v>
      </c>
      <c r="I306" t="str">
        <f>_xlfn.XLOOKUP(E306,Store_Dim!A:A,Store_Dim!C:C,"Not Found")</f>
        <v>North</v>
      </c>
      <c r="J306" t="str">
        <f>_xlfn.XLOOKUP(C306,Customer_Dim!A:A,Customer_Dim!B:B,"Not Found")</f>
        <v>William Martin</v>
      </c>
      <c r="K306">
        <f>Table511[[#This Row],[Total_Amount]]/(L306*(1-Table511[[#This Row],[Discount]]))</f>
        <v>3</v>
      </c>
      <c r="L306" s="5">
        <v>781.39</v>
      </c>
      <c r="M306">
        <v>0.12</v>
      </c>
      <c r="N306" t="s">
        <v>1349</v>
      </c>
      <c r="O306" s="5">
        <v>2062.8696</v>
      </c>
    </row>
    <row r="307" spans="1:15">
      <c r="A307" t="s">
        <v>1656</v>
      </c>
      <c r="B307" s="7">
        <v>45431</v>
      </c>
      <c r="C307" t="s">
        <v>484</v>
      </c>
      <c r="D307" t="s">
        <v>1149</v>
      </c>
      <c r="E307" t="s">
        <v>1319</v>
      </c>
      <c r="F307" t="str">
        <f>[1]Raw_Customer_Dim!$A$2</f>
        <v>CUST1000</v>
      </c>
      <c r="G307" t="str">
        <f>_xlfn.XLOOKUP(E307,Store_Dim!A:A,Store_Dim!B:B,"Not Found")</f>
        <v>Thomas, Bridges and Harris</v>
      </c>
      <c r="H307" t="str">
        <f>_xlfn.XLOOKUP(D307,Product_Dim!A:A,Product_Dim!C:C,"Not Found")</f>
        <v>Sports</v>
      </c>
      <c r="I307" t="str">
        <f>_xlfn.XLOOKUP(E307,Store_Dim!A:A,Store_Dim!C:C,"Not Found")</f>
        <v>North</v>
      </c>
      <c r="J307" t="str">
        <f>_xlfn.XLOOKUP(C307,Customer_Dim!A:A,Customer_Dim!B:B,"Not Found")</f>
        <v>Rodney Huffman</v>
      </c>
      <c r="K307">
        <f>Table511[[#This Row],[Total_Amount]]/(L307*(1-Table511[[#This Row],[Discount]]))</f>
        <v>4</v>
      </c>
      <c r="L307" s="5">
        <v>619.74</v>
      </c>
      <c r="M307">
        <v>0.13</v>
      </c>
      <c r="N307" t="s">
        <v>1354</v>
      </c>
      <c r="O307" s="5">
        <v>2156.6952000000001</v>
      </c>
    </row>
    <row r="308" spans="1:15">
      <c r="A308" t="s">
        <v>1657</v>
      </c>
      <c r="B308" s="7">
        <v>45679</v>
      </c>
      <c r="C308" t="s">
        <v>1024</v>
      </c>
      <c r="D308" t="s">
        <v>1197</v>
      </c>
      <c r="E308" t="s">
        <v>1324</v>
      </c>
      <c r="F308" t="str">
        <f>[1]Raw_Customer_Dim!$A$2</f>
        <v>CUST1000</v>
      </c>
      <c r="G308" t="str">
        <f>_xlfn.XLOOKUP(E308,Store_Dim!A:A,Store_Dim!B:B,"Not Found")</f>
        <v>Mcdonald Inc</v>
      </c>
      <c r="H308" t="str">
        <f>_xlfn.XLOOKUP(D308,Product_Dim!A:A,Product_Dim!C:C,"Not Found")</f>
        <v>Electronics</v>
      </c>
      <c r="I308" t="str">
        <f>_xlfn.XLOOKUP(E308,Store_Dim!A:A,Store_Dim!C:C,"Not Found")</f>
        <v>South</v>
      </c>
      <c r="J308" t="str">
        <f>_xlfn.XLOOKUP(C308,Customer_Dim!A:A,Customer_Dim!B:B,"Not Found")</f>
        <v>Bryan Tran</v>
      </c>
      <c r="K308">
        <f>Table511[[#This Row],[Total_Amount]]/(L308*(1-Table511[[#This Row],[Discount]]))</f>
        <v>2</v>
      </c>
      <c r="L308" s="5">
        <v>837.76</v>
      </c>
      <c r="M308">
        <v>0.03</v>
      </c>
      <c r="N308" t="s">
        <v>1354</v>
      </c>
      <c r="O308" s="5">
        <v>1625.2544</v>
      </c>
    </row>
    <row r="309" spans="1:15">
      <c r="A309" t="s">
        <v>1658</v>
      </c>
      <c r="B309" s="7">
        <v>45842</v>
      </c>
      <c r="C309" t="s">
        <v>965</v>
      </c>
      <c r="D309" t="s">
        <v>1253</v>
      </c>
      <c r="E309" t="s">
        <v>1282</v>
      </c>
      <c r="F309" t="str">
        <f>[1]Raw_Customer_Dim!$A$2</f>
        <v>CUST1000</v>
      </c>
      <c r="G309" t="str">
        <f>_xlfn.XLOOKUP(E309,Store_Dim!A:A,Store_Dim!B:B,"Not Found")</f>
        <v>Martinez, Adkins and Johnson</v>
      </c>
      <c r="H309" t="str">
        <f>_xlfn.XLOOKUP(D309,Product_Dim!A:A,Product_Dim!C:C,"Not Found")</f>
        <v>Electronics</v>
      </c>
      <c r="I309" t="str">
        <f>_xlfn.XLOOKUP(E309,Store_Dim!A:A,Store_Dim!C:C,"Not Found")</f>
        <v>North</v>
      </c>
      <c r="J309" t="str">
        <f>_xlfn.XLOOKUP(C309,Customer_Dim!A:A,Customer_Dim!B:B,"Not Found")</f>
        <v>Ashley Roberts</v>
      </c>
      <c r="K309">
        <f>Table511[[#This Row],[Total_Amount]]/(L309*(1-Table511[[#This Row],[Discount]]))</f>
        <v>2.9999999999999996</v>
      </c>
      <c r="L309" s="5">
        <v>135.94</v>
      </c>
      <c r="M309">
        <v>0.2</v>
      </c>
      <c r="N309" t="s">
        <v>1349</v>
      </c>
      <c r="O309" s="5">
        <v>326.25599999999997</v>
      </c>
    </row>
    <row r="310" spans="1:15">
      <c r="A310" t="s">
        <v>1659</v>
      </c>
      <c r="B310" s="7">
        <v>45796</v>
      </c>
      <c r="C310" t="s">
        <v>1020</v>
      </c>
      <c r="D310" t="s">
        <v>1221</v>
      </c>
      <c r="E310" t="s">
        <v>1282</v>
      </c>
      <c r="F310" t="str">
        <f>[1]Raw_Customer_Dim!$A$2</f>
        <v>CUST1000</v>
      </c>
      <c r="G310" t="str">
        <f>_xlfn.XLOOKUP(E310,Store_Dim!A:A,Store_Dim!B:B,"Not Found")</f>
        <v>Martinez, Adkins and Johnson</v>
      </c>
      <c r="H310" t="str">
        <f>_xlfn.XLOOKUP(D310,Product_Dim!A:A,Product_Dim!C:C,"Not Found")</f>
        <v>Electronics</v>
      </c>
      <c r="I310" t="str">
        <f>_xlfn.XLOOKUP(E310,Store_Dim!A:A,Store_Dim!C:C,"Not Found")</f>
        <v>North</v>
      </c>
      <c r="J310" t="str">
        <f>_xlfn.XLOOKUP(C310,Customer_Dim!A:A,Customer_Dim!B:B,"Not Found")</f>
        <v>Dylan Gutierrez</v>
      </c>
      <c r="K310">
        <f>Table511[[#This Row],[Total_Amount]]/(L310*(1-Table511[[#This Row],[Discount]]))</f>
        <v>4.0000000000000009</v>
      </c>
      <c r="L310" s="5">
        <v>396.53</v>
      </c>
      <c r="M310">
        <v>7.0000000000000007E-2</v>
      </c>
      <c r="N310" t="s">
        <v>1351</v>
      </c>
      <c r="O310" s="5">
        <v>1475.0916</v>
      </c>
    </row>
    <row r="311" spans="1:15">
      <c r="A311" t="s">
        <v>1660</v>
      </c>
      <c r="B311" s="7">
        <v>45264</v>
      </c>
      <c r="C311" t="s">
        <v>502</v>
      </c>
      <c r="D311" t="s">
        <v>1131</v>
      </c>
      <c r="E311" t="s">
        <v>1324</v>
      </c>
      <c r="F311" t="str">
        <f>[1]Raw_Customer_Dim!$A$2</f>
        <v>CUST1000</v>
      </c>
      <c r="G311" t="str">
        <f>_xlfn.XLOOKUP(E311,Store_Dim!A:A,Store_Dim!B:B,"Not Found")</f>
        <v>Mcdonald Inc</v>
      </c>
      <c r="H311" t="str">
        <f>_xlfn.XLOOKUP(D311,Product_Dim!A:A,Product_Dim!C:C,"Not Found")</f>
        <v>Home</v>
      </c>
      <c r="I311" t="str">
        <f>_xlfn.XLOOKUP(E311,Store_Dim!A:A,Store_Dim!C:C,"Not Found")</f>
        <v>South</v>
      </c>
      <c r="J311" t="str">
        <f>_xlfn.XLOOKUP(C311,Customer_Dim!A:A,Customer_Dim!B:B,"Not Found")</f>
        <v>George Davis</v>
      </c>
      <c r="K311">
        <f>Table511[[#This Row],[Total_Amount]]/(L311*(1-Table511[[#This Row],[Discount]]))</f>
        <v>1.9999999999999996</v>
      </c>
      <c r="L311" s="5">
        <v>722.45</v>
      </c>
      <c r="M311">
        <v>0.22</v>
      </c>
      <c r="N311" t="s">
        <v>1351</v>
      </c>
      <c r="O311" s="5">
        <v>1127.0219999999999</v>
      </c>
    </row>
    <row r="312" spans="1:15">
      <c r="A312" t="s">
        <v>1661</v>
      </c>
      <c r="B312" s="7">
        <v>45504</v>
      </c>
      <c r="C312" t="s">
        <v>135</v>
      </c>
      <c r="D312" t="s">
        <v>1201</v>
      </c>
      <c r="E312" t="s">
        <v>1286</v>
      </c>
      <c r="F312" t="str">
        <f>[1]Raw_Customer_Dim!$A$2</f>
        <v>CUST1000</v>
      </c>
      <c r="G312" t="str">
        <f>_xlfn.XLOOKUP(E312,Store_Dim!A:A,Store_Dim!B:B,"Not Found")</f>
        <v>Black-Horn</v>
      </c>
      <c r="H312" t="str">
        <f>_xlfn.XLOOKUP(D312,Product_Dim!A:A,Product_Dim!C:C,"Not Found")</f>
        <v>Beauty</v>
      </c>
      <c r="I312" t="str">
        <f>_xlfn.XLOOKUP(E312,Store_Dim!A:A,Store_Dim!C:C,"Not Found")</f>
        <v>South</v>
      </c>
      <c r="J312" t="str">
        <f>_xlfn.XLOOKUP(C312,Customer_Dim!A:A,Customer_Dim!B:B,"Not Found")</f>
        <v>Gina Knight</v>
      </c>
      <c r="K312">
        <f>Table511[[#This Row],[Total_Amount]]/(L312*(1-Table511[[#This Row],[Discount]]))</f>
        <v>2</v>
      </c>
      <c r="L312" s="5">
        <v>138.41</v>
      </c>
      <c r="M312">
        <v>0.02</v>
      </c>
      <c r="N312" t="s">
        <v>1349</v>
      </c>
      <c r="O312" s="5">
        <v>271.28359999999998</v>
      </c>
    </row>
    <row r="313" spans="1:15">
      <c r="A313" t="s">
        <v>1662</v>
      </c>
      <c r="B313" s="7">
        <v>45679</v>
      </c>
      <c r="C313" t="s">
        <v>313</v>
      </c>
      <c r="D313" t="s">
        <v>1233</v>
      </c>
      <c r="E313" t="s">
        <v>1286</v>
      </c>
      <c r="F313" t="str">
        <f>[1]Raw_Customer_Dim!$A$2</f>
        <v>CUST1000</v>
      </c>
      <c r="G313" t="str">
        <f>_xlfn.XLOOKUP(E313,Store_Dim!A:A,Store_Dim!B:B,"Not Found")</f>
        <v>Black-Horn</v>
      </c>
      <c r="H313" t="str">
        <f>_xlfn.XLOOKUP(D313,Product_Dim!A:A,Product_Dim!C:C,"Not Found")</f>
        <v>Home</v>
      </c>
      <c r="I313" t="str">
        <f>_xlfn.XLOOKUP(E313,Store_Dim!A:A,Store_Dim!C:C,"Not Found")</f>
        <v>South</v>
      </c>
      <c r="J313" t="str">
        <f>_xlfn.XLOOKUP(C313,Customer_Dim!A:A,Customer_Dim!B:B,"Not Found")</f>
        <v>James Wolfe</v>
      </c>
      <c r="K313">
        <f>Table511[[#This Row],[Total_Amount]]/(L313*(1-Table511[[#This Row],[Discount]]))</f>
        <v>4</v>
      </c>
      <c r="L313" s="5">
        <v>741.51</v>
      </c>
      <c r="M313">
        <v>0.09</v>
      </c>
      <c r="N313" t="s">
        <v>1354</v>
      </c>
      <c r="O313" s="5">
        <v>2699.0963999999999</v>
      </c>
    </row>
    <row r="314" spans="1:15">
      <c r="A314" t="s">
        <v>1663</v>
      </c>
      <c r="B314" s="7">
        <v>45611</v>
      </c>
      <c r="C314" t="s">
        <v>77</v>
      </c>
      <c r="D314" t="s">
        <v>1233</v>
      </c>
      <c r="E314" t="s">
        <v>1332</v>
      </c>
      <c r="F314" t="str">
        <f>[1]Raw_Customer_Dim!$A$2</f>
        <v>CUST1000</v>
      </c>
      <c r="G314" t="str">
        <f>_xlfn.XLOOKUP(E314,Store_Dim!A:A,Store_Dim!B:B,"Not Found")</f>
        <v>Holloway Ltd</v>
      </c>
      <c r="H314" t="str">
        <f>_xlfn.XLOOKUP(D314,Product_Dim!A:A,Product_Dim!C:C,"Not Found")</f>
        <v>Home</v>
      </c>
      <c r="I314" t="str">
        <f>_xlfn.XLOOKUP(E314,Store_Dim!A:A,Store_Dim!C:C,"Not Found")</f>
        <v>North</v>
      </c>
      <c r="J314" t="str">
        <f>_xlfn.XLOOKUP(C314,Customer_Dim!A:A,Customer_Dim!B:B,"Not Found")</f>
        <v>Jonathan Steele</v>
      </c>
      <c r="K314">
        <f>Table511[[#This Row],[Total_Amount]]/(L314*(1-Table511[[#This Row],[Discount]]))</f>
        <v>2</v>
      </c>
      <c r="L314" s="5">
        <v>588.9</v>
      </c>
      <c r="M314">
        <v>0.19</v>
      </c>
      <c r="N314" t="s">
        <v>1351</v>
      </c>
      <c r="O314" s="5">
        <v>954.01800000000003</v>
      </c>
    </row>
    <row r="315" spans="1:15">
      <c r="A315" t="s">
        <v>1664</v>
      </c>
      <c r="B315" s="7">
        <v>45389</v>
      </c>
      <c r="C315" t="s">
        <v>672</v>
      </c>
      <c r="D315" t="s">
        <v>1173</v>
      </c>
      <c r="E315" t="s">
        <v>1286</v>
      </c>
      <c r="F315" t="str">
        <f>[1]Raw_Customer_Dim!$A$2</f>
        <v>CUST1000</v>
      </c>
      <c r="G315" t="str">
        <f>_xlfn.XLOOKUP(E315,Store_Dim!A:A,Store_Dim!B:B,"Not Found")</f>
        <v>Black-Horn</v>
      </c>
      <c r="H315" t="str">
        <f>_xlfn.XLOOKUP(D315,Product_Dim!A:A,Product_Dim!C:C,"Not Found")</f>
        <v>Sports</v>
      </c>
      <c r="I315" t="str">
        <f>_xlfn.XLOOKUP(E315,Store_Dim!A:A,Store_Dim!C:C,"Not Found")</f>
        <v>South</v>
      </c>
      <c r="J315" t="str">
        <f>_xlfn.XLOOKUP(C315,Customer_Dim!A:A,Customer_Dim!B:B,"Not Found")</f>
        <v>Miss Alexandria Li DVM</v>
      </c>
      <c r="K315">
        <f>Table511[[#This Row],[Total_Amount]]/(L315*(1-Table511[[#This Row],[Discount]]))</f>
        <v>1</v>
      </c>
      <c r="L315" s="5">
        <v>88.92</v>
      </c>
      <c r="M315">
        <v>0.19</v>
      </c>
      <c r="N315" t="s">
        <v>1351</v>
      </c>
      <c r="O315" s="5">
        <v>72.025200000000012</v>
      </c>
    </row>
    <row r="316" spans="1:15">
      <c r="A316" t="s">
        <v>1665</v>
      </c>
      <c r="B316" s="7">
        <v>45339</v>
      </c>
      <c r="C316" t="s">
        <v>296</v>
      </c>
      <c r="D316" t="s">
        <v>1195</v>
      </c>
      <c r="E316" t="s">
        <v>1329</v>
      </c>
      <c r="F316" t="str">
        <f>[1]Raw_Customer_Dim!$A$2</f>
        <v>CUST1000</v>
      </c>
      <c r="G316" t="str">
        <f>_xlfn.XLOOKUP(E316,Store_Dim!A:A,Store_Dim!B:B,"Not Found")</f>
        <v>Frederick-Wright</v>
      </c>
      <c r="H316" t="str">
        <f>_xlfn.XLOOKUP(D316,Product_Dim!A:A,Product_Dim!C:C,"Not Found")</f>
        <v>Sports</v>
      </c>
      <c r="I316" t="str">
        <f>_xlfn.XLOOKUP(E316,Store_Dim!A:A,Store_Dim!C:C,"Not Found")</f>
        <v>West</v>
      </c>
      <c r="J316" t="str">
        <f>_xlfn.XLOOKUP(C316,Customer_Dim!A:A,Customer_Dim!B:B,"Not Found")</f>
        <v>Earl Allen</v>
      </c>
      <c r="K316">
        <f>Table511[[#This Row],[Total_Amount]]/(L316*(1-Table511[[#This Row],[Discount]]))</f>
        <v>1</v>
      </c>
      <c r="L316" s="5">
        <v>299.13</v>
      </c>
      <c r="M316">
        <v>0.1</v>
      </c>
      <c r="N316" t="s">
        <v>1354</v>
      </c>
      <c r="O316" s="5">
        <v>269.21699999999998</v>
      </c>
    </row>
    <row r="317" spans="1:15">
      <c r="A317" t="s">
        <v>1666</v>
      </c>
      <c r="B317" s="7">
        <v>45433</v>
      </c>
      <c r="C317" t="s">
        <v>292</v>
      </c>
      <c r="D317" t="s">
        <v>1227</v>
      </c>
      <c r="E317" t="s">
        <v>1291</v>
      </c>
      <c r="F317" t="str">
        <f>[1]Raw_Customer_Dim!$A$2</f>
        <v>CUST1000</v>
      </c>
      <c r="G317" t="str">
        <f>_xlfn.XLOOKUP(E317,Store_Dim!A:A,Store_Dim!B:B,"Not Found")</f>
        <v>Johnson-Wright</v>
      </c>
      <c r="H317" t="str">
        <f>_xlfn.XLOOKUP(D317,Product_Dim!A:A,Product_Dim!C:C,"Not Found")</f>
        <v>Electronics</v>
      </c>
      <c r="I317" t="str">
        <f>_xlfn.XLOOKUP(E317,Store_Dim!A:A,Store_Dim!C:C,"Not Found")</f>
        <v>North</v>
      </c>
      <c r="J317" t="str">
        <f>_xlfn.XLOOKUP(C317,Customer_Dim!A:A,Customer_Dim!B:B,"Not Found")</f>
        <v>Anthony Phillips</v>
      </c>
      <c r="K317">
        <f>Table511[[#This Row],[Total_Amount]]/(L317*(1-Table511[[#This Row],[Discount]]))</f>
        <v>2</v>
      </c>
      <c r="L317" s="5">
        <v>548.29999999999995</v>
      </c>
      <c r="M317">
        <v>0.23</v>
      </c>
      <c r="N317" t="s">
        <v>1349</v>
      </c>
      <c r="O317" s="5">
        <v>844.38199999999995</v>
      </c>
    </row>
    <row r="318" spans="1:15">
      <c r="A318" t="s">
        <v>1667</v>
      </c>
      <c r="B318" s="7">
        <v>45435</v>
      </c>
      <c r="C318" t="s">
        <v>587</v>
      </c>
      <c r="D318" t="s">
        <v>1181</v>
      </c>
      <c r="E318" t="s">
        <v>1314</v>
      </c>
      <c r="F318" t="str">
        <f>[1]Raw_Customer_Dim!$A$2</f>
        <v>CUST1000</v>
      </c>
      <c r="G318" t="str">
        <f>_xlfn.XLOOKUP(E318,Store_Dim!A:A,Store_Dim!B:B,"Not Found")</f>
        <v>Hill, Wagner and Ballard</v>
      </c>
      <c r="H318" t="str">
        <f>_xlfn.XLOOKUP(D318,Product_Dim!A:A,Product_Dim!C:C,"Not Found")</f>
        <v>Sports</v>
      </c>
      <c r="I318" t="str">
        <f>_xlfn.XLOOKUP(E318,Store_Dim!A:A,Store_Dim!C:C,"Not Found")</f>
        <v>East</v>
      </c>
      <c r="J318" t="str">
        <f>_xlfn.XLOOKUP(C318,Customer_Dim!A:A,Customer_Dim!B:B,"Not Found")</f>
        <v>Katherine Cowan</v>
      </c>
      <c r="K318">
        <f>Table511[[#This Row],[Total_Amount]]/(L318*(1-Table511[[#This Row],[Discount]]))</f>
        <v>2.9999999999999991</v>
      </c>
      <c r="L318" s="5">
        <v>977.55</v>
      </c>
      <c r="M318">
        <v>0.02</v>
      </c>
      <c r="N318" t="s">
        <v>1351</v>
      </c>
      <c r="O318" s="5">
        <v>2873.9969999999989</v>
      </c>
    </row>
    <row r="319" spans="1:15">
      <c r="A319" t="s">
        <v>1668</v>
      </c>
      <c r="B319" s="7">
        <v>45823</v>
      </c>
      <c r="C319" t="s">
        <v>756</v>
      </c>
      <c r="D319" t="s">
        <v>1161</v>
      </c>
      <c r="E319" t="s">
        <v>1335</v>
      </c>
      <c r="F319" t="str">
        <f>[1]Raw_Customer_Dim!$A$2</f>
        <v>CUST1000</v>
      </c>
      <c r="G319" t="str">
        <f>_xlfn.XLOOKUP(E319,Store_Dim!A:A,Store_Dim!B:B,"Not Found")</f>
        <v>Guerrero-Schmitt</v>
      </c>
      <c r="H319" t="str">
        <f>_xlfn.XLOOKUP(D319,Product_Dim!A:A,Product_Dim!C:C,"Not Found")</f>
        <v>Sports</v>
      </c>
      <c r="I319" t="str">
        <f>_xlfn.XLOOKUP(E319,Store_Dim!A:A,Store_Dim!C:C,"Not Found")</f>
        <v>East</v>
      </c>
      <c r="J319" t="str">
        <f>_xlfn.XLOOKUP(C319,Customer_Dim!A:A,Customer_Dim!B:B,"Not Found")</f>
        <v>John Jordan</v>
      </c>
      <c r="K319">
        <f>Table511[[#This Row],[Total_Amount]]/(L319*(1-Table511[[#This Row],[Discount]]))</f>
        <v>1</v>
      </c>
      <c r="L319" s="5">
        <v>459.42</v>
      </c>
      <c r="M319">
        <v>0.28000000000000003</v>
      </c>
      <c r="N319" t="s">
        <v>1354</v>
      </c>
      <c r="O319" s="5">
        <v>330.7824</v>
      </c>
    </row>
    <row r="320" spans="1:15">
      <c r="A320" t="s">
        <v>1669</v>
      </c>
      <c r="B320" s="7">
        <v>45663</v>
      </c>
      <c r="C320" t="s">
        <v>232</v>
      </c>
      <c r="D320" t="s">
        <v>1074</v>
      </c>
      <c r="E320" t="s">
        <v>1294</v>
      </c>
      <c r="F320" t="str">
        <f>[1]Raw_Customer_Dim!$A$2</f>
        <v>CUST1000</v>
      </c>
      <c r="G320" t="str">
        <f>_xlfn.XLOOKUP(E320,Store_Dim!A:A,Store_Dim!B:B,"Not Found")</f>
        <v>Alexander Group</v>
      </c>
      <c r="H320" t="str">
        <f>_xlfn.XLOOKUP(D320,Product_Dim!A:A,Product_Dim!C:C,"Not Found")</f>
        <v>Clothing</v>
      </c>
      <c r="I320" t="str">
        <f>_xlfn.XLOOKUP(E320,Store_Dim!A:A,Store_Dim!C:C,"Not Found")</f>
        <v>South</v>
      </c>
      <c r="J320" t="str">
        <f>_xlfn.XLOOKUP(C320,Customer_Dim!A:A,Customer_Dim!B:B,"Not Found")</f>
        <v>Timothy Wright</v>
      </c>
      <c r="K320">
        <f>Table511[[#This Row],[Total_Amount]]/(L320*(1-Table511[[#This Row],[Discount]]))</f>
        <v>2</v>
      </c>
      <c r="L320" s="5">
        <v>123.19</v>
      </c>
      <c r="M320">
        <v>0.19</v>
      </c>
      <c r="N320" t="s">
        <v>1349</v>
      </c>
      <c r="O320" s="5">
        <v>199.56780000000001</v>
      </c>
    </row>
    <row r="321" spans="1:15">
      <c r="A321" t="s">
        <v>1670</v>
      </c>
      <c r="B321" s="7">
        <v>45879</v>
      </c>
      <c r="C321" t="s">
        <v>779</v>
      </c>
      <c r="D321" t="s">
        <v>1183</v>
      </c>
      <c r="E321" t="s">
        <v>1338</v>
      </c>
      <c r="F321" t="str">
        <f>[1]Raw_Customer_Dim!$A$2</f>
        <v>CUST1000</v>
      </c>
      <c r="G321" t="str">
        <f>_xlfn.XLOOKUP(E321,Store_Dim!A:A,Store_Dim!B:B,"Not Found")</f>
        <v>Mann-Austin</v>
      </c>
      <c r="H321" t="str">
        <f>_xlfn.XLOOKUP(D321,Product_Dim!A:A,Product_Dim!C:C,"Not Found")</f>
        <v>Home</v>
      </c>
      <c r="I321" t="str">
        <f>_xlfn.XLOOKUP(E321,Store_Dim!A:A,Store_Dim!C:C,"Not Found")</f>
        <v>East</v>
      </c>
      <c r="J321" t="str">
        <f>_xlfn.XLOOKUP(C321,Customer_Dim!A:A,Customer_Dim!B:B,"Not Found")</f>
        <v>Ashley Anderson</v>
      </c>
      <c r="K321">
        <f>Table511[[#This Row],[Total_Amount]]/(L321*(1-Table511[[#This Row],[Discount]]))</f>
        <v>1.0000000000000002</v>
      </c>
      <c r="L321" s="5">
        <v>222.95</v>
      </c>
      <c r="M321">
        <v>0.02</v>
      </c>
      <c r="N321" t="s">
        <v>1351</v>
      </c>
      <c r="O321" s="5">
        <v>218.49100000000001</v>
      </c>
    </row>
    <row r="322" spans="1:15">
      <c r="A322" t="s">
        <v>1671</v>
      </c>
      <c r="B322" s="7">
        <v>45840</v>
      </c>
      <c r="C322" t="s">
        <v>728</v>
      </c>
      <c r="D322" t="s">
        <v>1137</v>
      </c>
      <c r="E322" t="s">
        <v>1294</v>
      </c>
      <c r="F322" t="str">
        <f>[1]Raw_Customer_Dim!$A$2</f>
        <v>CUST1000</v>
      </c>
      <c r="G322" t="str">
        <f>_xlfn.XLOOKUP(E322,Store_Dim!A:A,Store_Dim!B:B,"Not Found")</f>
        <v>Alexander Group</v>
      </c>
      <c r="H322" t="str">
        <f>_xlfn.XLOOKUP(D322,Product_Dim!A:A,Product_Dim!C:C,"Not Found")</f>
        <v>Beauty</v>
      </c>
      <c r="I322" t="str">
        <f>_xlfn.XLOOKUP(E322,Store_Dim!A:A,Store_Dim!C:C,"Not Found")</f>
        <v>South</v>
      </c>
      <c r="J322" t="str">
        <f>_xlfn.XLOOKUP(C322,Customer_Dim!A:A,Customer_Dim!B:B,"Not Found")</f>
        <v>Dr. Lindsay Hanna</v>
      </c>
      <c r="K322">
        <f>Table511[[#This Row],[Total_Amount]]/(L322*(1-Table511[[#This Row],[Discount]]))</f>
        <v>3.0000000000000004</v>
      </c>
      <c r="L322" s="5">
        <v>601.92999999999995</v>
      </c>
      <c r="M322">
        <v>0.14000000000000001</v>
      </c>
      <c r="N322" t="s">
        <v>1349</v>
      </c>
      <c r="O322" s="5">
        <v>1552.9793999999999</v>
      </c>
    </row>
    <row r="323" spans="1:15">
      <c r="A323" t="s">
        <v>1672</v>
      </c>
      <c r="B323" s="7">
        <v>45380</v>
      </c>
      <c r="C323" t="s">
        <v>658</v>
      </c>
      <c r="D323" t="s">
        <v>1211</v>
      </c>
      <c r="E323" t="s">
        <v>1286</v>
      </c>
      <c r="F323" t="str">
        <f>[1]Raw_Customer_Dim!$A$2</f>
        <v>CUST1000</v>
      </c>
      <c r="G323" t="str">
        <f>_xlfn.XLOOKUP(E323,Store_Dim!A:A,Store_Dim!B:B,"Not Found")</f>
        <v>Black-Horn</v>
      </c>
      <c r="H323" t="str">
        <f>_xlfn.XLOOKUP(D323,Product_Dim!A:A,Product_Dim!C:C,"Not Found")</f>
        <v>Clothing</v>
      </c>
      <c r="I323" t="str">
        <f>_xlfn.XLOOKUP(E323,Store_Dim!A:A,Store_Dim!C:C,"Not Found")</f>
        <v>South</v>
      </c>
      <c r="J323" t="str">
        <f>_xlfn.XLOOKUP(C323,Customer_Dim!A:A,Customer_Dim!B:B,"Not Found")</f>
        <v>Jennifer Carr</v>
      </c>
      <c r="K323">
        <f>Table511[[#This Row],[Total_Amount]]/(L323*(1-Table511[[#This Row],[Discount]]))</f>
        <v>1</v>
      </c>
      <c r="L323" s="5">
        <v>564.1</v>
      </c>
      <c r="M323">
        <v>0.03</v>
      </c>
      <c r="N323" t="s">
        <v>1349</v>
      </c>
      <c r="O323" s="5">
        <v>547.17700000000002</v>
      </c>
    </row>
    <row r="324" spans="1:15">
      <c r="A324" t="s">
        <v>1673</v>
      </c>
      <c r="B324" s="7">
        <v>45672</v>
      </c>
      <c r="C324" t="s">
        <v>248</v>
      </c>
      <c r="D324" t="s">
        <v>1233</v>
      </c>
      <c r="E324" t="s">
        <v>1298</v>
      </c>
      <c r="F324" t="str">
        <f>[1]Raw_Customer_Dim!$A$2</f>
        <v>CUST1000</v>
      </c>
      <c r="G324" t="str">
        <f>_xlfn.XLOOKUP(E324,Store_Dim!A:A,Store_Dim!B:B,"Not Found")</f>
        <v>Gray Ltd</v>
      </c>
      <c r="H324" t="str">
        <f>_xlfn.XLOOKUP(D324,Product_Dim!A:A,Product_Dim!C:C,"Not Found")</f>
        <v>Home</v>
      </c>
      <c r="I324" t="str">
        <f>_xlfn.XLOOKUP(E324,Store_Dim!A:A,Store_Dim!C:C,"Not Found")</f>
        <v>North</v>
      </c>
      <c r="J324" t="str">
        <f>_xlfn.XLOOKUP(C324,Customer_Dim!A:A,Customer_Dim!B:B,"Not Found")</f>
        <v>Amy Fowler</v>
      </c>
      <c r="K324">
        <f>Table511[[#This Row],[Total_Amount]]/(L324*(1-Table511[[#This Row],[Discount]]))</f>
        <v>1.0000000000000002</v>
      </c>
      <c r="L324" s="5">
        <v>516.62</v>
      </c>
      <c r="M324">
        <v>0.18</v>
      </c>
      <c r="N324" t="s">
        <v>1349</v>
      </c>
      <c r="O324" s="5">
        <v>423.62840000000011</v>
      </c>
    </row>
    <row r="325" spans="1:15">
      <c r="A325" t="s">
        <v>1674</v>
      </c>
      <c r="B325" s="7">
        <v>45497</v>
      </c>
      <c r="C325" t="s">
        <v>939</v>
      </c>
      <c r="D325" t="s">
        <v>1199</v>
      </c>
      <c r="E325" t="s">
        <v>1319</v>
      </c>
      <c r="F325" t="str">
        <f>[1]Raw_Customer_Dim!$A$2</f>
        <v>CUST1000</v>
      </c>
      <c r="G325" t="str">
        <f>_xlfn.XLOOKUP(E325,Store_Dim!A:A,Store_Dim!B:B,"Not Found")</f>
        <v>Thomas, Bridges and Harris</v>
      </c>
      <c r="H325" t="str">
        <f>_xlfn.XLOOKUP(D325,Product_Dim!A:A,Product_Dim!C:C,"Not Found")</f>
        <v>Beauty</v>
      </c>
      <c r="I325" t="str">
        <f>_xlfn.XLOOKUP(E325,Store_Dim!A:A,Store_Dim!C:C,"Not Found")</f>
        <v>North</v>
      </c>
      <c r="J325" t="str">
        <f>_xlfn.XLOOKUP(C325,Customer_Dim!A:A,Customer_Dim!B:B,"Not Found")</f>
        <v>Monica Flynn</v>
      </c>
      <c r="K325">
        <f>Table511[[#This Row],[Total_Amount]]/(L325*(1-Table511[[#This Row],[Discount]]))</f>
        <v>1</v>
      </c>
      <c r="L325" s="5">
        <v>934.75</v>
      </c>
      <c r="M325">
        <v>0.11</v>
      </c>
      <c r="N325" t="s">
        <v>1351</v>
      </c>
      <c r="O325" s="5">
        <v>831.92750000000001</v>
      </c>
    </row>
    <row r="326" spans="1:15">
      <c r="A326" t="s">
        <v>1675</v>
      </c>
      <c r="B326" s="7">
        <v>45407</v>
      </c>
      <c r="C326" t="s">
        <v>531</v>
      </c>
      <c r="D326" t="s">
        <v>1269</v>
      </c>
      <c r="E326" t="s">
        <v>1304</v>
      </c>
      <c r="F326" t="str">
        <f>[1]Raw_Customer_Dim!$A$2</f>
        <v>CUST1000</v>
      </c>
      <c r="G326" t="str">
        <f>_xlfn.XLOOKUP(E326,Store_Dim!A:A,Store_Dim!B:B,"Not Found")</f>
        <v>Martinez-Mullins</v>
      </c>
      <c r="H326" t="str">
        <f>_xlfn.XLOOKUP(D326,Product_Dim!A:A,Product_Dim!C:C,"Not Found")</f>
        <v>Electronics</v>
      </c>
      <c r="I326" t="str">
        <f>_xlfn.XLOOKUP(E326,Store_Dim!A:A,Store_Dim!C:C,"Not Found")</f>
        <v>South</v>
      </c>
      <c r="J326" t="str">
        <f>_xlfn.XLOOKUP(C326,Customer_Dim!A:A,Customer_Dim!B:B,"Not Found")</f>
        <v>Nathaniel Hill</v>
      </c>
      <c r="K326">
        <f>Table511[[#This Row],[Total_Amount]]/(L326*(1-Table511[[#This Row],[Discount]]))</f>
        <v>4</v>
      </c>
      <c r="L326" s="5">
        <v>548.44000000000005</v>
      </c>
      <c r="M326">
        <v>0.05</v>
      </c>
      <c r="N326" t="s">
        <v>1351</v>
      </c>
      <c r="O326" s="5">
        <v>2084.0720000000001</v>
      </c>
    </row>
    <row r="327" spans="1:15">
      <c r="A327" t="s">
        <v>1676</v>
      </c>
      <c r="B327" s="7">
        <v>45764</v>
      </c>
      <c r="C327" t="s">
        <v>50</v>
      </c>
      <c r="D327" t="s">
        <v>1147</v>
      </c>
      <c r="E327" t="s">
        <v>1291</v>
      </c>
      <c r="F327" t="str">
        <f>[1]Raw_Customer_Dim!$A$2</f>
        <v>CUST1000</v>
      </c>
      <c r="G327" t="str">
        <f>_xlfn.XLOOKUP(E327,Store_Dim!A:A,Store_Dim!B:B,"Not Found")</f>
        <v>Johnson-Wright</v>
      </c>
      <c r="H327" t="str">
        <f>_xlfn.XLOOKUP(D327,Product_Dim!A:A,Product_Dim!C:C,"Not Found")</f>
        <v>Clothing</v>
      </c>
      <c r="I327" t="str">
        <f>_xlfn.XLOOKUP(E327,Store_Dim!A:A,Store_Dim!C:C,"Not Found")</f>
        <v>North</v>
      </c>
      <c r="J327" t="str">
        <f>_xlfn.XLOOKUP(C327,Customer_Dim!A:A,Customer_Dim!B:B,"Not Found")</f>
        <v>Nathan Hernandez</v>
      </c>
      <c r="K327">
        <f>Table511[[#This Row],[Total_Amount]]/(L327*(1-Table511[[#This Row],[Discount]]))</f>
        <v>3</v>
      </c>
      <c r="L327" s="5">
        <v>361.11</v>
      </c>
      <c r="M327">
        <v>0.06</v>
      </c>
      <c r="N327" t="s">
        <v>1349</v>
      </c>
      <c r="O327" s="5">
        <v>1018.3302</v>
      </c>
    </row>
    <row r="328" spans="1:15">
      <c r="A328" t="s">
        <v>1677</v>
      </c>
      <c r="B328" s="7">
        <v>45924</v>
      </c>
      <c r="C328" t="s">
        <v>436</v>
      </c>
      <c r="D328" t="s">
        <v>1099</v>
      </c>
      <c r="E328" t="s">
        <v>1282</v>
      </c>
      <c r="F328" t="str">
        <f>[1]Raw_Customer_Dim!$A$2</f>
        <v>CUST1000</v>
      </c>
      <c r="G328" t="str">
        <f>_xlfn.XLOOKUP(E328,Store_Dim!A:A,Store_Dim!B:B,"Not Found")</f>
        <v>Martinez, Adkins and Johnson</v>
      </c>
      <c r="H328" t="str">
        <f>_xlfn.XLOOKUP(D328,Product_Dim!A:A,Product_Dim!C:C,"Not Found")</f>
        <v>Electronics</v>
      </c>
      <c r="I328" t="str">
        <f>_xlfn.XLOOKUP(E328,Store_Dim!A:A,Store_Dim!C:C,"Not Found")</f>
        <v>North</v>
      </c>
      <c r="J328" t="str">
        <f>_xlfn.XLOOKUP(C328,Customer_Dim!A:A,Customer_Dim!B:B,"Not Found")</f>
        <v>Dr. Suzanne Bullock</v>
      </c>
      <c r="K328">
        <f>Table511[[#This Row],[Total_Amount]]/(L328*(1-Table511[[#This Row],[Discount]]))</f>
        <v>2</v>
      </c>
      <c r="L328" s="5">
        <v>610.37</v>
      </c>
      <c r="M328">
        <v>0.1</v>
      </c>
      <c r="N328" t="s">
        <v>1351</v>
      </c>
      <c r="O328" s="5">
        <v>1098.6659999999999</v>
      </c>
    </row>
    <row r="329" spans="1:15">
      <c r="A329" t="s">
        <v>1678</v>
      </c>
      <c r="B329" s="7">
        <v>45240</v>
      </c>
      <c r="C329" t="s">
        <v>732</v>
      </c>
      <c r="D329" t="s">
        <v>1175</v>
      </c>
      <c r="E329" t="s">
        <v>1329</v>
      </c>
      <c r="F329" t="str">
        <f>[1]Raw_Customer_Dim!$A$2</f>
        <v>CUST1000</v>
      </c>
      <c r="G329" t="str">
        <f>_xlfn.XLOOKUP(E329,Store_Dim!A:A,Store_Dim!B:B,"Not Found")</f>
        <v>Frederick-Wright</v>
      </c>
      <c r="H329" t="str">
        <f>_xlfn.XLOOKUP(D329,Product_Dim!A:A,Product_Dim!C:C,"Not Found")</f>
        <v>Electronics</v>
      </c>
      <c r="I329" t="str">
        <f>_xlfn.XLOOKUP(E329,Store_Dim!A:A,Store_Dim!C:C,"Not Found")</f>
        <v>West</v>
      </c>
      <c r="J329" t="str">
        <f>_xlfn.XLOOKUP(C329,Customer_Dim!A:A,Customer_Dim!B:B,"Not Found")</f>
        <v>Mr. Christopher Sims</v>
      </c>
      <c r="K329">
        <f>Table511[[#This Row],[Total_Amount]]/(L329*(1-Table511[[#This Row],[Discount]]))</f>
        <v>1</v>
      </c>
      <c r="L329" s="5">
        <v>272.2</v>
      </c>
      <c r="M329">
        <v>0.3</v>
      </c>
      <c r="N329" t="s">
        <v>1349</v>
      </c>
      <c r="O329" s="5">
        <v>190.54</v>
      </c>
    </row>
    <row r="330" spans="1:15">
      <c r="A330" t="s">
        <v>1679</v>
      </c>
      <c r="B330" s="7">
        <v>45349</v>
      </c>
      <c r="C330" t="s">
        <v>939</v>
      </c>
      <c r="D330" t="s">
        <v>1227</v>
      </c>
      <c r="E330" t="s">
        <v>1301</v>
      </c>
      <c r="F330" t="str">
        <f>[1]Raw_Customer_Dim!$A$2</f>
        <v>CUST1000</v>
      </c>
      <c r="G330" t="str">
        <f>_xlfn.XLOOKUP(E330,Store_Dim!A:A,Store_Dim!B:B,"Not Found")</f>
        <v>Benson-Elliott</v>
      </c>
      <c r="H330" t="str">
        <f>_xlfn.XLOOKUP(D330,Product_Dim!A:A,Product_Dim!C:C,"Not Found")</f>
        <v>Electronics</v>
      </c>
      <c r="I330" t="str">
        <f>_xlfn.XLOOKUP(E330,Store_Dim!A:A,Store_Dim!C:C,"Not Found")</f>
        <v>East</v>
      </c>
      <c r="J330" t="str">
        <f>_xlfn.XLOOKUP(C330,Customer_Dim!A:A,Customer_Dim!B:B,"Not Found")</f>
        <v>Monica Flynn</v>
      </c>
      <c r="K330">
        <f>Table511[[#This Row],[Total_Amount]]/(L330*(1-Table511[[#This Row],[Discount]]))</f>
        <v>3</v>
      </c>
      <c r="L330" s="5">
        <v>573.1</v>
      </c>
      <c r="M330">
        <v>0.16</v>
      </c>
      <c r="N330" t="s">
        <v>1354</v>
      </c>
      <c r="O330" s="5">
        <v>1444.212</v>
      </c>
    </row>
    <row r="331" spans="1:15">
      <c r="A331" t="s">
        <v>1680</v>
      </c>
      <c r="B331" s="7">
        <v>45756</v>
      </c>
      <c r="C331" t="s">
        <v>708</v>
      </c>
      <c r="D331" t="s">
        <v>1082</v>
      </c>
      <c r="E331" t="s">
        <v>1277</v>
      </c>
      <c r="F331" t="str">
        <f>[1]Raw_Customer_Dim!$A$2</f>
        <v>CUST1000</v>
      </c>
      <c r="G331" t="str">
        <f>_xlfn.XLOOKUP(E331,Store_Dim!A:A,Store_Dim!B:B,"Not Found")</f>
        <v>Rivera-Warner</v>
      </c>
      <c r="H331" t="str">
        <f>_xlfn.XLOOKUP(D331,Product_Dim!A:A,Product_Dim!C:C,"Not Found")</f>
        <v>Beauty</v>
      </c>
      <c r="I331" t="str">
        <f>_xlfn.XLOOKUP(E331,Store_Dim!A:A,Store_Dim!C:C,"Not Found")</f>
        <v>East</v>
      </c>
      <c r="J331" t="str">
        <f>_xlfn.XLOOKUP(C331,Customer_Dim!A:A,Customer_Dim!B:B,"Not Found")</f>
        <v>Samuel Arias</v>
      </c>
      <c r="K331">
        <f>Table511[[#This Row],[Total_Amount]]/(L331*(1-Table511[[#This Row],[Discount]]))</f>
        <v>4</v>
      </c>
      <c r="L331" s="5">
        <v>24.72</v>
      </c>
      <c r="M331">
        <v>0.28000000000000003</v>
      </c>
      <c r="N331" t="s">
        <v>1349</v>
      </c>
      <c r="O331" s="5">
        <v>71.193599999999989</v>
      </c>
    </row>
    <row r="332" spans="1:15">
      <c r="A332" t="s">
        <v>1681</v>
      </c>
      <c r="B332" s="7">
        <v>45478</v>
      </c>
      <c r="C332" t="s">
        <v>565</v>
      </c>
      <c r="D332" t="s">
        <v>1090</v>
      </c>
      <c r="E332" t="s">
        <v>1311</v>
      </c>
      <c r="F332" t="str">
        <f>[1]Raw_Customer_Dim!$A$2</f>
        <v>CUST1000</v>
      </c>
      <c r="G332" t="str">
        <f>_xlfn.XLOOKUP(E332,Store_Dim!A:A,Store_Dim!B:B,"Not Found")</f>
        <v>Moore, Padilla and Butler</v>
      </c>
      <c r="H332" t="str">
        <f>_xlfn.XLOOKUP(D332,Product_Dim!A:A,Product_Dim!C:C,"Not Found")</f>
        <v>Sports</v>
      </c>
      <c r="I332" t="str">
        <f>_xlfn.XLOOKUP(E332,Store_Dim!A:A,Store_Dim!C:C,"Not Found")</f>
        <v>South</v>
      </c>
      <c r="J332" t="str">
        <f>_xlfn.XLOOKUP(C332,Customer_Dim!A:A,Customer_Dim!B:B,"Not Found")</f>
        <v>Tyler Garner</v>
      </c>
      <c r="K332">
        <f>Table511[[#This Row],[Total_Amount]]/(L332*(1-Table511[[#This Row],[Discount]]))</f>
        <v>3</v>
      </c>
      <c r="L332" s="5">
        <v>268.89</v>
      </c>
      <c r="M332">
        <v>7.0000000000000007E-2</v>
      </c>
      <c r="N332" t="s">
        <v>1354</v>
      </c>
      <c r="O332" s="5">
        <v>750.20309999999995</v>
      </c>
    </row>
    <row r="333" spans="1:15">
      <c r="A333" t="s">
        <v>1682</v>
      </c>
      <c r="B333" s="7">
        <v>45890</v>
      </c>
      <c r="C333" t="s">
        <v>577</v>
      </c>
      <c r="D333" t="s">
        <v>1209</v>
      </c>
      <c r="E333" t="s">
        <v>1311</v>
      </c>
      <c r="F333" t="str">
        <f>[1]Raw_Customer_Dim!$A$2</f>
        <v>CUST1000</v>
      </c>
      <c r="G333" t="str">
        <f>_xlfn.XLOOKUP(E333,Store_Dim!A:A,Store_Dim!B:B,"Not Found")</f>
        <v>Moore, Padilla and Butler</v>
      </c>
      <c r="H333" t="str">
        <f>_xlfn.XLOOKUP(D333,Product_Dim!A:A,Product_Dim!C:C,"Not Found")</f>
        <v>Home</v>
      </c>
      <c r="I333" t="str">
        <f>_xlfn.XLOOKUP(E333,Store_Dim!A:A,Store_Dim!C:C,"Not Found")</f>
        <v>South</v>
      </c>
      <c r="J333" t="str">
        <f>_xlfn.XLOOKUP(C333,Customer_Dim!A:A,Customer_Dim!B:B,"Not Found")</f>
        <v>Christopher David</v>
      </c>
      <c r="K333">
        <f>Table511[[#This Row],[Total_Amount]]/(L333*(1-Table511[[#This Row],[Discount]]))</f>
        <v>1</v>
      </c>
      <c r="L333" s="5">
        <v>78.5</v>
      </c>
      <c r="M333">
        <v>0.17</v>
      </c>
      <c r="N333" t="s">
        <v>1354</v>
      </c>
      <c r="O333" s="5">
        <v>65.155000000000001</v>
      </c>
    </row>
    <row r="334" spans="1:15">
      <c r="A334" t="s">
        <v>1683</v>
      </c>
      <c r="B334" s="7">
        <v>45815</v>
      </c>
      <c r="C334" t="s">
        <v>327</v>
      </c>
      <c r="D334" t="s">
        <v>1145</v>
      </c>
      <c r="E334" t="s">
        <v>1294</v>
      </c>
      <c r="F334" t="str">
        <f>[1]Raw_Customer_Dim!$A$2</f>
        <v>CUST1000</v>
      </c>
      <c r="G334" t="str">
        <f>_xlfn.XLOOKUP(E334,Store_Dim!A:A,Store_Dim!B:B,"Not Found")</f>
        <v>Alexander Group</v>
      </c>
      <c r="H334" t="str">
        <f>_xlfn.XLOOKUP(D334,Product_Dim!A:A,Product_Dim!C:C,"Not Found")</f>
        <v>Clothing</v>
      </c>
      <c r="I334" t="str">
        <f>_xlfn.XLOOKUP(E334,Store_Dim!A:A,Store_Dim!C:C,"Not Found")</f>
        <v>South</v>
      </c>
      <c r="J334" t="str">
        <f>_xlfn.XLOOKUP(C334,Customer_Dim!A:A,Customer_Dim!B:B,"Not Found")</f>
        <v>Hayley Pope</v>
      </c>
      <c r="K334">
        <f>Table511[[#This Row],[Total_Amount]]/(L334*(1-Table511[[#This Row],[Discount]]))</f>
        <v>2.9999999999999996</v>
      </c>
      <c r="L334" s="5">
        <v>399.42</v>
      </c>
      <c r="M334">
        <v>0.02</v>
      </c>
      <c r="N334" t="s">
        <v>1349</v>
      </c>
      <c r="O334" s="5">
        <v>1174.2947999999999</v>
      </c>
    </row>
    <row r="335" spans="1:15">
      <c r="A335" t="s">
        <v>1684</v>
      </c>
      <c r="B335" s="7">
        <v>45891</v>
      </c>
      <c r="C335" t="s">
        <v>224</v>
      </c>
      <c r="D335" t="s">
        <v>1135</v>
      </c>
      <c r="E335" t="s">
        <v>1338</v>
      </c>
      <c r="F335" t="str">
        <f>[1]Raw_Customer_Dim!$A$2</f>
        <v>CUST1000</v>
      </c>
      <c r="G335" t="str">
        <f>_xlfn.XLOOKUP(E335,Store_Dim!A:A,Store_Dim!B:B,"Not Found")</f>
        <v>Mann-Austin</v>
      </c>
      <c r="H335" t="str">
        <f>_xlfn.XLOOKUP(D335,Product_Dim!A:A,Product_Dim!C:C,"Not Found")</f>
        <v>Sports</v>
      </c>
      <c r="I335" t="str">
        <f>_xlfn.XLOOKUP(E335,Store_Dim!A:A,Store_Dim!C:C,"Not Found")</f>
        <v>East</v>
      </c>
      <c r="J335" t="str">
        <f>_xlfn.XLOOKUP(C335,Customer_Dim!A:A,Customer_Dim!B:B,"Not Found")</f>
        <v>Richard Delgado</v>
      </c>
      <c r="K335">
        <f>Table511[[#This Row],[Total_Amount]]/(L335*(1-Table511[[#This Row],[Discount]]))</f>
        <v>3</v>
      </c>
      <c r="L335" s="5">
        <v>455.82</v>
      </c>
      <c r="M335">
        <v>0.01</v>
      </c>
      <c r="N335" t="s">
        <v>1351</v>
      </c>
      <c r="O335" s="5">
        <v>1353.7854</v>
      </c>
    </row>
    <row r="336" spans="1:15">
      <c r="A336" t="s">
        <v>1685</v>
      </c>
      <c r="B336" s="7">
        <v>45609</v>
      </c>
      <c r="C336" t="s">
        <v>762</v>
      </c>
      <c r="D336" t="s">
        <v>1173</v>
      </c>
      <c r="E336" t="s">
        <v>1298</v>
      </c>
      <c r="F336" t="str">
        <f>[1]Raw_Customer_Dim!$A$2</f>
        <v>CUST1000</v>
      </c>
      <c r="G336" t="str">
        <f>_xlfn.XLOOKUP(E336,Store_Dim!A:A,Store_Dim!B:B,"Not Found")</f>
        <v>Gray Ltd</v>
      </c>
      <c r="H336" t="str">
        <f>_xlfn.XLOOKUP(D336,Product_Dim!A:A,Product_Dim!C:C,"Not Found")</f>
        <v>Sports</v>
      </c>
      <c r="I336" t="str">
        <f>_xlfn.XLOOKUP(E336,Store_Dim!A:A,Store_Dim!C:C,"Not Found")</f>
        <v>North</v>
      </c>
      <c r="J336" t="str">
        <f>_xlfn.XLOOKUP(C336,Customer_Dim!A:A,Customer_Dim!B:B,"Not Found")</f>
        <v>Heather Valenzuela</v>
      </c>
      <c r="K336">
        <f>Table511[[#This Row],[Total_Amount]]/(L336*(1-Table511[[#This Row],[Discount]]))</f>
        <v>2</v>
      </c>
      <c r="L336" s="5">
        <v>613.23</v>
      </c>
      <c r="M336">
        <v>0.15</v>
      </c>
      <c r="N336" t="s">
        <v>1351</v>
      </c>
      <c r="O336" s="5">
        <v>1042.491</v>
      </c>
    </row>
    <row r="337" spans="1:15">
      <c r="A337" t="s">
        <v>1686</v>
      </c>
      <c r="B337" s="7">
        <v>45309</v>
      </c>
      <c r="C337" t="s">
        <v>979</v>
      </c>
      <c r="D337" t="s">
        <v>1074</v>
      </c>
      <c r="E337" t="s">
        <v>1324</v>
      </c>
      <c r="F337" t="str">
        <f>[1]Raw_Customer_Dim!$A$2</f>
        <v>CUST1000</v>
      </c>
      <c r="G337" t="str">
        <f>_xlfn.XLOOKUP(E337,Store_Dim!A:A,Store_Dim!B:B,"Not Found")</f>
        <v>Mcdonald Inc</v>
      </c>
      <c r="H337" t="str">
        <f>_xlfn.XLOOKUP(D337,Product_Dim!A:A,Product_Dim!C:C,"Not Found")</f>
        <v>Clothing</v>
      </c>
      <c r="I337" t="str">
        <f>_xlfn.XLOOKUP(E337,Store_Dim!A:A,Store_Dim!C:C,"Not Found")</f>
        <v>South</v>
      </c>
      <c r="J337" t="str">
        <f>_xlfn.XLOOKUP(C337,Customer_Dim!A:A,Customer_Dim!B:B,"Not Found")</f>
        <v>Kelly Garrett</v>
      </c>
      <c r="K337">
        <f>Table511[[#This Row],[Total_Amount]]/(L337*(1-Table511[[#This Row],[Discount]]))</f>
        <v>4.0000000000000009</v>
      </c>
      <c r="L337" s="5">
        <v>971.9</v>
      </c>
      <c r="M337">
        <v>0.28000000000000003</v>
      </c>
      <c r="N337" t="s">
        <v>1351</v>
      </c>
      <c r="O337" s="5">
        <v>2799.0720000000001</v>
      </c>
    </row>
    <row r="338" spans="1:15">
      <c r="A338" t="s">
        <v>1687</v>
      </c>
      <c r="B338" s="7">
        <v>45519</v>
      </c>
      <c r="C338" t="s">
        <v>104</v>
      </c>
      <c r="D338" t="s">
        <v>1129</v>
      </c>
      <c r="E338" t="s">
        <v>1304</v>
      </c>
      <c r="F338" t="str">
        <f>[1]Raw_Customer_Dim!$A$2</f>
        <v>CUST1000</v>
      </c>
      <c r="G338" t="str">
        <f>_xlfn.XLOOKUP(E338,Store_Dim!A:A,Store_Dim!B:B,"Not Found")</f>
        <v>Martinez-Mullins</v>
      </c>
      <c r="H338" t="str">
        <f>_xlfn.XLOOKUP(D338,Product_Dim!A:A,Product_Dim!C:C,"Not Found")</f>
        <v>Sports</v>
      </c>
      <c r="I338" t="str">
        <f>_xlfn.XLOOKUP(E338,Store_Dim!A:A,Store_Dim!C:C,"Not Found")</f>
        <v>South</v>
      </c>
      <c r="J338" t="str">
        <f>_xlfn.XLOOKUP(C338,Customer_Dim!A:A,Customer_Dim!B:B,"Not Found")</f>
        <v>Christopher Olson</v>
      </c>
      <c r="K338">
        <f>Table511[[#This Row],[Total_Amount]]/(L338*(1-Table511[[#This Row],[Discount]]))</f>
        <v>3.0000000000000004</v>
      </c>
      <c r="L338" s="5">
        <v>884.92</v>
      </c>
      <c r="M338">
        <v>0.06</v>
      </c>
      <c r="N338" t="s">
        <v>1351</v>
      </c>
      <c r="O338" s="5">
        <v>2495.4744000000001</v>
      </c>
    </row>
    <row r="339" spans="1:15">
      <c r="A339" t="s">
        <v>1688</v>
      </c>
      <c r="B339" s="7">
        <v>45921</v>
      </c>
      <c r="C339" t="s">
        <v>229</v>
      </c>
      <c r="D339" t="s">
        <v>1087</v>
      </c>
      <c r="E339" t="s">
        <v>1311</v>
      </c>
      <c r="F339" t="str">
        <f>[1]Raw_Customer_Dim!$A$2</f>
        <v>CUST1000</v>
      </c>
      <c r="G339" t="str">
        <f>_xlfn.XLOOKUP(E339,Store_Dim!A:A,Store_Dim!B:B,"Not Found")</f>
        <v>Moore, Padilla and Butler</v>
      </c>
      <c r="H339" t="str">
        <f>_xlfn.XLOOKUP(D339,Product_Dim!A:A,Product_Dim!C:C,"Not Found")</f>
        <v>Electronics</v>
      </c>
      <c r="I339" t="str">
        <f>_xlfn.XLOOKUP(E339,Store_Dim!A:A,Store_Dim!C:C,"Not Found")</f>
        <v>South</v>
      </c>
      <c r="J339" t="str">
        <f>_xlfn.XLOOKUP(C339,Customer_Dim!A:A,Customer_Dim!B:B,"Not Found")</f>
        <v>Melissa Duffy MD</v>
      </c>
      <c r="K339">
        <f>Table511[[#This Row],[Total_Amount]]/(L339*(1-Table511[[#This Row],[Discount]]))</f>
        <v>1</v>
      </c>
      <c r="L339" s="5">
        <v>125</v>
      </c>
      <c r="M339">
        <v>0.23</v>
      </c>
      <c r="N339" t="s">
        <v>1349</v>
      </c>
      <c r="O339" s="5">
        <v>96.25</v>
      </c>
    </row>
    <row r="340" spans="1:15">
      <c r="A340" t="s">
        <v>1689</v>
      </c>
      <c r="B340" s="7">
        <v>45465</v>
      </c>
      <c r="C340" t="s">
        <v>317</v>
      </c>
      <c r="D340" t="s">
        <v>1093</v>
      </c>
      <c r="E340" t="s">
        <v>1326</v>
      </c>
      <c r="F340" t="str">
        <f>[1]Raw_Customer_Dim!$A$2</f>
        <v>CUST1000</v>
      </c>
      <c r="G340" t="str">
        <f>_xlfn.XLOOKUP(E340,Store_Dim!A:A,Store_Dim!B:B,"Not Found")</f>
        <v>Shelton PLC</v>
      </c>
      <c r="H340" t="str">
        <f>_xlfn.XLOOKUP(D340,Product_Dim!A:A,Product_Dim!C:C,"Not Found")</f>
        <v>Home</v>
      </c>
      <c r="I340" t="str">
        <f>_xlfn.XLOOKUP(E340,Store_Dim!A:A,Store_Dim!C:C,"Not Found")</f>
        <v>North</v>
      </c>
      <c r="J340" t="str">
        <f>_xlfn.XLOOKUP(C340,Customer_Dim!A:A,Customer_Dim!B:B,"Not Found")</f>
        <v>Susan Mcdonald</v>
      </c>
      <c r="K340">
        <f>Table511[[#This Row],[Total_Amount]]/(L340*(1-Table511[[#This Row],[Discount]]))</f>
        <v>2</v>
      </c>
      <c r="L340" s="5">
        <v>188.25</v>
      </c>
      <c r="M340">
        <v>0.08</v>
      </c>
      <c r="N340" t="s">
        <v>1351</v>
      </c>
      <c r="O340" s="5">
        <v>346.38</v>
      </c>
    </row>
    <row r="341" spans="1:15">
      <c r="A341" t="s">
        <v>1690</v>
      </c>
      <c r="B341" s="7">
        <v>45303</v>
      </c>
      <c r="C341" t="s">
        <v>507</v>
      </c>
      <c r="D341" t="s">
        <v>1165</v>
      </c>
      <c r="E341" t="s">
        <v>1301</v>
      </c>
      <c r="F341" t="str">
        <f>[1]Raw_Customer_Dim!$A$2</f>
        <v>CUST1000</v>
      </c>
      <c r="G341" t="str">
        <f>_xlfn.XLOOKUP(E341,Store_Dim!A:A,Store_Dim!B:B,"Not Found")</f>
        <v>Benson-Elliott</v>
      </c>
      <c r="H341" t="str">
        <f>_xlfn.XLOOKUP(D341,Product_Dim!A:A,Product_Dim!C:C,"Not Found")</f>
        <v>Clothing</v>
      </c>
      <c r="I341" t="str">
        <f>_xlfn.XLOOKUP(E341,Store_Dim!A:A,Store_Dim!C:C,"Not Found")</f>
        <v>East</v>
      </c>
      <c r="J341" t="str">
        <f>_xlfn.XLOOKUP(C341,Customer_Dim!A:A,Customer_Dim!B:B,"Not Found")</f>
        <v>Alejandro Doyle</v>
      </c>
      <c r="K341">
        <f>Table511[[#This Row],[Total_Amount]]/(L341*(1-Table511[[#This Row],[Discount]]))</f>
        <v>3.9999999999999991</v>
      </c>
      <c r="L341" s="5">
        <v>344.12</v>
      </c>
      <c r="M341">
        <v>0.25</v>
      </c>
      <c r="N341" t="s">
        <v>1351</v>
      </c>
      <c r="O341" s="5">
        <v>1032.3599999999999</v>
      </c>
    </row>
    <row r="342" spans="1:15">
      <c r="A342" t="s">
        <v>1691</v>
      </c>
      <c r="B342" s="7">
        <v>45218</v>
      </c>
      <c r="C342" t="s">
        <v>135</v>
      </c>
      <c r="D342" t="s">
        <v>1107</v>
      </c>
      <c r="E342" t="s">
        <v>1338</v>
      </c>
      <c r="F342" t="str">
        <f>[1]Raw_Customer_Dim!$A$2</f>
        <v>CUST1000</v>
      </c>
      <c r="G342" t="str">
        <f>_xlfn.XLOOKUP(E342,Store_Dim!A:A,Store_Dim!B:B,"Not Found")</f>
        <v>Mann-Austin</v>
      </c>
      <c r="H342" t="str">
        <f>_xlfn.XLOOKUP(D342,Product_Dim!A:A,Product_Dim!C:C,"Not Found")</f>
        <v>Sports</v>
      </c>
      <c r="I342" t="str">
        <f>_xlfn.XLOOKUP(E342,Store_Dim!A:A,Store_Dim!C:C,"Not Found")</f>
        <v>East</v>
      </c>
      <c r="J342" t="str">
        <f>_xlfn.XLOOKUP(C342,Customer_Dim!A:A,Customer_Dim!B:B,"Not Found")</f>
        <v>Gina Knight</v>
      </c>
      <c r="K342">
        <f>Table511[[#This Row],[Total_Amount]]/(L342*(1-Table511[[#This Row],[Discount]]))</f>
        <v>2.9999999999999996</v>
      </c>
      <c r="L342" s="5">
        <v>997.95</v>
      </c>
      <c r="M342">
        <v>0.09</v>
      </c>
      <c r="N342" t="s">
        <v>1354</v>
      </c>
      <c r="O342" s="5">
        <v>2724.4034999999999</v>
      </c>
    </row>
    <row r="343" spans="1:15">
      <c r="A343" t="s">
        <v>1692</v>
      </c>
      <c r="B343" s="7">
        <v>45727</v>
      </c>
      <c r="C343" t="s">
        <v>361</v>
      </c>
      <c r="D343" t="s">
        <v>1095</v>
      </c>
      <c r="E343" t="s">
        <v>1326</v>
      </c>
      <c r="F343" t="str">
        <f>[1]Raw_Customer_Dim!$A$2</f>
        <v>CUST1000</v>
      </c>
      <c r="G343" t="str">
        <f>_xlfn.XLOOKUP(E343,Store_Dim!A:A,Store_Dim!B:B,"Not Found")</f>
        <v>Shelton PLC</v>
      </c>
      <c r="H343" t="str">
        <f>_xlfn.XLOOKUP(D343,Product_Dim!A:A,Product_Dim!C:C,"Not Found")</f>
        <v>Electronics</v>
      </c>
      <c r="I343" t="str">
        <f>_xlfn.XLOOKUP(E343,Store_Dim!A:A,Store_Dim!C:C,"Not Found")</f>
        <v>North</v>
      </c>
      <c r="J343" t="str">
        <f>_xlfn.XLOOKUP(C343,Customer_Dim!A:A,Customer_Dim!B:B,"Not Found")</f>
        <v>Stephanie Conway</v>
      </c>
      <c r="K343">
        <f>Table511[[#This Row],[Total_Amount]]/(L343*(1-Table511[[#This Row],[Discount]]))</f>
        <v>3.0000000000000004</v>
      </c>
      <c r="L343" s="5">
        <v>121.64</v>
      </c>
      <c r="M343">
        <v>7.0000000000000007E-2</v>
      </c>
      <c r="N343" t="s">
        <v>1351</v>
      </c>
      <c r="O343" s="5">
        <v>339.37560000000002</v>
      </c>
    </row>
    <row r="344" spans="1:15">
      <c r="A344" t="s">
        <v>1693</v>
      </c>
      <c r="B344" s="7">
        <v>45557</v>
      </c>
      <c r="C344" t="s">
        <v>505</v>
      </c>
      <c r="D344" t="s">
        <v>1209</v>
      </c>
      <c r="E344" t="s">
        <v>1314</v>
      </c>
      <c r="F344" t="str">
        <f>[1]Raw_Customer_Dim!$A$2</f>
        <v>CUST1000</v>
      </c>
      <c r="G344" t="str">
        <f>_xlfn.XLOOKUP(E344,Store_Dim!A:A,Store_Dim!B:B,"Not Found")</f>
        <v>Hill, Wagner and Ballard</v>
      </c>
      <c r="H344" t="str">
        <f>_xlfn.XLOOKUP(D344,Product_Dim!A:A,Product_Dim!C:C,"Not Found")</f>
        <v>Home</v>
      </c>
      <c r="I344" t="str">
        <f>_xlfn.XLOOKUP(E344,Store_Dim!A:A,Store_Dim!C:C,"Not Found")</f>
        <v>East</v>
      </c>
      <c r="J344" t="str">
        <f>_xlfn.XLOOKUP(C344,Customer_Dim!A:A,Customer_Dim!B:B,"Not Found")</f>
        <v>Lisa Young</v>
      </c>
      <c r="K344">
        <f>Table511[[#This Row],[Total_Amount]]/(L344*(1-Table511[[#This Row],[Discount]]))</f>
        <v>1.9999999999999996</v>
      </c>
      <c r="L344" s="5">
        <v>692.72</v>
      </c>
      <c r="M344">
        <v>0.13</v>
      </c>
      <c r="N344" t="s">
        <v>1351</v>
      </c>
      <c r="O344" s="5">
        <v>1205.3327999999999</v>
      </c>
    </row>
    <row r="345" spans="1:15">
      <c r="A345" t="s">
        <v>1694</v>
      </c>
      <c r="B345" s="7">
        <v>45623</v>
      </c>
      <c r="C345" t="s">
        <v>87</v>
      </c>
      <c r="D345" t="s">
        <v>1121</v>
      </c>
      <c r="E345" t="s">
        <v>1338</v>
      </c>
      <c r="F345" t="str">
        <f>[1]Raw_Customer_Dim!$A$2</f>
        <v>CUST1000</v>
      </c>
      <c r="G345" t="str">
        <f>_xlfn.XLOOKUP(E345,Store_Dim!A:A,Store_Dim!B:B,"Not Found")</f>
        <v>Mann-Austin</v>
      </c>
      <c r="H345" t="str">
        <f>_xlfn.XLOOKUP(D345,Product_Dim!A:A,Product_Dim!C:C,"Not Found")</f>
        <v>Sports</v>
      </c>
      <c r="I345" t="str">
        <f>_xlfn.XLOOKUP(E345,Store_Dim!A:A,Store_Dim!C:C,"Not Found")</f>
        <v>East</v>
      </c>
      <c r="J345" t="str">
        <f>_xlfn.XLOOKUP(C345,Customer_Dim!A:A,Customer_Dim!B:B,"Not Found")</f>
        <v>Leslie Johnson</v>
      </c>
      <c r="K345">
        <f>Table511[[#This Row],[Total_Amount]]/(L345*(1-Table511[[#This Row],[Discount]]))</f>
        <v>3</v>
      </c>
      <c r="L345" s="5">
        <v>794.59</v>
      </c>
      <c r="M345">
        <v>0.03</v>
      </c>
      <c r="N345" t="s">
        <v>1351</v>
      </c>
      <c r="O345" s="5">
        <v>2312.2568999999999</v>
      </c>
    </row>
    <row r="346" spans="1:15">
      <c r="A346" t="s">
        <v>1695</v>
      </c>
      <c r="B346" s="7">
        <v>45224</v>
      </c>
      <c r="C346" t="s">
        <v>53</v>
      </c>
      <c r="D346" t="s">
        <v>1125</v>
      </c>
      <c r="E346" t="s">
        <v>1311</v>
      </c>
      <c r="F346" t="str">
        <f>[1]Raw_Customer_Dim!$A$2</f>
        <v>CUST1000</v>
      </c>
      <c r="G346" t="str">
        <f>_xlfn.XLOOKUP(E346,Store_Dim!A:A,Store_Dim!B:B,"Not Found")</f>
        <v>Moore, Padilla and Butler</v>
      </c>
      <c r="H346" t="str">
        <f>_xlfn.XLOOKUP(D346,Product_Dim!A:A,Product_Dim!C:C,"Not Found")</f>
        <v>Electronics</v>
      </c>
      <c r="I346" t="str">
        <f>_xlfn.XLOOKUP(E346,Store_Dim!A:A,Store_Dim!C:C,"Not Found")</f>
        <v>South</v>
      </c>
      <c r="J346" t="str">
        <f>_xlfn.XLOOKUP(C346,Customer_Dim!A:A,Customer_Dim!B:B,"Not Found")</f>
        <v>Ashley Cohen</v>
      </c>
      <c r="K346">
        <f>Table511[[#This Row],[Total_Amount]]/(L346*(1-Table511[[#This Row],[Discount]]))</f>
        <v>1</v>
      </c>
      <c r="L346" s="5">
        <v>907.95</v>
      </c>
      <c r="M346">
        <v>0.1</v>
      </c>
      <c r="N346" t="s">
        <v>1351</v>
      </c>
      <c r="O346" s="5">
        <v>817.15500000000009</v>
      </c>
    </row>
    <row r="347" spans="1:15">
      <c r="A347" t="s">
        <v>1696</v>
      </c>
      <c r="B347" s="7">
        <v>45940</v>
      </c>
      <c r="C347" t="s">
        <v>638</v>
      </c>
      <c r="D347" t="s">
        <v>1173</v>
      </c>
      <c r="E347" t="s">
        <v>1277</v>
      </c>
      <c r="F347" t="str">
        <f>[1]Raw_Customer_Dim!$A$2</f>
        <v>CUST1000</v>
      </c>
      <c r="G347" t="str">
        <f>_xlfn.XLOOKUP(E347,Store_Dim!A:A,Store_Dim!B:B,"Not Found")</f>
        <v>Rivera-Warner</v>
      </c>
      <c r="H347" t="str">
        <f>_xlfn.XLOOKUP(D347,Product_Dim!A:A,Product_Dim!C:C,"Not Found")</f>
        <v>Sports</v>
      </c>
      <c r="I347" t="str">
        <f>_xlfn.XLOOKUP(E347,Store_Dim!A:A,Store_Dim!C:C,"Not Found")</f>
        <v>East</v>
      </c>
      <c r="J347" t="str">
        <f>_xlfn.XLOOKUP(C347,Customer_Dim!A:A,Customer_Dim!B:B,"Not Found")</f>
        <v>Cynthia Roberts</v>
      </c>
      <c r="K347">
        <f>Table511[[#This Row],[Total_Amount]]/(L347*(1-Table511[[#This Row],[Discount]]))</f>
        <v>2</v>
      </c>
      <c r="L347" s="5">
        <v>660.81</v>
      </c>
      <c r="M347">
        <v>0.18</v>
      </c>
      <c r="N347" t="s">
        <v>1349</v>
      </c>
      <c r="O347" s="5">
        <v>1083.7284</v>
      </c>
    </row>
    <row r="348" spans="1:15">
      <c r="A348" t="s">
        <v>1697</v>
      </c>
      <c r="B348" s="7">
        <v>45915</v>
      </c>
      <c r="C348" t="s">
        <v>168</v>
      </c>
      <c r="D348" t="s">
        <v>1175</v>
      </c>
      <c r="E348" t="s">
        <v>1307</v>
      </c>
      <c r="F348" t="str">
        <f>[1]Raw_Customer_Dim!$A$2</f>
        <v>CUST1000</v>
      </c>
      <c r="G348" t="str">
        <f>_xlfn.XLOOKUP(E348,Store_Dim!A:A,Store_Dim!B:B,"Not Found")</f>
        <v>Bean, Jones and Park</v>
      </c>
      <c r="H348" t="str">
        <f>_xlfn.XLOOKUP(D348,Product_Dim!A:A,Product_Dim!C:C,"Not Found")</f>
        <v>Electronics</v>
      </c>
      <c r="I348" t="str">
        <f>_xlfn.XLOOKUP(E348,Store_Dim!A:A,Store_Dim!C:C,"Not Found")</f>
        <v>West</v>
      </c>
      <c r="J348" t="str">
        <f>_xlfn.XLOOKUP(C348,Customer_Dim!A:A,Customer_Dim!B:B,"Not Found")</f>
        <v>Kristin Stein</v>
      </c>
      <c r="K348">
        <f>Table511[[#This Row],[Total_Amount]]/(L348*(1-Table511[[#This Row],[Discount]]))</f>
        <v>2.9999999999999991</v>
      </c>
      <c r="L348" s="5">
        <v>564.94000000000005</v>
      </c>
      <c r="M348">
        <v>0.22</v>
      </c>
      <c r="N348" t="s">
        <v>1354</v>
      </c>
      <c r="O348" s="5">
        <v>1321.9595999999999</v>
      </c>
    </row>
    <row r="349" spans="1:15">
      <c r="A349" t="s">
        <v>1698</v>
      </c>
      <c r="B349" s="7">
        <v>45541</v>
      </c>
      <c r="C349" t="s">
        <v>152</v>
      </c>
      <c r="D349" t="s">
        <v>1103</v>
      </c>
      <c r="E349" t="s">
        <v>1326</v>
      </c>
      <c r="F349" t="str">
        <f>[1]Raw_Customer_Dim!$A$2</f>
        <v>CUST1000</v>
      </c>
      <c r="G349" t="str">
        <f>_xlfn.XLOOKUP(E349,Store_Dim!A:A,Store_Dim!B:B,"Not Found")</f>
        <v>Shelton PLC</v>
      </c>
      <c r="H349" t="str">
        <f>_xlfn.XLOOKUP(D349,Product_Dim!A:A,Product_Dim!C:C,"Not Found")</f>
        <v>Electronics</v>
      </c>
      <c r="I349" t="str">
        <f>_xlfn.XLOOKUP(E349,Store_Dim!A:A,Store_Dim!C:C,"Not Found")</f>
        <v>North</v>
      </c>
      <c r="J349" t="str">
        <f>_xlfn.XLOOKUP(C349,Customer_Dim!A:A,Customer_Dim!B:B,"Not Found")</f>
        <v>Katherine Dorsey</v>
      </c>
      <c r="K349">
        <f>Table511[[#This Row],[Total_Amount]]/(L349*(1-Table511[[#This Row],[Discount]]))</f>
        <v>2</v>
      </c>
      <c r="L349" s="5">
        <v>280.37</v>
      </c>
      <c r="M349">
        <v>0.22</v>
      </c>
      <c r="N349" t="s">
        <v>1354</v>
      </c>
      <c r="O349" s="5">
        <v>437.37720000000002</v>
      </c>
    </row>
    <row r="350" spans="1:15">
      <c r="A350" t="s">
        <v>1699</v>
      </c>
      <c r="B350" s="7">
        <v>45489</v>
      </c>
      <c r="C350" t="s">
        <v>807</v>
      </c>
      <c r="D350" t="s">
        <v>1173</v>
      </c>
      <c r="E350" t="s">
        <v>1291</v>
      </c>
      <c r="F350" t="str">
        <f>[1]Raw_Customer_Dim!$A$2</f>
        <v>CUST1000</v>
      </c>
      <c r="G350" t="str">
        <f>_xlfn.XLOOKUP(E350,Store_Dim!A:A,Store_Dim!B:B,"Not Found")</f>
        <v>Johnson-Wright</v>
      </c>
      <c r="H350" t="str">
        <f>_xlfn.XLOOKUP(D350,Product_Dim!A:A,Product_Dim!C:C,"Not Found")</f>
        <v>Sports</v>
      </c>
      <c r="I350" t="str">
        <f>_xlfn.XLOOKUP(E350,Store_Dim!A:A,Store_Dim!C:C,"Not Found")</f>
        <v>North</v>
      </c>
      <c r="J350" t="str">
        <f>_xlfn.XLOOKUP(C350,Customer_Dim!A:A,Customer_Dim!B:B,"Not Found")</f>
        <v>Jacqueline Anthony</v>
      </c>
      <c r="K350">
        <f>Table511[[#This Row],[Total_Amount]]/(L350*(1-Table511[[#This Row],[Discount]]))</f>
        <v>1.9999999999999996</v>
      </c>
      <c r="L350" s="5">
        <v>85.23</v>
      </c>
      <c r="M350">
        <v>0.13</v>
      </c>
      <c r="N350" t="s">
        <v>1349</v>
      </c>
      <c r="O350" s="5">
        <v>148.30019999999999</v>
      </c>
    </row>
    <row r="351" spans="1:15">
      <c r="A351" t="s">
        <v>1700</v>
      </c>
      <c r="B351" s="7">
        <v>45748</v>
      </c>
      <c r="C351" t="s">
        <v>688</v>
      </c>
      <c r="D351" t="s">
        <v>1127</v>
      </c>
      <c r="E351" t="s">
        <v>1322</v>
      </c>
      <c r="F351" t="str">
        <f>[1]Raw_Customer_Dim!$A$2</f>
        <v>CUST1000</v>
      </c>
      <c r="G351" t="str">
        <f>_xlfn.XLOOKUP(E351,Store_Dim!A:A,Store_Dim!B:B,"Not Found")</f>
        <v>Gardner, Humphrey and Contreras</v>
      </c>
      <c r="H351" t="str">
        <f>_xlfn.XLOOKUP(D351,Product_Dim!A:A,Product_Dim!C:C,"Not Found")</f>
        <v>Home</v>
      </c>
      <c r="I351" t="str">
        <f>_xlfn.XLOOKUP(E351,Store_Dim!A:A,Store_Dim!C:C,"Not Found")</f>
        <v>East</v>
      </c>
      <c r="J351" t="str">
        <f>_xlfn.XLOOKUP(C351,Customer_Dim!A:A,Customer_Dim!B:B,"Not Found")</f>
        <v>Jason Mullins</v>
      </c>
      <c r="K351">
        <f>Table511[[#This Row],[Total_Amount]]/(L351*(1-Table511[[#This Row],[Discount]]))</f>
        <v>2</v>
      </c>
      <c r="L351" s="5">
        <v>563.29999999999995</v>
      </c>
      <c r="M351">
        <v>0.26</v>
      </c>
      <c r="N351" t="s">
        <v>1349</v>
      </c>
      <c r="O351" s="5">
        <v>833.68399999999997</v>
      </c>
    </row>
    <row r="352" spans="1:15">
      <c r="A352" t="s">
        <v>1701</v>
      </c>
      <c r="B352" s="7">
        <v>45309</v>
      </c>
      <c r="C352" t="s">
        <v>102</v>
      </c>
      <c r="D352" t="s">
        <v>1233</v>
      </c>
      <c r="E352" t="s">
        <v>1335</v>
      </c>
      <c r="F352" t="str">
        <f>[1]Raw_Customer_Dim!$A$2</f>
        <v>CUST1000</v>
      </c>
      <c r="G352" t="str">
        <f>_xlfn.XLOOKUP(E352,Store_Dim!A:A,Store_Dim!B:B,"Not Found")</f>
        <v>Guerrero-Schmitt</v>
      </c>
      <c r="H352" t="str">
        <f>_xlfn.XLOOKUP(D352,Product_Dim!A:A,Product_Dim!C:C,"Not Found")</f>
        <v>Home</v>
      </c>
      <c r="I352" t="str">
        <f>_xlfn.XLOOKUP(E352,Store_Dim!A:A,Store_Dim!C:C,"Not Found")</f>
        <v>East</v>
      </c>
      <c r="J352" t="str">
        <f>_xlfn.XLOOKUP(C352,Customer_Dim!A:A,Customer_Dim!B:B,"Not Found")</f>
        <v>Robert Jones DDS</v>
      </c>
      <c r="K352">
        <f>Table511[[#This Row],[Total_Amount]]/(L352*(1-Table511[[#This Row],[Discount]]))</f>
        <v>2</v>
      </c>
      <c r="L352" s="5">
        <v>827.81</v>
      </c>
      <c r="M352">
        <v>0.04</v>
      </c>
      <c r="N352" t="s">
        <v>1351</v>
      </c>
      <c r="O352" s="5">
        <v>1589.3951999999999</v>
      </c>
    </row>
    <row r="353" spans="1:15">
      <c r="A353" t="s">
        <v>1702</v>
      </c>
      <c r="B353" s="7">
        <v>45621</v>
      </c>
      <c r="C353" t="s">
        <v>490</v>
      </c>
      <c r="D353" t="s">
        <v>1097</v>
      </c>
      <c r="E353" t="s">
        <v>1335</v>
      </c>
      <c r="F353" t="str">
        <f>[1]Raw_Customer_Dim!$A$2</f>
        <v>CUST1000</v>
      </c>
      <c r="G353" t="str">
        <f>_xlfn.XLOOKUP(E353,Store_Dim!A:A,Store_Dim!B:B,"Not Found")</f>
        <v>Guerrero-Schmitt</v>
      </c>
      <c r="H353" t="str">
        <f>_xlfn.XLOOKUP(D353,Product_Dim!A:A,Product_Dim!C:C,"Not Found")</f>
        <v>Beauty</v>
      </c>
      <c r="I353" t="str">
        <f>_xlfn.XLOOKUP(E353,Store_Dim!A:A,Store_Dim!C:C,"Not Found")</f>
        <v>East</v>
      </c>
      <c r="J353" t="str">
        <f>_xlfn.XLOOKUP(C353,Customer_Dim!A:A,Customer_Dim!B:B,"Not Found")</f>
        <v>Eric Todd</v>
      </c>
      <c r="K353">
        <f>Table511[[#This Row],[Total_Amount]]/(L353*(1-Table511[[#This Row],[Discount]]))</f>
        <v>2.9999999999999996</v>
      </c>
      <c r="L353" s="5">
        <v>877.71</v>
      </c>
      <c r="M353">
        <v>0.12</v>
      </c>
      <c r="N353" t="s">
        <v>1351</v>
      </c>
      <c r="O353" s="5">
        <v>2317.1543999999999</v>
      </c>
    </row>
    <row r="354" spans="1:15">
      <c r="A354" t="s">
        <v>1703</v>
      </c>
      <c r="B354" s="7">
        <v>45603</v>
      </c>
      <c r="C354" t="s">
        <v>577</v>
      </c>
      <c r="D354" t="s">
        <v>1187</v>
      </c>
      <c r="E354" t="s">
        <v>1311</v>
      </c>
      <c r="F354" t="str">
        <f>[1]Raw_Customer_Dim!$A$2</f>
        <v>CUST1000</v>
      </c>
      <c r="G354" t="str">
        <f>_xlfn.XLOOKUP(E354,Store_Dim!A:A,Store_Dim!B:B,"Not Found")</f>
        <v>Moore, Padilla and Butler</v>
      </c>
      <c r="H354" t="str">
        <f>_xlfn.XLOOKUP(D354,Product_Dim!A:A,Product_Dim!C:C,"Not Found")</f>
        <v>Sports</v>
      </c>
      <c r="I354" t="str">
        <f>_xlfn.XLOOKUP(E354,Store_Dim!A:A,Store_Dim!C:C,"Not Found")</f>
        <v>South</v>
      </c>
      <c r="J354" t="str">
        <f>_xlfn.XLOOKUP(C354,Customer_Dim!A:A,Customer_Dim!B:B,"Not Found")</f>
        <v>Christopher David</v>
      </c>
      <c r="K354">
        <f>Table511[[#This Row],[Total_Amount]]/(L354*(1-Table511[[#This Row],[Discount]]))</f>
        <v>4</v>
      </c>
      <c r="L354" s="5">
        <v>488.56</v>
      </c>
      <c r="M354">
        <v>0.26</v>
      </c>
      <c r="N354" t="s">
        <v>1354</v>
      </c>
      <c r="O354" s="5">
        <v>1446.1376</v>
      </c>
    </row>
    <row r="355" spans="1:15">
      <c r="A355" t="s">
        <v>1704</v>
      </c>
      <c r="B355" s="7">
        <v>45501</v>
      </c>
      <c r="C355" t="s">
        <v>267</v>
      </c>
      <c r="D355" t="s">
        <v>1123</v>
      </c>
      <c r="E355" t="s">
        <v>1319</v>
      </c>
      <c r="F355" t="str">
        <f>[1]Raw_Customer_Dim!$A$2</f>
        <v>CUST1000</v>
      </c>
      <c r="G355" t="str">
        <f>_xlfn.XLOOKUP(E355,Store_Dim!A:A,Store_Dim!B:B,"Not Found")</f>
        <v>Thomas, Bridges and Harris</v>
      </c>
      <c r="H355" t="str">
        <f>_xlfn.XLOOKUP(D355,Product_Dim!A:A,Product_Dim!C:C,"Not Found")</f>
        <v>Clothing</v>
      </c>
      <c r="I355" t="str">
        <f>_xlfn.XLOOKUP(E355,Store_Dim!A:A,Store_Dim!C:C,"Not Found")</f>
        <v>North</v>
      </c>
      <c r="J355" t="str">
        <f>_xlfn.XLOOKUP(C355,Customer_Dim!A:A,Customer_Dim!B:B,"Not Found")</f>
        <v>Christopher Lester</v>
      </c>
      <c r="K355">
        <f>Table511[[#This Row],[Total_Amount]]/(L355*(1-Table511[[#This Row],[Discount]]))</f>
        <v>4</v>
      </c>
      <c r="L355" s="5">
        <v>175.91</v>
      </c>
      <c r="M355">
        <v>0.13</v>
      </c>
      <c r="N355" t="s">
        <v>1351</v>
      </c>
      <c r="O355" s="5">
        <v>612.16679999999997</v>
      </c>
    </row>
    <row r="356" spans="1:15">
      <c r="A356" t="s">
        <v>1705</v>
      </c>
      <c r="B356" s="7">
        <v>45398</v>
      </c>
      <c r="C356" t="s">
        <v>559</v>
      </c>
      <c r="D356" t="s">
        <v>1247</v>
      </c>
      <c r="E356" t="s">
        <v>1307</v>
      </c>
      <c r="F356" t="str">
        <f>[1]Raw_Customer_Dim!$A$2</f>
        <v>CUST1000</v>
      </c>
      <c r="G356" t="str">
        <f>_xlfn.XLOOKUP(E356,Store_Dim!A:A,Store_Dim!B:B,"Not Found")</f>
        <v>Bean, Jones and Park</v>
      </c>
      <c r="H356" t="str">
        <f>_xlfn.XLOOKUP(D356,Product_Dim!A:A,Product_Dim!C:C,"Not Found")</f>
        <v>Home</v>
      </c>
      <c r="I356" t="str">
        <f>_xlfn.XLOOKUP(E356,Store_Dim!A:A,Store_Dim!C:C,"Not Found")</f>
        <v>West</v>
      </c>
      <c r="J356" t="str">
        <f>_xlfn.XLOOKUP(C356,Customer_Dim!A:A,Customer_Dim!B:B,"Not Found")</f>
        <v>Nicholas Webb</v>
      </c>
      <c r="K356">
        <f>Table511[[#This Row],[Total_Amount]]/(L356*(1-Table511[[#This Row],[Discount]]))</f>
        <v>4</v>
      </c>
      <c r="L356" s="5">
        <v>289.66000000000003</v>
      </c>
      <c r="M356">
        <v>0.25</v>
      </c>
      <c r="N356" t="s">
        <v>1354</v>
      </c>
      <c r="O356" s="5">
        <v>868.98</v>
      </c>
    </row>
    <row r="357" spans="1:15">
      <c r="A357" t="s">
        <v>1706</v>
      </c>
      <c r="B357" s="7">
        <v>45304</v>
      </c>
      <c r="C357" t="s">
        <v>545</v>
      </c>
      <c r="D357" t="s">
        <v>1103</v>
      </c>
      <c r="E357" t="s">
        <v>1326</v>
      </c>
      <c r="F357" t="str">
        <f>[1]Raw_Customer_Dim!$A$2</f>
        <v>CUST1000</v>
      </c>
      <c r="G357" t="str">
        <f>_xlfn.XLOOKUP(E357,Store_Dim!A:A,Store_Dim!B:B,"Not Found")</f>
        <v>Shelton PLC</v>
      </c>
      <c r="H357" t="str">
        <f>_xlfn.XLOOKUP(D357,Product_Dim!A:A,Product_Dim!C:C,"Not Found")</f>
        <v>Electronics</v>
      </c>
      <c r="I357" t="str">
        <f>_xlfn.XLOOKUP(E357,Store_Dim!A:A,Store_Dim!C:C,"Not Found")</f>
        <v>North</v>
      </c>
      <c r="J357" t="str">
        <f>_xlfn.XLOOKUP(C357,Customer_Dim!A:A,Customer_Dim!B:B,"Not Found")</f>
        <v>Mr. William Horton</v>
      </c>
      <c r="K357">
        <f>Table511[[#This Row],[Total_Amount]]/(L357*(1-Table511[[#This Row],[Discount]]))</f>
        <v>2</v>
      </c>
      <c r="L357" s="5">
        <v>899.27</v>
      </c>
      <c r="M357">
        <v>0.17</v>
      </c>
      <c r="N357" t="s">
        <v>1349</v>
      </c>
      <c r="O357" s="5">
        <v>1492.7882</v>
      </c>
    </row>
    <row r="358" spans="1:15">
      <c r="A358" t="s">
        <v>1707</v>
      </c>
      <c r="B358" s="7">
        <v>45299</v>
      </c>
      <c r="C358" t="s">
        <v>178</v>
      </c>
      <c r="D358" t="s">
        <v>1109</v>
      </c>
      <c r="E358" t="s">
        <v>1282</v>
      </c>
      <c r="F358" t="str">
        <f>[1]Raw_Customer_Dim!$A$2</f>
        <v>CUST1000</v>
      </c>
      <c r="G358" t="str">
        <f>_xlfn.XLOOKUP(E358,Store_Dim!A:A,Store_Dim!B:B,"Not Found")</f>
        <v>Martinez, Adkins and Johnson</v>
      </c>
      <c r="H358" t="str">
        <f>_xlfn.XLOOKUP(D358,Product_Dim!A:A,Product_Dim!C:C,"Not Found")</f>
        <v>Clothing</v>
      </c>
      <c r="I358" t="str">
        <f>_xlfn.XLOOKUP(E358,Store_Dim!A:A,Store_Dim!C:C,"Not Found")</f>
        <v>North</v>
      </c>
      <c r="J358" t="str">
        <f>_xlfn.XLOOKUP(C358,Customer_Dim!A:A,Customer_Dim!B:B,"Not Found")</f>
        <v>Michael Thomas</v>
      </c>
      <c r="K358">
        <f>Table511[[#This Row],[Total_Amount]]/(L358*(1-Table511[[#This Row],[Discount]]))</f>
        <v>1</v>
      </c>
      <c r="L358" s="5">
        <v>691.38</v>
      </c>
      <c r="M358">
        <v>0.11</v>
      </c>
      <c r="N358" t="s">
        <v>1354</v>
      </c>
      <c r="O358" s="5">
        <v>615.32820000000004</v>
      </c>
    </row>
    <row r="359" spans="1:15">
      <c r="A359" t="s">
        <v>1708</v>
      </c>
      <c r="B359" s="7">
        <v>45564</v>
      </c>
      <c r="C359" t="s">
        <v>391</v>
      </c>
      <c r="D359" t="s">
        <v>1127</v>
      </c>
      <c r="E359" t="s">
        <v>1277</v>
      </c>
      <c r="F359" t="str">
        <f>[1]Raw_Customer_Dim!$A$2</f>
        <v>CUST1000</v>
      </c>
      <c r="G359" t="str">
        <f>_xlfn.XLOOKUP(E359,Store_Dim!A:A,Store_Dim!B:B,"Not Found")</f>
        <v>Rivera-Warner</v>
      </c>
      <c r="H359" t="str">
        <f>_xlfn.XLOOKUP(D359,Product_Dim!A:A,Product_Dim!C:C,"Not Found")</f>
        <v>Home</v>
      </c>
      <c r="I359" t="str">
        <f>_xlfn.XLOOKUP(E359,Store_Dim!A:A,Store_Dim!C:C,"Not Found")</f>
        <v>East</v>
      </c>
      <c r="J359" t="str">
        <f>_xlfn.XLOOKUP(C359,Customer_Dim!A:A,Customer_Dim!B:B,"Not Found")</f>
        <v>Jason Wheeler</v>
      </c>
      <c r="K359">
        <f>Table511[[#This Row],[Total_Amount]]/(L359*(1-Table511[[#This Row],[Discount]]))</f>
        <v>3</v>
      </c>
      <c r="L359" s="5">
        <v>158.72</v>
      </c>
      <c r="M359">
        <v>0.13</v>
      </c>
      <c r="N359" t="s">
        <v>1349</v>
      </c>
      <c r="O359" s="5">
        <v>414.25920000000002</v>
      </c>
    </row>
    <row r="360" spans="1:15">
      <c r="A360" t="s">
        <v>1709</v>
      </c>
      <c r="B360" s="7">
        <v>45413</v>
      </c>
      <c r="C360" t="s">
        <v>482</v>
      </c>
      <c r="D360" t="s">
        <v>1193</v>
      </c>
      <c r="E360" t="s">
        <v>1329</v>
      </c>
      <c r="F360" t="str">
        <f>[1]Raw_Customer_Dim!$A$2</f>
        <v>CUST1000</v>
      </c>
      <c r="G360" t="str">
        <f>_xlfn.XLOOKUP(E360,Store_Dim!A:A,Store_Dim!B:B,"Not Found")</f>
        <v>Frederick-Wright</v>
      </c>
      <c r="H360" t="str">
        <f>_xlfn.XLOOKUP(D360,Product_Dim!A:A,Product_Dim!C:C,"Not Found")</f>
        <v>Beauty</v>
      </c>
      <c r="I360" t="str">
        <f>_xlfn.XLOOKUP(E360,Store_Dim!A:A,Store_Dim!C:C,"Not Found")</f>
        <v>West</v>
      </c>
      <c r="J360" t="str">
        <f>_xlfn.XLOOKUP(C360,Customer_Dim!A:A,Customer_Dim!B:B,"Not Found")</f>
        <v>Antonio Jones</v>
      </c>
      <c r="K360">
        <f>Table511[[#This Row],[Total_Amount]]/(L360*(1-Table511[[#This Row],[Discount]]))</f>
        <v>4.0000000000000009</v>
      </c>
      <c r="L360" s="5">
        <v>537.15</v>
      </c>
      <c r="M360">
        <v>0.06</v>
      </c>
      <c r="N360" t="s">
        <v>1354</v>
      </c>
      <c r="O360" s="5">
        <v>2019.684</v>
      </c>
    </row>
    <row r="361" spans="1:15">
      <c r="A361" t="s">
        <v>1710</v>
      </c>
      <c r="B361" s="7">
        <v>45480</v>
      </c>
      <c r="C361" t="s">
        <v>897</v>
      </c>
      <c r="D361" t="s">
        <v>1155</v>
      </c>
      <c r="E361" t="s">
        <v>1311</v>
      </c>
      <c r="F361" t="str">
        <f>[1]Raw_Customer_Dim!$A$2</f>
        <v>CUST1000</v>
      </c>
      <c r="G361" t="str">
        <f>_xlfn.XLOOKUP(E361,Store_Dim!A:A,Store_Dim!B:B,"Not Found")</f>
        <v>Moore, Padilla and Butler</v>
      </c>
      <c r="H361" t="str">
        <f>_xlfn.XLOOKUP(D361,Product_Dim!A:A,Product_Dim!C:C,"Not Found")</f>
        <v>Sports</v>
      </c>
      <c r="I361" t="str">
        <f>_xlfn.XLOOKUP(E361,Store_Dim!A:A,Store_Dim!C:C,"Not Found")</f>
        <v>South</v>
      </c>
      <c r="J361" t="str">
        <f>_xlfn.XLOOKUP(C361,Customer_Dim!A:A,Customer_Dim!B:B,"Not Found")</f>
        <v>Karen King</v>
      </c>
      <c r="K361">
        <f>Table511[[#This Row],[Total_Amount]]/(L361*(1-Table511[[#This Row],[Discount]]))</f>
        <v>2.9999999999999996</v>
      </c>
      <c r="L361" s="5">
        <v>771.7</v>
      </c>
      <c r="M361">
        <v>0.05</v>
      </c>
      <c r="N361" t="s">
        <v>1354</v>
      </c>
      <c r="O361" s="5">
        <v>2199.3449999999998</v>
      </c>
    </row>
    <row r="362" spans="1:15">
      <c r="A362" t="s">
        <v>1711</v>
      </c>
      <c r="B362" s="7">
        <v>45610</v>
      </c>
      <c r="C362" t="s">
        <v>275</v>
      </c>
      <c r="D362" t="s">
        <v>1249</v>
      </c>
      <c r="E362" t="s">
        <v>1282</v>
      </c>
      <c r="F362" t="str">
        <f>[1]Raw_Customer_Dim!$A$2</f>
        <v>CUST1000</v>
      </c>
      <c r="G362" t="str">
        <f>_xlfn.XLOOKUP(E362,Store_Dim!A:A,Store_Dim!B:B,"Not Found")</f>
        <v>Martinez, Adkins and Johnson</v>
      </c>
      <c r="H362" t="str">
        <f>_xlfn.XLOOKUP(D362,Product_Dim!A:A,Product_Dim!C:C,"Not Found")</f>
        <v>Sports</v>
      </c>
      <c r="I362" t="str">
        <f>_xlfn.XLOOKUP(E362,Store_Dim!A:A,Store_Dim!C:C,"Not Found")</f>
        <v>North</v>
      </c>
      <c r="J362" t="str">
        <f>_xlfn.XLOOKUP(C362,Customer_Dim!A:A,Customer_Dim!B:B,"Not Found")</f>
        <v>Travis Holland</v>
      </c>
      <c r="K362">
        <f>Table511[[#This Row],[Total_Amount]]/(L362*(1-Table511[[#This Row],[Discount]]))</f>
        <v>4</v>
      </c>
      <c r="L362" s="5">
        <v>677.25</v>
      </c>
      <c r="M362">
        <v>0.14000000000000001</v>
      </c>
      <c r="N362" t="s">
        <v>1351</v>
      </c>
      <c r="O362" s="5">
        <v>2329.7399999999998</v>
      </c>
    </row>
    <row r="363" spans="1:15">
      <c r="A363" t="s">
        <v>1712</v>
      </c>
      <c r="B363" s="7">
        <v>45763</v>
      </c>
      <c r="C363" t="s">
        <v>263</v>
      </c>
      <c r="D363" t="s">
        <v>1269</v>
      </c>
      <c r="E363" t="s">
        <v>1317</v>
      </c>
      <c r="F363" t="str">
        <f>[1]Raw_Customer_Dim!$A$2</f>
        <v>CUST1000</v>
      </c>
      <c r="G363" t="str">
        <f>_xlfn.XLOOKUP(E363,Store_Dim!A:A,Store_Dim!B:B,"Not Found")</f>
        <v>Aguirre-Keller</v>
      </c>
      <c r="H363" t="str">
        <f>_xlfn.XLOOKUP(D363,Product_Dim!A:A,Product_Dim!C:C,"Not Found")</f>
        <v>Electronics</v>
      </c>
      <c r="I363" t="str">
        <f>_xlfn.XLOOKUP(E363,Store_Dim!A:A,Store_Dim!C:C,"Not Found")</f>
        <v>South</v>
      </c>
      <c r="J363" t="str">
        <f>_xlfn.XLOOKUP(C363,Customer_Dim!A:A,Customer_Dim!B:B,"Not Found")</f>
        <v>Sarah Schneider</v>
      </c>
      <c r="K363">
        <f>Table511[[#This Row],[Total_Amount]]/(L363*(1-Table511[[#This Row],[Discount]]))</f>
        <v>1</v>
      </c>
      <c r="L363" s="5">
        <v>645.48</v>
      </c>
      <c r="M363">
        <v>0.26</v>
      </c>
      <c r="N363" t="s">
        <v>1354</v>
      </c>
      <c r="O363" s="5">
        <v>477.65519999999998</v>
      </c>
    </row>
    <row r="364" spans="1:15">
      <c r="A364" t="s">
        <v>1713</v>
      </c>
      <c r="B364" s="7">
        <v>45856</v>
      </c>
      <c r="C364" t="s">
        <v>783</v>
      </c>
      <c r="D364" t="s">
        <v>1219</v>
      </c>
      <c r="E364" t="s">
        <v>1286</v>
      </c>
      <c r="F364" t="str">
        <f>[1]Raw_Customer_Dim!$A$2</f>
        <v>CUST1000</v>
      </c>
      <c r="G364" t="str">
        <f>_xlfn.XLOOKUP(E364,Store_Dim!A:A,Store_Dim!B:B,"Not Found")</f>
        <v>Black-Horn</v>
      </c>
      <c r="H364" t="str">
        <f>_xlfn.XLOOKUP(D364,Product_Dim!A:A,Product_Dim!C:C,"Not Found")</f>
        <v>Sports</v>
      </c>
      <c r="I364" t="str">
        <f>_xlfn.XLOOKUP(E364,Store_Dim!A:A,Store_Dim!C:C,"Not Found")</f>
        <v>South</v>
      </c>
      <c r="J364" t="str">
        <f>_xlfn.XLOOKUP(C364,Customer_Dim!A:A,Customer_Dim!B:B,"Not Found")</f>
        <v>Denise Tate</v>
      </c>
      <c r="K364">
        <f>Table511[[#This Row],[Total_Amount]]/(L364*(1-Table511[[#This Row],[Discount]]))</f>
        <v>2</v>
      </c>
      <c r="L364" s="5">
        <v>934</v>
      </c>
      <c r="M364">
        <v>0.3</v>
      </c>
      <c r="N364" t="s">
        <v>1354</v>
      </c>
      <c r="O364" s="5">
        <v>1307.5999999999999</v>
      </c>
    </row>
    <row r="365" spans="1:15">
      <c r="A365" t="s">
        <v>1714</v>
      </c>
      <c r="B365" s="7">
        <v>45712</v>
      </c>
      <c r="C365" t="s">
        <v>732</v>
      </c>
      <c r="D365" t="s">
        <v>1165</v>
      </c>
      <c r="E365" t="s">
        <v>1286</v>
      </c>
      <c r="F365" t="str">
        <f>[1]Raw_Customer_Dim!$A$2</f>
        <v>CUST1000</v>
      </c>
      <c r="G365" t="str">
        <f>_xlfn.XLOOKUP(E365,Store_Dim!A:A,Store_Dim!B:B,"Not Found")</f>
        <v>Black-Horn</v>
      </c>
      <c r="H365" t="str">
        <f>_xlfn.XLOOKUP(D365,Product_Dim!A:A,Product_Dim!C:C,"Not Found")</f>
        <v>Clothing</v>
      </c>
      <c r="I365" t="str">
        <f>_xlfn.XLOOKUP(E365,Store_Dim!A:A,Store_Dim!C:C,"Not Found")</f>
        <v>South</v>
      </c>
      <c r="J365" t="str">
        <f>_xlfn.XLOOKUP(C365,Customer_Dim!A:A,Customer_Dim!B:B,"Not Found")</f>
        <v>Mr. Christopher Sims</v>
      </c>
      <c r="K365">
        <f>Table511[[#This Row],[Total_Amount]]/(L365*(1-Table511[[#This Row],[Discount]]))</f>
        <v>1</v>
      </c>
      <c r="L365" s="5">
        <v>669.53</v>
      </c>
      <c r="M365">
        <v>0.2</v>
      </c>
      <c r="N365" t="s">
        <v>1349</v>
      </c>
      <c r="O365" s="5">
        <v>535.62400000000002</v>
      </c>
    </row>
    <row r="366" spans="1:15">
      <c r="A366" t="s">
        <v>1715</v>
      </c>
      <c r="B366" s="7">
        <v>45723</v>
      </c>
      <c r="C366" t="s">
        <v>494</v>
      </c>
      <c r="D366" t="s">
        <v>1143</v>
      </c>
      <c r="E366" t="s">
        <v>1335</v>
      </c>
      <c r="F366" t="str">
        <f>[1]Raw_Customer_Dim!$A$2</f>
        <v>CUST1000</v>
      </c>
      <c r="G366" t="str">
        <f>_xlfn.XLOOKUP(E366,Store_Dim!A:A,Store_Dim!B:B,"Not Found")</f>
        <v>Guerrero-Schmitt</v>
      </c>
      <c r="H366" t="str">
        <f>_xlfn.XLOOKUP(D366,Product_Dim!A:A,Product_Dim!C:C,"Not Found")</f>
        <v>Home</v>
      </c>
      <c r="I366" t="str">
        <f>_xlfn.XLOOKUP(E366,Store_Dim!A:A,Store_Dim!C:C,"Not Found")</f>
        <v>East</v>
      </c>
      <c r="J366" t="str">
        <f>_xlfn.XLOOKUP(C366,Customer_Dim!A:A,Customer_Dim!B:B,"Not Found")</f>
        <v>Kathryn Garcia</v>
      </c>
      <c r="K366">
        <f>Table511[[#This Row],[Total_Amount]]/(L366*(1-Table511[[#This Row],[Discount]]))</f>
        <v>1</v>
      </c>
      <c r="L366" s="5">
        <v>213.69</v>
      </c>
      <c r="M366">
        <v>0.28000000000000003</v>
      </c>
      <c r="N366" t="s">
        <v>1354</v>
      </c>
      <c r="O366" s="5">
        <v>153.85679999999999</v>
      </c>
    </row>
    <row r="367" spans="1:15">
      <c r="A367" t="s">
        <v>1716</v>
      </c>
      <c r="B367" s="7">
        <v>45706</v>
      </c>
      <c r="C367" t="s">
        <v>206</v>
      </c>
      <c r="D367" t="s">
        <v>1115</v>
      </c>
      <c r="E367" t="s">
        <v>1338</v>
      </c>
      <c r="F367" t="str">
        <f>[1]Raw_Customer_Dim!$A$2</f>
        <v>CUST1000</v>
      </c>
      <c r="G367" t="str">
        <f>_xlfn.XLOOKUP(E367,Store_Dim!A:A,Store_Dim!B:B,"Not Found")</f>
        <v>Mann-Austin</v>
      </c>
      <c r="H367" t="str">
        <f>_xlfn.XLOOKUP(D367,Product_Dim!A:A,Product_Dim!C:C,"Not Found")</f>
        <v>Home</v>
      </c>
      <c r="I367" t="str">
        <f>_xlfn.XLOOKUP(E367,Store_Dim!A:A,Store_Dim!C:C,"Not Found")</f>
        <v>East</v>
      </c>
      <c r="J367" t="str">
        <f>_xlfn.XLOOKUP(C367,Customer_Dim!A:A,Customer_Dim!B:B,"Not Found")</f>
        <v>Katherine Young</v>
      </c>
      <c r="K367">
        <f>Table511[[#This Row],[Total_Amount]]/(L367*(1-Table511[[#This Row],[Discount]]))</f>
        <v>2</v>
      </c>
      <c r="L367" s="5">
        <v>99.1</v>
      </c>
      <c r="M367">
        <v>0.2</v>
      </c>
      <c r="N367" t="s">
        <v>1351</v>
      </c>
      <c r="O367" s="5">
        <v>158.56</v>
      </c>
    </row>
    <row r="368" spans="1:15">
      <c r="A368" t="s">
        <v>1717</v>
      </c>
      <c r="B368" s="7">
        <v>45469</v>
      </c>
      <c r="C368" t="s">
        <v>803</v>
      </c>
      <c r="D368" t="s">
        <v>1147</v>
      </c>
      <c r="E368" t="s">
        <v>1329</v>
      </c>
      <c r="F368" t="str">
        <f>[1]Raw_Customer_Dim!$A$2</f>
        <v>CUST1000</v>
      </c>
      <c r="G368" t="str">
        <f>_xlfn.XLOOKUP(E368,Store_Dim!A:A,Store_Dim!B:B,"Not Found")</f>
        <v>Frederick-Wright</v>
      </c>
      <c r="H368" t="str">
        <f>_xlfn.XLOOKUP(D368,Product_Dim!A:A,Product_Dim!C:C,"Not Found")</f>
        <v>Clothing</v>
      </c>
      <c r="I368" t="str">
        <f>_xlfn.XLOOKUP(E368,Store_Dim!A:A,Store_Dim!C:C,"Not Found")</f>
        <v>West</v>
      </c>
      <c r="J368" t="str">
        <f>_xlfn.XLOOKUP(C368,Customer_Dim!A:A,Customer_Dim!B:B,"Not Found")</f>
        <v>James Holloway Jr.</v>
      </c>
      <c r="K368">
        <f>Table511[[#This Row],[Total_Amount]]/(L368*(1-Table511[[#This Row],[Discount]]))</f>
        <v>1</v>
      </c>
      <c r="L368" s="5">
        <v>628.98</v>
      </c>
      <c r="M368">
        <v>0.03</v>
      </c>
      <c r="N368" t="s">
        <v>1354</v>
      </c>
      <c r="O368" s="5">
        <v>610.11059999999998</v>
      </c>
    </row>
    <row r="369" spans="1:15">
      <c r="A369" t="s">
        <v>1718</v>
      </c>
      <c r="B369" s="7">
        <v>45711</v>
      </c>
      <c r="C369" t="s">
        <v>224</v>
      </c>
      <c r="D369" t="s">
        <v>1241</v>
      </c>
      <c r="E369" t="s">
        <v>1294</v>
      </c>
      <c r="F369" t="str">
        <f>[1]Raw_Customer_Dim!$A$2</f>
        <v>CUST1000</v>
      </c>
      <c r="G369" t="str">
        <f>_xlfn.XLOOKUP(E369,Store_Dim!A:A,Store_Dim!B:B,"Not Found")</f>
        <v>Alexander Group</v>
      </c>
      <c r="H369" t="str">
        <f>_xlfn.XLOOKUP(D369,Product_Dim!A:A,Product_Dim!C:C,"Not Found")</f>
        <v>Home</v>
      </c>
      <c r="I369" t="str">
        <f>_xlfn.XLOOKUP(E369,Store_Dim!A:A,Store_Dim!C:C,"Not Found")</f>
        <v>South</v>
      </c>
      <c r="J369" t="str">
        <f>_xlfn.XLOOKUP(C369,Customer_Dim!A:A,Customer_Dim!B:B,"Not Found")</f>
        <v>Richard Delgado</v>
      </c>
      <c r="K369">
        <f>Table511[[#This Row],[Total_Amount]]/(L369*(1-Table511[[#This Row],[Discount]]))</f>
        <v>3.0000000000000004</v>
      </c>
      <c r="L369" s="5">
        <v>944.64</v>
      </c>
      <c r="M369">
        <v>0.26</v>
      </c>
      <c r="N369" t="s">
        <v>1349</v>
      </c>
      <c r="O369" s="5">
        <v>2097.1008000000002</v>
      </c>
    </row>
    <row r="370" spans="1:15">
      <c r="A370" t="s">
        <v>1719</v>
      </c>
      <c r="B370" s="7">
        <v>45823</v>
      </c>
      <c r="C370" t="s">
        <v>1004</v>
      </c>
      <c r="D370" t="s">
        <v>1259</v>
      </c>
      <c r="E370" t="s">
        <v>1319</v>
      </c>
      <c r="F370" t="str">
        <f>[1]Raw_Customer_Dim!$A$2</f>
        <v>CUST1000</v>
      </c>
      <c r="G370" t="str">
        <f>_xlfn.XLOOKUP(E370,Store_Dim!A:A,Store_Dim!B:B,"Not Found")</f>
        <v>Thomas, Bridges and Harris</v>
      </c>
      <c r="H370" t="str">
        <f>_xlfn.XLOOKUP(D370,Product_Dim!A:A,Product_Dim!C:C,"Not Found")</f>
        <v>Electronics</v>
      </c>
      <c r="I370" t="str">
        <f>_xlfn.XLOOKUP(E370,Store_Dim!A:A,Store_Dim!C:C,"Not Found")</f>
        <v>North</v>
      </c>
      <c r="J370" t="str">
        <f>_xlfn.XLOOKUP(C370,Customer_Dim!A:A,Customer_Dim!B:B,"Not Found")</f>
        <v>Debra Mccullough</v>
      </c>
      <c r="K370">
        <f>Table511[[#This Row],[Total_Amount]]/(L370*(1-Table511[[#This Row],[Discount]]))</f>
        <v>2</v>
      </c>
      <c r="L370" s="5">
        <v>121.7</v>
      </c>
      <c r="M370">
        <v>0.06</v>
      </c>
      <c r="N370" t="s">
        <v>1354</v>
      </c>
      <c r="O370" s="5">
        <v>228.79599999999999</v>
      </c>
    </row>
    <row r="371" spans="1:15">
      <c r="A371" t="s">
        <v>1720</v>
      </c>
      <c r="B371" s="7">
        <v>45217</v>
      </c>
      <c r="C371" t="s">
        <v>959</v>
      </c>
      <c r="D371" t="s">
        <v>1203</v>
      </c>
      <c r="E371" t="s">
        <v>1291</v>
      </c>
      <c r="F371" t="str">
        <f>[1]Raw_Customer_Dim!$A$2</f>
        <v>CUST1000</v>
      </c>
      <c r="G371" t="str">
        <f>_xlfn.XLOOKUP(E371,Store_Dim!A:A,Store_Dim!B:B,"Not Found")</f>
        <v>Johnson-Wright</v>
      </c>
      <c r="H371" t="str">
        <f>_xlfn.XLOOKUP(D371,Product_Dim!A:A,Product_Dim!C:C,"Not Found")</f>
        <v>Sports</v>
      </c>
      <c r="I371" t="str">
        <f>_xlfn.XLOOKUP(E371,Store_Dim!A:A,Store_Dim!C:C,"Not Found")</f>
        <v>North</v>
      </c>
      <c r="J371" t="str">
        <f>_xlfn.XLOOKUP(C371,Customer_Dim!A:A,Customer_Dim!B:B,"Not Found")</f>
        <v>Eric Holmes</v>
      </c>
      <c r="K371">
        <f>Table511[[#This Row],[Total_Amount]]/(L371*(1-Table511[[#This Row],[Discount]]))</f>
        <v>4</v>
      </c>
      <c r="L371" s="5">
        <v>269.49</v>
      </c>
      <c r="M371">
        <v>7.0000000000000007E-2</v>
      </c>
      <c r="N371" t="s">
        <v>1351</v>
      </c>
      <c r="O371" s="5">
        <v>1002.5028</v>
      </c>
    </row>
    <row r="372" spans="1:15">
      <c r="A372" t="s">
        <v>1721</v>
      </c>
      <c r="B372" s="7">
        <v>45733</v>
      </c>
      <c r="C372" t="s">
        <v>256</v>
      </c>
      <c r="D372" t="s">
        <v>1117</v>
      </c>
      <c r="E372" t="s">
        <v>1335</v>
      </c>
      <c r="F372" t="str">
        <f>[1]Raw_Customer_Dim!$A$2</f>
        <v>CUST1000</v>
      </c>
      <c r="G372" t="str">
        <f>_xlfn.XLOOKUP(E372,Store_Dim!A:A,Store_Dim!B:B,"Not Found")</f>
        <v>Guerrero-Schmitt</v>
      </c>
      <c r="H372" t="str">
        <f>_xlfn.XLOOKUP(D372,Product_Dim!A:A,Product_Dim!C:C,"Not Found")</f>
        <v>Sports</v>
      </c>
      <c r="I372" t="str">
        <f>_xlfn.XLOOKUP(E372,Store_Dim!A:A,Store_Dim!C:C,"Not Found")</f>
        <v>East</v>
      </c>
      <c r="J372" t="str">
        <f>_xlfn.XLOOKUP(C372,Customer_Dim!A:A,Customer_Dim!B:B,"Not Found")</f>
        <v>Sheila Wilson</v>
      </c>
      <c r="K372">
        <f>Table511[[#This Row],[Total_Amount]]/(L372*(1-Table511[[#This Row],[Discount]]))</f>
        <v>1</v>
      </c>
      <c r="L372" s="5">
        <v>678.2</v>
      </c>
      <c r="M372">
        <v>0.14000000000000001</v>
      </c>
      <c r="N372" t="s">
        <v>1349</v>
      </c>
      <c r="O372" s="5">
        <v>583.25200000000007</v>
      </c>
    </row>
    <row r="373" spans="1:15">
      <c r="A373" t="s">
        <v>1722</v>
      </c>
      <c r="B373" s="7">
        <v>45520</v>
      </c>
      <c r="C373" t="s">
        <v>525</v>
      </c>
      <c r="D373" t="s">
        <v>1253</v>
      </c>
      <c r="E373" t="s">
        <v>1322</v>
      </c>
      <c r="F373" t="str">
        <f>[1]Raw_Customer_Dim!$A$2</f>
        <v>CUST1000</v>
      </c>
      <c r="G373" t="str">
        <f>_xlfn.XLOOKUP(E373,Store_Dim!A:A,Store_Dim!B:B,"Not Found")</f>
        <v>Gardner, Humphrey and Contreras</v>
      </c>
      <c r="H373" t="str">
        <f>_xlfn.XLOOKUP(D373,Product_Dim!A:A,Product_Dim!C:C,"Not Found")</f>
        <v>Electronics</v>
      </c>
      <c r="I373" t="str">
        <f>_xlfn.XLOOKUP(E373,Store_Dim!A:A,Store_Dim!C:C,"Not Found")</f>
        <v>East</v>
      </c>
      <c r="J373" t="str">
        <f>_xlfn.XLOOKUP(C373,Customer_Dim!A:A,Customer_Dim!B:B,"Not Found")</f>
        <v>Timothy Juarez</v>
      </c>
      <c r="K373">
        <f>Table511[[#This Row],[Total_Amount]]/(L373*(1-Table511[[#This Row],[Discount]]))</f>
        <v>1</v>
      </c>
      <c r="L373" s="5">
        <v>752.45</v>
      </c>
      <c r="M373">
        <v>0.21</v>
      </c>
      <c r="N373" t="s">
        <v>1354</v>
      </c>
      <c r="O373" s="5">
        <v>594.43550000000005</v>
      </c>
    </row>
    <row r="374" spans="1:15">
      <c r="A374" t="s">
        <v>1723</v>
      </c>
      <c r="B374" s="7">
        <v>45373</v>
      </c>
      <c r="C374" t="s">
        <v>111</v>
      </c>
      <c r="D374" t="s">
        <v>1261</v>
      </c>
      <c r="E374" t="s">
        <v>1322</v>
      </c>
      <c r="F374" t="str">
        <f>[1]Raw_Customer_Dim!$A$2</f>
        <v>CUST1000</v>
      </c>
      <c r="G374" t="str">
        <f>_xlfn.XLOOKUP(E374,Store_Dim!A:A,Store_Dim!B:B,"Not Found")</f>
        <v>Gardner, Humphrey and Contreras</v>
      </c>
      <c r="H374" t="str">
        <f>_xlfn.XLOOKUP(D374,Product_Dim!A:A,Product_Dim!C:C,"Not Found")</f>
        <v>Beauty</v>
      </c>
      <c r="I374" t="str">
        <f>_xlfn.XLOOKUP(E374,Store_Dim!A:A,Store_Dim!C:C,"Not Found")</f>
        <v>East</v>
      </c>
      <c r="J374" t="str">
        <f>_xlfn.XLOOKUP(C374,Customer_Dim!A:A,Customer_Dim!B:B,"Not Found")</f>
        <v>Christopher Carter</v>
      </c>
      <c r="K374">
        <f>Table511[[#This Row],[Total_Amount]]/(L374*(1-Table511[[#This Row],[Discount]]))</f>
        <v>2</v>
      </c>
      <c r="L374" s="5">
        <v>209.66</v>
      </c>
      <c r="M374">
        <v>0.21</v>
      </c>
      <c r="N374" t="s">
        <v>1349</v>
      </c>
      <c r="O374" s="5">
        <v>331.26280000000003</v>
      </c>
    </row>
    <row r="375" spans="1:15">
      <c r="A375" t="s">
        <v>1724</v>
      </c>
      <c r="B375" s="7">
        <v>45688</v>
      </c>
      <c r="C375" t="s">
        <v>383</v>
      </c>
      <c r="D375" t="s">
        <v>1267</v>
      </c>
      <c r="E375" t="s">
        <v>1338</v>
      </c>
      <c r="F375" t="str">
        <f>[1]Raw_Customer_Dim!$A$2</f>
        <v>CUST1000</v>
      </c>
      <c r="G375" t="str">
        <f>_xlfn.XLOOKUP(E375,Store_Dim!A:A,Store_Dim!B:B,"Not Found")</f>
        <v>Mann-Austin</v>
      </c>
      <c r="H375" t="str">
        <f>_xlfn.XLOOKUP(D375,Product_Dim!A:A,Product_Dim!C:C,"Not Found")</f>
        <v>Sports</v>
      </c>
      <c r="I375" t="str">
        <f>_xlfn.XLOOKUP(E375,Store_Dim!A:A,Store_Dim!C:C,"Not Found")</f>
        <v>East</v>
      </c>
      <c r="J375" t="str">
        <f>_xlfn.XLOOKUP(C375,Customer_Dim!A:A,Customer_Dim!B:B,"Not Found")</f>
        <v>Cynthia Morris</v>
      </c>
      <c r="K375">
        <f>Table511[[#This Row],[Total_Amount]]/(L375*(1-Table511[[#This Row],[Discount]]))</f>
        <v>2</v>
      </c>
      <c r="L375" s="5">
        <v>739.95</v>
      </c>
      <c r="M375">
        <v>0.1</v>
      </c>
      <c r="N375" t="s">
        <v>1354</v>
      </c>
      <c r="O375" s="5">
        <v>1331.91</v>
      </c>
    </row>
    <row r="376" spans="1:15">
      <c r="A376" t="s">
        <v>1725</v>
      </c>
      <c r="B376" s="7">
        <v>45276</v>
      </c>
      <c r="C376" t="s">
        <v>1000</v>
      </c>
      <c r="D376" t="s">
        <v>1163</v>
      </c>
      <c r="E376" t="s">
        <v>1326</v>
      </c>
      <c r="F376" t="str">
        <f>[1]Raw_Customer_Dim!$A$2</f>
        <v>CUST1000</v>
      </c>
      <c r="G376" t="str">
        <f>_xlfn.XLOOKUP(E376,Store_Dim!A:A,Store_Dim!B:B,"Not Found")</f>
        <v>Shelton PLC</v>
      </c>
      <c r="H376" t="str">
        <f>_xlfn.XLOOKUP(D376,Product_Dim!A:A,Product_Dim!C:C,"Not Found")</f>
        <v>Sports</v>
      </c>
      <c r="I376" t="str">
        <f>_xlfn.XLOOKUP(E376,Store_Dim!A:A,Store_Dim!C:C,"Not Found")</f>
        <v>North</v>
      </c>
      <c r="J376" t="str">
        <f>_xlfn.XLOOKUP(C376,Customer_Dim!A:A,Customer_Dim!B:B,"Not Found")</f>
        <v>James Foster</v>
      </c>
      <c r="K376">
        <f>Table511[[#This Row],[Total_Amount]]/(L376*(1-Table511[[#This Row],[Discount]]))</f>
        <v>1</v>
      </c>
      <c r="L376" s="5">
        <v>496.19</v>
      </c>
      <c r="M376">
        <v>0.08</v>
      </c>
      <c r="N376" t="s">
        <v>1354</v>
      </c>
      <c r="O376" s="5">
        <v>456.4948</v>
      </c>
    </row>
    <row r="377" spans="1:15">
      <c r="A377" t="s">
        <v>1726</v>
      </c>
      <c r="B377" s="7">
        <v>45756</v>
      </c>
      <c r="C377" t="s">
        <v>129</v>
      </c>
      <c r="D377" t="s">
        <v>1090</v>
      </c>
      <c r="E377" t="s">
        <v>1319</v>
      </c>
      <c r="F377" t="str">
        <f>[1]Raw_Customer_Dim!$A$2</f>
        <v>CUST1000</v>
      </c>
      <c r="G377" t="str">
        <f>_xlfn.XLOOKUP(E377,Store_Dim!A:A,Store_Dim!B:B,"Not Found")</f>
        <v>Thomas, Bridges and Harris</v>
      </c>
      <c r="H377" t="str">
        <f>_xlfn.XLOOKUP(D377,Product_Dim!A:A,Product_Dim!C:C,"Not Found")</f>
        <v>Sports</v>
      </c>
      <c r="I377" t="str">
        <f>_xlfn.XLOOKUP(E377,Store_Dim!A:A,Store_Dim!C:C,"Not Found")</f>
        <v>North</v>
      </c>
      <c r="J377" t="str">
        <f>_xlfn.XLOOKUP(C377,Customer_Dim!A:A,Customer_Dim!B:B,"Not Found")</f>
        <v>Denise Williams</v>
      </c>
      <c r="K377">
        <f>Table511[[#This Row],[Total_Amount]]/(L377*(1-Table511[[#This Row],[Discount]]))</f>
        <v>1</v>
      </c>
      <c r="L377" s="5">
        <v>306.36</v>
      </c>
      <c r="M377">
        <v>0.01</v>
      </c>
      <c r="N377" t="s">
        <v>1351</v>
      </c>
      <c r="O377" s="5">
        <v>303.29640000000001</v>
      </c>
    </row>
    <row r="378" spans="1:15">
      <c r="A378" t="s">
        <v>1727</v>
      </c>
      <c r="B378" s="7">
        <v>45309</v>
      </c>
      <c r="C378" t="s">
        <v>300</v>
      </c>
      <c r="D378" t="s">
        <v>1219</v>
      </c>
      <c r="E378" t="s">
        <v>1294</v>
      </c>
      <c r="F378" t="str">
        <f>[1]Raw_Customer_Dim!$A$2</f>
        <v>CUST1000</v>
      </c>
      <c r="G378" t="str">
        <f>_xlfn.XLOOKUP(E378,Store_Dim!A:A,Store_Dim!B:B,"Not Found")</f>
        <v>Alexander Group</v>
      </c>
      <c r="H378" t="str">
        <f>_xlfn.XLOOKUP(D378,Product_Dim!A:A,Product_Dim!C:C,"Not Found")</f>
        <v>Sports</v>
      </c>
      <c r="I378" t="str">
        <f>_xlfn.XLOOKUP(E378,Store_Dim!A:A,Store_Dim!C:C,"Not Found")</f>
        <v>South</v>
      </c>
      <c r="J378" t="str">
        <f>_xlfn.XLOOKUP(C378,Customer_Dim!A:A,Customer_Dim!B:B,"Not Found")</f>
        <v>Jacob Hopkins</v>
      </c>
      <c r="K378">
        <f>Table511[[#This Row],[Total_Amount]]/(L378*(1-Table511[[#This Row],[Discount]]))</f>
        <v>4</v>
      </c>
      <c r="L378" s="5">
        <v>693.16</v>
      </c>
      <c r="M378">
        <v>0.05</v>
      </c>
      <c r="N378" t="s">
        <v>1351</v>
      </c>
      <c r="O378" s="5">
        <v>2634.0079999999998</v>
      </c>
    </row>
    <row r="379" spans="1:15">
      <c r="A379" t="s">
        <v>1728</v>
      </c>
      <c r="B379" s="7">
        <v>45744</v>
      </c>
      <c r="C379" t="s">
        <v>973</v>
      </c>
      <c r="D379" t="s">
        <v>1239</v>
      </c>
      <c r="E379" t="s">
        <v>1314</v>
      </c>
      <c r="F379" t="str">
        <f>[1]Raw_Customer_Dim!$A$2</f>
        <v>CUST1000</v>
      </c>
      <c r="G379" t="str">
        <f>_xlfn.XLOOKUP(E379,Store_Dim!A:A,Store_Dim!B:B,"Not Found")</f>
        <v>Hill, Wagner and Ballard</v>
      </c>
      <c r="H379" t="str">
        <f>_xlfn.XLOOKUP(D379,Product_Dim!A:A,Product_Dim!C:C,"Not Found")</f>
        <v>Beauty</v>
      </c>
      <c r="I379" t="str">
        <f>_xlfn.XLOOKUP(E379,Store_Dim!A:A,Store_Dim!C:C,"Not Found")</f>
        <v>East</v>
      </c>
      <c r="J379" t="str">
        <f>_xlfn.XLOOKUP(C379,Customer_Dim!A:A,Customer_Dim!B:B,"Not Found")</f>
        <v>Tyler Weber</v>
      </c>
      <c r="K379">
        <f>Table511[[#This Row],[Total_Amount]]/(L379*(1-Table511[[#This Row],[Discount]]))</f>
        <v>1</v>
      </c>
      <c r="L379" s="5">
        <v>995.52</v>
      </c>
      <c r="M379">
        <v>0.22</v>
      </c>
      <c r="N379" t="s">
        <v>1351</v>
      </c>
      <c r="O379" s="5">
        <v>776.50559999999996</v>
      </c>
    </row>
    <row r="380" spans="1:15">
      <c r="A380" t="s">
        <v>1729</v>
      </c>
      <c r="B380" s="7">
        <v>45535</v>
      </c>
      <c r="C380" t="s">
        <v>310</v>
      </c>
      <c r="D380" t="s">
        <v>1085</v>
      </c>
      <c r="E380" t="s">
        <v>1335</v>
      </c>
      <c r="F380" t="str">
        <f>[1]Raw_Customer_Dim!$A$2</f>
        <v>CUST1000</v>
      </c>
      <c r="G380" t="str">
        <f>_xlfn.XLOOKUP(E380,Store_Dim!A:A,Store_Dim!B:B,"Not Found")</f>
        <v>Guerrero-Schmitt</v>
      </c>
      <c r="H380" t="str">
        <f>_xlfn.XLOOKUP(D380,Product_Dim!A:A,Product_Dim!C:C,"Not Found")</f>
        <v>Home</v>
      </c>
      <c r="I380" t="str">
        <f>_xlfn.XLOOKUP(E380,Store_Dim!A:A,Store_Dim!C:C,"Not Found")</f>
        <v>East</v>
      </c>
      <c r="J380" t="str">
        <f>_xlfn.XLOOKUP(C380,Customer_Dim!A:A,Customer_Dim!B:B,"Not Found")</f>
        <v>Keith Miller</v>
      </c>
      <c r="K380">
        <f>Table511[[#This Row],[Total_Amount]]/(L380*(1-Table511[[#This Row],[Discount]]))</f>
        <v>4</v>
      </c>
      <c r="L380" s="5">
        <v>241.32</v>
      </c>
      <c r="M380">
        <v>0.28999999999999998</v>
      </c>
      <c r="N380" t="s">
        <v>1354</v>
      </c>
      <c r="O380" s="5">
        <v>685.34879999999998</v>
      </c>
    </row>
    <row r="381" spans="1:15">
      <c r="A381" t="s">
        <v>1730</v>
      </c>
      <c r="B381" s="7">
        <v>45240</v>
      </c>
      <c r="C381" t="s">
        <v>541</v>
      </c>
      <c r="D381" t="s">
        <v>1229</v>
      </c>
      <c r="E381" t="s">
        <v>1282</v>
      </c>
      <c r="F381" t="str">
        <f>[1]Raw_Customer_Dim!$A$2</f>
        <v>CUST1000</v>
      </c>
      <c r="G381" t="str">
        <f>_xlfn.XLOOKUP(E381,Store_Dim!A:A,Store_Dim!B:B,"Not Found")</f>
        <v>Martinez, Adkins and Johnson</v>
      </c>
      <c r="H381" t="str">
        <f>_xlfn.XLOOKUP(D381,Product_Dim!A:A,Product_Dim!C:C,"Not Found")</f>
        <v>Home</v>
      </c>
      <c r="I381" t="str">
        <f>_xlfn.XLOOKUP(E381,Store_Dim!A:A,Store_Dim!C:C,"Not Found")</f>
        <v>North</v>
      </c>
      <c r="J381" t="str">
        <f>_xlfn.XLOOKUP(C381,Customer_Dim!A:A,Customer_Dim!B:B,"Not Found")</f>
        <v>Maria Hill</v>
      </c>
      <c r="K381">
        <f>Table511[[#This Row],[Total_Amount]]/(L381*(1-Table511[[#This Row],[Discount]]))</f>
        <v>3.0000000000000004</v>
      </c>
      <c r="L381" s="5">
        <v>636.03</v>
      </c>
      <c r="M381">
        <v>0.06</v>
      </c>
      <c r="N381" t="s">
        <v>1354</v>
      </c>
      <c r="O381" s="5">
        <v>1793.6045999999999</v>
      </c>
    </row>
    <row r="382" spans="1:15">
      <c r="A382" t="s">
        <v>1731</v>
      </c>
      <c r="B382" s="7">
        <v>45275</v>
      </c>
      <c r="C382" t="s">
        <v>250</v>
      </c>
      <c r="D382" t="s">
        <v>1078</v>
      </c>
      <c r="E382" t="s">
        <v>1338</v>
      </c>
      <c r="F382" t="str">
        <f>[1]Raw_Customer_Dim!$A$2</f>
        <v>CUST1000</v>
      </c>
      <c r="G382" t="str">
        <f>_xlfn.XLOOKUP(E382,Store_Dim!A:A,Store_Dim!B:B,"Not Found")</f>
        <v>Mann-Austin</v>
      </c>
      <c r="H382" t="str">
        <f>_xlfn.XLOOKUP(D382,Product_Dim!A:A,Product_Dim!C:C,"Not Found")</f>
        <v>Clothing</v>
      </c>
      <c r="I382" t="str">
        <f>_xlfn.XLOOKUP(E382,Store_Dim!A:A,Store_Dim!C:C,"Not Found")</f>
        <v>East</v>
      </c>
      <c r="J382" t="str">
        <f>_xlfn.XLOOKUP(C382,Customer_Dim!A:A,Customer_Dim!B:B,"Not Found")</f>
        <v>Samantha Walker</v>
      </c>
      <c r="K382">
        <f>Table511[[#This Row],[Total_Amount]]/(L382*(1-Table511[[#This Row],[Discount]]))</f>
        <v>4</v>
      </c>
      <c r="L382" s="5">
        <v>603.30999999999995</v>
      </c>
      <c r="M382">
        <v>0.15</v>
      </c>
      <c r="N382" t="s">
        <v>1349</v>
      </c>
      <c r="O382" s="5">
        <v>2051.2539999999999</v>
      </c>
    </row>
    <row r="383" spans="1:15">
      <c r="A383" t="s">
        <v>1732</v>
      </c>
      <c r="B383" s="7">
        <v>45427</v>
      </c>
      <c r="C383" t="s">
        <v>202</v>
      </c>
      <c r="D383" t="s">
        <v>1251</v>
      </c>
      <c r="E383" t="s">
        <v>1314</v>
      </c>
      <c r="F383" t="str">
        <f>[1]Raw_Customer_Dim!$A$2</f>
        <v>CUST1000</v>
      </c>
      <c r="G383" t="str">
        <f>_xlfn.XLOOKUP(E383,Store_Dim!A:A,Store_Dim!B:B,"Not Found")</f>
        <v>Hill, Wagner and Ballard</v>
      </c>
      <c r="H383" t="str">
        <f>_xlfn.XLOOKUP(D383,Product_Dim!A:A,Product_Dim!C:C,"Not Found")</f>
        <v>Beauty</v>
      </c>
      <c r="I383" t="str">
        <f>_xlfn.XLOOKUP(E383,Store_Dim!A:A,Store_Dim!C:C,"Not Found")</f>
        <v>East</v>
      </c>
      <c r="J383" t="str">
        <f>_xlfn.XLOOKUP(C383,Customer_Dim!A:A,Customer_Dim!B:B,"Not Found")</f>
        <v>Rhonda Morales</v>
      </c>
      <c r="K383">
        <f>Table511[[#This Row],[Total_Amount]]/(L383*(1-Table511[[#This Row],[Discount]]))</f>
        <v>3</v>
      </c>
      <c r="L383" s="5">
        <v>437.96</v>
      </c>
      <c r="M383">
        <v>0.27</v>
      </c>
      <c r="N383" t="s">
        <v>1354</v>
      </c>
      <c r="O383" s="5">
        <v>959.13239999999985</v>
      </c>
    </row>
    <row r="384" spans="1:15">
      <c r="A384" t="s">
        <v>1733</v>
      </c>
      <c r="B384" s="7">
        <v>45322</v>
      </c>
      <c r="C384" t="s">
        <v>478</v>
      </c>
      <c r="D384" t="s">
        <v>1141</v>
      </c>
      <c r="E384" t="s">
        <v>1294</v>
      </c>
      <c r="F384" t="str">
        <f>[1]Raw_Customer_Dim!$A$2</f>
        <v>CUST1000</v>
      </c>
      <c r="G384" t="str">
        <f>_xlfn.XLOOKUP(E384,Store_Dim!A:A,Store_Dim!B:B,"Not Found")</f>
        <v>Alexander Group</v>
      </c>
      <c r="H384" t="str">
        <f>_xlfn.XLOOKUP(D384,Product_Dim!A:A,Product_Dim!C:C,"Not Found")</f>
        <v>Electronics</v>
      </c>
      <c r="I384" t="str">
        <f>_xlfn.XLOOKUP(E384,Store_Dim!A:A,Store_Dim!C:C,"Not Found")</f>
        <v>South</v>
      </c>
      <c r="J384" t="str">
        <f>_xlfn.XLOOKUP(C384,Customer_Dim!A:A,Customer_Dim!B:B,"Not Found")</f>
        <v>John Perez</v>
      </c>
      <c r="K384">
        <f>Table511[[#This Row],[Total_Amount]]/(L384*(1-Table511[[#This Row],[Discount]]))</f>
        <v>2</v>
      </c>
      <c r="L384" s="5">
        <v>56.91</v>
      </c>
      <c r="M384">
        <v>0.08</v>
      </c>
      <c r="N384" t="s">
        <v>1354</v>
      </c>
      <c r="O384" s="5">
        <v>104.7144</v>
      </c>
    </row>
    <row r="385" spans="1:15">
      <c r="A385" t="s">
        <v>1734</v>
      </c>
      <c r="B385" s="7">
        <v>45266</v>
      </c>
      <c r="C385" t="s">
        <v>732</v>
      </c>
      <c r="D385" t="s">
        <v>1225</v>
      </c>
      <c r="E385" t="s">
        <v>1301</v>
      </c>
      <c r="F385" t="str">
        <f>[1]Raw_Customer_Dim!$A$2</f>
        <v>CUST1000</v>
      </c>
      <c r="G385" t="str">
        <f>_xlfn.XLOOKUP(E385,Store_Dim!A:A,Store_Dim!B:B,"Not Found")</f>
        <v>Benson-Elliott</v>
      </c>
      <c r="H385" t="str">
        <f>_xlfn.XLOOKUP(D385,Product_Dim!A:A,Product_Dim!C:C,"Not Found")</f>
        <v>Electronics</v>
      </c>
      <c r="I385" t="str">
        <f>_xlfn.XLOOKUP(E385,Store_Dim!A:A,Store_Dim!C:C,"Not Found")</f>
        <v>East</v>
      </c>
      <c r="J385" t="str">
        <f>_xlfn.XLOOKUP(C385,Customer_Dim!A:A,Customer_Dim!B:B,"Not Found")</f>
        <v>Mr. Christopher Sims</v>
      </c>
      <c r="K385">
        <f>Table511[[#This Row],[Total_Amount]]/(L385*(1-Table511[[#This Row],[Discount]]))</f>
        <v>1.0000000000000002</v>
      </c>
      <c r="L385" s="5">
        <v>141.79</v>
      </c>
      <c r="M385">
        <v>0.1</v>
      </c>
      <c r="N385" t="s">
        <v>1349</v>
      </c>
      <c r="O385" s="5">
        <v>127.611</v>
      </c>
    </row>
    <row r="386" spans="1:15">
      <c r="A386" t="s">
        <v>1735</v>
      </c>
      <c r="B386" s="7">
        <v>45302</v>
      </c>
      <c r="C386" t="s">
        <v>1028</v>
      </c>
      <c r="D386" t="s">
        <v>1090</v>
      </c>
      <c r="E386" t="s">
        <v>1326</v>
      </c>
      <c r="F386" t="str">
        <f>[1]Raw_Customer_Dim!$A$2</f>
        <v>CUST1000</v>
      </c>
      <c r="G386" t="str">
        <f>_xlfn.XLOOKUP(E386,Store_Dim!A:A,Store_Dim!B:B,"Not Found")</f>
        <v>Shelton PLC</v>
      </c>
      <c r="H386" t="str">
        <f>_xlfn.XLOOKUP(D386,Product_Dim!A:A,Product_Dim!C:C,"Not Found")</f>
        <v>Sports</v>
      </c>
      <c r="I386" t="str">
        <f>_xlfn.XLOOKUP(E386,Store_Dim!A:A,Store_Dim!C:C,"Not Found")</f>
        <v>North</v>
      </c>
      <c r="J386" t="str">
        <f>_xlfn.XLOOKUP(C386,Customer_Dim!A:A,Customer_Dim!B:B,"Not Found")</f>
        <v>Sarah Smith</v>
      </c>
      <c r="K386">
        <f>Table511[[#This Row],[Total_Amount]]/(L386*(1-Table511[[#This Row],[Discount]]))</f>
        <v>4.0000000000000009</v>
      </c>
      <c r="L386" s="5">
        <v>355.14</v>
      </c>
      <c r="M386">
        <v>0.16</v>
      </c>
      <c r="N386" t="s">
        <v>1354</v>
      </c>
      <c r="O386" s="5">
        <v>1193.2704000000001</v>
      </c>
    </row>
    <row r="387" spans="1:15">
      <c r="A387" t="s">
        <v>1736</v>
      </c>
      <c r="B387" s="7">
        <v>45907</v>
      </c>
      <c r="C387" t="s">
        <v>484</v>
      </c>
      <c r="D387" t="s">
        <v>1149</v>
      </c>
      <c r="E387" t="s">
        <v>1301</v>
      </c>
      <c r="F387" t="str">
        <f>[1]Raw_Customer_Dim!$A$2</f>
        <v>CUST1000</v>
      </c>
      <c r="G387" t="str">
        <f>_xlfn.XLOOKUP(E387,Store_Dim!A:A,Store_Dim!B:B,"Not Found")</f>
        <v>Benson-Elliott</v>
      </c>
      <c r="H387" t="str">
        <f>_xlfn.XLOOKUP(D387,Product_Dim!A:A,Product_Dim!C:C,"Not Found")</f>
        <v>Sports</v>
      </c>
      <c r="I387" t="str">
        <f>_xlfn.XLOOKUP(E387,Store_Dim!A:A,Store_Dim!C:C,"Not Found")</f>
        <v>East</v>
      </c>
      <c r="J387" t="str">
        <f>_xlfn.XLOOKUP(C387,Customer_Dim!A:A,Customer_Dim!B:B,"Not Found")</f>
        <v>Rodney Huffman</v>
      </c>
      <c r="K387">
        <f>Table511[[#This Row],[Total_Amount]]/(L387*(1-Table511[[#This Row],[Discount]]))</f>
        <v>4</v>
      </c>
      <c r="L387" s="5">
        <v>960.38</v>
      </c>
      <c r="M387">
        <v>0.15</v>
      </c>
      <c r="N387" t="s">
        <v>1354</v>
      </c>
      <c r="O387" s="5">
        <v>3265.2919999999999</v>
      </c>
    </row>
    <row r="388" spans="1:15">
      <c r="A388" t="s">
        <v>1737</v>
      </c>
      <c r="B388" s="7">
        <v>45433</v>
      </c>
      <c r="C388" t="s">
        <v>903</v>
      </c>
      <c r="D388" t="s">
        <v>1211</v>
      </c>
      <c r="E388" t="s">
        <v>1329</v>
      </c>
      <c r="F388" t="str">
        <f>[1]Raw_Customer_Dim!$A$2</f>
        <v>CUST1000</v>
      </c>
      <c r="G388" t="str">
        <f>_xlfn.XLOOKUP(E388,Store_Dim!A:A,Store_Dim!B:B,"Not Found")</f>
        <v>Frederick-Wright</v>
      </c>
      <c r="H388" t="str">
        <f>_xlfn.XLOOKUP(D388,Product_Dim!A:A,Product_Dim!C:C,"Not Found")</f>
        <v>Clothing</v>
      </c>
      <c r="I388" t="str">
        <f>_xlfn.XLOOKUP(E388,Store_Dim!A:A,Store_Dim!C:C,"Not Found")</f>
        <v>West</v>
      </c>
      <c r="J388" t="str">
        <f>_xlfn.XLOOKUP(C388,Customer_Dim!A:A,Customer_Dim!B:B,"Not Found")</f>
        <v>Dr. Tamara White MD</v>
      </c>
      <c r="K388">
        <f>Table511[[#This Row],[Total_Amount]]/(L388*(1-Table511[[#This Row],[Discount]]))</f>
        <v>3</v>
      </c>
      <c r="L388" s="5">
        <v>847.21</v>
      </c>
      <c r="M388">
        <v>0.06</v>
      </c>
      <c r="N388" t="s">
        <v>1351</v>
      </c>
      <c r="O388" s="5">
        <v>2389.1322</v>
      </c>
    </row>
    <row r="389" spans="1:15">
      <c r="A389" t="s">
        <v>1738</v>
      </c>
      <c r="B389" s="7">
        <v>45892</v>
      </c>
      <c r="C389" t="s">
        <v>180</v>
      </c>
      <c r="D389" t="s">
        <v>1233</v>
      </c>
      <c r="E389" t="s">
        <v>1314</v>
      </c>
      <c r="F389" t="str">
        <f>[1]Raw_Customer_Dim!$A$2</f>
        <v>CUST1000</v>
      </c>
      <c r="G389" t="str">
        <f>_xlfn.XLOOKUP(E389,Store_Dim!A:A,Store_Dim!B:B,"Not Found")</f>
        <v>Hill, Wagner and Ballard</v>
      </c>
      <c r="H389" t="str">
        <f>_xlfn.XLOOKUP(D389,Product_Dim!A:A,Product_Dim!C:C,"Not Found")</f>
        <v>Home</v>
      </c>
      <c r="I389" t="str">
        <f>_xlfn.XLOOKUP(E389,Store_Dim!A:A,Store_Dim!C:C,"Not Found")</f>
        <v>East</v>
      </c>
      <c r="J389" t="str">
        <f>_xlfn.XLOOKUP(C389,Customer_Dim!A:A,Customer_Dim!B:B,"Not Found")</f>
        <v>Cody Diaz</v>
      </c>
      <c r="K389">
        <f>Table511[[#This Row],[Total_Amount]]/(L389*(1-Table511[[#This Row],[Discount]]))</f>
        <v>4</v>
      </c>
      <c r="L389" s="5">
        <v>773.81</v>
      </c>
      <c r="M389">
        <v>0.08</v>
      </c>
      <c r="N389" t="s">
        <v>1354</v>
      </c>
      <c r="O389" s="5">
        <v>2847.6208000000001</v>
      </c>
    </row>
    <row r="390" spans="1:15">
      <c r="A390" t="s">
        <v>1739</v>
      </c>
      <c r="B390" s="7">
        <v>45780</v>
      </c>
      <c r="C390" t="s">
        <v>8</v>
      </c>
      <c r="D390" t="s">
        <v>1199</v>
      </c>
      <c r="E390" t="s">
        <v>1329</v>
      </c>
      <c r="F390" t="str">
        <f>[1]Raw_Customer_Dim!$A$2</f>
        <v>CUST1000</v>
      </c>
      <c r="G390" t="str">
        <f>_xlfn.XLOOKUP(E390,Store_Dim!A:A,Store_Dim!B:B,"Not Found")</f>
        <v>Frederick-Wright</v>
      </c>
      <c r="H390" t="str">
        <f>_xlfn.XLOOKUP(D390,Product_Dim!A:A,Product_Dim!C:C,"Not Found")</f>
        <v>Beauty</v>
      </c>
      <c r="I390" t="str">
        <f>_xlfn.XLOOKUP(E390,Store_Dim!A:A,Store_Dim!C:C,"Not Found")</f>
        <v>West</v>
      </c>
      <c r="J390" t="str">
        <f>_xlfn.XLOOKUP(C390,Customer_Dim!A:A,Customer_Dim!B:B,"Not Found")</f>
        <v xml:space="preserve">  sheena bonilla  </v>
      </c>
      <c r="K390">
        <f>Table511[[#This Row],[Total_Amount]]/(L390*(1-Table511[[#This Row],[Discount]]))</f>
        <v>1</v>
      </c>
      <c r="L390" s="5">
        <v>664.71</v>
      </c>
      <c r="M390">
        <v>0.1</v>
      </c>
      <c r="N390" t="s">
        <v>1351</v>
      </c>
      <c r="O390" s="5">
        <v>598.23900000000003</v>
      </c>
    </row>
    <row r="391" spans="1:15">
      <c r="A391" t="s">
        <v>1740</v>
      </c>
      <c r="B391" s="7">
        <v>45233</v>
      </c>
      <c r="C391" t="s">
        <v>758</v>
      </c>
      <c r="D391" t="s">
        <v>1147</v>
      </c>
      <c r="E391" t="s">
        <v>1304</v>
      </c>
      <c r="F391" t="str">
        <f>[1]Raw_Customer_Dim!$A$2</f>
        <v>CUST1000</v>
      </c>
      <c r="G391" t="str">
        <f>_xlfn.XLOOKUP(E391,Store_Dim!A:A,Store_Dim!B:B,"Not Found")</f>
        <v>Martinez-Mullins</v>
      </c>
      <c r="H391" t="str">
        <f>_xlfn.XLOOKUP(D391,Product_Dim!A:A,Product_Dim!C:C,"Not Found")</f>
        <v>Clothing</v>
      </c>
      <c r="I391" t="str">
        <f>_xlfn.XLOOKUP(E391,Store_Dim!A:A,Store_Dim!C:C,"Not Found")</f>
        <v>South</v>
      </c>
      <c r="J391" t="str">
        <f>_xlfn.XLOOKUP(C391,Customer_Dim!A:A,Customer_Dim!B:B,"Not Found")</f>
        <v>Justin Mason DDS</v>
      </c>
      <c r="K391">
        <f>Table511[[#This Row],[Total_Amount]]/(L391*(1-Table511[[#This Row],[Discount]]))</f>
        <v>4.0000000000000009</v>
      </c>
      <c r="L391" s="5">
        <v>482.06</v>
      </c>
      <c r="M391">
        <v>7.0000000000000007E-2</v>
      </c>
      <c r="N391" t="s">
        <v>1351</v>
      </c>
      <c r="O391" s="5">
        <v>1793.2632000000001</v>
      </c>
    </row>
    <row r="392" spans="1:15">
      <c r="A392" t="s">
        <v>1741</v>
      </c>
      <c r="B392" s="7">
        <v>45742</v>
      </c>
      <c r="C392" t="s">
        <v>234</v>
      </c>
      <c r="D392" t="s">
        <v>1187</v>
      </c>
      <c r="E392" t="s">
        <v>1291</v>
      </c>
      <c r="F392" t="str">
        <f>[1]Raw_Customer_Dim!$A$2</f>
        <v>CUST1000</v>
      </c>
      <c r="G392" t="str">
        <f>_xlfn.XLOOKUP(E392,Store_Dim!A:A,Store_Dim!B:B,"Not Found")</f>
        <v>Johnson-Wright</v>
      </c>
      <c r="H392" t="str">
        <f>_xlfn.XLOOKUP(D392,Product_Dim!A:A,Product_Dim!C:C,"Not Found")</f>
        <v>Sports</v>
      </c>
      <c r="I392" t="str">
        <f>_xlfn.XLOOKUP(E392,Store_Dim!A:A,Store_Dim!C:C,"Not Found")</f>
        <v>North</v>
      </c>
      <c r="J392" t="str">
        <f>_xlfn.XLOOKUP(C392,Customer_Dim!A:A,Customer_Dim!B:B,"Not Found")</f>
        <v>Jamie Yoder</v>
      </c>
      <c r="K392">
        <f>Table511[[#This Row],[Total_Amount]]/(L392*(1-Table511[[#This Row],[Discount]]))</f>
        <v>4</v>
      </c>
      <c r="L392" s="5">
        <v>995.55</v>
      </c>
      <c r="M392">
        <v>0.19</v>
      </c>
      <c r="N392" t="s">
        <v>1351</v>
      </c>
      <c r="O392" s="5">
        <v>3225.5819999999999</v>
      </c>
    </row>
    <row r="393" spans="1:15">
      <c r="A393" t="s">
        <v>1742</v>
      </c>
      <c r="B393" s="7">
        <v>45478</v>
      </c>
      <c r="C393" t="s">
        <v>343</v>
      </c>
      <c r="D393" t="s">
        <v>1259</v>
      </c>
      <c r="E393" t="s">
        <v>1322</v>
      </c>
      <c r="F393" t="str">
        <f>[1]Raw_Customer_Dim!$A$2</f>
        <v>CUST1000</v>
      </c>
      <c r="G393" t="str">
        <f>_xlfn.XLOOKUP(E393,Store_Dim!A:A,Store_Dim!B:B,"Not Found")</f>
        <v>Gardner, Humphrey and Contreras</v>
      </c>
      <c r="H393" t="str">
        <f>_xlfn.XLOOKUP(D393,Product_Dim!A:A,Product_Dim!C:C,"Not Found")</f>
        <v>Electronics</v>
      </c>
      <c r="I393" t="str">
        <f>_xlfn.XLOOKUP(E393,Store_Dim!A:A,Store_Dim!C:C,"Not Found")</f>
        <v>East</v>
      </c>
      <c r="J393" t="str">
        <f>_xlfn.XLOOKUP(C393,Customer_Dim!A:A,Customer_Dim!B:B,"Not Found")</f>
        <v>Cristian Wright</v>
      </c>
      <c r="K393">
        <f>Table511[[#This Row],[Total_Amount]]/(L393*(1-Table511[[#This Row],[Discount]]))</f>
        <v>2</v>
      </c>
      <c r="L393" s="5">
        <v>153.84</v>
      </c>
      <c r="M393">
        <v>0.27</v>
      </c>
      <c r="N393" t="s">
        <v>1351</v>
      </c>
      <c r="O393" s="5">
        <v>224.60640000000001</v>
      </c>
    </row>
    <row r="394" spans="1:15">
      <c r="A394" t="s">
        <v>1743</v>
      </c>
      <c r="B394" s="7">
        <v>45789</v>
      </c>
      <c r="C394" t="s">
        <v>367</v>
      </c>
      <c r="D394" t="s">
        <v>1229</v>
      </c>
      <c r="E394" t="s">
        <v>1301</v>
      </c>
      <c r="F394" t="str">
        <f>[1]Raw_Customer_Dim!$A$2</f>
        <v>CUST1000</v>
      </c>
      <c r="G394" t="str">
        <f>_xlfn.XLOOKUP(E394,Store_Dim!A:A,Store_Dim!B:B,"Not Found")</f>
        <v>Benson-Elliott</v>
      </c>
      <c r="H394" t="str">
        <f>_xlfn.XLOOKUP(D394,Product_Dim!A:A,Product_Dim!C:C,"Not Found")</f>
        <v>Home</v>
      </c>
      <c r="I394" t="str">
        <f>_xlfn.XLOOKUP(E394,Store_Dim!A:A,Store_Dim!C:C,"Not Found")</f>
        <v>East</v>
      </c>
      <c r="J394" t="str">
        <f>_xlfn.XLOOKUP(C394,Customer_Dim!A:A,Customer_Dim!B:B,"Not Found")</f>
        <v>Joseph Faulkner</v>
      </c>
      <c r="K394">
        <f>Table511[[#This Row],[Total_Amount]]/(L394*(1-Table511[[#This Row],[Discount]]))</f>
        <v>2.9999999999999996</v>
      </c>
      <c r="L394" s="5">
        <v>362.11</v>
      </c>
      <c r="M394">
        <v>0.23</v>
      </c>
      <c r="N394" t="s">
        <v>1354</v>
      </c>
      <c r="O394" s="5">
        <v>836.47409999999991</v>
      </c>
    </row>
    <row r="395" spans="1:15">
      <c r="A395" t="s">
        <v>1744</v>
      </c>
      <c r="B395" s="7">
        <v>45561</v>
      </c>
      <c r="C395" t="s">
        <v>1006</v>
      </c>
      <c r="D395" t="s">
        <v>1159</v>
      </c>
      <c r="E395" t="s">
        <v>1307</v>
      </c>
      <c r="F395" t="str">
        <f>[1]Raw_Customer_Dim!$A$2</f>
        <v>CUST1000</v>
      </c>
      <c r="G395" t="str">
        <f>_xlfn.XLOOKUP(E395,Store_Dim!A:A,Store_Dim!B:B,"Not Found")</f>
        <v>Bean, Jones and Park</v>
      </c>
      <c r="H395" t="str">
        <f>_xlfn.XLOOKUP(D395,Product_Dim!A:A,Product_Dim!C:C,"Not Found")</f>
        <v>Electronics</v>
      </c>
      <c r="I395" t="str">
        <f>_xlfn.XLOOKUP(E395,Store_Dim!A:A,Store_Dim!C:C,"Not Found")</f>
        <v>West</v>
      </c>
      <c r="J395" t="str">
        <f>_xlfn.XLOOKUP(C395,Customer_Dim!A:A,Customer_Dim!B:B,"Not Found")</f>
        <v>Philip Mendoza</v>
      </c>
      <c r="K395">
        <f>Table511[[#This Row],[Total_Amount]]/(L395*(1-Table511[[#This Row],[Discount]]))</f>
        <v>3</v>
      </c>
      <c r="L395" s="5">
        <v>112.26</v>
      </c>
      <c r="M395">
        <v>0.11</v>
      </c>
      <c r="N395" t="s">
        <v>1349</v>
      </c>
      <c r="O395" s="5">
        <v>299.73419999999999</v>
      </c>
    </row>
    <row r="396" spans="1:15">
      <c r="A396" t="s">
        <v>1745</v>
      </c>
      <c r="B396" s="7">
        <v>45378</v>
      </c>
      <c r="C396" t="s">
        <v>468</v>
      </c>
      <c r="D396" t="s">
        <v>1261</v>
      </c>
      <c r="E396" t="s">
        <v>1338</v>
      </c>
      <c r="F396" t="str">
        <f>[1]Raw_Customer_Dim!$A$2</f>
        <v>CUST1000</v>
      </c>
      <c r="G396" t="str">
        <f>_xlfn.XLOOKUP(E396,Store_Dim!A:A,Store_Dim!B:B,"Not Found")</f>
        <v>Mann-Austin</v>
      </c>
      <c r="H396" t="str">
        <f>_xlfn.XLOOKUP(D396,Product_Dim!A:A,Product_Dim!C:C,"Not Found")</f>
        <v>Beauty</v>
      </c>
      <c r="I396" t="str">
        <f>_xlfn.XLOOKUP(E396,Store_Dim!A:A,Store_Dim!C:C,"Not Found")</f>
        <v>East</v>
      </c>
      <c r="J396" t="str">
        <f>_xlfn.XLOOKUP(C396,Customer_Dim!A:A,Customer_Dim!B:B,"Not Found")</f>
        <v>Sarah Brady</v>
      </c>
      <c r="K396">
        <f>Table511[[#This Row],[Total_Amount]]/(L396*(1-Table511[[#This Row],[Discount]]))</f>
        <v>2</v>
      </c>
      <c r="L396" s="5">
        <v>962.81</v>
      </c>
      <c r="M396">
        <v>0.06</v>
      </c>
      <c r="N396" t="s">
        <v>1354</v>
      </c>
      <c r="O396" s="5">
        <v>1810.0827999999999</v>
      </c>
    </row>
    <row r="397" spans="1:15">
      <c r="A397" t="s">
        <v>1746</v>
      </c>
      <c r="B397" s="7">
        <v>45308</v>
      </c>
      <c r="C397" t="s">
        <v>488</v>
      </c>
      <c r="D397" t="s">
        <v>1115</v>
      </c>
      <c r="E397" t="s">
        <v>1277</v>
      </c>
      <c r="F397" t="str">
        <f>[1]Raw_Customer_Dim!$A$2</f>
        <v>CUST1000</v>
      </c>
      <c r="G397" t="str">
        <f>_xlfn.XLOOKUP(E397,Store_Dim!A:A,Store_Dim!B:B,"Not Found")</f>
        <v>Rivera-Warner</v>
      </c>
      <c r="H397" t="str">
        <f>_xlfn.XLOOKUP(D397,Product_Dim!A:A,Product_Dim!C:C,"Not Found")</f>
        <v>Home</v>
      </c>
      <c r="I397" t="str">
        <f>_xlfn.XLOOKUP(E397,Store_Dim!A:A,Store_Dim!C:C,"Not Found")</f>
        <v>East</v>
      </c>
      <c r="J397" t="str">
        <f>_xlfn.XLOOKUP(C397,Customer_Dim!A:A,Customer_Dim!B:B,"Not Found")</f>
        <v>Stuart Johnson</v>
      </c>
      <c r="K397">
        <f>Table511[[#This Row],[Total_Amount]]/(L397*(1-Table511[[#This Row],[Discount]]))</f>
        <v>4</v>
      </c>
      <c r="L397" s="5">
        <v>276.23</v>
      </c>
      <c r="M397">
        <v>0.12</v>
      </c>
      <c r="N397" t="s">
        <v>1349</v>
      </c>
      <c r="O397" s="5">
        <v>972.32960000000003</v>
      </c>
    </row>
    <row r="398" spans="1:15">
      <c r="A398" t="s">
        <v>1747</v>
      </c>
      <c r="B398" s="7">
        <v>45407</v>
      </c>
      <c r="C398" t="s">
        <v>56</v>
      </c>
      <c r="D398" t="s">
        <v>1109</v>
      </c>
      <c r="E398" t="s">
        <v>1324</v>
      </c>
      <c r="F398" t="str">
        <f>[1]Raw_Customer_Dim!$A$2</f>
        <v>CUST1000</v>
      </c>
      <c r="G398" t="str">
        <f>_xlfn.XLOOKUP(E398,Store_Dim!A:A,Store_Dim!B:B,"Not Found")</f>
        <v>Mcdonald Inc</v>
      </c>
      <c r="H398" t="str">
        <f>_xlfn.XLOOKUP(D398,Product_Dim!A:A,Product_Dim!C:C,"Not Found")</f>
        <v>Clothing</v>
      </c>
      <c r="I398" t="str">
        <f>_xlfn.XLOOKUP(E398,Store_Dim!A:A,Store_Dim!C:C,"Not Found")</f>
        <v>South</v>
      </c>
      <c r="J398" t="str">
        <f>_xlfn.XLOOKUP(C398,Customer_Dim!A:A,Customer_Dim!B:B,"Not Found")</f>
        <v>Laura Alvarez</v>
      </c>
      <c r="K398">
        <f>Table511[[#This Row],[Total_Amount]]/(L398*(1-Table511[[#This Row],[Discount]]))</f>
        <v>3</v>
      </c>
      <c r="L398" s="5">
        <v>991.37</v>
      </c>
      <c r="M398">
        <v>0.1</v>
      </c>
      <c r="N398" t="s">
        <v>1351</v>
      </c>
      <c r="O398" s="5">
        <v>2676.6990000000001</v>
      </c>
    </row>
    <row r="399" spans="1:15">
      <c r="A399" t="s">
        <v>1748</v>
      </c>
      <c r="B399" s="7">
        <v>45929</v>
      </c>
      <c r="C399" t="s">
        <v>397</v>
      </c>
      <c r="D399" t="s">
        <v>1115</v>
      </c>
      <c r="E399" t="s">
        <v>1322</v>
      </c>
      <c r="F399" t="str">
        <f>[1]Raw_Customer_Dim!$A$2</f>
        <v>CUST1000</v>
      </c>
      <c r="G399" t="str">
        <f>_xlfn.XLOOKUP(E399,Store_Dim!A:A,Store_Dim!B:B,"Not Found")</f>
        <v>Gardner, Humphrey and Contreras</v>
      </c>
      <c r="H399" t="str">
        <f>_xlfn.XLOOKUP(D399,Product_Dim!A:A,Product_Dim!C:C,"Not Found")</f>
        <v>Home</v>
      </c>
      <c r="I399" t="str">
        <f>_xlfn.XLOOKUP(E399,Store_Dim!A:A,Store_Dim!C:C,"Not Found")</f>
        <v>East</v>
      </c>
      <c r="J399" t="str">
        <f>_xlfn.XLOOKUP(C399,Customer_Dim!A:A,Customer_Dim!B:B,"Not Found")</f>
        <v>Daniel Contreras</v>
      </c>
      <c r="K399">
        <f>Table511[[#This Row],[Total_Amount]]/(L399*(1-Table511[[#This Row],[Discount]]))</f>
        <v>3</v>
      </c>
      <c r="L399" s="5">
        <v>977.47</v>
      </c>
      <c r="M399">
        <v>0.05</v>
      </c>
      <c r="N399" t="s">
        <v>1349</v>
      </c>
      <c r="O399" s="5">
        <v>2785.7894999999999</v>
      </c>
    </row>
    <row r="400" spans="1:15">
      <c r="A400" t="s">
        <v>1749</v>
      </c>
      <c r="B400" s="7">
        <v>45844</v>
      </c>
      <c r="C400" t="s">
        <v>474</v>
      </c>
      <c r="D400" t="s">
        <v>1261</v>
      </c>
      <c r="E400" t="s">
        <v>1319</v>
      </c>
      <c r="F400" t="str">
        <f>[1]Raw_Customer_Dim!$A$2</f>
        <v>CUST1000</v>
      </c>
      <c r="G400" t="str">
        <f>_xlfn.XLOOKUP(E400,Store_Dim!A:A,Store_Dim!B:B,"Not Found")</f>
        <v>Thomas, Bridges and Harris</v>
      </c>
      <c r="H400" t="str">
        <f>_xlfn.XLOOKUP(D400,Product_Dim!A:A,Product_Dim!C:C,"Not Found")</f>
        <v>Beauty</v>
      </c>
      <c r="I400" t="str">
        <f>_xlfn.XLOOKUP(E400,Store_Dim!A:A,Store_Dim!C:C,"Not Found")</f>
        <v>North</v>
      </c>
      <c r="J400" t="str">
        <f>_xlfn.XLOOKUP(C400,Customer_Dim!A:A,Customer_Dim!B:B,"Not Found")</f>
        <v>Ronald Jones</v>
      </c>
      <c r="K400">
        <f>Table511[[#This Row],[Total_Amount]]/(L400*(1-Table511[[#This Row],[Discount]]))</f>
        <v>2</v>
      </c>
      <c r="L400" s="5">
        <v>308.7</v>
      </c>
      <c r="M400">
        <v>0.2</v>
      </c>
      <c r="N400" t="s">
        <v>1351</v>
      </c>
      <c r="O400" s="5">
        <v>493.92</v>
      </c>
    </row>
    <row r="401" spans="1:15">
      <c r="A401" t="s">
        <v>1750</v>
      </c>
      <c r="B401" s="7">
        <v>45579</v>
      </c>
      <c r="C401" t="s">
        <v>111</v>
      </c>
      <c r="D401" t="s">
        <v>1082</v>
      </c>
      <c r="E401" t="s">
        <v>1329</v>
      </c>
      <c r="F401" t="str">
        <f>[1]Raw_Customer_Dim!$A$2</f>
        <v>CUST1000</v>
      </c>
      <c r="G401" t="str">
        <f>_xlfn.XLOOKUP(E401,Store_Dim!A:A,Store_Dim!B:B,"Not Found")</f>
        <v>Frederick-Wright</v>
      </c>
      <c r="H401" t="str">
        <f>_xlfn.XLOOKUP(D401,Product_Dim!A:A,Product_Dim!C:C,"Not Found")</f>
        <v>Beauty</v>
      </c>
      <c r="I401" t="str">
        <f>_xlfn.XLOOKUP(E401,Store_Dim!A:A,Store_Dim!C:C,"Not Found")</f>
        <v>West</v>
      </c>
      <c r="J401" t="str">
        <f>_xlfn.XLOOKUP(C401,Customer_Dim!A:A,Customer_Dim!B:B,"Not Found")</f>
        <v>Christopher Carter</v>
      </c>
      <c r="K401">
        <f>Table511[[#This Row],[Total_Amount]]/(L401*(1-Table511[[#This Row],[Discount]]))</f>
        <v>1.9999999999999996</v>
      </c>
      <c r="L401" s="5">
        <v>733.87</v>
      </c>
      <c r="M401">
        <v>0.1</v>
      </c>
      <c r="N401" t="s">
        <v>1351</v>
      </c>
      <c r="O401" s="5">
        <v>1320.9659999999999</v>
      </c>
    </row>
    <row r="402" spans="1:15">
      <c r="A402" t="s">
        <v>1751</v>
      </c>
      <c r="B402" s="7">
        <v>45227</v>
      </c>
      <c r="C402" t="s">
        <v>248</v>
      </c>
      <c r="D402" t="s">
        <v>1111</v>
      </c>
      <c r="E402" t="s">
        <v>1329</v>
      </c>
      <c r="F402" t="str">
        <f>[1]Raw_Customer_Dim!$A$2</f>
        <v>CUST1000</v>
      </c>
      <c r="G402" t="str">
        <f>_xlfn.XLOOKUP(E402,Store_Dim!A:A,Store_Dim!B:B,"Not Found")</f>
        <v>Frederick-Wright</v>
      </c>
      <c r="H402" t="str">
        <f>_xlfn.XLOOKUP(D402,Product_Dim!A:A,Product_Dim!C:C,"Not Found")</f>
        <v>Sports</v>
      </c>
      <c r="I402" t="str">
        <f>_xlfn.XLOOKUP(E402,Store_Dim!A:A,Store_Dim!C:C,"Not Found")</f>
        <v>West</v>
      </c>
      <c r="J402" t="str">
        <f>_xlfn.XLOOKUP(C402,Customer_Dim!A:A,Customer_Dim!B:B,"Not Found")</f>
        <v>Amy Fowler</v>
      </c>
      <c r="K402">
        <f>Table511[[#This Row],[Total_Amount]]/(L402*(1-Table511[[#This Row],[Discount]]))</f>
        <v>2</v>
      </c>
      <c r="L402" s="5">
        <v>22.47</v>
      </c>
      <c r="M402">
        <v>0.22</v>
      </c>
      <c r="N402" t="s">
        <v>1351</v>
      </c>
      <c r="O402" s="5">
        <v>35.053199999999997</v>
      </c>
    </row>
    <row r="403" spans="1:15">
      <c r="A403" t="s">
        <v>1752</v>
      </c>
      <c r="B403" s="7">
        <v>45380</v>
      </c>
      <c r="C403" t="s">
        <v>760</v>
      </c>
      <c r="D403" t="s">
        <v>1187</v>
      </c>
      <c r="E403" t="s">
        <v>1322</v>
      </c>
      <c r="F403" t="str">
        <f>[1]Raw_Customer_Dim!$A$2</f>
        <v>CUST1000</v>
      </c>
      <c r="G403" t="str">
        <f>_xlfn.XLOOKUP(E403,Store_Dim!A:A,Store_Dim!B:B,"Not Found")</f>
        <v>Gardner, Humphrey and Contreras</v>
      </c>
      <c r="H403" t="str">
        <f>_xlfn.XLOOKUP(D403,Product_Dim!A:A,Product_Dim!C:C,"Not Found")</f>
        <v>Sports</v>
      </c>
      <c r="I403" t="str">
        <f>_xlfn.XLOOKUP(E403,Store_Dim!A:A,Store_Dim!C:C,"Not Found")</f>
        <v>East</v>
      </c>
      <c r="J403" t="str">
        <f>_xlfn.XLOOKUP(C403,Customer_Dim!A:A,Customer_Dim!B:B,"Not Found")</f>
        <v>Sherry Cabrera</v>
      </c>
      <c r="K403">
        <f>Table511[[#This Row],[Total_Amount]]/(L403*(1-Table511[[#This Row],[Discount]]))</f>
        <v>4</v>
      </c>
      <c r="L403" s="5">
        <v>651.36</v>
      </c>
      <c r="M403">
        <v>0.13</v>
      </c>
      <c r="N403" t="s">
        <v>1349</v>
      </c>
      <c r="O403" s="5">
        <v>2266.7328000000002</v>
      </c>
    </row>
    <row r="404" spans="1:15">
      <c r="A404" t="s">
        <v>1753</v>
      </c>
      <c r="B404" s="7">
        <v>45817</v>
      </c>
      <c r="C404" t="s">
        <v>656</v>
      </c>
      <c r="D404" t="s">
        <v>1101</v>
      </c>
      <c r="E404" t="s">
        <v>1314</v>
      </c>
      <c r="F404" t="str">
        <f>[1]Raw_Customer_Dim!$A$2</f>
        <v>CUST1000</v>
      </c>
      <c r="G404" t="str">
        <f>_xlfn.XLOOKUP(E404,Store_Dim!A:A,Store_Dim!B:B,"Not Found")</f>
        <v>Hill, Wagner and Ballard</v>
      </c>
      <c r="H404" t="str">
        <f>_xlfn.XLOOKUP(D404,Product_Dim!A:A,Product_Dim!C:C,"Not Found")</f>
        <v>Home</v>
      </c>
      <c r="I404" t="str">
        <f>_xlfn.XLOOKUP(E404,Store_Dim!A:A,Store_Dim!C:C,"Not Found")</f>
        <v>East</v>
      </c>
      <c r="J404" t="str">
        <f>_xlfn.XLOOKUP(C404,Customer_Dim!A:A,Customer_Dim!B:B,"Not Found")</f>
        <v>Jared Moran</v>
      </c>
      <c r="K404">
        <f>Table511[[#This Row],[Total_Amount]]/(L404*(1-Table511[[#This Row],[Discount]]))</f>
        <v>1</v>
      </c>
      <c r="L404" s="5">
        <v>753.39</v>
      </c>
      <c r="M404">
        <v>0.04</v>
      </c>
      <c r="N404" t="s">
        <v>1354</v>
      </c>
      <c r="O404" s="5">
        <v>723.25439999999992</v>
      </c>
    </row>
    <row r="405" spans="1:15">
      <c r="A405" t="s">
        <v>1754</v>
      </c>
      <c r="B405" s="7">
        <v>45576</v>
      </c>
      <c r="C405" t="s">
        <v>464</v>
      </c>
      <c r="D405" t="s">
        <v>1215</v>
      </c>
      <c r="E405" t="s">
        <v>1319</v>
      </c>
      <c r="F405" t="str">
        <f>[1]Raw_Customer_Dim!$A$2</f>
        <v>CUST1000</v>
      </c>
      <c r="G405" t="str">
        <f>_xlfn.XLOOKUP(E405,Store_Dim!A:A,Store_Dim!B:B,"Not Found")</f>
        <v>Thomas, Bridges and Harris</v>
      </c>
      <c r="H405" t="str">
        <f>_xlfn.XLOOKUP(D405,Product_Dim!A:A,Product_Dim!C:C,"Not Found")</f>
        <v>Beauty</v>
      </c>
      <c r="I405" t="str">
        <f>_xlfn.XLOOKUP(E405,Store_Dim!A:A,Store_Dim!C:C,"Not Found")</f>
        <v>North</v>
      </c>
      <c r="J405" t="str">
        <f>_xlfn.XLOOKUP(C405,Customer_Dim!A:A,Customer_Dim!B:B,"Not Found")</f>
        <v>Mary Boyd</v>
      </c>
      <c r="K405">
        <f>Table511[[#This Row],[Total_Amount]]/(L405*(1-Table511[[#This Row],[Discount]]))</f>
        <v>4</v>
      </c>
      <c r="L405" s="5">
        <v>849.17</v>
      </c>
      <c r="M405">
        <v>0.12</v>
      </c>
      <c r="N405" t="s">
        <v>1354</v>
      </c>
      <c r="O405" s="5">
        <v>2989.0783999999999</v>
      </c>
    </row>
    <row r="406" spans="1:15">
      <c r="A406" t="s">
        <v>1755</v>
      </c>
      <c r="B406" s="7">
        <v>45495</v>
      </c>
      <c r="C406" t="s">
        <v>821</v>
      </c>
      <c r="D406" t="s">
        <v>1113</v>
      </c>
      <c r="E406" t="s">
        <v>1277</v>
      </c>
      <c r="F406" t="str">
        <f>[1]Raw_Customer_Dim!$A$2</f>
        <v>CUST1000</v>
      </c>
      <c r="G406" t="str">
        <f>_xlfn.XLOOKUP(E406,Store_Dim!A:A,Store_Dim!B:B,"Not Found")</f>
        <v>Rivera-Warner</v>
      </c>
      <c r="H406" t="str">
        <f>_xlfn.XLOOKUP(D406,Product_Dim!A:A,Product_Dim!C:C,"Not Found")</f>
        <v>Sports</v>
      </c>
      <c r="I406" t="str">
        <f>_xlfn.XLOOKUP(E406,Store_Dim!A:A,Store_Dim!C:C,"Not Found")</f>
        <v>East</v>
      </c>
      <c r="J406" t="str">
        <f>_xlfn.XLOOKUP(C406,Customer_Dim!A:A,Customer_Dim!B:B,"Not Found")</f>
        <v>Tanya Lopez</v>
      </c>
      <c r="K406">
        <f>Table511[[#This Row],[Total_Amount]]/(L406*(1-Table511[[#This Row],[Discount]]))</f>
        <v>3.9999999999999996</v>
      </c>
      <c r="L406" s="5">
        <v>585.45000000000005</v>
      </c>
      <c r="M406">
        <v>0.25</v>
      </c>
      <c r="N406" t="s">
        <v>1354</v>
      </c>
      <c r="O406" s="5">
        <v>1756.35</v>
      </c>
    </row>
    <row r="407" spans="1:15">
      <c r="A407" t="s">
        <v>1756</v>
      </c>
      <c r="B407" s="7">
        <v>45628</v>
      </c>
      <c r="C407" t="s">
        <v>1014</v>
      </c>
      <c r="D407" t="s">
        <v>1223</v>
      </c>
      <c r="E407" t="s">
        <v>1329</v>
      </c>
      <c r="F407" t="str">
        <f>[1]Raw_Customer_Dim!$A$2</f>
        <v>CUST1000</v>
      </c>
      <c r="G407" t="str">
        <f>_xlfn.XLOOKUP(E407,Store_Dim!A:A,Store_Dim!B:B,"Not Found")</f>
        <v>Frederick-Wright</v>
      </c>
      <c r="H407" t="str">
        <f>_xlfn.XLOOKUP(D407,Product_Dim!A:A,Product_Dim!C:C,"Not Found")</f>
        <v>Clothing</v>
      </c>
      <c r="I407" t="str">
        <f>_xlfn.XLOOKUP(E407,Store_Dim!A:A,Store_Dim!C:C,"Not Found")</f>
        <v>West</v>
      </c>
      <c r="J407" t="str">
        <f>_xlfn.XLOOKUP(C407,Customer_Dim!A:A,Customer_Dim!B:B,"Not Found")</f>
        <v>Elizabeth Foster</v>
      </c>
      <c r="K407">
        <f>Table511[[#This Row],[Total_Amount]]/(L407*(1-Table511[[#This Row],[Discount]]))</f>
        <v>1</v>
      </c>
      <c r="L407" s="5">
        <v>745.15</v>
      </c>
      <c r="M407">
        <v>0.25</v>
      </c>
      <c r="N407" t="s">
        <v>1354</v>
      </c>
      <c r="O407" s="5">
        <v>558.86249999999995</v>
      </c>
    </row>
    <row r="408" spans="1:15">
      <c r="A408" t="s">
        <v>1757</v>
      </c>
      <c r="B408" s="7">
        <v>45244</v>
      </c>
      <c r="C408" t="s">
        <v>142</v>
      </c>
      <c r="D408" t="s">
        <v>1271</v>
      </c>
      <c r="E408" t="s">
        <v>1286</v>
      </c>
      <c r="F408" t="str">
        <f>[1]Raw_Customer_Dim!$A$2</f>
        <v>CUST1000</v>
      </c>
      <c r="G408" t="str">
        <f>_xlfn.XLOOKUP(E408,Store_Dim!A:A,Store_Dim!B:B,"Not Found")</f>
        <v>Black-Horn</v>
      </c>
      <c r="H408" t="str">
        <f>_xlfn.XLOOKUP(D408,Product_Dim!A:A,Product_Dim!C:C,"Not Found")</f>
        <v>Home</v>
      </c>
      <c r="I408" t="str">
        <f>_xlfn.XLOOKUP(E408,Store_Dim!A:A,Store_Dim!C:C,"Not Found")</f>
        <v>South</v>
      </c>
      <c r="J408" t="str">
        <f>_xlfn.XLOOKUP(C408,Customer_Dim!A:A,Customer_Dim!B:B,"Not Found")</f>
        <v>Matthew Hunter Jr.</v>
      </c>
      <c r="K408">
        <f>Table511[[#This Row],[Total_Amount]]/(L408*(1-Table511[[#This Row],[Discount]]))</f>
        <v>1</v>
      </c>
      <c r="L408" s="5">
        <v>848.69</v>
      </c>
      <c r="M408">
        <v>0.04</v>
      </c>
      <c r="N408" t="s">
        <v>1354</v>
      </c>
      <c r="O408" s="5">
        <v>814.74239999999998</v>
      </c>
    </row>
    <row r="409" spans="1:15">
      <c r="A409" t="s">
        <v>1758</v>
      </c>
      <c r="B409" s="7">
        <v>45336</v>
      </c>
      <c r="C409" t="s">
        <v>889</v>
      </c>
      <c r="D409" t="s">
        <v>1213</v>
      </c>
      <c r="E409" t="s">
        <v>1324</v>
      </c>
      <c r="F409" t="str">
        <f>[1]Raw_Customer_Dim!$A$2</f>
        <v>CUST1000</v>
      </c>
      <c r="G409" t="str">
        <f>_xlfn.XLOOKUP(E409,Store_Dim!A:A,Store_Dim!B:B,"Not Found")</f>
        <v>Mcdonald Inc</v>
      </c>
      <c r="H409" t="str">
        <f>_xlfn.XLOOKUP(D409,Product_Dim!A:A,Product_Dim!C:C,"Not Found")</f>
        <v>Home</v>
      </c>
      <c r="I409" t="str">
        <f>_xlfn.XLOOKUP(E409,Store_Dim!A:A,Store_Dim!C:C,"Not Found")</f>
        <v>South</v>
      </c>
      <c r="J409" t="str">
        <f>_xlfn.XLOOKUP(C409,Customer_Dim!A:A,Customer_Dim!B:B,"Not Found")</f>
        <v>Megan Ryan</v>
      </c>
      <c r="K409">
        <f>Table511[[#This Row],[Total_Amount]]/(L409*(1-Table511[[#This Row],[Discount]]))</f>
        <v>2</v>
      </c>
      <c r="L409" s="5">
        <v>247.67</v>
      </c>
      <c r="M409">
        <v>0.1</v>
      </c>
      <c r="N409" t="s">
        <v>1351</v>
      </c>
      <c r="O409" s="5">
        <v>445.80599999999998</v>
      </c>
    </row>
    <row r="410" spans="1:15">
      <c r="A410" t="s">
        <v>1759</v>
      </c>
      <c r="B410" s="7">
        <v>45465</v>
      </c>
      <c r="C410" t="s">
        <v>115</v>
      </c>
      <c r="D410" t="s">
        <v>1221</v>
      </c>
      <c r="E410" t="s">
        <v>1291</v>
      </c>
      <c r="F410" t="str">
        <f>[1]Raw_Customer_Dim!$A$2</f>
        <v>CUST1000</v>
      </c>
      <c r="G410" t="str">
        <f>_xlfn.XLOOKUP(E410,Store_Dim!A:A,Store_Dim!B:B,"Not Found")</f>
        <v>Johnson-Wright</v>
      </c>
      <c r="H410" t="str">
        <f>_xlfn.XLOOKUP(D410,Product_Dim!A:A,Product_Dim!C:C,"Not Found")</f>
        <v>Electronics</v>
      </c>
      <c r="I410" t="str">
        <f>_xlfn.XLOOKUP(E410,Store_Dim!A:A,Store_Dim!C:C,"Not Found")</f>
        <v>North</v>
      </c>
      <c r="J410" t="str">
        <f>_xlfn.XLOOKUP(C410,Customer_Dim!A:A,Customer_Dim!B:B,"Not Found")</f>
        <v>Tonya Reynolds</v>
      </c>
      <c r="K410">
        <f>Table511[[#This Row],[Total_Amount]]/(L410*(1-Table511[[#This Row],[Discount]]))</f>
        <v>3</v>
      </c>
      <c r="L410" s="5">
        <v>220.51</v>
      </c>
      <c r="M410">
        <v>0.02</v>
      </c>
      <c r="N410" t="s">
        <v>1351</v>
      </c>
      <c r="O410" s="5">
        <v>648.29939999999999</v>
      </c>
    </row>
    <row r="411" spans="1:15">
      <c r="A411" t="s">
        <v>1760</v>
      </c>
      <c r="B411" s="7">
        <v>45837</v>
      </c>
      <c r="C411" t="s">
        <v>718</v>
      </c>
      <c r="D411" t="s">
        <v>1103</v>
      </c>
      <c r="E411" t="s">
        <v>1329</v>
      </c>
      <c r="F411" t="str">
        <f>[1]Raw_Customer_Dim!$A$2</f>
        <v>CUST1000</v>
      </c>
      <c r="G411" t="str">
        <f>_xlfn.XLOOKUP(E411,Store_Dim!A:A,Store_Dim!B:B,"Not Found")</f>
        <v>Frederick-Wright</v>
      </c>
      <c r="H411" t="str">
        <f>_xlfn.XLOOKUP(D411,Product_Dim!A:A,Product_Dim!C:C,"Not Found")</f>
        <v>Electronics</v>
      </c>
      <c r="I411" t="str">
        <f>_xlfn.XLOOKUP(E411,Store_Dim!A:A,Store_Dim!C:C,"Not Found")</f>
        <v>West</v>
      </c>
      <c r="J411" t="str">
        <f>_xlfn.XLOOKUP(C411,Customer_Dim!A:A,Customer_Dim!B:B,"Not Found")</f>
        <v>Reginald Willis</v>
      </c>
      <c r="K411">
        <f>Table511[[#This Row],[Total_Amount]]/(L411*(1-Table511[[#This Row],[Discount]]))</f>
        <v>4</v>
      </c>
      <c r="L411" s="5">
        <v>370.63</v>
      </c>
      <c r="M411">
        <v>0.08</v>
      </c>
      <c r="N411" t="s">
        <v>1349</v>
      </c>
      <c r="O411" s="5">
        <v>1363.9184</v>
      </c>
    </row>
    <row r="412" spans="1:15">
      <c r="A412" t="s">
        <v>1761</v>
      </c>
      <c r="B412" s="7">
        <v>45706</v>
      </c>
      <c r="C412" t="s">
        <v>845</v>
      </c>
      <c r="D412" t="s">
        <v>1131</v>
      </c>
      <c r="E412" t="s">
        <v>1338</v>
      </c>
      <c r="F412" t="str">
        <f>[1]Raw_Customer_Dim!$A$2</f>
        <v>CUST1000</v>
      </c>
      <c r="G412" t="str">
        <f>_xlfn.XLOOKUP(E412,Store_Dim!A:A,Store_Dim!B:B,"Not Found")</f>
        <v>Mann-Austin</v>
      </c>
      <c r="H412" t="str">
        <f>_xlfn.XLOOKUP(D412,Product_Dim!A:A,Product_Dim!C:C,"Not Found")</f>
        <v>Home</v>
      </c>
      <c r="I412" t="str">
        <f>_xlfn.XLOOKUP(E412,Store_Dim!A:A,Store_Dim!C:C,"Not Found")</f>
        <v>East</v>
      </c>
      <c r="J412" t="str">
        <f>_xlfn.XLOOKUP(C412,Customer_Dim!A:A,Customer_Dim!B:B,"Not Found")</f>
        <v>Heidi Tyler</v>
      </c>
      <c r="K412">
        <f>Table511[[#This Row],[Total_Amount]]/(L412*(1-Table511[[#This Row],[Discount]]))</f>
        <v>4</v>
      </c>
      <c r="L412" s="5">
        <v>349.84</v>
      </c>
      <c r="M412">
        <v>0.11</v>
      </c>
      <c r="N412" t="s">
        <v>1349</v>
      </c>
      <c r="O412" s="5">
        <v>1245.4304</v>
      </c>
    </row>
    <row r="413" spans="1:15">
      <c r="A413" t="s">
        <v>1762</v>
      </c>
      <c r="B413" s="7">
        <v>45823</v>
      </c>
      <c r="C413" t="s">
        <v>126</v>
      </c>
      <c r="D413" t="s">
        <v>1151</v>
      </c>
      <c r="E413" t="s">
        <v>1319</v>
      </c>
      <c r="F413" t="str">
        <f>[1]Raw_Customer_Dim!$A$2</f>
        <v>CUST1000</v>
      </c>
      <c r="G413" t="str">
        <f>_xlfn.XLOOKUP(E413,Store_Dim!A:A,Store_Dim!B:B,"Not Found")</f>
        <v>Thomas, Bridges and Harris</v>
      </c>
      <c r="H413" t="str">
        <f>_xlfn.XLOOKUP(D413,Product_Dim!A:A,Product_Dim!C:C,"Not Found")</f>
        <v>Electronics</v>
      </c>
      <c r="I413" t="str">
        <f>_xlfn.XLOOKUP(E413,Store_Dim!A:A,Store_Dim!C:C,"Not Found")</f>
        <v>North</v>
      </c>
      <c r="J413" t="str">
        <f>_xlfn.XLOOKUP(C413,Customer_Dim!A:A,Customer_Dim!B:B,"Not Found")</f>
        <v>Joseph Snow</v>
      </c>
      <c r="K413">
        <f>Table511[[#This Row],[Total_Amount]]/(L413*(1-Table511[[#This Row],[Discount]]))</f>
        <v>1</v>
      </c>
      <c r="L413" s="5">
        <v>770.87</v>
      </c>
      <c r="M413">
        <v>0.1</v>
      </c>
      <c r="N413" t="s">
        <v>1354</v>
      </c>
      <c r="O413" s="5">
        <v>693.78300000000002</v>
      </c>
    </row>
    <row r="414" spans="1:15">
      <c r="A414" t="s">
        <v>1763</v>
      </c>
      <c r="B414" s="7">
        <v>45518</v>
      </c>
      <c r="C414" t="s">
        <v>1020</v>
      </c>
      <c r="D414" t="s">
        <v>1271</v>
      </c>
      <c r="E414" t="s">
        <v>1332</v>
      </c>
      <c r="F414" t="str">
        <f>[1]Raw_Customer_Dim!$A$2</f>
        <v>CUST1000</v>
      </c>
      <c r="G414" t="str">
        <f>_xlfn.XLOOKUP(E414,Store_Dim!A:A,Store_Dim!B:B,"Not Found")</f>
        <v>Holloway Ltd</v>
      </c>
      <c r="H414" t="str">
        <f>_xlfn.XLOOKUP(D414,Product_Dim!A:A,Product_Dim!C:C,"Not Found")</f>
        <v>Home</v>
      </c>
      <c r="I414" t="str">
        <f>_xlfn.XLOOKUP(E414,Store_Dim!A:A,Store_Dim!C:C,"Not Found")</f>
        <v>North</v>
      </c>
      <c r="J414" t="str">
        <f>_xlfn.XLOOKUP(C414,Customer_Dim!A:A,Customer_Dim!B:B,"Not Found")</f>
        <v>Dylan Gutierrez</v>
      </c>
      <c r="K414">
        <f>Table511[[#This Row],[Total_Amount]]/(L414*(1-Table511[[#This Row],[Discount]]))</f>
        <v>3.0000000000000004</v>
      </c>
      <c r="L414" s="5">
        <v>507.33</v>
      </c>
      <c r="M414">
        <v>0.06</v>
      </c>
      <c r="N414" t="s">
        <v>1351</v>
      </c>
      <c r="O414" s="5">
        <v>1430.6705999999999</v>
      </c>
    </row>
    <row r="415" spans="1:15">
      <c r="A415" t="s">
        <v>1764</v>
      </c>
      <c r="B415" s="7">
        <v>45863</v>
      </c>
      <c r="C415" t="s">
        <v>432</v>
      </c>
      <c r="D415" t="s">
        <v>1205</v>
      </c>
      <c r="E415" t="s">
        <v>1311</v>
      </c>
      <c r="F415" t="str">
        <f>[1]Raw_Customer_Dim!$A$2</f>
        <v>CUST1000</v>
      </c>
      <c r="G415" t="str">
        <f>_xlfn.XLOOKUP(E415,Store_Dim!A:A,Store_Dim!B:B,"Not Found")</f>
        <v>Moore, Padilla and Butler</v>
      </c>
      <c r="H415" t="str">
        <f>_xlfn.XLOOKUP(D415,Product_Dim!A:A,Product_Dim!C:C,"Not Found")</f>
        <v>Beauty</v>
      </c>
      <c r="I415" t="str">
        <f>_xlfn.XLOOKUP(E415,Store_Dim!A:A,Store_Dim!C:C,"Not Found")</f>
        <v>South</v>
      </c>
      <c r="J415" t="str">
        <f>_xlfn.XLOOKUP(C415,Customer_Dim!A:A,Customer_Dim!B:B,"Not Found")</f>
        <v>Brent Rivas</v>
      </c>
      <c r="K415">
        <f>Table511[[#This Row],[Total_Amount]]/(L415*(1-Table511[[#This Row],[Discount]]))</f>
        <v>1</v>
      </c>
      <c r="L415" s="5">
        <v>87.78</v>
      </c>
      <c r="M415">
        <v>0.06</v>
      </c>
      <c r="N415" t="s">
        <v>1349</v>
      </c>
      <c r="O415" s="5">
        <v>82.513199999999998</v>
      </c>
    </row>
    <row r="416" spans="1:15">
      <c r="A416" t="s">
        <v>1765</v>
      </c>
      <c r="B416" s="7">
        <v>45666</v>
      </c>
      <c r="C416" t="s">
        <v>30</v>
      </c>
      <c r="D416" t="s">
        <v>1259</v>
      </c>
      <c r="E416" t="s">
        <v>1294</v>
      </c>
      <c r="F416" t="str">
        <f>[1]Raw_Customer_Dim!$A$2</f>
        <v>CUST1000</v>
      </c>
      <c r="G416" t="str">
        <f>_xlfn.XLOOKUP(E416,Store_Dim!A:A,Store_Dim!B:B,"Not Found")</f>
        <v>Alexander Group</v>
      </c>
      <c r="H416" t="str">
        <f>_xlfn.XLOOKUP(D416,Product_Dim!A:A,Product_Dim!C:C,"Not Found")</f>
        <v>Electronics</v>
      </c>
      <c r="I416" t="str">
        <f>_xlfn.XLOOKUP(E416,Store_Dim!A:A,Store_Dim!C:C,"Not Found")</f>
        <v>South</v>
      </c>
      <c r="J416" t="str">
        <f>_xlfn.XLOOKUP(C416,Customer_Dim!A:A,Customer_Dim!B:B,"Not Found")</f>
        <v>Amber Jackson</v>
      </c>
      <c r="K416">
        <f>Table511[[#This Row],[Total_Amount]]/(L416*(1-Table511[[#This Row],[Discount]]))</f>
        <v>2</v>
      </c>
      <c r="L416" s="5">
        <v>772.24</v>
      </c>
      <c r="M416">
        <v>0.22</v>
      </c>
      <c r="N416" t="s">
        <v>1349</v>
      </c>
      <c r="O416" s="5">
        <v>1204.6944000000001</v>
      </c>
    </row>
    <row r="417" spans="1:15">
      <c r="A417" t="s">
        <v>1766</v>
      </c>
      <c r="B417" s="7">
        <v>45813</v>
      </c>
      <c r="C417" t="s">
        <v>135</v>
      </c>
      <c r="D417" t="s">
        <v>1213</v>
      </c>
      <c r="E417" t="s">
        <v>1324</v>
      </c>
      <c r="F417" t="str">
        <f>[1]Raw_Customer_Dim!$A$2</f>
        <v>CUST1000</v>
      </c>
      <c r="G417" t="str">
        <f>_xlfn.XLOOKUP(E417,Store_Dim!A:A,Store_Dim!B:B,"Not Found")</f>
        <v>Mcdonald Inc</v>
      </c>
      <c r="H417" t="str">
        <f>_xlfn.XLOOKUP(D417,Product_Dim!A:A,Product_Dim!C:C,"Not Found")</f>
        <v>Home</v>
      </c>
      <c r="I417" t="str">
        <f>_xlfn.XLOOKUP(E417,Store_Dim!A:A,Store_Dim!C:C,"Not Found")</f>
        <v>South</v>
      </c>
      <c r="J417" t="str">
        <f>_xlfn.XLOOKUP(C417,Customer_Dim!A:A,Customer_Dim!B:B,"Not Found")</f>
        <v>Gina Knight</v>
      </c>
      <c r="K417">
        <f>Table511[[#This Row],[Total_Amount]]/(L417*(1-Table511[[#This Row],[Discount]]))</f>
        <v>1</v>
      </c>
      <c r="L417" s="5">
        <v>108.27</v>
      </c>
      <c r="M417">
        <v>0.1</v>
      </c>
      <c r="N417" t="s">
        <v>1354</v>
      </c>
      <c r="O417" s="5">
        <v>97.442999999999998</v>
      </c>
    </row>
    <row r="418" spans="1:15">
      <c r="A418" t="s">
        <v>1767</v>
      </c>
      <c r="B418" s="7">
        <v>45633</v>
      </c>
      <c r="C418" t="s">
        <v>758</v>
      </c>
      <c r="D418" t="s">
        <v>1149</v>
      </c>
      <c r="E418" t="s">
        <v>1332</v>
      </c>
      <c r="F418" t="str">
        <f>[1]Raw_Customer_Dim!$A$2</f>
        <v>CUST1000</v>
      </c>
      <c r="G418" t="str">
        <f>_xlfn.XLOOKUP(E418,Store_Dim!A:A,Store_Dim!B:B,"Not Found")</f>
        <v>Holloway Ltd</v>
      </c>
      <c r="H418" t="str">
        <f>_xlfn.XLOOKUP(D418,Product_Dim!A:A,Product_Dim!C:C,"Not Found")</f>
        <v>Sports</v>
      </c>
      <c r="I418" t="str">
        <f>_xlfn.XLOOKUP(E418,Store_Dim!A:A,Store_Dim!C:C,"Not Found")</f>
        <v>North</v>
      </c>
      <c r="J418" t="str">
        <f>_xlfn.XLOOKUP(C418,Customer_Dim!A:A,Customer_Dim!B:B,"Not Found")</f>
        <v>Justin Mason DDS</v>
      </c>
      <c r="K418">
        <f>Table511[[#This Row],[Total_Amount]]/(L418*(1-Table511[[#This Row],[Discount]]))</f>
        <v>2</v>
      </c>
      <c r="L418" s="5">
        <v>839.24</v>
      </c>
      <c r="M418">
        <v>0.21</v>
      </c>
      <c r="N418" t="s">
        <v>1351</v>
      </c>
      <c r="O418" s="5">
        <v>1325.9992</v>
      </c>
    </row>
    <row r="419" spans="1:15">
      <c r="A419" t="s">
        <v>1768</v>
      </c>
      <c r="B419" s="7">
        <v>45331</v>
      </c>
      <c r="C419" t="s">
        <v>829</v>
      </c>
      <c r="D419" t="s">
        <v>1189</v>
      </c>
      <c r="E419" t="s">
        <v>1314</v>
      </c>
      <c r="F419" t="str">
        <f>[1]Raw_Customer_Dim!$A$2</f>
        <v>CUST1000</v>
      </c>
      <c r="G419" t="str">
        <f>_xlfn.XLOOKUP(E419,Store_Dim!A:A,Store_Dim!B:B,"Not Found")</f>
        <v>Hill, Wagner and Ballard</v>
      </c>
      <c r="H419" t="str">
        <f>_xlfn.XLOOKUP(D419,Product_Dim!A:A,Product_Dim!C:C,"Not Found")</f>
        <v>Clothing</v>
      </c>
      <c r="I419" t="str">
        <f>_xlfn.XLOOKUP(E419,Store_Dim!A:A,Store_Dim!C:C,"Not Found")</f>
        <v>East</v>
      </c>
      <c r="J419" t="str">
        <f>_xlfn.XLOOKUP(C419,Customer_Dim!A:A,Customer_Dim!B:B,"Not Found")</f>
        <v>Kristine Higgins</v>
      </c>
      <c r="K419">
        <f>Table511[[#This Row],[Total_Amount]]/(L419*(1-Table511[[#This Row],[Discount]]))</f>
        <v>2</v>
      </c>
      <c r="L419" s="5">
        <v>466.27</v>
      </c>
      <c r="M419">
        <v>0.11</v>
      </c>
      <c r="N419" t="s">
        <v>1351</v>
      </c>
      <c r="O419" s="5">
        <v>829.9606</v>
      </c>
    </row>
    <row r="420" spans="1:15">
      <c r="A420" t="s">
        <v>1769</v>
      </c>
      <c r="B420" s="7">
        <v>45942</v>
      </c>
      <c r="C420" t="s">
        <v>859</v>
      </c>
      <c r="D420" t="s">
        <v>1197</v>
      </c>
      <c r="E420" t="s">
        <v>1324</v>
      </c>
      <c r="F420" t="str">
        <f>[1]Raw_Customer_Dim!$A$2</f>
        <v>CUST1000</v>
      </c>
      <c r="G420" t="str">
        <f>_xlfn.XLOOKUP(E420,Store_Dim!A:A,Store_Dim!B:B,"Not Found")</f>
        <v>Mcdonald Inc</v>
      </c>
      <c r="H420" t="str">
        <f>_xlfn.XLOOKUP(D420,Product_Dim!A:A,Product_Dim!C:C,"Not Found")</f>
        <v>Electronics</v>
      </c>
      <c r="I420" t="str">
        <f>_xlfn.XLOOKUP(E420,Store_Dim!A:A,Store_Dim!C:C,"Not Found")</f>
        <v>South</v>
      </c>
      <c r="J420" t="str">
        <f>_xlfn.XLOOKUP(C420,Customer_Dim!A:A,Customer_Dim!B:B,"Not Found")</f>
        <v>Jennifer Johnson</v>
      </c>
      <c r="K420">
        <f>Table511[[#This Row],[Total_Amount]]/(L420*(1-Table511[[#This Row],[Discount]]))</f>
        <v>3</v>
      </c>
      <c r="L420" s="5">
        <v>969.83</v>
      </c>
      <c r="M420">
        <v>0.02</v>
      </c>
      <c r="N420" t="s">
        <v>1349</v>
      </c>
      <c r="O420" s="5">
        <v>2851.3002000000001</v>
      </c>
    </row>
    <row r="421" spans="1:15">
      <c r="A421" t="s">
        <v>1770</v>
      </c>
      <c r="B421" s="7">
        <v>45824</v>
      </c>
      <c r="C421" t="s">
        <v>897</v>
      </c>
      <c r="D421" t="s">
        <v>1255</v>
      </c>
      <c r="E421" t="s">
        <v>1338</v>
      </c>
      <c r="F421" t="str">
        <f>[1]Raw_Customer_Dim!$A$2</f>
        <v>CUST1000</v>
      </c>
      <c r="G421" t="str">
        <f>_xlfn.XLOOKUP(E421,Store_Dim!A:A,Store_Dim!B:B,"Not Found")</f>
        <v>Mann-Austin</v>
      </c>
      <c r="H421" t="str">
        <f>_xlfn.XLOOKUP(D421,Product_Dim!A:A,Product_Dim!C:C,"Not Found")</f>
        <v>Clothing</v>
      </c>
      <c r="I421" t="str">
        <f>_xlfn.XLOOKUP(E421,Store_Dim!A:A,Store_Dim!C:C,"Not Found")</f>
        <v>East</v>
      </c>
      <c r="J421" t="str">
        <f>_xlfn.XLOOKUP(C421,Customer_Dim!A:A,Customer_Dim!B:B,"Not Found")</f>
        <v>Karen King</v>
      </c>
      <c r="K421">
        <f>Table511[[#This Row],[Total_Amount]]/(L421*(1-Table511[[#This Row],[Discount]]))</f>
        <v>2</v>
      </c>
      <c r="L421" s="5">
        <v>782.11</v>
      </c>
      <c r="M421">
        <v>0.17</v>
      </c>
      <c r="N421" t="s">
        <v>1351</v>
      </c>
      <c r="O421" s="5">
        <v>1298.3026</v>
      </c>
    </row>
    <row r="422" spans="1:15">
      <c r="A422" t="s">
        <v>1771</v>
      </c>
      <c r="B422" s="7">
        <v>45921</v>
      </c>
      <c r="C422" t="s">
        <v>965</v>
      </c>
      <c r="D422" t="s">
        <v>1153</v>
      </c>
      <c r="E422" t="s">
        <v>1317</v>
      </c>
      <c r="F422" t="str">
        <f>[1]Raw_Customer_Dim!$A$2</f>
        <v>CUST1000</v>
      </c>
      <c r="G422" t="str">
        <f>_xlfn.XLOOKUP(E422,Store_Dim!A:A,Store_Dim!B:B,"Not Found")</f>
        <v>Aguirre-Keller</v>
      </c>
      <c r="H422" t="str">
        <f>_xlfn.XLOOKUP(D422,Product_Dim!A:A,Product_Dim!C:C,"Not Found")</f>
        <v>Electronics</v>
      </c>
      <c r="I422" t="str">
        <f>_xlfn.XLOOKUP(E422,Store_Dim!A:A,Store_Dim!C:C,"Not Found")</f>
        <v>South</v>
      </c>
      <c r="J422" t="str">
        <f>_xlfn.XLOOKUP(C422,Customer_Dim!A:A,Customer_Dim!B:B,"Not Found")</f>
        <v>Ashley Roberts</v>
      </c>
      <c r="K422">
        <f>Table511[[#This Row],[Total_Amount]]/(L422*(1-Table511[[#This Row],[Discount]]))</f>
        <v>2.0000000000000004</v>
      </c>
      <c r="L422" s="5">
        <v>74.63</v>
      </c>
      <c r="M422">
        <v>0.01</v>
      </c>
      <c r="N422" t="s">
        <v>1351</v>
      </c>
      <c r="O422" s="5">
        <v>147.76740000000001</v>
      </c>
    </row>
    <row r="423" spans="1:15">
      <c r="A423" t="s">
        <v>1772</v>
      </c>
      <c r="B423" s="7">
        <v>45909</v>
      </c>
      <c r="C423" t="s">
        <v>120</v>
      </c>
      <c r="D423" t="s">
        <v>1243</v>
      </c>
      <c r="E423" t="s">
        <v>1301</v>
      </c>
      <c r="F423" t="str">
        <f>[1]Raw_Customer_Dim!$A$2</f>
        <v>CUST1000</v>
      </c>
      <c r="G423" t="str">
        <f>_xlfn.XLOOKUP(E423,Store_Dim!A:A,Store_Dim!B:B,"Not Found")</f>
        <v>Benson-Elliott</v>
      </c>
      <c r="H423" t="str">
        <f>_xlfn.XLOOKUP(D423,Product_Dim!A:A,Product_Dim!C:C,"Not Found")</f>
        <v>Clothing</v>
      </c>
      <c r="I423" t="str">
        <f>_xlfn.XLOOKUP(E423,Store_Dim!A:A,Store_Dim!C:C,"Not Found")</f>
        <v>East</v>
      </c>
      <c r="J423" t="str">
        <f>_xlfn.XLOOKUP(C423,Customer_Dim!A:A,Customer_Dim!B:B,"Not Found")</f>
        <v>James Gibbs</v>
      </c>
      <c r="K423">
        <f>Table511[[#This Row],[Total_Amount]]/(L423*(1-Table511[[#This Row],[Discount]]))</f>
        <v>3.0000000000000004</v>
      </c>
      <c r="L423" s="5">
        <v>522.78</v>
      </c>
      <c r="M423">
        <v>0.25</v>
      </c>
      <c r="N423" t="s">
        <v>1351</v>
      </c>
      <c r="O423" s="5">
        <v>1176.2550000000001</v>
      </c>
    </row>
    <row r="424" spans="1:15">
      <c r="A424" t="s">
        <v>1773</v>
      </c>
      <c r="B424" s="7">
        <v>45853</v>
      </c>
      <c r="C424" t="s">
        <v>740</v>
      </c>
      <c r="D424" t="s">
        <v>1099</v>
      </c>
      <c r="E424" t="s">
        <v>1326</v>
      </c>
      <c r="F424" t="str">
        <f>[1]Raw_Customer_Dim!$A$2</f>
        <v>CUST1000</v>
      </c>
      <c r="G424" t="str">
        <f>_xlfn.XLOOKUP(E424,Store_Dim!A:A,Store_Dim!B:B,"Not Found")</f>
        <v>Shelton PLC</v>
      </c>
      <c r="H424" t="str">
        <f>_xlfn.XLOOKUP(D424,Product_Dim!A:A,Product_Dim!C:C,"Not Found")</f>
        <v>Electronics</v>
      </c>
      <c r="I424" t="str">
        <f>_xlfn.XLOOKUP(E424,Store_Dim!A:A,Store_Dim!C:C,"Not Found")</f>
        <v>North</v>
      </c>
      <c r="J424" t="str">
        <f>_xlfn.XLOOKUP(C424,Customer_Dim!A:A,Customer_Dim!B:B,"Not Found")</f>
        <v>Jasmine Snyder</v>
      </c>
      <c r="K424">
        <f>Table511[[#This Row],[Total_Amount]]/(L424*(1-Table511[[#This Row],[Discount]]))</f>
        <v>1</v>
      </c>
      <c r="L424" s="5">
        <v>206.45</v>
      </c>
      <c r="M424">
        <v>0.15</v>
      </c>
      <c r="N424" t="s">
        <v>1351</v>
      </c>
      <c r="O424" s="5">
        <v>175.48249999999999</v>
      </c>
    </row>
    <row r="425" spans="1:15">
      <c r="A425" t="s">
        <v>1774</v>
      </c>
      <c r="B425" s="7">
        <v>45580</v>
      </c>
      <c r="C425" t="s">
        <v>351</v>
      </c>
      <c r="D425" t="s">
        <v>1211</v>
      </c>
      <c r="E425" t="s">
        <v>1298</v>
      </c>
      <c r="F425" t="str">
        <f>[1]Raw_Customer_Dim!$A$2</f>
        <v>CUST1000</v>
      </c>
      <c r="G425" t="str">
        <f>_xlfn.XLOOKUP(E425,Store_Dim!A:A,Store_Dim!B:B,"Not Found")</f>
        <v>Gray Ltd</v>
      </c>
      <c r="H425" t="str">
        <f>_xlfn.XLOOKUP(D425,Product_Dim!A:A,Product_Dim!C:C,"Not Found")</f>
        <v>Clothing</v>
      </c>
      <c r="I425" t="str">
        <f>_xlfn.XLOOKUP(E425,Store_Dim!A:A,Store_Dim!C:C,"Not Found")</f>
        <v>North</v>
      </c>
      <c r="J425" t="str">
        <f>_xlfn.XLOOKUP(C425,Customer_Dim!A:A,Customer_Dim!B:B,"Not Found")</f>
        <v>Cameron Simpson</v>
      </c>
      <c r="K425">
        <f>Table511[[#This Row],[Total_Amount]]/(L425*(1-Table511[[#This Row],[Discount]]))</f>
        <v>1</v>
      </c>
      <c r="L425" s="5">
        <v>815.53</v>
      </c>
      <c r="M425">
        <v>0.3</v>
      </c>
      <c r="N425" t="s">
        <v>1351</v>
      </c>
      <c r="O425" s="5">
        <v>570.87099999999998</v>
      </c>
    </row>
    <row r="426" spans="1:15">
      <c r="A426" t="s">
        <v>1775</v>
      </c>
      <c r="B426" s="7">
        <v>45220</v>
      </c>
      <c r="C426" t="s">
        <v>111</v>
      </c>
      <c r="D426" t="s">
        <v>1231</v>
      </c>
      <c r="E426" t="s">
        <v>1322</v>
      </c>
      <c r="F426" t="str">
        <f>[1]Raw_Customer_Dim!$A$2</f>
        <v>CUST1000</v>
      </c>
      <c r="G426" t="str">
        <f>_xlfn.XLOOKUP(E426,Store_Dim!A:A,Store_Dim!B:B,"Not Found")</f>
        <v>Gardner, Humphrey and Contreras</v>
      </c>
      <c r="H426" t="str">
        <f>_xlfn.XLOOKUP(D426,Product_Dim!A:A,Product_Dim!C:C,"Not Found")</f>
        <v>Home</v>
      </c>
      <c r="I426" t="str">
        <f>_xlfn.XLOOKUP(E426,Store_Dim!A:A,Store_Dim!C:C,"Not Found")</f>
        <v>East</v>
      </c>
      <c r="J426" t="str">
        <f>_xlfn.XLOOKUP(C426,Customer_Dim!A:A,Customer_Dim!B:B,"Not Found")</f>
        <v>Christopher Carter</v>
      </c>
      <c r="K426">
        <f>Table511[[#This Row],[Total_Amount]]/(L426*(1-Table511[[#This Row],[Discount]]))</f>
        <v>1</v>
      </c>
      <c r="L426" s="5">
        <v>823.61</v>
      </c>
      <c r="M426">
        <v>0.28000000000000003</v>
      </c>
      <c r="N426" t="s">
        <v>1354</v>
      </c>
      <c r="O426" s="5">
        <v>592.99919999999997</v>
      </c>
    </row>
    <row r="427" spans="1:15">
      <c r="A427" t="s">
        <v>1776</v>
      </c>
      <c r="B427" s="7">
        <v>45807</v>
      </c>
      <c r="C427" t="s">
        <v>1018</v>
      </c>
      <c r="D427" t="s">
        <v>1247</v>
      </c>
      <c r="E427" t="s">
        <v>1311</v>
      </c>
      <c r="F427" t="str">
        <f>[1]Raw_Customer_Dim!$A$2</f>
        <v>CUST1000</v>
      </c>
      <c r="G427" t="str">
        <f>_xlfn.XLOOKUP(E427,Store_Dim!A:A,Store_Dim!B:B,"Not Found")</f>
        <v>Moore, Padilla and Butler</v>
      </c>
      <c r="H427" t="str">
        <f>_xlfn.XLOOKUP(D427,Product_Dim!A:A,Product_Dim!C:C,"Not Found")</f>
        <v>Home</v>
      </c>
      <c r="I427" t="str">
        <f>_xlfn.XLOOKUP(E427,Store_Dim!A:A,Store_Dim!C:C,"Not Found")</f>
        <v>South</v>
      </c>
      <c r="J427" t="str">
        <f>_xlfn.XLOOKUP(C427,Customer_Dim!A:A,Customer_Dim!B:B,"Not Found")</f>
        <v>Earl Smith DDS</v>
      </c>
      <c r="K427">
        <f>Table511[[#This Row],[Total_Amount]]/(L427*(1-Table511[[#This Row],[Discount]]))</f>
        <v>2</v>
      </c>
      <c r="L427" s="5">
        <v>209.96</v>
      </c>
      <c r="M427">
        <v>0</v>
      </c>
      <c r="N427" t="s">
        <v>1349</v>
      </c>
      <c r="O427" s="5">
        <v>419.92</v>
      </c>
    </row>
    <row r="428" spans="1:15">
      <c r="A428" t="s">
        <v>1777</v>
      </c>
      <c r="B428" s="7">
        <v>45462</v>
      </c>
      <c r="C428" t="s">
        <v>411</v>
      </c>
      <c r="D428" t="s">
        <v>1068</v>
      </c>
      <c r="E428" t="s">
        <v>1329</v>
      </c>
      <c r="F428" t="str">
        <f>[1]Raw_Customer_Dim!$A$2</f>
        <v>CUST1000</v>
      </c>
      <c r="G428" t="str">
        <f>_xlfn.XLOOKUP(E428,Store_Dim!A:A,Store_Dim!B:B,"Not Found")</f>
        <v>Frederick-Wright</v>
      </c>
      <c r="H428" t="str">
        <f>_xlfn.XLOOKUP(D428,Product_Dim!A:A,Product_Dim!C:C,"Not Found")</f>
        <v>Electronics</v>
      </c>
      <c r="I428" t="str">
        <f>_xlfn.XLOOKUP(E428,Store_Dim!A:A,Store_Dim!C:C,"Not Found")</f>
        <v>West</v>
      </c>
      <c r="J428" t="str">
        <f>_xlfn.XLOOKUP(C428,Customer_Dim!A:A,Customer_Dim!B:B,"Not Found")</f>
        <v>Michelle Rogers</v>
      </c>
      <c r="K428">
        <f>Table511[[#This Row],[Total_Amount]]/(L428*(1-Table511[[#This Row],[Discount]]))</f>
        <v>4.0000000000000009</v>
      </c>
      <c r="L428" s="5">
        <v>897.93</v>
      </c>
      <c r="M428">
        <v>0.05</v>
      </c>
      <c r="N428" t="s">
        <v>1354</v>
      </c>
      <c r="O428" s="5">
        <v>3412.134</v>
      </c>
    </row>
    <row r="429" spans="1:15">
      <c r="A429" t="s">
        <v>1778</v>
      </c>
      <c r="B429" s="7">
        <v>45646</v>
      </c>
      <c r="C429" t="s">
        <v>424</v>
      </c>
      <c r="D429" t="s">
        <v>1199</v>
      </c>
      <c r="E429" t="s">
        <v>1277</v>
      </c>
      <c r="F429" t="str">
        <f>[1]Raw_Customer_Dim!$A$2</f>
        <v>CUST1000</v>
      </c>
      <c r="G429" t="str">
        <f>_xlfn.XLOOKUP(E429,Store_Dim!A:A,Store_Dim!B:B,"Not Found")</f>
        <v>Rivera-Warner</v>
      </c>
      <c r="H429" t="str">
        <f>_xlfn.XLOOKUP(D429,Product_Dim!A:A,Product_Dim!C:C,"Not Found")</f>
        <v>Beauty</v>
      </c>
      <c r="I429" t="str">
        <f>_xlfn.XLOOKUP(E429,Store_Dim!A:A,Store_Dim!C:C,"Not Found")</f>
        <v>East</v>
      </c>
      <c r="J429" t="str">
        <f>_xlfn.XLOOKUP(C429,Customer_Dim!A:A,Customer_Dim!B:B,"Not Found")</f>
        <v>Erin Ward</v>
      </c>
      <c r="K429">
        <f>Table511[[#This Row],[Total_Amount]]/(L429*(1-Table511[[#This Row],[Discount]]))</f>
        <v>4</v>
      </c>
      <c r="L429" s="5">
        <v>925.95</v>
      </c>
      <c r="M429">
        <v>0.16</v>
      </c>
      <c r="N429" t="s">
        <v>1354</v>
      </c>
      <c r="O429" s="5">
        <v>3111.192</v>
      </c>
    </row>
    <row r="430" spans="1:15">
      <c r="A430" t="s">
        <v>1779</v>
      </c>
      <c r="B430" s="7">
        <v>45520</v>
      </c>
      <c r="C430" t="s">
        <v>222</v>
      </c>
      <c r="D430" t="s">
        <v>1175</v>
      </c>
      <c r="E430" t="s">
        <v>1301</v>
      </c>
      <c r="F430" t="str">
        <f>[1]Raw_Customer_Dim!$A$2</f>
        <v>CUST1000</v>
      </c>
      <c r="G430" t="str">
        <f>_xlfn.XLOOKUP(E430,Store_Dim!A:A,Store_Dim!B:B,"Not Found")</f>
        <v>Benson-Elliott</v>
      </c>
      <c r="H430" t="str">
        <f>_xlfn.XLOOKUP(D430,Product_Dim!A:A,Product_Dim!C:C,"Not Found")</f>
        <v>Electronics</v>
      </c>
      <c r="I430" t="str">
        <f>_xlfn.XLOOKUP(E430,Store_Dim!A:A,Store_Dim!C:C,"Not Found")</f>
        <v>East</v>
      </c>
      <c r="J430" t="str">
        <f>_xlfn.XLOOKUP(C430,Customer_Dim!A:A,Customer_Dim!B:B,"Not Found")</f>
        <v>Christy Hoffman</v>
      </c>
      <c r="K430">
        <f>Table511[[#This Row],[Total_Amount]]/(L430*(1-Table511[[#This Row],[Discount]]))</f>
        <v>2</v>
      </c>
      <c r="L430" s="5">
        <v>573.09</v>
      </c>
      <c r="M430">
        <v>0.03</v>
      </c>
      <c r="N430" t="s">
        <v>1354</v>
      </c>
      <c r="O430" s="5">
        <v>1111.7945999999999</v>
      </c>
    </row>
    <row r="431" spans="1:15">
      <c r="A431" t="s">
        <v>1780</v>
      </c>
      <c r="B431" s="7">
        <v>45731</v>
      </c>
      <c r="C431" t="s">
        <v>428</v>
      </c>
      <c r="D431" t="s">
        <v>1085</v>
      </c>
      <c r="E431" t="s">
        <v>1294</v>
      </c>
      <c r="F431" t="str">
        <f>[1]Raw_Customer_Dim!$A$2</f>
        <v>CUST1000</v>
      </c>
      <c r="G431" t="str">
        <f>_xlfn.XLOOKUP(E431,Store_Dim!A:A,Store_Dim!B:B,"Not Found")</f>
        <v>Alexander Group</v>
      </c>
      <c r="H431" t="str">
        <f>_xlfn.XLOOKUP(D431,Product_Dim!A:A,Product_Dim!C:C,"Not Found")</f>
        <v>Home</v>
      </c>
      <c r="I431" t="str">
        <f>_xlfn.XLOOKUP(E431,Store_Dim!A:A,Store_Dim!C:C,"Not Found")</f>
        <v>South</v>
      </c>
      <c r="J431" t="str">
        <f>_xlfn.XLOOKUP(C431,Customer_Dim!A:A,Customer_Dim!B:B,"Not Found")</f>
        <v>Mario Jacobs</v>
      </c>
      <c r="K431">
        <f>Table511[[#This Row],[Total_Amount]]/(L431*(1-Table511[[#This Row],[Discount]]))</f>
        <v>4</v>
      </c>
      <c r="L431" s="5">
        <v>149.83000000000001</v>
      </c>
      <c r="M431">
        <v>0.02</v>
      </c>
      <c r="N431" t="s">
        <v>1349</v>
      </c>
      <c r="O431" s="5">
        <v>587.33360000000005</v>
      </c>
    </row>
    <row r="432" spans="1:15">
      <c r="A432" t="s">
        <v>1781</v>
      </c>
      <c r="B432" s="7">
        <v>45445</v>
      </c>
      <c r="C432" t="s">
        <v>13</v>
      </c>
      <c r="D432" t="s">
        <v>1175</v>
      </c>
      <c r="E432" t="s">
        <v>1324</v>
      </c>
      <c r="F432" t="str">
        <f>[1]Raw_Customer_Dim!$A$2</f>
        <v>CUST1000</v>
      </c>
      <c r="G432" t="str">
        <f>_xlfn.XLOOKUP(E432,Store_Dim!A:A,Store_Dim!B:B,"Not Found")</f>
        <v>Mcdonald Inc</v>
      </c>
      <c r="H432" t="str">
        <f>_xlfn.XLOOKUP(D432,Product_Dim!A:A,Product_Dim!C:C,"Not Found")</f>
        <v>Electronics</v>
      </c>
      <c r="I432" t="str">
        <f>_xlfn.XLOOKUP(E432,Store_Dim!A:A,Store_Dim!C:C,"Not Found")</f>
        <v>South</v>
      </c>
      <c r="J432" t="str">
        <f>_xlfn.XLOOKUP(C432,Customer_Dim!A:A,Customer_Dim!B:B,"Not Found")</f>
        <v>Eugene Nelson</v>
      </c>
      <c r="K432">
        <f>Table511[[#This Row],[Total_Amount]]/(L432*(1-Table511[[#This Row],[Discount]]))</f>
        <v>3</v>
      </c>
      <c r="L432" s="5">
        <v>287.70999999999998</v>
      </c>
      <c r="M432">
        <v>0.03</v>
      </c>
      <c r="N432" t="s">
        <v>1354</v>
      </c>
      <c r="O432" s="5">
        <v>837.23609999999985</v>
      </c>
    </row>
    <row r="433" spans="1:15">
      <c r="A433" t="s">
        <v>1782</v>
      </c>
      <c r="B433" s="7">
        <v>45860</v>
      </c>
      <c r="C433" t="s">
        <v>246</v>
      </c>
      <c r="D433" t="s">
        <v>1207</v>
      </c>
      <c r="E433" t="s">
        <v>1301</v>
      </c>
      <c r="F433" t="str">
        <f>[1]Raw_Customer_Dim!$A$2</f>
        <v>CUST1000</v>
      </c>
      <c r="G433" t="str">
        <f>_xlfn.XLOOKUP(E433,Store_Dim!A:A,Store_Dim!B:B,"Not Found")</f>
        <v>Benson-Elliott</v>
      </c>
      <c r="H433" t="str">
        <f>_xlfn.XLOOKUP(D433,Product_Dim!A:A,Product_Dim!C:C,"Not Found")</f>
        <v>Electronics</v>
      </c>
      <c r="I433" t="str">
        <f>_xlfn.XLOOKUP(E433,Store_Dim!A:A,Store_Dim!C:C,"Not Found")</f>
        <v>East</v>
      </c>
      <c r="J433" t="str">
        <f>_xlfn.XLOOKUP(C433,Customer_Dim!A:A,Customer_Dim!B:B,"Not Found")</f>
        <v>David Patterson</v>
      </c>
      <c r="K433">
        <f>Table511[[#This Row],[Total_Amount]]/(L433*(1-Table511[[#This Row],[Discount]]))</f>
        <v>2.0000000000000004</v>
      </c>
      <c r="L433" s="5">
        <v>849.8</v>
      </c>
      <c r="M433">
        <v>0.06</v>
      </c>
      <c r="N433" t="s">
        <v>1354</v>
      </c>
      <c r="O433" s="5">
        <v>1597.624</v>
      </c>
    </row>
    <row r="434" spans="1:15">
      <c r="A434" t="s">
        <v>1783</v>
      </c>
      <c r="B434" s="7">
        <v>45725</v>
      </c>
      <c r="C434" t="s">
        <v>59</v>
      </c>
      <c r="D434" t="s">
        <v>1155</v>
      </c>
      <c r="E434" t="s">
        <v>1291</v>
      </c>
      <c r="F434" t="str">
        <f>[1]Raw_Customer_Dim!$A$2</f>
        <v>CUST1000</v>
      </c>
      <c r="G434" t="str">
        <f>_xlfn.XLOOKUP(E434,Store_Dim!A:A,Store_Dim!B:B,"Not Found")</f>
        <v>Johnson-Wright</v>
      </c>
      <c r="H434" t="str">
        <f>_xlfn.XLOOKUP(D434,Product_Dim!A:A,Product_Dim!C:C,"Not Found")</f>
        <v>Sports</v>
      </c>
      <c r="I434" t="str">
        <f>_xlfn.XLOOKUP(E434,Store_Dim!A:A,Store_Dim!C:C,"Not Found")</f>
        <v>North</v>
      </c>
      <c r="J434" t="str">
        <f>_xlfn.XLOOKUP(C434,Customer_Dim!A:A,Customer_Dim!B:B,"Not Found")</f>
        <v>John Scott</v>
      </c>
      <c r="K434">
        <f>Table511[[#This Row],[Total_Amount]]/(L434*(1-Table511[[#This Row],[Discount]]))</f>
        <v>3.0000000000000004</v>
      </c>
      <c r="L434" s="5">
        <v>482.58</v>
      </c>
      <c r="M434">
        <v>0.28000000000000003</v>
      </c>
      <c r="N434" t="s">
        <v>1351</v>
      </c>
      <c r="O434" s="5">
        <v>1042.3728000000001</v>
      </c>
    </row>
    <row r="435" spans="1:15">
      <c r="A435" t="s">
        <v>1784</v>
      </c>
      <c r="B435" s="7">
        <v>45699</v>
      </c>
      <c r="C435" t="s">
        <v>288</v>
      </c>
      <c r="D435" t="s">
        <v>1191</v>
      </c>
      <c r="E435" t="s">
        <v>1286</v>
      </c>
      <c r="F435" t="str">
        <f>[1]Raw_Customer_Dim!$A$2</f>
        <v>CUST1000</v>
      </c>
      <c r="G435" t="str">
        <f>_xlfn.XLOOKUP(E435,Store_Dim!A:A,Store_Dim!B:B,"Not Found")</f>
        <v>Black-Horn</v>
      </c>
      <c r="H435" t="str">
        <f>_xlfn.XLOOKUP(D435,Product_Dim!A:A,Product_Dim!C:C,"Not Found")</f>
        <v>Beauty</v>
      </c>
      <c r="I435" t="str">
        <f>_xlfn.XLOOKUP(E435,Store_Dim!A:A,Store_Dim!C:C,"Not Found")</f>
        <v>South</v>
      </c>
      <c r="J435" t="str">
        <f>_xlfn.XLOOKUP(C435,Customer_Dim!A:A,Customer_Dim!B:B,"Not Found")</f>
        <v>Ryan Hernandez</v>
      </c>
      <c r="K435">
        <f>Table511[[#This Row],[Total_Amount]]/(L435*(1-Table511[[#This Row],[Discount]]))</f>
        <v>2</v>
      </c>
      <c r="L435" s="5">
        <v>64.7</v>
      </c>
      <c r="M435">
        <v>0</v>
      </c>
      <c r="N435" t="s">
        <v>1349</v>
      </c>
      <c r="O435" s="5">
        <v>129.4</v>
      </c>
    </row>
    <row r="436" spans="1:15">
      <c r="A436" t="s">
        <v>1785</v>
      </c>
      <c r="B436" s="7">
        <v>45266</v>
      </c>
      <c r="C436" t="s">
        <v>357</v>
      </c>
      <c r="D436" t="s">
        <v>1080</v>
      </c>
      <c r="E436" t="s">
        <v>1298</v>
      </c>
      <c r="F436" t="str">
        <f>[1]Raw_Customer_Dim!$A$2</f>
        <v>CUST1000</v>
      </c>
      <c r="G436" t="str">
        <f>_xlfn.XLOOKUP(E436,Store_Dim!A:A,Store_Dim!B:B,"Not Found")</f>
        <v>Gray Ltd</v>
      </c>
      <c r="H436" t="str">
        <f>_xlfn.XLOOKUP(D436,Product_Dim!A:A,Product_Dim!C:C,"Not Found")</f>
        <v>Clothing</v>
      </c>
      <c r="I436" t="str">
        <f>_xlfn.XLOOKUP(E436,Store_Dim!A:A,Store_Dim!C:C,"Not Found")</f>
        <v>North</v>
      </c>
      <c r="J436" t="str">
        <f>_xlfn.XLOOKUP(C436,Customer_Dim!A:A,Customer_Dim!B:B,"Not Found")</f>
        <v>Theresa Campbell</v>
      </c>
      <c r="K436">
        <f>Table511[[#This Row],[Total_Amount]]/(L436*(1-Table511[[#This Row],[Discount]]))</f>
        <v>3</v>
      </c>
      <c r="L436" s="5">
        <v>589.83000000000004</v>
      </c>
      <c r="M436">
        <v>0.26</v>
      </c>
      <c r="N436" t="s">
        <v>1349</v>
      </c>
      <c r="O436" s="5">
        <v>1309.4226000000001</v>
      </c>
    </row>
    <row r="437" spans="1:15">
      <c r="A437" t="s">
        <v>1786</v>
      </c>
      <c r="B437" s="7">
        <v>45889</v>
      </c>
      <c r="C437" t="s">
        <v>640</v>
      </c>
      <c r="D437" t="s">
        <v>1076</v>
      </c>
      <c r="E437" t="s">
        <v>1311</v>
      </c>
      <c r="F437" t="str">
        <f>[1]Raw_Customer_Dim!$A$2</f>
        <v>CUST1000</v>
      </c>
      <c r="G437" t="str">
        <f>_xlfn.XLOOKUP(E437,Store_Dim!A:A,Store_Dim!B:B,"Not Found")</f>
        <v>Moore, Padilla and Butler</v>
      </c>
      <c r="H437" t="str">
        <f>_xlfn.XLOOKUP(D437,Product_Dim!A:A,Product_Dim!C:C,"Not Found")</f>
        <v>Not Found</v>
      </c>
      <c r="I437" t="str">
        <f>_xlfn.XLOOKUP(E437,Store_Dim!A:A,Store_Dim!C:C,"Not Found")</f>
        <v>South</v>
      </c>
      <c r="J437" t="str">
        <f>_xlfn.XLOOKUP(C437,Customer_Dim!A:A,Customer_Dim!B:B,"Not Found")</f>
        <v>Misty Ferguson</v>
      </c>
      <c r="K437">
        <f>Table511[[#This Row],[Total_Amount]]/(L437*(1-Table511[[#This Row],[Discount]]))</f>
        <v>4.0000000000000009</v>
      </c>
      <c r="L437" s="5">
        <v>758.49</v>
      </c>
      <c r="M437">
        <v>0.16</v>
      </c>
      <c r="N437" t="s">
        <v>1354</v>
      </c>
      <c r="O437" s="5">
        <v>2548.5264000000002</v>
      </c>
    </row>
    <row r="438" spans="1:15">
      <c r="A438" t="s">
        <v>1787</v>
      </c>
      <c r="B438" s="7">
        <v>45555</v>
      </c>
      <c r="C438" t="s">
        <v>150</v>
      </c>
      <c r="D438" t="s">
        <v>1147</v>
      </c>
      <c r="E438" t="s">
        <v>1319</v>
      </c>
      <c r="F438" t="str">
        <f>[1]Raw_Customer_Dim!$A$2</f>
        <v>CUST1000</v>
      </c>
      <c r="G438" t="str">
        <f>_xlfn.XLOOKUP(E438,Store_Dim!A:A,Store_Dim!B:B,"Not Found")</f>
        <v>Thomas, Bridges and Harris</v>
      </c>
      <c r="H438" t="str">
        <f>_xlfn.XLOOKUP(D438,Product_Dim!A:A,Product_Dim!C:C,"Not Found")</f>
        <v>Clothing</v>
      </c>
      <c r="I438" t="str">
        <f>_xlfn.XLOOKUP(E438,Store_Dim!A:A,Store_Dim!C:C,"Not Found")</f>
        <v>North</v>
      </c>
      <c r="J438" t="str">
        <f>_xlfn.XLOOKUP(C438,Customer_Dim!A:A,Customer_Dim!B:B,"Not Found")</f>
        <v>Sharon Brown</v>
      </c>
      <c r="K438">
        <f>Table511[[#This Row],[Total_Amount]]/(L438*(1-Table511[[#This Row],[Discount]]))</f>
        <v>4</v>
      </c>
      <c r="L438" s="5">
        <v>747.56</v>
      </c>
      <c r="M438">
        <v>0.09</v>
      </c>
      <c r="N438" t="s">
        <v>1354</v>
      </c>
      <c r="O438" s="5">
        <v>2721.1183999999998</v>
      </c>
    </row>
    <row r="439" spans="1:15">
      <c r="A439" t="s">
        <v>1788</v>
      </c>
      <c r="B439" s="7">
        <v>45813</v>
      </c>
      <c r="C439" t="s">
        <v>569</v>
      </c>
      <c r="D439" t="s">
        <v>1153</v>
      </c>
      <c r="E439" t="s">
        <v>1332</v>
      </c>
      <c r="F439" t="str">
        <f>[1]Raw_Customer_Dim!$A$2</f>
        <v>CUST1000</v>
      </c>
      <c r="G439" t="str">
        <f>_xlfn.XLOOKUP(E439,Store_Dim!A:A,Store_Dim!B:B,"Not Found")</f>
        <v>Holloway Ltd</v>
      </c>
      <c r="H439" t="str">
        <f>_xlfn.XLOOKUP(D439,Product_Dim!A:A,Product_Dim!C:C,"Not Found")</f>
        <v>Electronics</v>
      </c>
      <c r="I439" t="str">
        <f>_xlfn.XLOOKUP(E439,Store_Dim!A:A,Store_Dim!C:C,"Not Found")</f>
        <v>North</v>
      </c>
      <c r="J439" t="str">
        <f>_xlfn.XLOOKUP(C439,Customer_Dim!A:A,Customer_Dim!B:B,"Not Found")</f>
        <v>Dr. Ashley Yates MD</v>
      </c>
      <c r="K439">
        <f>Table511[[#This Row],[Total_Amount]]/(L439*(1-Table511[[#This Row],[Discount]]))</f>
        <v>3</v>
      </c>
      <c r="L439" s="5">
        <v>551.22</v>
      </c>
      <c r="M439">
        <v>0.12</v>
      </c>
      <c r="N439" t="s">
        <v>1351</v>
      </c>
      <c r="O439" s="5">
        <v>1455.2208000000001</v>
      </c>
    </row>
    <row r="440" spans="1:15">
      <c r="A440" t="s">
        <v>1789</v>
      </c>
      <c r="B440" s="7">
        <v>45811</v>
      </c>
      <c r="C440" t="s">
        <v>379</v>
      </c>
      <c r="D440" t="s">
        <v>1211</v>
      </c>
      <c r="E440" t="s">
        <v>1324</v>
      </c>
      <c r="F440" t="str">
        <f>[1]Raw_Customer_Dim!$A$2</f>
        <v>CUST1000</v>
      </c>
      <c r="G440" t="str">
        <f>_xlfn.XLOOKUP(E440,Store_Dim!A:A,Store_Dim!B:B,"Not Found")</f>
        <v>Mcdonald Inc</v>
      </c>
      <c r="H440" t="str">
        <f>_xlfn.XLOOKUP(D440,Product_Dim!A:A,Product_Dim!C:C,"Not Found")</f>
        <v>Clothing</v>
      </c>
      <c r="I440" t="str">
        <f>_xlfn.XLOOKUP(E440,Store_Dim!A:A,Store_Dim!C:C,"Not Found")</f>
        <v>South</v>
      </c>
      <c r="J440" t="str">
        <f>_xlfn.XLOOKUP(C440,Customer_Dim!A:A,Customer_Dim!B:B,"Not Found")</f>
        <v>Brian Choi</v>
      </c>
      <c r="K440">
        <f>Table511[[#This Row],[Total_Amount]]/(L440*(1-Table511[[#This Row],[Discount]]))</f>
        <v>2</v>
      </c>
      <c r="L440" s="5">
        <v>527.05999999999995</v>
      </c>
      <c r="M440">
        <v>0.17</v>
      </c>
      <c r="N440" t="s">
        <v>1351</v>
      </c>
      <c r="O440" s="5">
        <v>874.91959999999983</v>
      </c>
    </row>
    <row r="441" spans="1:15">
      <c r="A441" t="s">
        <v>1790</v>
      </c>
      <c r="B441" s="7">
        <v>45670</v>
      </c>
      <c r="C441" t="s">
        <v>254</v>
      </c>
      <c r="D441" t="s">
        <v>1197</v>
      </c>
      <c r="E441" t="s">
        <v>1298</v>
      </c>
      <c r="F441" t="str">
        <f>[1]Raw_Customer_Dim!$A$2</f>
        <v>CUST1000</v>
      </c>
      <c r="G441" t="str">
        <f>_xlfn.XLOOKUP(E441,Store_Dim!A:A,Store_Dim!B:B,"Not Found")</f>
        <v>Gray Ltd</v>
      </c>
      <c r="H441" t="str">
        <f>_xlfn.XLOOKUP(D441,Product_Dim!A:A,Product_Dim!C:C,"Not Found")</f>
        <v>Electronics</v>
      </c>
      <c r="I441" t="str">
        <f>_xlfn.XLOOKUP(E441,Store_Dim!A:A,Store_Dim!C:C,"Not Found")</f>
        <v>North</v>
      </c>
      <c r="J441" t="str">
        <f>_xlfn.XLOOKUP(C441,Customer_Dim!A:A,Customer_Dim!B:B,"Not Found")</f>
        <v>Brittney Morgan</v>
      </c>
      <c r="K441">
        <f>Table511[[#This Row],[Total_Amount]]/(L441*(1-Table511[[#This Row],[Discount]]))</f>
        <v>4</v>
      </c>
      <c r="L441" s="5">
        <v>875.41</v>
      </c>
      <c r="M441">
        <v>0.27</v>
      </c>
      <c r="N441" t="s">
        <v>1349</v>
      </c>
      <c r="O441" s="5">
        <v>2556.1972000000001</v>
      </c>
    </row>
    <row r="442" spans="1:15">
      <c r="A442" t="s">
        <v>1791</v>
      </c>
      <c r="B442" s="7">
        <v>45736</v>
      </c>
      <c r="C442" t="s">
        <v>33</v>
      </c>
      <c r="D442" t="s">
        <v>1243</v>
      </c>
      <c r="E442" t="s">
        <v>1277</v>
      </c>
      <c r="F442" t="str">
        <f>[1]Raw_Customer_Dim!$A$2</f>
        <v>CUST1000</v>
      </c>
      <c r="G442" t="str">
        <f>_xlfn.XLOOKUP(E442,Store_Dim!A:A,Store_Dim!B:B,"Not Found")</f>
        <v>Rivera-Warner</v>
      </c>
      <c r="H442" t="str">
        <f>_xlfn.XLOOKUP(D442,Product_Dim!A:A,Product_Dim!C:C,"Not Found")</f>
        <v>Clothing</v>
      </c>
      <c r="I442" t="str">
        <f>_xlfn.XLOOKUP(E442,Store_Dim!A:A,Store_Dim!C:C,"Not Found")</f>
        <v>East</v>
      </c>
      <c r="J442" t="str">
        <f>_xlfn.XLOOKUP(C442,Customer_Dim!A:A,Customer_Dim!B:B,"Not Found")</f>
        <v>Daniel Boyd</v>
      </c>
      <c r="K442">
        <f>Table511[[#This Row],[Total_Amount]]/(L442*(1-Table511[[#This Row],[Discount]]))</f>
        <v>2</v>
      </c>
      <c r="L442" s="5">
        <v>226.43</v>
      </c>
      <c r="M442">
        <v>0.03</v>
      </c>
      <c r="N442" t="s">
        <v>1349</v>
      </c>
      <c r="O442" s="5">
        <v>439.27420000000001</v>
      </c>
    </row>
    <row r="443" spans="1:15">
      <c r="A443" t="s">
        <v>1792</v>
      </c>
      <c r="B443" s="7">
        <v>45480</v>
      </c>
      <c r="C443" t="s">
        <v>107</v>
      </c>
      <c r="D443" t="s">
        <v>1231</v>
      </c>
      <c r="E443" t="s">
        <v>1298</v>
      </c>
      <c r="F443" t="str">
        <f>[1]Raw_Customer_Dim!$A$2</f>
        <v>CUST1000</v>
      </c>
      <c r="G443" t="str">
        <f>_xlfn.XLOOKUP(E443,Store_Dim!A:A,Store_Dim!B:B,"Not Found")</f>
        <v>Gray Ltd</v>
      </c>
      <c r="H443" t="str">
        <f>_xlfn.XLOOKUP(D443,Product_Dim!A:A,Product_Dim!C:C,"Not Found")</f>
        <v>Home</v>
      </c>
      <c r="I443" t="str">
        <f>_xlfn.XLOOKUP(E443,Store_Dim!A:A,Store_Dim!C:C,"Not Found")</f>
        <v>North</v>
      </c>
      <c r="J443" t="str">
        <f>_xlfn.XLOOKUP(C443,Customer_Dim!A:A,Customer_Dim!B:B,"Not Found")</f>
        <v>Rachel Myers</v>
      </c>
      <c r="K443">
        <f>Table511[[#This Row],[Total_Amount]]/(L443*(1-Table511[[#This Row],[Discount]]))</f>
        <v>2</v>
      </c>
      <c r="L443" s="5">
        <v>285.39</v>
      </c>
      <c r="M443">
        <v>0.1</v>
      </c>
      <c r="N443" t="s">
        <v>1349</v>
      </c>
      <c r="O443" s="5">
        <v>513.702</v>
      </c>
    </row>
    <row r="444" spans="1:15">
      <c r="A444" t="s">
        <v>1793</v>
      </c>
      <c r="B444" s="7">
        <v>45929</v>
      </c>
      <c r="C444" t="s">
        <v>732</v>
      </c>
      <c r="D444" t="s">
        <v>1095</v>
      </c>
      <c r="E444" t="s">
        <v>1326</v>
      </c>
      <c r="F444" t="str">
        <f>[1]Raw_Customer_Dim!$A$2</f>
        <v>CUST1000</v>
      </c>
      <c r="G444" t="str">
        <f>_xlfn.XLOOKUP(E444,Store_Dim!A:A,Store_Dim!B:B,"Not Found")</f>
        <v>Shelton PLC</v>
      </c>
      <c r="H444" t="str">
        <f>_xlfn.XLOOKUP(D444,Product_Dim!A:A,Product_Dim!C:C,"Not Found")</f>
        <v>Electronics</v>
      </c>
      <c r="I444" t="str">
        <f>_xlfn.XLOOKUP(E444,Store_Dim!A:A,Store_Dim!C:C,"Not Found")</f>
        <v>North</v>
      </c>
      <c r="J444" t="str">
        <f>_xlfn.XLOOKUP(C444,Customer_Dim!A:A,Customer_Dim!B:B,"Not Found")</f>
        <v>Mr. Christopher Sims</v>
      </c>
      <c r="K444">
        <f>Table511[[#This Row],[Total_Amount]]/(L444*(1-Table511[[#This Row],[Discount]]))</f>
        <v>2</v>
      </c>
      <c r="L444" s="5">
        <v>298.01</v>
      </c>
      <c r="M444">
        <v>0.05</v>
      </c>
      <c r="N444" t="s">
        <v>1349</v>
      </c>
      <c r="O444" s="5">
        <v>566.21899999999994</v>
      </c>
    </row>
    <row r="445" spans="1:15">
      <c r="A445" t="s">
        <v>1794</v>
      </c>
      <c r="B445" s="7">
        <v>45626</v>
      </c>
      <c r="C445" t="s">
        <v>379</v>
      </c>
      <c r="D445" t="s">
        <v>1153</v>
      </c>
      <c r="E445" t="s">
        <v>1294</v>
      </c>
      <c r="F445" t="str">
        <f>[1]Raw_Customer_Dim!$A$2</f>
        <v>CUST1000</v>
      </c>
      <c r="G445" t="str">
        <f>_xlfn.XLOOKUP(E445,Store_Dim!A:A,Store_Dim!B:B,"Not Found")</f>
        <v>Alexander Group</v>
      </c>
      <c r="H445" t="str">
        <f>_xlfn.XLOOKUP(D445,Product_Dim!A:A,Product_Dim!C:C,"Not Found")</f>
        <v>Electronics</v>
      </c>
      <c r="I445" t="str">
        <f>_xlfn.XLOOKUP(E445,Store_Dim!A:A,Store_Dim!C:C,"Not Found")</f>
        <v>South</v>
      </c>
      <c r="J445" t="str">
        <f>_xlfn.XLOOKUP(C445,Customer_Dim!A:A,Customer_Dim!B:B,"Not Found")</f>
        <v>Brian Choi</v>
      </c>
      <c r="K445">
        <f>Table511[[#This Row],[Total_Amount]]/(L445*(1-Table511[[#This Row],[Discount]]))</f>
        <v>4</v>
      </c>
      <c r="L445" s="5">
        <v>753.49</v>
      </c>
      <c r="M445">
        <v>0.26</v>
      </c>
      <c r="N445" t="s">
        <v>1354</v>
      </c>
      <c r="O445" s="5">
        <v>2230.3303999999998</v>
      </c>
    </row>
    <row r="446" spans="1:15">
      <c r="A446" t="s">
        <v>1795</v>
      </c>
      <c r="B446" s="7">
        <v>45460</v>
      </c>
      <c r="C446" t="s">
        <v>1037</v>
      </c>
      <c r="D446" t="s">
        <v>1229</v>
      </c>
      <c r="E446" t="s">
        <v>1319</v>
      </c>
      <c r="F446" t="str">
        <f>[1]Raw_Customer_Dim!$A$2</f>
        <v>CUST1000</v>
      </c>
      <c r="G446" t="str">
        <f>_xlfn.XLOOKUP(E446,Store_Dim!A:A,Store_Dim!B:B,"Not Found")</f>
        <v>Thomas, Bridges and Harris</v>
      </c>
      <c r="H446" t="str">
        <f>_xlfn.XLOOKUP(D446,Product_Dim!A:A,Product_Dim!C:C,"Not Found")</f>
        <v>Home</v>
      </c>
      <c r="I446" t="str">
        <f>_xlfn.XLOOKUP(E446,Store_Dim!A:A,Store_Dim!C:C,"Not Found")</f>
        <v>North</v>
      </c>
      <c r="J446" t="str">
        <f>_xlfn.XLOOKUP(C446,Customer_Dim!A:A,Customer_Dim!B:B,"Not Found")</f>
        <v>Zachary Andrade</v>
      </c>
      <c r="K446">
        <f>Table511[[#This Row],[Total_Amount]]/(L446*(1-Table511[[#This Row],[Discount]]))</f>
        <v>2.0000000000000004</v>
      </c>
      <c r="L446" s="5">
        <v>130.38999999999999</v>
      </c>
      <c r="M446">
        <v>0.17</v>
      </c>
      <c r="N446" t="s">
        <v>1351</v>
      </c>
      <c r="O446" s="5">
        <v>216.44739999999999</v>
      </c>
    </row>
    <row r="447" spans="1:15">
      <c r="A447" t="s">
        <v>1796</v>
      </c>
      <c r="B447" s="7">
        <v>45709</v>
      </c>
      <c r="C447" t="s">
        <v>754</v>
      </c>
      <c r="D447" t="s">
        <v>1117</v>
      </c>
      <c r="E447" t="s">
        <v>1311</v>
      </c>
      <c r="F447" t="str">
        <f>[1]Raw_Customer_Dim!$A$2</f>
        <v>CUST1000</v>
      </c>
      <c r="G447" t="str">
        <f>_xlfn.XLOOKUP(E447,Store_Dim!A:A,Store_Dim!B:B,"Not Found")</f>
        <v>Moore, Padilla and Butler</v>
      </c>
      <c r="H447" t="str">
        <f>_xlfn.XLOOKUP(D447,Product_Dim!A:A,Product_Dim!C:C,"Not Found")</f>
        <v>Sports</v>
      </c>
      <c r="I447" t="str">
        <f>_xlfn.XLOOKUP(E447,Store_Dim!A:A,Store_Dim!C:C,"Not Found")</f>
        <v>South</v>
      </c>
      <c r="J447" t="str">
        <f>_xlfn.XLOOKUP(C447,Customer_Dim!A:A,Customer_Dim!B:B,"Not Found")</f>
        <v>Daniel Nelson</v>
      </c>
      <c r="K447">
        <f>Table511[[#This Row],[Total_Amount]]/(L447*(1-Table511[[#This Row],[Discount]]))</f>
        <v>4</v>
      </c>
      <c r="L447" s="5">
        <v>164.02</v>
      </c>
      <c r="M447">
        <v>0.01</v>
      </c>
      <c r="N447" t="s">
        <v>1351</v>
      </c>
      <c r="O447" s="5">
        <v>649.51920000000007</v>
      </c>
    </row>
    <row r="448" spans="1:15">
      <c r="A448" t="s">
        <v>1797</v>
      </c>
      <c r="B448" s="7">
        <v>45551</v>
      </c>
      <c r="C448" t="s">
        <v>389</v>
      </c>
      <c r="D448" t="s">
        <v>1131</v>
      </c>
      <c r="E448" t="s">
        <v>1294</v>
      </c>
      <c r="F448" t="str">
        <f>[1]Raw_Customer_Dim!$A$2</f>
        <v>CUST1000</v>
      </c>
      <c r="G448" t="str">
        <f>_xlfn.XLOOKUP(E448,Store_Dim!A:A,Store_Dim!B:B,"Not Found")</f>
        <v>Alexander Group</v>
      </c>
      <c r="H448" t="str">
        <f>_xlfn.XLOOKUP(D448,Product_Dim!A:A,Product_Dim!C:C,"Not Found")</f>
        <v>Home</v>
      </c>
      <c r="I448" t="str">
        <f>_xlfn.XLOOKUP(E448,Store_Dim!A:A,Store_Dim!C:C,"Not Found")</f>
        <v>South</v>
      </c>
      <c r="J448" t="str">
        <f>_xlfn.XLOOKUP(C448,Customer_Dim!A:A,Customer_Dim!B:B,"Not Found")</f>
        <v>Daniel Rivas</v>
      </c>
      <c r="K448">
        <f>Table511[[#This Row],[Total_Amount]]/(L448*(1-Table511[[#This Row],[Discount]]))</f>
        <v>2</v>
      </c>
      <c r="L448" s="5">
        <v>527.51</v>
      </c>
      <c r="M448">
        <v>0.18</v>
      </c>
      <c r="N448" t="s">
        <v>1351</v>
      </c>
      <c r="O448" s="5">
        <v>865.1164</v>
      </c>
    </row>
    <row r="449" spans="1:15">
      <c r="A449" t="s">
        <v>1798</v>
      </c>
      <c r="B449" s="7">
        <v>45939</v>
      </c>
      <c r="C449" t="s">
        <v>569</v>
      </c>
      <c r="D449" t="s">
        <v>1187</v>
      </c>
      <c r="E449" t="s">
        <v>1322</v>
      </c>
      <c r="F449" t="str">
        <f>[1]Raw_Customer_Dim!$A$2</f>
        <v>CUST1000</v>
      </c>
      <c r="G449" t="str">
        <f>_xlfn.XLOOKUP(E449,Store_Dim!A:A,Store_Dim!B:B,"Not Found")</f>
        <v>Gardner, Humphrey and Contreras</v>
      </c>
      <c r="H449" t="str">
        <f>_xlfn.XLOOKUP(D449,Product_Dim!A:A,Product_Dim!C:C,"Not Found")</f>
        <v>Sports</v>
      </c>
      <c r="I449" t="str">
        <f>_xlfn.XLOOKUP(E449,Store_Dim!A:A,Store_Dim!C:C,"Not Found")</f>
        <v>East</v>
      </c>
      <c r="J449" t="str">
        <f>_xlfn.XLOOKUP(C449,Customer_Dim!A:A,Customer_Dim!B:B,"Not Found")</f>
        <v>Dr. Ashley Yates MD</v>
      </c>
      <c r="K449">
        <f>Table511[[#This Row],[Total_Amount]]/(L449*(1-Table511[[#This Row],[Discount]]))</f>
        <v>3.0000000000000004</v>
      </c>
      <c r="L449" s="5">
        <v>628.17999999999995</v>
      </c>
      <c r="M449">
        <v>0.26</v>
      </c>
      <c r="N449" t="s">
        <v>1349</v>
      </c>
      <c r="O449" s="5">
        <v>1394.5596</v>
      </c>
    </row>
    <row r="450" spans="1:15">
      <c r="A450" t="s">
        <v>1799</v>
      </c>
      <c r="B450" s="7">
        <v>45553</v>
      </c>
      <c r="C450" t="s">
        <v>602</v>
      </c>
      <c r="D450" t="s">
        <v>1185</v>
      </c>
      <c r="E450" t="s">
        <v>1291</v>
      </c>
      <c r="F450" t="str">
        <f>[1]Raw_Customer_Dim!$A$2</f>
        <v>CUST1000</v>
      </c>
      <c r="G450" t="str">
        <f>_xlfn.XLOOKUP(E450,Store_Dim!A:A,Store_Dim!B:B,"Not Found")</f>
        <v>Johnson-Wright</v>
      </c>
      <c r="H450" t="str">
        <f>_xlfn.XLOOKUP(D450,Product_Dim!A:A,Product_Dim!C:C,"Not Found")</f>
        <v>Home</v>
      </c>
      <c r="I450" t="str">
        <f>_xlfn.XLOOKUP(E450,Store_Dim!A:A,Store_Dim!C:C,"Not Found")</f>
        <v>North</v>
      </c>
      <c r="J450" t="str">
        <f>_xlfn.XLOOKUP(C450,Customer_Dim!A:A,Customer_Dim!B:B,"Not Found")</f>
        <v>Tyrone Olson</v>
      </c>
      <c r="K450">
        <f>Table511[[#This Row],[Total_Amount]]/(L450*(1-Table511[[#This Row],[Discount]]))</f>
        <v>1</v>
      </c>
      <c r="L450" s="5">
        <v>862.31</v>
      </c>
      <c r="M450">
        <v>0.06</v>
      </c>
      <c r="N450" t="s">
        <v>1349</v>
      </c>
      <c r="O450" s="5">
        <v>810.57139999999993</v>
      </c>
    </row>
    <row r="451" spans="1:15">
      <c r="A451" t="s">
        <v>1800</v>
      </c>
      <c r="B451" s="7">
        <v>45806</v>
      </c>
      <c r="C451" t="s">
        <v>192</v>
      </c>
      <c r="D451" t="s">
        <v>1239</v>
      </c>
      <c r="E451" t="s">
        <v>1324</v>
      </c>
      <c r="F451" t="str">
        <f>[1]Raw_Customer_Dim!$A$2</f>
        <v>CUST1000</v>
      </c>
      <c r="G451" t="str">
        <f>_xlfn.XLOOKUP(E451,Store_Dim!A:A,Store_Dim!B:B,"Not Found")</f>
        <v>Mcdonald Inc</v>
      </c>
      <c r="H451" t="str">
        <f>_xlfn.XLOOKUP(D451,Product_Dim!A:A,Product_Dim!C:C,"Not Found")</f>
        <v>Beauty</v>
      </c>
      <c r="I451" t="str">
        <f>_xlfn.XLOOKUP(E451,Store_Dim!A:A,Store_Dim!C:C,"Not Found")</f>
        <v>South</v>
      </c>
      <c r="J451" t="str">
        <f>_xlfn.XLOOKUP(C451,Customer_Dim!A:A,Customer_Dim!B:B,"Not Found")</f>
        <v>Andrea Perez</v>
      </c>
      <c r="K451">
        <f>Table511[[#This Row],[Total_Amount]]/(L451*(1-Table511[[#This Row],[Discount]]))</f>
        <v>2</v>
      </c>
      <c r="L451" s="5">
        <v>541.39</v>
      </c>
      <c r="M451">
        <v>0.03</v>
      </c>
      <c r="N451" t="s">
        <v>1354</v>
      </c>
      <c r="O451" s="5">
        <v>1050.2965999999999</v>
      </c>
    </row>
    <row r="452" spans="1:15">
      <c r="A452" t="s">
        <v>1801</v>
      </c>
      <c r="B452" s="7">
        <v>45811</v>
      </c>
      <c r="C452" t="s">
        <v>1016</v>
      </c>
      <c r="D452" t="s">
        <v>1225</v>
      </c>
      <c r="E452" t="s">
        <v>1329</v>
      </c>
      <c r="F452" t="str">
        <f>[1]Raw_Customer_Dim!$A$2</f>
        <v>CUST1000</v>
      </c>
      <c r="G452" t="str">
        <f>_xlfn.XLOOKUP(E452,Store_Dim!A:A,Store_Dim!B:B,"Not Found")</f>
        <v>Frederick-Wright</v>
      </c>
      <c r="H452" t="str">
        <f>_xlfn.XLOOKUP(D452,Product_Dim!A:A,Product_Dim!C:C,"Not Found")</f>
        <v>Electronics</v>
      </c>
      <c r="I452" t="str">
        <f>_xlfn.XLOOKUP(E452,Store_Dim!A:A,Store_Dim!C:C,"Not Found")</f>
        <v>West</v>
      </c>
      <c r="J452" t="str">
        <f>_xlfn.XLOOKUP(C452,Customer_Dim!A:A,Customer_Dim!B:B,"Not Found")</f>
        <v>Andrea Harris</v>
      </c>
      <c r="K452">
        <f>Table511[[#This Row],[Total_Amount]]/(L452*(1-Table511[[#This Row],[Discount]]))</f>
        <v>2.9999999999999991</v>
      </c>
      <c r="L452" s="5">
        <v>761.8</v>
      </c>
      <c r="M452">
        <v>0.06</v>
      </c>
      <c r="N452" t="s">
        <v>1354</v>
      </c>
      <c r="O452" s="5">
        <v>2148.2759999999989</v>
      </c>
    </row>
    <row r="453" spans="1:15">
      <c r="A453" t="s">
        <v>1802</v>
      </c>
      <c r="B453" s="7">
        <v>45508</v>
      </c>
      <c r="C453" t="s">
        <v>907</v>
      </c>
      <c r="D453" t="s">
        <v>1171</v>
      </c>
      <c r="E453" t="s">
        <v>1286</v>
      </c>
      <c r="F453" t="str">
        <f>[1]Raw_Customer_Dim!$A$2</f>
        <v>CUST1000</v>
      </c>
      <c r="G453" t="str">
        <f>_xlfn.XLOOKUP(E453,Store_Dim!A:A,Store_Dim!B:B,"Not Found")</f>
        <v>Black-Horn</v>
      </c>
      <c r="H453" t="str">
        <f>_xlfn.XLOOKUP(D453,Product_Dim!A:A,Product_Dim!C:C,"Not Found")</f>
        <v>Beauty</v>
      </c>
      <c r="I453" t="str">
        <f>_xlfn.XLOOKUP(E453,Store_Dim!A:A,Store_Dim!C:C,"Not Found")</f>
        <v>South</v>
      </c>
      <c r="J453" t="str">
        <f>_xlfn.XLOOKUP(C453,Customer_Dim!A:A,Customer_Dim!B:B,"Not Found")</f>
        <v>Brittany Edwards DDS</v>
      </c>
      <c r="K453">
        <f>Table511[[#This Row],[Total_Amount]]/(L453*(1-Table511[[#This Row],[Discount]]))</f>
        <v>4</v>
      </c>
      <c r="L453" s="5">
        <v>829.36</v>
      </c>
      <c r="M453">
        <v>0.11</v>
      </c>
      <c r="N453" t="s">
        <v>1351</v>
      </c>
      <c r="O453" s="5">
        <v>2952.5216</v>
      </c>
    </row>
    <row r="454" spans="1:15">
      <c r="A454" t="s">
        <v>1803</v>
      </c>
      <c r="B454" s="7">
        <v>45460</v>
      </c>
      <c r="C454" t="s">
        <v>871</v>
      </c>
      <c r="D454" t="s">
        <v>1119</v>
      </c>
      <c r="E454" t="s">
        <v>1329</v>
      </c>
      <c r="F454" t="str">
        <f>[1]Raw_Customer_Dim!$A$2</f>
        <v>CUST1000</v>
      </c>
      <c r="G454" t="str">
        <f>_xlfn.XLOOKUP(E454,Store_Dim!A:A,Store_Dim!B:B,"Not Found")</f>
        <v>Frederick-Wright</v>
      </c>
      <c r="H454" t="str">
        <f>_xlfn.XLOOKUP(D454,Product_Dim!A:A,Product_Dim!C:C,"Not Found")</f>
        <v>Clothing</v>
      </c>
      <c r="I454" t="str">
        <f>_xlfn.XLOOKUP(E454,Store_Dim!A:A,Store_Dim!C:C,"Not Found")</f>
        <v>West</v>
      </c>
      <c r="J454" t="str">
        <f>_xlfn.XLOOKUP(C454,Customer_Dim!A:A,Customer_Dim!B:B,"Not Found")</f>
        <v>David Ross</v>
      </c>
      <c r="K454">
        <f>Table511[[#This Row],[Total_Amount]]/(L454*(1-Table511[[#This Row],[Discount]]))</f>
        <v>2</v>
      </c>
      <c r="L454" s="5">
        <v>425.06</v>
      </c>
      <c r="M454">
        <v>0.09</v>
      </c>
      <c r="N454" t="s">
        <v>1351</v>
      </c>
      <c r="O454" s="5">
        <v>773.60919999999999</v>
      </c>
    </row>
    <row r="455" spans="1:15">
      <c r="A455" t="s">
        <v>1804</v>
      </c>
      <c r="B455" s="7">
        <v>45311</v>
      </c>
      <c r="C455" t="s">
        <v>315</v>
      </c>
      <c r="D455" t="s">
        <v>1183</v>
      </c>
      <c r="E455" t="s">
        <v>1277</v>
      </c>
      <c r="F455" t="str">
        <f>[1]Raw_Customer_Dim!$A$2</f>
        <v>CUST1000</v>
      </c>
      <c r="G455" t="str">
        <f>_xlfn.XLOOKUP(E455,Store_Dim!A:A,Store_Dim!B:B,"Not Found")</f>
        <v>Rivera-Warner</v>
      </c>
      <c r="H455" t="str">
        <f>_xlfn.XLOOKUP(D455,Product_Dim!A:A,Product_Dim!C:C,"Not Found")</f>
        <v>Home</v>
      </c>
      <c r="I455" t="str">
        <f>_xlfn.XLOOKUP(E455,Store_Dim!A:A,Store_Dim!C:C,"Not Found")</f>
        <v>East</v>
      </c>
      <c r="J455" t="str">
        <f>_xlfn.XLOOKUP(C455,Customer_Dim!A:A,Customer_Dim!B:B,"Not Found")</f>
        <v>John Mcknight</v>
      </c>
      <c r="K455">
        <f>Table511[[#This Row],[Total_Amount]]/(L455*(1-Table511[[#This Row],[Discount]]))</f>
        <v>2</v>
      </c>
      <c r="L455" s="5">
        <v>911.14</v>
      </c>
      <c r="M455">
        <v>0.1</v>
      </c>
      <c r="N455" t="s">
        <v>1349</v>
      </c>
      <c r="O455" s="5">
        <v>1640.0519999999999</v>
      </c>
    </row>
    <row r="456" spans="1:15">
      <c r="A456" t="s">
        <v>1805</v>
      </c>
      <c r="B456" s="7">
        <v>45906</v>
      </c>
      <c r="C456" t="s">
        <v>222</v>
      </c>
      <c r="D456" t="s">
        <v>1209</v>
      </c>
      <c r="E456" t="s">
        <v>1307</v>
      </c>
      <c r="F456" t="str">
        <f>[1]Raw_Customer_Dim!$A$2</f>
        <v>CUST1000</v>
      </c>
      <c r="G456" t="str">
        <f>_xlfn.XLOOKUP(E456,Store_Dim!A:A,Store_Dim!B:B,"Not Found")</f>
        <v>Bean, Jones and Park</v>
      </c>
      <c r="H456" t="str">
        <f>_xlfn.XLOOKUP(D456,Product_Dim!A:A,Product_Dim!C:C,"Not Found")</f>
        <v>Home</v>
      </c>
      <c r="I456" t="str">
        <f>_xlfn.XLOOKUP(E456,Store_Dim!A:A,Store_Dim!C:C,"Not Found")</f>
        <v>West</v>
      </c>
      <c r="J456" t="str">
        <f>_xlfn.XLOOKUP(C456,Customer_Dim!A:A,Customer_Dim!B:B,"Not Found")</f>
        <v>Christy Hoffman</v>
      </c>
      <c r="K456">
        <f>Table511[[#This Row],[Total_Amount]]/(L456*(1-Table511[[#This Row],[Discount]]))</f>
        <v>3</v>
      </c>
      <c r="L456" s="5">
        <v>811.96</v>
      </c>
      <c r="M456">
        <v>0.28999999999999998</v>
      </c>
      <c r="N456" t="s">
        <v>1349</v>
      </c>
      <c r="O456" s="5">
        <v>1729.4748</v>
      </c>
    </row>
    <row r="457" spans="1:15">
      <c r="A457" t="s">
        <v>1806</v>
      </c>
      <c r="B457" s="7">
        <v>45380</v>
      </c>
      <c r="C457" t="s">
        <v>610</v>
      </c>
      <c r="D457" t="s">
        <v>1135</v>
      </c>
      <c r="E457" t="s">
        <v>1314</v>
      </c>
      <c r="F457" t="str">
        <f>[1]Raw_Customer_Dim!$A$2</f>
        <v>CUST1000</v>
      </c>
      <c r="G457" t="str">
        <f>_xlfn.XLOOKUP(E457,Store_Dim!A:A,Store_Dim!B:B,"Not Found")</f>
        <v>Hill, Wagner and Ballard</v>
      </c>
      <c r="H457" t="str">
        <f>_xlfn.XLOOKUP(D457,Product_Dim!A:A,Product_Dim!C:C,"Not Found")</f>
        <v>Sports</v>
      </c>
      <c r="I457" t="str">
        <f>_xlfn.XLOOKUP(E457,Store_Dim!A:A,Store_Dim!C:C,"Not Found")</f>
        <v>East</v>
      </c>
      <c r="J457" t="str">
        <f>_xlfn.XLOOKUP(C457,Customer_Dim!A:A,Customer_Dim!B:B,"Not Found")</f>
        <v>Samantha Robinson</v>
      </c>
      <c r="K457">
        <f>Table511[[#This Row],[Total_Amount]]/(L457*(1-Table511[[#This Row],[Discount]]))</f>
        <v>2</v>
      </c>
      <c r="L457" s="5">
        <v>780.05</v>
      </c>
      <c r="M457">
        <v>0.12</v>
      </c>
      <c r="N457" t="s">
        <v>1354</v>
      </c>
      <c r="O457" s="5">
        <v>1372.8879999999999</v>
      </c>
    </row>
    <row r="458" spans="1:15">
      <c r="A458" t="s">
        <v>1807</v>
      </c>
      <c r="B458" s="7">
        <v>45527</v>
      </c>
      <c r="C458" t="s">
        <v>492</v>
      </c>
      <c r="D458" t="s">
        <v>1137</v>
      </c>
      <c r="E458" t="s">
        <v>1311</v>
      </c>
      <c r="F458" t="str">
        <f>[1]Raw_Customer_Dim!$A$2</f>
        <v>CUST1000</v>
      </c>
      <c r="G458" t="str">
        <f>_xlfn.XLOOKUP(E458,Store_Dim!A:A,Store_Dim!B:B,"Not Found")</f>
        <v>Moore, Padilla and Butler</v>
      </c>
      <c r="H458" t="str">
        <f>_xlfn.XLOOKUP(D458,Product_Dim!A:A,Product_Dim!C:C,"Not Found")</f>
        <v>Beauty</v>
      </c>
      <c r="I458" t="str">
        <f>_xlfn.XLOOKUP(E458,Store_Dim!A:A,Store_Dim!C:C,"Not Found")</f>
        <v>South</v>
      </c>
      <c r="J458" t="str">
        <f>_xlfn.XLOOKUP(C458,Customer_Dim!A:A,Customer_Dim!B:B,"Not Found")</f>
        <v>Steve Medina</v>
      </c>
      <c r="K458">
        <f>Table511[[#This Row],[Total_Amount]]/(L458*(1-Table511[[#This Row],[Discount]]))</f>
        <v>4</v>
      </c>
      <c r="L458" s="5">
        <v>315.95</v>
      </c>
      <c r="M458">
        <v>0.19</v>
      </c>
      <c r="N458" t="s">
        <v>1354</v>
      </c>
      <c r="O458" s="5">
        <v>1023.678</v>
      </c>
    </row>
    <row r="459" spans="1:15">
      <c r="A459" t="s">
        <v>1808</v>
      </c>
      <c r="B459" s="7">
        <v>45796</v>
      </c>
      <c r="C459" t="s">
        <v>521</v>
      </c>
      <c r="D459" t="s">
        <v>1177</v>
      </c>
      <c r="E459" t="s">
        <v>1311</v>
      </c>
      <c r="F459" t="str">
        <f>[1]Raw_Customer_Dim!$A$2</f>
        <v>CUST1000</v>
      </c>
      <c r="G459" t="str">
        <f>_xlfn.XLOOKUP(E459,Store_Dim!A:A,Store_Dim!B:B,"Not Found")</f>
        <v>Moore, Padilla and Butler</v>
      </c>
      <c r="H459" t="str">
        <f>_xlfn.XLOOKUP(D459,Product_Dim!A:A,Product_Dim!C:C,"Not Found")</f>
        <v>Sports</v>
      </c>
      <c r="I459" t="str">
        <f>_xlfn.XLOOKUP(E459,Store_Dim!A:A,Store_Dim!C:C,"Not Found")</f>
        <v>South</v>
      </c>
      <c r="J459" t="str">
        <f>_xlfn.XLOOKUP(C459,Customer_Dim!A:A,Customer_Dim!B:B,"Not Found")</f>
        <v>Tanner Thompson</v>
      </c>
      <c r="K459">
        <f>Table511[[#This Row],[Total_Amount]]/(L459*(1-Table511[[#This Row],[Discount]]))</f>
        <v>2</v>
      </c>
      <c r="L459" s="5">
        <v>810.17</v>
      </c>
      <c r="M459">
        <v>0.27</v>
      </c>
      <c r="N459" t="s">
        <v>1349</v>
      </c>
      <c r="O459" s="5">
        <v>1182.8481999999999</v>
      </c>
    </row>
    <row r="460" spans="1:15">
      <c r="A460" t="s">
        <v>1809</v>
      </c>
      <c r="B460" s="7">
        <v>45389</v>
      </c>
      <c r="C460" t="s">
        <v>472</v>
      </c>
      <c r="D460" t="s">
        <v>1241</v>
      </c>
      <c r="E460" t="s">
        <v>1294</v>
      </c>
      <c r="F460" t="str">
        <f>[1]Raw_Customer_Dim!$A$2</f>
        <v>CUST1000</v>
      </c>
      <c r="G460" t="str">
        <f>_xlfn.XLOOKUP(E460,Store_Dim!A:A,Store_Dim!B:B,"Not Found")</f>
        <v>Alexander Group</v>
      </c>
      <c r="H460" t="str">
        <f>_xlfn.XLOOKUP(D460,Product_Dim!A:A,Product_Dim!C:C,"Not Found")</f>
        <v>Home</v>
      </c>
      <c r="I460" t="str">
        <f>_xlfn.XLOOKUP(E460,Store_Dim!A:A,Store_Dim!C:C,"Not Found")</f>
        <v>South</v>
      </c>
      <c r="J460" t="str">
        <f>_xlfn.XLOOKUP(C460,Customer_Dim!A:A,Customer_Dim!B:B,"Not Found")</f>
        <v>Michelle Carpenter</v>
      </c>
      <c r="K460">
        <f>Table511[[#This Row],[Total_Amount]]/(L460*(1-Table511[[#This Row],[Discount]]))</f>
        <v>3</v>
      </c>
      <c r="L460" s="5">
        <v>505.01</v>
      </c>
      <c r="M460">
        <v>0.02</v>
      </c>
      <c r="N460" t="s">
        <v>1351</v>
      </c>
      <c r="O460" s="5">
        <v>1484.7293999999999</v>
      </c>
    </row>
    <row r="461" spans="1:15">
      <c r="A461" t="s">
        <v>1810</v>
      </c>
      <c r="B461" s="7">
        <v>45315</v>
      </c>
      <c r="C461" t="s">
        <v>996</v>
      </c>
      <c r="D461" t="s">
        <v>1217</v>
      </c>
      <c r="E461" t="s">
        <v>1332</v>
      </c>
      <c r="F461" t="str">
        <f>[1]Raw_Customer_Dim!$A$2</f>
        <v>CUST1000</v>
      </c>
      <c r="G461" t="str">
        <f>_xlfn.XLOOKUP(E461,Store_Dim!A:A,Store_Dim!B:B,"Not Found")</f>
        <v>Holloway Ltd</v>
      </c>
      <c r="H461" t="str">
        <f>_xlfn.XLOOKUP(D461,Product_Dim!A:A,Product_Dim!C:C,"Not Found")</f>
        <v>Sports</v>
      </c>
      <c r="I461" t="str">
        <f>_xlfn.XLOOKUP(E461,Store_Dim!A:A,Store_Dim!C:C,"Not Found")</f>
        <v>North</v>
      </c>
      <c r="J461" t="str">
        <f>_xlfn.XLOOKUP(C461,Customer_Dim!A:A,Customer_Dim!B:B,"Not Found")</f>
        <v>Michael Foley</v>
      </c>
      <c r="K461">
        <f>Table511[[#This Row],[Total_Amount]]/(L461*(1-Table511[[#This Row],[Discount]]))</f>
        <v>2</v>
      </c>
      <c r="L461" s="5">
        <v>736.75</v>
      </c>
      <c r="M461">
        <v>0.18</v>
      </c>
      <c r="N461" t="s">
        <v>1349</v>
      </c>
      <c r="O461" s="5">
        <v>1208.27</v>
      </c>
    </row>
    <row r="462" spans="1:15">
      <c r="A462" t="s">
        <v>1811</v>
      </c>
      <c r="B462" s="7">
        <v>45311</v>
      </c>
      <c r="C462" t="s">
        <v>87</v>
      </c>
      <c r="D462" t="s">
        <v>1227</v>
      </c>
      <c r="E462" t="s">
        <v>1311</v>
      </c>
      <c r="F462" t="str">
        <f>[1]Raw_Customer_Dim!$A$2</f>
        <v>CUST1000</v>
      </c>
      <c r="G462" t="str">
        <f>_xlfn.XLOOKUP(E462,Store_Dim!A:A,Store_Dim!B:B,"Not Found")</f>
        <v>Moore, Padilla and Butler</v>
      </c>
      <c r="H462" t="str">
        <f>_xlfn.XLOOKUP(D462,Product_Dim!A:A,Product_Dim!C:C,"Not Found")</f>
        <v>Electronics</v>
      </c>
      <c r="I462" t="str">
        <f>_xlfn.XLOOKUP(E462,Store_Dim!A:A,Store_Dim!C:C,"Not Found")</f>
        <v>South</v>
      </c>
      <c r="J462" t="str">
        <f>_xlfn.XLOOKUP(C462,Customer_Dim!A:A,Customer_Dim!B:B,"Not Found")</f>
        <v>Leslie Johnson</v>
      </c>
      <c r="K462">
        <f>Table511[[#This Row],[Total_Amount]]/(L462*(1-Table511[[#This Row],[Discount]]))</f>
        <v>4.0000000000000009</v>
      </c>
      <c r="L462" s="5">
        <v>700.31</v>
      </c>
      <c r="M462">
        <v>0.2</v>
      </c>
      <c r="N462" t="s">
        <v>1351</v>
      </c>
      <c r="O462" s="5">
        <v>2240.9920000000002</v>
      </c>
    </row>
    <row r="463" spans="1:15">
      <c r="A463" t="s">
        <v>1812</v>
      </c>
      <c r="B463" s="7">
        <v>45270</v>
      </c>
      <c r="C463" t="s">
        <v>319</v>
      </c>
      <c r="D463" t="s">
        <v>1255</v>
      </c>
      <c r="E463" t="s">
        <v>1317</v>
      </c>
      <c r="F463" t="str">
        <f>[1]Raw_Customer_Dim!$A$2</f>
        <v>CUST1000</v>
      </c>
      <c r="G463" t="str">
        <f>_xlfn.XLOOKUP(E463,Store_Dim!A:A,Store_Dim!B:B,"Not Found")</f>
        <v>Aguirre-Keller</v>
      </c>
      <c r="H463" t="str">
        <f>_xlfn.XLOOKUP(D463,Product_Dim!A:A,Product_Dim!C:C,"Not Found")</f>
        <v>Clothing</v>
      </c>
      <c r="I463" t="str">
        <f>_xlfn.XLOOKUP(E463,Store_Dim!A:A,Store_Dim!C:C,"Not Found")</f>
        <v>South</v>
      </c>
      <c r="J463" t="str">
        <f>_xlfn.XLOOKUP(C463,Customer_Dim!A:A,Customer_Dim!B:B,"Not Found")</f>
        <v>Jessica Mitchell</v>
      </c>
      <c r="K463">
        <f>Table511[[#This Row],[Total_Amount]]/(L463*(1-Table511[[#This Row],[Discount]]))</f>
        <v>4</v>
      </c>
      <c r="L463" s="5">
        <v>202.46</v>
      </c>
      <c r="M463">
        <v>0.24</v>
      </c>
      <c r="N463" t="s">
        <v>1349</v>
      </c>
      <c r="O463" s="5">
        <v>615.47840000000008</v>
      </c>
    </row>
    <row r="464" spans="1:15">
      <c r="A464" t="s">
        <v>1813</v>
      </c>
      <c r="B464" s="7">
        <v>45279</v>
      </c>
      <c r="C464" t="s">
        <v>594</v>
      </c>
      <c r="D464" t="s">
        <v>1247</v>
      </c>
      <c r="E464" t="s">
        <v>1282</v>
      </c>
      <c r="F464" t="str">
        <f>[1]Raw_Customer_Dim!$A$2</f>
        <v>CUST1000</v>
      </c>
      <c r="G464" t="str">
        <f>_xlfn.XLOOKUP(E464,Store_Dim!A:A,Store_Dim!B:B,"Not Found")</f>
        <v>Martinez, Adkins and Johnson</v>
      </c>
      <c r="H464" t="str">
        <f>_xlfn.XLOOKUP(D464,Product_Dim!A:A,Product_Dim!C:C,"Not Found")</f>
        <v>Home</v>
      </c>
      <c r="I464" t="str">
        <f>_xlfn.XLOOKUP(E464,Store_Dim!A:A,Store_Dim!C:C,"Not Found")</f>
        <v>North</v>
      </c>
      <c r="J464" t="str">
        <f>_xlfn.XLOOKUP(C464,Customer_Dim!A:A,Customer_Dim!B:B,"Not Found")</f>
        <v>Tracy Kelly</v>
      </c>
      <c r="K464">
        <f>Table511[[#This Row],[Total_Amount]]/(L464*(1-Table511[[#This Row],[Discount]]))</f>
        <v>2</v>
      </c>
      <c r="L464" s="5">
        <v>291.83999999999997</v>
      </c>
      <c r="M464">
        <v>0.25</v>
      </c>
      <c r="N464" t="s">
        <v>1351</v>
      </c>
      <c r="O464" s="5">
        <v>437.76</v>
      </c>
    </row>
    <row r="465" spans="1:15">
      <c r="A465" t="s">
        <v>1814</v>
      </c>
      <c r="B465" s="7">
        <v>45252</v>
      </c>
      <c r="C465" t="s">
        <v>387</v>
      </c>
      <c r="D465" t="s">
        <v>1267</v>
      </c>
      <c r="E465" t="s">
        <v>1298</v>
      </c>
      <c r="F465" t="str">
        <f>[1]Raw_Customer_Dim!$A$2</f>
        <v>CUST1000</v>
      </c>
      <c r="G465" t="str">
        <f>_xlfn.XLOOKUP(E465,Store_Dim!A:A,Store_Dim!B:B,"Not Found")</f>
        <v>Gray Ltd</v>
      </c>
      <c r="H465" t="str">
        <f>_xlfn.XLOOKUP(D465,Product_Dim!A:A,Product_Dim!C:C,"Not Found")</f>
        <v>Sports</v>
      </c>
      <c r="I465" t="str">
        <f>_xlfn.XLOOKUP(E465,Store_Dim!A:A,Store_Dim!C:C,"Not Found")</f>
        <v>North</v>
      </c>
      <c r="J465" t="str">
        <f>_xlfn.XLOOKUP(C465,Customer_Dim!A:A,Customer_Dim!B:B,"Not Found")</f>
        <v>Joseph Jones</v>
      </c>
      <c r="K465">
        <f>Table511[[#This Row],[Total_Amount]]/(L465*(1-Table511[[#This Row],[Discount]]))</f>
        <v>2</v>
      </c>
      <c r="L465" s="5">
        <v>261.48</v>
      </c>
      <c r="M465">
        <v>0.17</v>
      </c>
      <c r="N465" t="s">
        <v>1349</v>
      </c>
      <c r="O465" s="5">
        <v>434.05680000000001</v>
      </c>
    </row>
    <row r="466" spans="1:15">
      <c r="A466" t="s">
        <v>1815</v>
      </c>
      <c r="B466" s="7">
        <v>45938</v>
      </c>
      <c r="C466" t="s">
        <v>664</v>
      </c>
      <c r="D466" t="s">
        <v>1145</v>
      </c>
      <c r="E466" t="s">
        <v>1324</v>
      </c>
      <c r="F466" t="str">
        <f>[1]Raw_Customer_Dim!$A$2</f>
        <v>CUST1000</v>
      </c>
      <c r="G466" t="str">
        <f>_xlfn.XLOOKUP(E466,Store_Dim!A:A,Store_Dim!B:B,"Not Found")</f>
        <v>Mcdonald Inc</v>
      </c>
      <c r="H466" t="str">
        <f>_xlfn.XLOOKUP(D466,Product_Dim!A:A,Product_Dim!C:C,"Not Found")</f>
        <v>Clothing</v>
      </c>
      <c r="I466" t="str">
        <f>_xlfn.XLOOKUP(E466,Store_Dim!A:A,Store_Dim!C:C,"Not Found")</f>
        <v>South</v>
      </c>
      <c r="J466" t="str">
        <f>_xlfn.XLOOKUP(C466,Customer_Dim!A:A,Customer_Dim!B:B,"Not Found")</f>
        <v>Matthew Avery</v>
      </c>
      <c r="K466">
        <f>Table511[[#This Row],[Total_Amount]]/(L466*(1-Table511[[#This Row],[Discount]]))</f>
        <v>1</v>
      </c>
      <c r="L466" s="5">
        <v>850.83</v>
      </c>
      <c r="M466">
        <v>0.28000000000000003</v>
      </c>
      <c r="N466" t="s">
        <v>1351</v>
      </c>
      <c r="O466" s="5">
        <v>612.59760000000006</v>
      </c>
    </row>
    <row r="467" spans="1:15">
      <c r="A467" t="s">
        <v>1816</v>
      </c>
      <c r="B467" s="7">
        <v>45711</v>
      </c>
      <c r="C467" t="s">
        <v>873</v>
      </c>
      <c r="D467" t="s">
        <v>1165</v>
      </c>
      <c r="E467" t="s">
        <v>1311</v>
      </c>
      <c r="F467" t="str">
        <f>[1]Raw_Customer_Dim!$A$2</f>
        <v>CUST1000</v>
      </c>
      <c r="G467" t="str">
        <f>_xlfn.XLOOKUP(E467,Store_Dim!A:A,Store_Dim!B:B,"Not Found")</f>
        <v>Moore, Padilla and Butler</v>
      </c>
      <c r="H467" t="str">
        <f>_xlfn.XLOOKUP(D467,Product_Dim!A:A,Product_Dim!C:C,"Not Found")</f>
        <v>Clothing</v>
      </c>
      <c r="I467" t="str">
        <f>_xlfn.XLOOKUP(E467,Store_Dim!A:A,Store_Dim!C:C,"Not Found")</f>
        <v>South</v>
      </c>
      <c r="J467" t="str">
        <f>_xlfn.XLOOKUP(C467,Customer_Dim!A:A,Customer_Dim!B:B,"Not Found")</f>
        <v>Eric Wolfe</v>
      </c>
      <c r="K467">
        <f>Table511[[#This Row],[Total_Amount]]/(L467*(1-Table511[[#This Row],[Discount]]))</f>
        <v>1</v>
      </c>
      <c r="L467" s="5">
        <v>83.83</v>
      </c>
      <c r="M467">
        <v>0.05</v>
      </c>
      <c r="N467" t="s">
        <v>1349</v>
      </c>
      <c r="O467" s="5">
        <v>79.638499999999993</v>
      </c>
    </row>
    <row r="468" spans="1:15">
      <c r="A468" t="s">
        <v>1817</v>
      </c>
      <c r="B468" s="7">
        <v>45713</v>
      </c>
      <c r="C468" t="s">
        <v>30</v>
      </c>
      <c r="D468" t="s">
        <v>1249</v>
      </c>
      <c r="E468" t="s">
        <v>1329</v>
      </c>
      <c r="F468" t="str">
        <f>[1]Raw_Customer_Dim!$A$2</f>
        <v>CUST1000</v>
      </c>
      <c r="G468" t="str">
        <f>_xlfn.XLOOKUP(E468,Store_Dim!A:A,Store_Dim!B:B,"Not Found")</f>
        <v>Frederick-Wright</v>
      </c>
      <c r="H468" t="str">
        <f>_xlfn.XLOOKUP(D468,Product_Dim!A:A,Product_Dim!C:C,"Not Found")</f>
        <v>Sports</v>
      </c>
      <c r="I468" t="str">
        <f>_xlfn.XLOOKUP(E468,Store_Dim!A:A,Store_Dim!C:C,"Not Found")</f>
        <v>West</v>
      </c>
      <c r="J468" t="str">
        <f>_xlfn.XLOOKUP(C468,Customer_Dim!A:A,Customer_Dim!B:B,"Not Found")</f>
        <v>Amber Jackson</v>
      </c>
      <c r="K468">
        <f>Table511[[#This Row],[Total_Amount]]/(L468*(1-Table511[[#This Row],[Discount]]))</f>
        <v>3</v>
      </c>
      <c r="L468" s="5">
        <v>649.95000000000005</v>
      </c>
      <c r="M468">
        <v>0.28000000000000003</v>
      </c>
      <c r="N468" t="s">
        <v>1354</v>
      </c>
      <c r="O468" s="5">
        <v>1403.8920000000001</v>
      </c>
    </row>
    <row r="469" spans="1:15">
      <c r="A469" t="s">
        <v>1818</v>
      </c>
      <c r="B469" s="7">
        <v>45565</v>
      </c>
      <c r="C469" t="s">
        <v>795</v>
      </c>
      <c r="D469" t="s">
        <v>1219</v>
      </c>
      <c r="E469" t="s">
        <v>1301</v>
      </c>
      <c r="F469" t="str">
        <f>[1]Raw_Customer_Dim!$A$2</f>
        <v>CUST1000</v>
      </c>
      <c r="G469" t="str">
        <f>_xlfn.XLOOKUP(E469,Store_Dim!A:A,Store_Dim!B:B,"Not Found")</f>
        <v>Benson-Elliott</v>
      </c>
      <c r="H469" t="str">
        <f>_xlfn.XLOOKUP(D469,Product_Dim!A:A,Product_Dim!C:C,"Not Found")</f>
        <v>Sports</v>
      </c>
      <c r="I469" t="str">
        <f>_xlfn.XLOOKUP(E469,Store_Dim!A:A,Store_Dim!C:C,"Not Found")</f>
        <v>East</v>
      </c>
      <c r="J469" t="str">
        <f>_xlfn.XLOOKUP(C469,Customer_Dim!A:A,Customer_Dim!B:B,"Not Found")</f>
        <v>Mallory Allen</v>
      </c>
      <c r="K469">
        <f>Table511[[#This Row],[Total_Amount]]/(L469*(1-Table511[[#This Row],[Discount]]))</f>
        <v>3.9999999999999996</v>
      </c>
      <c r="L469" s="5">
        <v>934.96</v>
      </c>
      <c r="M469">
        <v>0.18</v>
      </c>
      <c r="N469" t="s">
        <v>1351</v>
      </c>
      <c r="O469" s="5">
        <v>3066.6687999999999</v>
      </c>
    </row>
    <row r="470" spans="1:15">
      <c r="A470" t="s">
        <v>1819</v>
      </c>
      <c r="B470" s="7">
        <v>45279</v>
      </c>
      <c r="C470" t="s">
        <v>474</v>
      </c>
      <c r="D470" t="s">
        <v>1107</v>
      </c>
      <c r="E470" t="s">
        <v>1324</v>
      </c>
      <c r="F470" t="str">
        <f>[1]Raw_Customer_Dim!$A$2</f>
        <v>CUST1000</v>
      </c>
      <c r="G470" t="str">
        <f>_xlfn.XLOOKUP(E470,Store_Dim!A:A,Store_Dim!B:B,"Not Found")</f>
        <v>Mcdonald Inc</v>
      </c>
      <c r="H470" t="str">
        <f>_xlfn.XLOOKUP(D470,Product_Dim!A:A,Product_Dim!C:C,"Not Found")</f>
        <v>Sports</v>
      </c>
      <c r="I470" t="str">
        <f>_xlfn.XLOOKUP(E470,Store_Dim!A:A,Store_Dim!C:C,"Not Found")</f>
        <v>South</v>
      </c>
      <c r="J470" t="str">
        <f>_xlfn.XLOOKUP(C470,Customer_Dim!A:A,Customer_Dim!B:B,"Not Found")</f>
        <v>Ronald Jones</v>
      </c>
      <c r="K470">
        <f>Table511[[#This Row],[Total_Amount]]/(L470*(1-Table511[[#This Row],[Discount]]))</f>
        <v>1</v>
      </c>
      <c r="L470" s="5">
        <v>880.89</v>
      </c>
      <c r="M470">
        <v>0.13</v>
      </c>
      <c r="N470" t="s">
        <v>1354</v>
      </c>
      <c r="O470" s="5">
        <v>766.37429999999995</v>
      </c>
    </row>
    <row r="471" spans="1:15">
      <c r="A471" t="s">
        <v>1820</v>
      </c>
      <c r="B471" s="7">
        <v>45614</v>
      </c>
      <c r="C471" t="s">
        <v>1016</v>
      </c>
      <c r="D471" t="s">
        <v>1269</v>
      </c>
      <c r="E471" t="s">
        <v>1307</v>
      </c>
      <c r="F471" t="str">
        <f>[1]Raw_Customer_Dim!$A$2</f>
        <v>CUST1000</v>
      </c>
      <c r="G471" t="str">
        <f>_xlfn.XLOOKUP(E471,Store_Dim!A:A,Store_Dim!B:B,"Not Found")</f>
        <v>Bean, Jones and Park</v>
      </c>
      <c r="H471" t="str">
        <f>_xlfn.XLOOKUP(D471,Product_Dim!A:A,Product_Dim!C:C,"Not Found")</f>
        <v>Electronics</v>
      </c>
      <c r="I471" t="str">
        <f>_xlfn.XLOOKUP(E471,Store_Dim!A:A,Store_Dim!C:C,"Not Found")</f>
        <v>West</v>
      </c>
      <c r="J471" t="str">
        <f>_xlfn.XLOOKUP(C471,Customer_Dim!A:A,Customer_Dim!B:B,"Not Found")</f>
        <v>Andrea Harris</v>
      </c>
      <c r="K471">
        <f>Table511[[#This Row],[Total_Amount]]/(L471*(1-Table511[[#This Row],[Discount]]))</f>
        <v>3.9999999999999991</v>
      </c>
      <c r="L471" s="5">
        <v>610.6</v>
      </c>
      <c r="M471">
        <v>0.1</v>
      </c>
      <c r="N471" t="s">
        <v>1351</v>
      </c>
      <c r="O471" s="5">
        <v>2198.16</v>
      </c>
    </row>
    <row r="472" spans="1:15">
      <c r="A472" t="s">
        <v>1821</v>
      </c>
      <c r="B472" s="7">
        <v>45912</v>
      </c>
      <c r="C472" t="s">
        <v>202</v>
      </c>
      <c r="D472" t="s">
        <v>1129</v>
      </c>
      <c r="E472" t="s">
        <v>1335</v>
      </c>
      <c r="F472" t="str">
        <f>[1]Raw_Customer_Dim!$A$2</f>
        <v>CUST1000</v>
      </c>
      <c r="G472" t="str">
        <f>_xlfn.XLOOKUP(E472,Store_Dim!A:A,Store_Dim!B:B,"Not Found")</f>
        <v>Guerrero-Schmitt</v>
      </c>
      <c r="H472" t="str">
        <f>_xlfn.XLOOKUP(D472,Product_Dim!A:A,Product_Dim!C:C,"Not Found")</f>
        <v>Sports</v>
      </c>
      <c r="I472" t="str">
        <f>_xlfn.XLOOKUP(E472,Store_Dim!A:A,Store_Dim!C:C,"Not Found")</f>
        <v>East</v>
      </c>
      <c r="J472" t="str">
        <f>_xlfn.XLOOKUP(C472,Customer_Dim!A:A,Customer_Dim!B:B,"Not Found")</f>
        <v>Rhonda Morales</v>
      </c>
      <c r="K472">
        <f>Table511[[#This Row],[Total_Amount]]/(L472*(1-Table511[[#This Row],[Discount]]))</f>
        <v>1</v>
      </c>
      <c r="L472" s="5">
        <v>514.19000000000005</v>
      </c>
      <c r="M472">
        <v>0.2</v>
      </c>
      <c r="N472" t="s">
        <v>1349</v>
      </c>
      <c r="O472" s="5">
        <v>411.35200000000009</v>
      </c>
    </row>
    <row r="473" spans="1:15">
      <c r="A473" t="s">
        <v>1822</v>
      </c>
      <c r="B473" s="7">
        <v>45688</v>
      </c>
      <c r="C473" t="s">
        <v>861</v>
      </c>
      <c r="D473" t="s">
        <v>1147</v>
      </c>
      <c r="E473" t="s">
        <v>1322</v>
      </c>
      <c r="F473" t="str">
        <f>[1]Raw_Customer_Dim!$A$2</f>
        <v>CUST1000</v>
      </c>
      <c r="G473" t="str">
        <f>_xlfn.XLOOKUP(E473,Store_Dim!A:A,Store_Dim!B:B,"Not Found")</f>
        <v>Gardner, Humphrey and Contreras</v>
      </c>
      <c r="H473" t="str">
        <f>_xlfn.XLOOKUP(D473,Product_Dim!A:A,Product_Dim!C:C,"Not Found")</f>
        <v>Clothing</v>
      </c>
      <c r="I473" t="str">
        <f>_xlfn.XLOOKUP(E473,Store_Dim!A:A,Store_Dim!C:C,"Not Found")</f>
        <v>East</v>
      </c>
      <c r="J473" t="str">
        <f>_xlfn.XLOOKUP(C473,Customer_Dim!A:A,Customer_Dim!B:B,"Not Found")</f>
        <v>John Donaldson</v>
      </c>
      <c r="K473">
        <f>Table511[[#This Row],[Total_Amount]]/(L473*(1-Table511[[#This Row],[Discount]]))</f>
        <v>1.0000000000000002</v>
      </c>
      <c r="L473" s="5">
        <v>546.20000000000005</v>
      </c>
      <c r="M473">
        <v>0.22</v>
      </c>
      <c r="N473" t="s">
        <v>1351</v>
      </c>
      <c r="O473" s="5">
        <v>426.03600000000012</v>
      </c>
    </row>
    <row r="474" spans="1:15">
      <c r="A474" t="s">
        <v>1823</v>
      </c>
      <c r="B474" s="7">
        <v>45591</v>
      </c>
      <c r="C474" t="s">
        <v>456</v>
      </c>
      <c r="D474" t="s">
        <v>1147</v>
      </c>
      <c r="E474" t="s">
        <v>1277</v>
      </c>
      <c r="F474" t="str">
        <f>[1]Raw_Customer_Dim!$A$2</f>
        <v>CUST1000</v>
      </c>
      <c r="G474" t="str">
        <f>_xlfn.XLOOKUP(E474,Store_Dim!A:A,Store_Dim!B:B,"Not Found")</f>
        <v>Rivera-Warner</v>
      </c>
      <c r="H474" t="str">
        <f>_xlfn.XLOOKUP(D474,Product_Dim!A:A,Product_Dim!C:C,"Not Found")</f>
        <v>Clothing</v>
      </c>
      <c r="I474" t="str">
        <f>_xlfn.XLOOKUP(E474,Store_Dim!A:A,Store_Dim!C:C,"Not Found")</f>
        <v>East</v>
      </c>
      <c r="J474" t="str">
        <f>_xlfn.XLOOKUP(C474,Customer_Dim!A:A,Customer_Dim!B:B,"Not Found")</f>
        <v>Andrea Jacobs</v>
      </c>
      <c r="K474">
        <f>Table511[[#This Row],[Total_Amount]]/(L474*(1-Table511[[#This Row],[Discount]]))</f>
        <v>3.0000000000000004</v>
      </c>
      <c r="L474" s="5">
        <v>416.01</v>
      </c>
      <c r="M474">
        <v>0.02</v>
      </c>
      <c r="N474" t="s">
        <v>1349</v>
      </c>
      <c r="O474" s="5">
        <v>1223.0694000000001</v>
      </c>
    </row>
    <row r="475" spans="1:15">
      <c r="A475" t="s">
        <v>1824</v>
      </c>
      <c r="B475" s="7">
        <v>45864</v>
      </c>
      <c r="C475" t="s">
        <v>831</v>
      </c>
      <c r="D475" t="s">
        <v>1221</v>
      </c>
      <c r="E475" t="s">
        <v>1314</v>
      </c>
      <c r="F475" t="str">
        <f>[1]Raw_Customer_Dim!$A$2</f>
        <v>CUST1000</v>
      </c>
      <c r="G475" t="str">
        <f>_xlfn.XLOOKUP(E475,Store_Dim!A:A,Store_Dim!B:B,"Not Found")</f>
        <v>Hill, Wagner and Ballard</v>
      </c>
      <c r="H475" t="str">
        <f>_xlfn.XLOOKUP(D475,Product_Dim!A:A,Product_Dim!C:C,"Not Found")</f>
        <v>Electronics</v>
      </c>
      <c r="I475" t="str">
        <f>_xlfn.XLOOKUP(E475,Store_Dim!A:A,Store_Dim!C:C,"Not Found")</f>
        <v>East</v>
      </c>
      <c r="J475" t="str">
        <f>_xlfn.XLOOKUP(C475,Customer_Dim!A:A,Customer_Dim!B:B,"Not Found")</f>
        <v>Andrew Mason</v>
      </c>
      <c r="K475">
        <f>Table511[[#This Row],[Total_Amount]]/(L475*(1-Table511[[#This Row],[Discount]]))</f>
        <v>0.99999999999999989</v>
      </c>
      <c r="L475" s="5">
        <v>30.94</v>
      </c>
      <c r="M475">
        <v>0.21</v>
      </c>
      <c r="N475" t="s">
        <v>1354</v>
      </c>
      <c r="O475" s="5">
        <v>24.442599999999999</v>
      </c>
    </row>
    <row r="476" spans="1:15">
      <c r="A476" t="s">
        <v>1825</v>
      </c>
      <c r="B476" s="7">
        <v>45875</v>
      </c>
      <c r="C476" t="s">
        <v>462</v>
      </c>
      <c r="D476" t="s">
        <v>1189</v>
      </c>
      <c r="E476" t="s">
        <v>1329</v>
      </c>
      <c r="F476" t="str">
        <f>[1]Raw_Customer_Dim!$A$2</f>
        <v>CUST1000</v>
      </c>
      <c r="G476" t="str">
        <f>_xlfn.XLOOKUP(E476,Store_Dim!A:A,Store_Dim!B:B,"Not Found")</f>
        <v>Frederick-Wright</v>
      </c>
      <c r="H476" t="str">
        <f>_xlfn.XLOOKUP(D476,Product_Dim!A:A,Product_Dim!C:C,"Not Found")</f>
        <v>Clothing</v>
      </c>
      <c r="I476" t="str">
        <f>_xlfn.XLOOKUP(E476,Store_Dim!A:A,Store_Dim!C:C,"Not Found")</f>
        <v>West</v>
      </c>
      <c r="J476" t="str">
        <f>_xlfn.XLOOKUP(C476,Customer_Dim!A:A,Customer_Dim!B:B,"Not Found")</f>
        <v>Anna Perez</v>
      </c>
      <c r="K476">
        <f>Table511[[#This Row],[Total_Amount]]/(L476*(1-Table511[[#This Row],[Discount]]))</f>
        <v>2.9999999999999996</v>
      </c>
      <c r="L476" s="5">
        <v>666.39</v>
      </c>
      <c r="M476">
        <v>0.21</v>
      </c>
      <c r="N476" t="s">
        <v>1354</v>
      </c>
      <c r="O476" s="5">
        <v>1579.3443</v>
      </c>
    </row>
    <row r="477" spans="1:15">
      <c r="A477" t="s">
        <v>1826</v>
      </c>
      <c r="B477" s="7">
        <v>45797</v>
      </c>
      <c r="C477" t="s">
        <v>393</v>
      </c>
      <c r="D477" t="s">
        <v>1235</v>
      </c>
      <c r="E477" t="s">
        <v>1314</v>
      </c>
      <c r="F477" t="str">
        <f>[1]Raw_Customer_Dim!$A$2</f>
        <v>CUST1000</v>
      </c>
      <c r="G477" t="str">
        <f>_xlfn.XLOOKUP(E477,Store_Dim!A:A,Store_Dim!B:B,"Not Found")</f>
        <v>Hill, Wagner and Ballard</v>
      </c>
      <c r="H477" t="str">
        <f>_xlfn.XLOOKUP(D477,Product_Dim!A:A,Product_Dim!C:C,"Not Found")</f>
        <v>Sports</v>
      </c>
      <c r="I477" t="str">
        <f>_xlfn.XLOOKUP(E477,Store_Dim!A:A,Store_Dim!C:C,"Not Found")</f>
        <v>East</v>
      </c>
      <c r="J477" t="str">
        <f>_xlfn.XLOOKUP(C477,Customer_Dim!A:A,Customer_Dim!B:B,"Not Found")</f>
        <v>Patricia Gardner</v>
      </c>
      <c r="K477">
        <f>Table511[[#This Row],[Total_Amount]]/(L477*(1-Table511[[#This Row],[Discount]]))</f>
        <v>2</v>
      </c>
      <c r="L477" s="5">
        <v>145.26</v>
      </c>
      <c r="M477">
        <v>0.19</v>
      </c>
      <c r="N477" t="s">
        <v>1351</v>
      </c>
      <c r="O477" s="5">
        <v>235.3212</v>
      </c>
    </row>
    <row r="478" spans="1:15">
      <c r="A478" t="s">
        <v>1827</v>
      </c>
      <c r="B478" s="7">
        <v>45364</v>
      </c>
      <c r="C478" t="s">
        <v>296</v>
      </c>
      <c r="D478" t="s">
        <v>1255</v>
      </c>
      <c r="E478" t="s">
        <v>1298</v>
      </c>
      <c r="F478" t="str">
        <f>[1]Raw_Customer_Dim!$A$2</f>
        <v>CUST1000</v>
      </c>
      <c r="G478" t="str">
        <f>_xlfn.XLOOKUP(E478,Store_Dim!A:A,Store_Dim!B:B,"Not Found")</f>
        <v>Gray Ltd</v>
      </c>
      <c r="H478" t="str">
        <f>_xlfn.XLOOKUP(D478,Product_Dim!A:A,Product_Dim!C:C,"Not Found")</f>
        <v>Clothing</v>
      </c>
      <c r="I478" t="str">
        <f>_xlfn.XLOOKUP(E478,Store_Dim!A:A,Store_Dim!C:C,"Not Found")</f>
        <v>North</v>
      </c>
      <c r="J478" t="str">
        <f>_xlfn.XLOOKUP(C478,Customer_Dim!A:A,Customer_Dim!B:B,"Not Found")</f>
        <v>Earl Allen</v>
      </c>
      <c r="K478">
        <f>Table511[[#This Row],[Total_Amount]]/(L478*(1-Table511[[#This Row],[Discount]]))</f>
        <v>4</v>
      </c>
      <c r="L478" s="5">
        <v>940.77</v>
      </c>
      <c r="M478">
        <v>0.24</v>
      </c>
      <c r="N478" t="s">
        <v>1354</v>
      </c>
      <c r="O478" s="5">
        <v>2859.9407999999999</v>
      </c>
    </row>
    <row r="479" spans="1:15">
      <c r="A479" t="s">
        <v>1828</v>
      </c>
      <c r="B479" s="7">
        <v>45700</v>
      </c>
      <c r="C479" t="s">
        <v>1000</v>
      </c>
      <c r="D479" t="s">
        <v>1165</v>
      </c>
      <c r="E479" t="s">
        <v>1332</v>
      </c>
      <c r="F479" t="str">
        <f>[1]Raw_Customer_Dim!$A$2</f>
        <v>CUST1000</v>
      </c>
      <c r="G479" t="str">
        <f>_xlfn.XLOOKUP(E479,Store_Dim!A:A,Store_Dim!B:B,"Not Found")</f>
        <v>Holloway Ltd</v>
      </c>
      <c r="H479" t="str">
        <f>_xlfn.XLOOKUP(D479,Product_Dim!A:A,Product_Dim!C:C,"Not Found")</f>
        <v>Clothing</v>
      </c>
      <c r="I479" t="str">
        <f>_xlfn.XLOOKUP(E479,Store_Dim!A:A,Store_Dim!C:C,"Not Found")</f>
        <v>North</v>
      </c>
      <c r="J479" t="str">
        <f>_xlfn.XLOOKUP(C479,Customer_Dim!A:A,Customer_Dim!B:B,"Not Found")</f>
        <v>James Foster</v>
      </c>
      <c r="K479">
        <f>Table511[[#This Row],[Total_Amount]]/(L479*(1-Table511[[#This Row],[Discount]]))</f>
        <v>1</v>
      </c>
      <c r="L479" s="5">
        <v>708.88</v>
      </c>
      <c r="M479">
        <v>0.09</v>
      </c>
      <c r="N479" t="s">
        <v>1349</v>
      </c>
      <c r="O479" s="5">
        <v>645.08080000000007</v>
      </c>
    </row>
    <row r="480" spans="1:15">
      <c r="A480" t="s">
        <v>1829</v>
      </c>
      <c r="B480" s="7">
        <v>45924</v>
      </c>
      <c r="C480" t="s">
        <v>678</v>
      </c>
      <c r="D480" t="s">
        <v>1133</v>
      </c>
      <c r="E480" t="s">
        <v>1286</v>
      </c>
      <c r="F480" t="str">
        <f>[1]Raw_Customer_Dim!$A$2</f>
        <v>CUST1000</v>
      </c>
      <c r="G480" t="str">
        <f>_xlfn.XLOOKUP(E480,Store_Dim!A:A,Store_Dim!B:B,"Not Found")</f>
        <v>Black-Horn</v>
      </c>
      <c r="H480" t="str">
        <f>_xlfn.XLOOKUP(D480,Product_Dim!A:A,Product_Dim!C:C,"Not Found")</f>
        <v>Home</v>
      </c>
      <c r="I480" t="str">
        <f>_xlfn.XLOOKUP(E480,Store_Dim!A:A,Store_Dim!C:C,"Not Found")</f>
        <v>South</v>
      </c>
      <c r="J480" t="str">
        <f>_xlfn.XLOOKUP(C480,Customer_Dim!A:A,Customer_Dim!B:B,"Not Found")</f>
        <v>Brandy Thompson</v>
      </c>
      <c r="K480">
        <f>Table511[[#This Row],[Total_Amount]]/(L480*(1-Table511[[#This Row],[Discount]]))</f>
        <v>1</v>
      </c>
      <c r="L480" s="5">
        <v>790.73</v>
      </c>
      <c r="M480">
        <v>0.24</v>
      </c>
      <c r="N480" t="s">
        <v>1351</v>
      </c>
      <c r="O480" s="5">
        <v>600.95479999999998</v>
      </c>
    </row>
    <row r="481" spans="1:15">
      <c r="A481" t="s">
        <v>1830</v>
      </c>
      <c r="B481" s="7">
        <v>45574</v>
      </c>
      <c r="C481" t="s">
        <v>961</v>
      </c>
      <c r="D481" t="s">
        <v>1103</v>
      </c>
      <c r="E481" t="s">
        <v>1311</v>
      </c>
      <c r="F481" t="str">
        <f>[1]Raw_Customer_Dim!$A$2</f>
        <v>CUST1000</v>
      </c>
      <c r="G481" t="str">
        <f>_xlfn.XLOOKUP(E481,Store_Dim!A:A,Store_Dim!B:B,"Not Found")</f>
        <v>Moore, Padilla and Butler</v>
      </c>
      <c r="H481" t="str">
        <f>_xlfn.XLOOKUP(D481,Product_Dim!A:A,Product_Dim!C:C,"Not Found")</f>
        <v>Electronics</v>
      </c>
      <c r="I481" t="str">
        <f>_xlfn.XLOOKUP(E481,Store_Dim!A:A,Store_Dim!C:C,"Not Found")</f>
        <v>South</v>
      </c>
      <c r="J481" t="str">
        <f>_xlfn.XLOOKUP(C481,Customer_Dim!A:A,Customer_Dim!B:B,"Not Found")</f>
        <v>William Cortez</v>
      </c>
      <c r="K481">
        <f>Table511[[#This Row],[Total_Amount]]/(L481*(1-Table511[[#This Row],[Discount]]))</f>
        <v>3</v>
      </c>
      <c r="L481" s="5">
        <v>635.13</v>
      </c>
      <c r="M481">
        <v>0.09</v>
      </c>
      <c r="N481" t="s">
        <v>1351</v>
      </c>
      <c r="O481" s="5">
        <v>1733.9049</v>
      </c>
    </row>
    <row r="482" spans="1:15">
      <c r="A482" t="s">
        <v>1831</v>
      </c>
      <c r="B482" s="7">
        <v>45233</v>
      </c>
      <c r="C482" t="s">
        <v>596</v>
      </c>
      <c r="D482" t="s">
        <v>1259</v>
      </c>
      <c r="E482" t="s">
        <v>1324</v>
      </c>
      <c r="F482" t="str">
        <f>[1]Raw_Customer_Dim!$A$2</f>
        <v>CUST1000</v>
      </c>
      <c r="G482" t="str">
        <f>_xlfn.XLOOKUP(E482,Store_Dim!A:A,Store_Dim!B:B,"Not Found")</f>
        <v>Mcdonald Inc</v>
      </c>
      <c r="H482" t="str">
        <f>_xlfn.XLOOKUP(D482,Product_Dim!A:A,Product_Dim!C:C,"Not Found")</f>
        <v>Electronics</v>
      </c>
      <c r="I482" t="str">
        <f>_xlfn.XLOOKUP(E482,Store_Dim!A:A,Store_Dim!C:C,"Not Found")</f>
        <v>South</v>
      </c>
      <c r="J482" t="str">
        <f>_xlfn.XLOOKUP(C482,Customer_Dim!A:A,Customer_Dim!B:B,"Not Found")</f>
        <v>Cynthia Payne</v>
      </c>
      <c r="K482">
        <f>Table511[[#This Row],[Total_Amount]]/(L482*(1-Table511[[#This Row],[Discount]]))</f>
        <v>1</v>
      </c>
      <c r="L482" s="5">
        <v>744.88</v>
      </c>
      <c r="M482">
        <v>0.15</v>
      </c>
      <c r="N482" t="s">
        <v>1354</v>
      </c>
      <c r="O482" s="5">
        <v>633.14800000000002</v>
      </c>
    </row>
    <row r="483" spans="1:15">
      <c r="A483" t="s">
        <v>1832</v>
      </c>
      <c r="B483" s="7">
        <v>45745</v>
      </c>
      <c r="C483" t="s">
        <v>428</v>
      </c>
      <c r="D483" t="s">
        <v>1129</v>
      </c>
      <c r="E483" t="s">
        <v>1282</v>
      </c>
      <c r="F483" t="str">
        <f>[1]Raw_Customer_Dim!$A$2</f>
        <v>CUST1000</v>
      </c>
      <c r="G483" t="str">
        <f>_xlfn.XLOOKUP(E483,Store_Dim!A:A,Store_Dim!B:B,"Not Found")</f>
        <v>Martinez, Adkins and Johnson</v>
      </c>
      <c r="H483" t="str">
        <f>_xlfn.XLOOKUP(D483,Product_Dim!A:A,Product_Dim!C:C,"Not Found")</f>
        <v>Sports</v>
      </c>
      <c r="I483" t="str">
        <f>_xlfn.XLOOKUP(E483,Store_Dim!A:A,Store_Dim!C:C,"Not Found")</f>
        <v>North</v>
      </c>
      <c r="J483" t="str">
        <f>_xlfn.XLOOKUP(C483,Customer_Dim!A:A,Customer_Dim!B:B,"Not Found")</f>
        <v>Mario Jacobs</v>
      </c>
      <c r="K483">
        <f>Table511[[#This Row],[Total_Amount]]/(L483*(1-Table511[[#This Row],[Discount]]))</f>
        <v>3</v>
      </c>
      <c r="L483" s="5">
        <v>205.34</v>
      </c>
      <c r="M483">
        <v>0.25</v>
      </c>
      <c r="N483" t="s">
        <v>1349</v>
      </c>
      <c r="O483" s="5">
        <v>462.01499999999999</v>
      </c>
    </row>
    <row r="484" spans="1:15">
      <c r="A484" t="s">
        <v>1833</v>
      </c>
      <c r="B484" s="7">
        <v>45851</v>
      </c>
      <c r="C484" t="s">
        <v>901</v>
      </c>
      <c r="D484" t="s">
        <v>1131</v>
      </c>
      <c r="E484" t="s">
        <v>1307</v>
      </c>
      <c r="F484" t="str">
        <f>[1]Raw_Customer_Dim!$A$2</f>
        <v>CUST1000</v>
      </c>
      <c r="G484" t="str">
        <f>_xlfn.XLOOKUP(E484,Store_Dim!A:A,Store_Dim!B:B,"Not Found")</f>
        <v>Bean, Jones and Park</v>
      </c>
      <c r="H484" t="str">
        <f>_xlfn.XLOOKUP(D484,Product_Dim!A:A,Product_Dim!C:C,"Not Found")</f>
        <v>Home</v>
      </c>
      <c r="I484" t="str">
        <f>_xlfn.XLOOKUP(E484,Store_Dim!A:A,Store_Dim!C:C,"Not Found")</f>
        <v>West</v>
      </c>
      <c r="J484" t="str">
        <f>_xlfn.XLOOKUP(C484,Customer_Dim!A:A,Customer_Dim!B:B,"Not Found")</f>
        <v>Monica Miller</v>
      </c>
      <c r="K484">
        <f>Table511[[#This Row],[Total_Amount]]/(L484*(1-Table511[[#This Row],[Discount]]))</f>
        <v>2</v>
      </c>
      <c r="L484" s="5">
        <v>756.8</v>
      </c>
      <c r="M484">
        <v>0.15</v>
      </c>
      <c r="N484" t="s">
        <v>1349</v>
      </c>
      <c r="O484" s="5">
        <v>1286.56</v>
      </c>
    </row>
    <row r="485" spans="1:15">
      <c r="A485" t="s">
        <v>1834</v>
      </c>
      <c r="B485" s="7">
        <v>45308</v>
      </c>
      <c r="C485" t="s">
        <v>129</v>
      </c>
      <c r="D485" t="s">
        <v>1115</v>
      </c>
      <c r="E485" t="s">
        <v>1314</v>
      </c>
      <c r="F485" t="str">
        <f>[1]Raw_Customer_Dim!$A$2</f>
        <v>CUST1000</v>
      </c>
      <c r="G485" t="str">
        <f>_xlfn.XLOOKUP(E485,Store_Dim!A:A,Store_Dim!B:B,"Not Found")</f>
        <v>Hill, Wagner and Ballard</v>
      </c>
      <c r="H485" t="str">
        <f>_xlfn.XLOOKUP(D485,Product_Dim!A:A,Product_Dim!C:C,"Not Found")</f>
        <v>Home</v>
      </c>
      <c r="I485" t="str">
        <f>_xlfn.XLOOKUP(E485,Store_Dim!A:A,Store_Dim!C:C,"Not Found")</f>
        <v>East</v>
      </c>
      <c r="J485" t="str">
        <f>_xlfn.XLOOKUP(C485,Customer_Dim!A:A,Customer_Dim!B:B,"Not Found")</f>
        <v>Denise Williams</v>
      </c>
      <c r="K485">
        <f>Table511[[#This Row],[Total_Amount]]/(L485*(1-Table511[[#This Row],[Discount]]))</f>
        <v>1</v>
      </c>
      <c r="L485" s="5">
        <v>771.73</v>
      </c>
      <c r="M485">
        <v>0.2</v>
      </c>
      <c r="N485" t="s">
        <v>1349</v>
      </c>
      <c r="O485" s="5">
        <v>617.38400000000001</v>
      </c>
    </row>
    <row r="486" spans="1:15">
      <c r="A486" t="s">
        <v>1835</v>
      </c>
      <c r="B486" s="7">
        <v>45639</v>
      </c>
      <c r="C486" t="s">
        <v>1020</v>
      </c>
      <c r="D486" t="s">
        <v>1205</v>
      </c>
      <c r="E486" t="s">
        <v>1332</v>
      </c>
      <c r="F486" t="str">
        <f>[1]Raw_Customer_Dim!$A$2</f>
        <v>CUST1000</v>
      </c>
      <c r="G486" t="str">
        <f>_xlfn.XLOOKUP(E486,Store_Dim!A:A,Store_Dim!B:B,"Not Found")</f>
        <v>Holloway Ltd</v>
      </c>
      <c r="H486" t="str">
        <f>_xlfn.XLOOKUP(D486,Product_Dim!A:A,Product_Dim!C:C,"Not Found")</f>
        <v>Beauty</v>
      </c>
      <c r="I486" t="str">
        <f>_xlfn.XLOOKUP(E486,Store_Dim!A:A,Store_Dim!C:C,"Not Found")</f>
        <v>North</v>
      </c>
      <c r="J486" t="str">
        <f>_xlfn.XLOOKUP(C486,Customer_Dim!A:A,Customer_Dim!B:B,"Not Found")</f>
        <v>Dylan Gutierrez</v>
      </c>
      <c r="K486">
        <f>Table511[[#This Row],[Total_Amount]]/(L486*(1-Table511[[#This Row],[Discount]]))</f>
        <v>1.0000000000000002</v>
      </c>
      <c r="L486" s="5">
        <v>440.19</v>
      </c>
      <c r="M486">
        <v>0.03</v>
      </c>
      <c r="N486" t="s">
        <v>1351</v>
      </c>
      <c r="O486" s="5">
        <v>426.98430000000002</v>
      </c>
    </row>
    <row r="487" spans="1:15">
      <c r="A487" t="s">
        <v>1836</v>
      </c>
      <c r="B487" s="7">
        <v>45919</v>
      </c>
      <c r="C487" t="s">
        <v>135</v>
      </c>
      <c r="D487" t="s">
        <v>1078</v>
      </c>
      <c r="E487" t="s">
        <v>1286</v>
      </c>
      <c r="F487" t="str">
        <f>[1]Raw_Customer_Dim!$A$2</f>
        <v>CUST1000</v>
      </c>
      <c r="G487" t="str">
        <f>_xlfn.XLOOKUP(E487,Store_Dim!A:A,Store_Dim!B:B,"Not Found")</f>
        <v>Black-Horn</v>
      </c>
      <c r="H487" t="str">
        <f>_xlfn.XLOOKUP(D487,Product_Dim!A:A,Product_Dim!C:C,"Not Found")</f>
        <v>Clothing</v>
      </c>
      <c r="I487" t="str">
        <f>_xlfn.XLOOKUP(E487,Store_Dim!A:A,Store_Dim!C:C,"Not Found")</f>
        <v>South</v>
      </c>
      <c r="J487" t="str">
        <f>_xlfn.XLOOKUP(C487,Customer_Dim!A:A,Customer_Dim!B:B,"Not Found")</f>
        <v>Gina Knight</v>
      </c>
      <c r="K487">
        <f>Table511[[#This Row],[Total_Amount]]/(L487*(1-Table511[[#This Row],[Discount]]))</f>
        <v>2</v>
      </c>
      <c r="L487" s="5">
        <v>409</v>
      </c>
      <c r="M487">
        <v>0.17</v>
      </c>
      <c r="N487" t="s">
        <v>1349</v>
      </c>
      <c r="O487" s="5">
        <v>678.93999999999994</v>
      </c>
    </row>
    <row r="488" spans="1:15">
      <c r="A488" t="s">
        <v>1837</v>
      </c>
      <c r="B488" s="7">
        <v>45333</v>
      </c>
      <c r="C488" t="s">
        <v>750</v>
      </c>
      <c r="D488" t="s">
        <v>1149</v>
      </c>
      <c r="E488" t="s">
        <v>1338</v>
      </c>
      <c r="F488" t="str">
        <f>[1]Raw_Customer_Dim!$A$2</f>
        <v>CUST1000</v>
      </c>
      <c r="G488" t="str">
        <f>_xlfn.XLOOKUP(E488,Store_Dim!A:A,Store_Dim!B:B,"Not Found")</f>
        <v>Mann-Austin</v>
      </c>
      <c r="H488" t="str">
        <f>_xlfn.XLOOKUP(D488,Product_Dim!A:A,Product_Dim!C:C,"Not Found")</f>
        <v>Sports</v>
      </c>
      <c r="I488" t="str">
        <f>_xlfn.XLOOKUP(E488,Store_Dim!A:A,Store_Dim!C:C,"Not Found")</f>
        <v>East</v>
      </c>
      <c r="J488" t="str">
        <f>_xlfn.XLOOKUP(C488,Customer_Dim!A:A,Customer_Dim!B:B,"Not Found")</f>
        <v>Ryan Moore</v>
      </c>
      <c r="K488">
        <f>Table511[[#This Row],[Total_Amount]]/(L488*(1-Table511[[#This Row],[Discount]]))</f>
        <v>3</v>
      </c>
      <c r="L488" s="5">
        <v>134.58000000000001</v>
      </c>
      <c r="M488">
        <v>0.04</v>
      </c>
      <c r="N488" t="s">
        <v>1354</v>
      </c>
      <c r="O488" s="5">
        <v>387.59039999999999</v>
      </c>
    </row>
    <row r="489" spans="1:15">
      <c r="A489" t="s">
        <v>1838</v>
      </c>
      <c r="B489" s="7">
        <v>45811</v>
      </c>
      <c r="C489" t="s">
        <v>760</v>
      </c>
      <c r="D489" t="s">
        <v>1151</v>
      </c>
      <c r="E489" t="s">
        <v>1304</v>
      </c>
      <c r="F489" t="str">
        <f>[1]Raw_Customer_Dim!$A$2</f>
        <v>CUST1000</v>
      </c>
      <c r="G489" t="str">
        <f>_xlfn.XLOOKUP(E489,Store_Dim!A:A,Store_Dim!B:B,"Not Found")</f>
        <v>Martinez-Mullins</v>
      </c>
      <c r="H489" t="str">
        <f>_xlfn.XLOOKUP(D489,Product_Dim!A:A,Product_Dim!C:C,"Not Found")</f>
        <v>Electronics</v>
      </c>
      <c r="I489" t="str">
        <f>_xlfn.XLOOKUP(E489,Store_Dim!A:A,Store_Dim!C:C,"Not Found")</f>
        <v>South</v>
      </c>
      <c r="J489" t="str">
        <f>_xlfn.XLOOKUP(C489,Customer_Dim!A:A,Customer_Dim!B:B,"Not Found")</f>
        <v>Sherry Cabrera</v>
      </c>
      <c r="K489">
        <f>Table511[[#This Row],[Total_Amount]]/(L489*(1-Table511[[#This Row],[Discount]]))</f>
        <v>4</v>
      </c>
      <c r="L489" s="5">
        <v>284.44</v>
      </c>
      <c r="M489">
        <v>0.02</v>
      </c>
      <c r="N489" t="s">
        <v>1349</v>
      </c>
      <c r="O489" s="5">
        <v>1115.0047999999999</v>
      </c>
    </row>
    <row r="490" spans="1:15">
      <c r="A490" t="s">
        <v>1839</v>
      </c>
      <c r="B490" s="7">
        <v>45726</v>
      </c>
      <c r="C490" t="s">
        <v>873</v>
      </c>
      <c r="D490" t="s">
        <v>1219</v>
      </c>
      <c r="E490" t="s">
        <v>1322</v>
      </c>
      <c r="F490" t="str">
        <f>[1]Raw_Customer_Dim!$A$2</f>
        <v>CUST1000</v>
      </c>
      <c r="G490" t="str">
        <f>_xlfn.XLOOKUP(E490,Store_Dim!A:A,Store_Dim!B:B,"Not Found")</f>
        <v>Gardner, Humphrey and Contreras</v>
      </c>
      <c r="H490" t="str">
        <f>_xlfn.XLOOKUP(D490,Product_Dim!A:A,Product_Dim!C:C,"Not Found")</f>
        <v>Sports</v>
      </c>
      <c r="I490" t="str">
        <f>_xlfn.XLOOKUP(E490,Store_Dim!A:A,Store_Dim!C:C,"Not Found")</f>
        <v>East</v>
      </c>
      <c r="J490" t="str">
        <f>_xlfn.XLOOKUP(C490,Customer_Dim!A:A,Customer_Dim!B:B,"Not Found")</f>
        <v>Eric Wolfe</v>
      </c>
      <c r="K490">
        <f>Table511[[#This Row],[Total_Amount]]/(L490*(1-Table511[[#This Row],[Discount]]))</f>
        <v>4</v>
      </c>
      <c r="L490" s="5">
        <v>922.69</v>
      </c>
      <c r="M490">
        <v>0.16</v>
      </c>
      <c r="N490" t="s">
        <v>1349</v>
      </c>
      <c r="O490" s="5">
        <v>3100.2384000000002</v>
      </c>
    </row>
    <row r="491" spans="1:15">
      <c r="A491" t="s">
        <v>1840</v>
      </c>
      <c r="B491" s="7">
        <v>45644</v>
      </c>
      <c r="C491" t="s">
        <v>614</v>
      </c>
      <c r="D491" t="s">
        <v>1145</v>
      </c>
      <c r="E491" t="s">
        <v>1301</v>
      </c>
      <c r="F491" t="str">
        <f>[1]Raw_Customer_Dim!$A$2</f>
        <v>CUST1000</v>
      </c>
      <c r="G491" t="str">
        <f>_xlfn.XLOOKUP(E491,Store_Dim!A:A,Store_Dim!B:B,"Not Found")</f>
        <v>Benson-Elliott</v>
      </c>
      <c r="H491" t="str">
        <f>_xlfn.XLOOKUP(D491,Product_Dim!A:A,Product_Dim!C:C,"Not Found")</f>
        <v>Clothing</v>
      </c>
      <c r="I491" t="str">
        <f>_xlfn.XLOOKUP(E491,Store_Dim!A:A,Store_Dim!C:C,"Not Found")</f>
        <v>East</v>
      </c>
      <c r="J491" t="str">
        <f>_xlfn.XLOOKUP(C491,Customer_Dim!A:A,Customer_Dim!B:B,"Not Found")</f>
        <v>Shannon Miller</v>
      </c>
      <c r="K491">
        <f>Table511[[#This Row],[Total_Amount]]/(L491*(1-Table511[[#This Row],[Discount]]))</f>
        <v>2</v>
      </c>
      <c r="L491" s="5">
        <v>992.55</v>
      </c>
      <c r="M491">
        <v>0.28000000000000003</v>
      </c>
      <c r="N491" t="s">
        <v>1349</v>
      </c>
      <c r="O491" s="5">
        <v>1429.2719999999999</v>
      </c>
    </row>
    <row r="492" spans="1:15">
      <c r="A492" t="s">
        <v>1841</v>
      </c>
      <c r="B492" s="7">
        <v>45371</v>
      </c>
      <c r="C492" t="s">
        <v>899</v>
      </c>
      <c r="D492" t="s">
        <v>1251</v>
      </c>
      <c r="E492" t="s">
        <v>1335</v>
      </c>
      <c r="F492" t="str">
        <f>[1]Raw_Customer_Dim!$A$2</f>
        <v>CUST1000</v>
      </c>
      <c r="G492" t="str">
        <f>_xlfn.XLOOKUP(E492,Store_Dim!A:A,Store_Dim!B:B,"Not Found")</f>
        <v>Guerrero-Schmitt</v>
      </c>
      <c r="H492" t="str">
        <f>_xlfn.XLOOKUP(D492,Product_Dim!A:A,Product_Dim!C:C,"Not Found")</f>
        <v>Beauty</v>
      </c>
      <c r="I492" t="str">
        <f>_xlfn.XLOOKUP(E492,Store_Dim!A:A,Store_Dim!C:C,"Not Found")</f>
        <v>East</v>
      </c>
      <c r="J492" t="str">
        <f>_xlfn.XLOOKUP(C492,Customer_Dim!A:A,Customer_Dim!B:B,"Not Found")</f>
        <v>Luke Parks</v>
      </c>
      <c r="K492">
        <f>Table511[[#This Row],[Total_Amount]]/(L492*(1-Table511[[#This Row],[Discount]]))</f>
        <v>1</v>
      </c>
      <c r="L492" s="5">
        <v>170.43</v>
      </c>
      <c r="M492">
        <v>0.03</v>
      </c>
      <c r="N492" t="s">
        <v>1349</v>
      </c>
      <c r="O492" s="5">
        <v>165.31710000000001</v>
      </c>
    </row>
    <row r="493" spans="1:15">
      <c r="A493" t="s">
        <v>1842</v>
      </c>
      <c r="B493" s="7">
        <v>45462</v>
      </c>
      <c r="C493" t="s">
        <v>509</v>
      </c>
      <c r="D493" t="s">
        <v>1217</v>
      </c>
      <c r="E493" t="s">
        <v>1286</v>
      </c>
      <c r="F493" t="str">
        <f>[1]Raw_Customer_Dim!$A$2</f>
        <v>CUST1000</v>
      </c>
      <c r="G493" t="str">
        <f>_xlfn.XLOOKUP(E493,Store_Dim!A:A,Store_Dim!B:B,"Not Found")</f>
        <v>Black-Horn</v>
      </c>
      <c r="H493" t="str">
        <f>_xlfn.XLOOKUP(D493,Product_Dim!A:A,Product_Dim!C:C,"Not Found")</f>
        <v>Sports</v>
      </c>
      <c r="I493" t="str">
        <f>_xlfn.XLOOKUP(E493,Store_Dim!A:A,Store_Dim!C:C,"Not Found")</f>
        <v>South</v>
      </c>
      <c r="J493" t="str">
        <f>_xlfn.XLOOKUP(C493,Customer_Dim!A:A,Customer_Dim!B:B,"Not Found")</f>
        <v>Robert Harris</v>
      </c>
      <c r="K493">
        <f>Table511[[#This Row],[Total_Amount]]/(L493*(1-Table511[[#This Row],[Discount]]))</f>
        <v>3.0000000000000004</v>
      </c>
      <c r="L493" s="5">
        <v>480.51</v>
      </c>
      <c r="M493">
        <v>0.03</v>
      </c>
      <c r="N493" t="s">
        <v>1349</v>
      </c>
      <c r="O493" s="5">
        <v>1398.2841000000001</v>
      </c>
    </row>
    <row r="494" spans="1:15">
      <c r="A494" t="s">
        <v>1843</v>
      </c>
      <c r="B494" s="7">
        <v>45632</v>
      </c>
      <c r="C494" t="s">
        <v>373</v>
      </c>
      <c r="D494" t="s">
        <v>1171</v>
      </c>
      <c r="E494" t="s">
        <v>1304</v>
      </c>
      <c r="F494" t="str">
        <f>[1]Raw_Customer_Dim!$A$2</f>
        <v>CUST1000</v>
      </c>
      <c r="G494" t="str">
        <f>_xlfn.XLOOKUP(E494,Store_Dim!A:A,Store_Dim!B:B,"Not Found")</f>
        <v>Martinez-Mullins</v>
      </c>
      <c r="H494" t="str">
        <f>_xlfn.XLOOKUP(D494,Product_Dim!A:A,Product_Dim!C:C,"Not Found")</f>
        <v>Beauty</v>
      </c>
      <c r="I494" t="str">
        <f>_xlfn.XLOOKUP(E494,Store_Dim!A:A,Store_Dim!C:C,"Not Found")</f>
        <v>South</v>
      </c>
      <c r="J494" t="str">
        <f>_xlfn.XLOOKUP(C494,Customer_Dim!A:A,Customer_Dim!B:B,"Not Found")</f>
        <v>Maria Sanchez</v>
      </c>
      <c r="K494">
        <f>Table511[[#This Row],[Total_Amount]]/(L494*(1-Table511[[#This Row],[Discount]]))</f>
        <v>2</v>
      </c>
      <c r="L494" s="5">
        <v>955.66</v>
      </c>
      <c r="M494">
        <v>0.28999999999999998</v>
      </c>
      <c r="N494" t="s">
        <v>1354</v>
      </c>
      <c r="O494" s="5">
        <v>1357.0372</v>
      </c>
    </row>
    <row r="495" spans="1:15">
      <c r="A495" t="s">
        <v>1844</v>
      </c>
      <c r="B495" s="7">
        <v>45863</v>
      </c>
      <c r="C495" t="s">
        <v>965</v>
      </c>
      <c r="D495" t="s">
        <v>1217</v>
      </c>
      <c r="E495" t="s">
        <v>1277</v>
      </c>
      <c r="F495" t="str">
        <f>[1]Raw_Customer_Dim!$A$2</f>
        <v>CUST1000</v>
      </c>
      <c r="G495" t="str">
        <f>_xlfn.XLOOKUP(E495,Store_Dim!A:A,Store_Dim!B:B,"Not Found")</f>
        <v>Rivera-Warner</v>
      </c>
      <c r="H495" t="str">
        <f>_xlfn.XLOOKUP(D495,Product_Dim!A:A,Product_Dim!C:C,"Not Found")</f>
        <v>Sports</v>
      </c>
      <c r="I495" t="str">
        <f>_xlfn.XLOOKUP(E495,Store_Dim!A:A,Store_Dim!C:C,"Not Found")</f>
        <v>East</v>
      </c>
      <c r="J495" t="str">
        <f>_xlfn.XLOOKUP(C495,Customer_Dim!A:A,Customer_Dim!B:B,"Not Found")</f>
        <v>Ashley Roberts</v>
      </c>
      <c r="K495">
        <f>Table511[[#This Row],[Total_Amount]]/(L495*(1-Table511[[#This Row],[Discount]]))</f>
        <v>2</v>
      </c>
      <c r="L495" s="5">
        <v>488.02</v>
      </c>
      <c r="M495">
        <v>0.27</v>
      </c>
      <c r="N495" t="s">
        <v>1351</v>
      </c>
      <c r="O495" s="5">
        <v>712.50919999999996</v>
      </c>
    </row>
    <row r="496" spans="1:15">
      <c r="A496" t="s">
        <v>1845</v>
      </c>
      <c r="B496" s="7">
        <v>45501</v>
      </c>
      <c r="C496" t="s">
        <v>543</v>
      </c>
      <c r="D496" t="s">
        <v>1109</v>
      </c>
      <c r="E496" t="s">
        <v>1277</v>
      </c>
      <c r="F496" t="str">
        <f>[1]Raw_Customer_Dim!$A$2</f>
        <v>CUST1000</v>
      </c>
      <c r="G496" t="str">
        <f>_xlfn.XLOOKUP(E496,Store_Dim!A:A,Store_Dim!B:B,"Not Found")</f>
        <v>Rivera-Warner</v>
      </c>
      <c r="H496" t="str">
        <f>_xlfn.XLOOKUP(D496,Product_Dim!A:A,Product_Dim!C:C,"Not Found")</f>
        <v>Clothing</v>
      </c>
      <c r="I496" t="str">
        <f>_xlfn.XLOOKUP(E496,Store_Dim!A:A,Store_Dim!C:C,"Not Found")</f>
        <v>East</v>
      </c>
      <c r="J496" t="str">
        <f>_xlfn.XLOOKUP(C496,Customer_Dim!A:A,Customer_Dim!B:B,"Not Found")</f>
        <v>William Hull</v>
      </c>
      <c r="K496">
        <f>Table511[[#This Row],[Total_Amount]]/(L496*(1-Table511[[#This Row],[Discount]]))</f>
        <v>1</v>
      </c>
      <c r="L496" s="5">
        <v>917.17</v>
      </c>
      <c r="M496">
        <v>0.13</v>
      </c>
      <c r="N496" t="s">
        <v>1354</v>
      </c>
      <c r="O496" s="5">
        <v>797.93790000000001</v>
      </c>
    </row>
    <row r="497" spans="1:15">
      <c r="A497" t="s">
        <v>1846</v>
      </c>
      <c r="B497" s="7">
        <v>45568</v>
      </c>
      <c r="C497" t="s">
        <v>712</v>
      </c>
      <c r="D497" t="s">
        <v>1087</v>
      </c>
      <c r="E497" t="s">
        <v>1298</v>
      </c>
      <c r="F497" t="str">
        <f>[1]Raw_Customer_Dim!$A$2</f>
        <v>CUST1000</v>
      </c>
      <c r="G497" t="str">
        <f>_xlfn.XLOOKUP(E497,Store_Dim!A:A,Store_Dim!B:B,"Not Found")</f>
        <v>Gray Ltd</v>
      </c>
      <c r="H497" t="str">
        <f>_xlfn.XLOOKUP(D497,Product_Dim!A:A,Product_Dim!C:C,"Not Found")</f>
        <v>Electronics</v>
      </c>
      <c r="I497" t="str">
        <f>_xlfn.XLOOKUP(E497,Store_Dim!A:A,Store_Dim!C:C,"Not Found")</f>
        <v>North</v>
      </c>
      <c r="J497" t="str">
        <f>_xlfn.XLOOKUP(C497,Customer_Dim!A:A,Customer_Dim!B:B,"Not Found")</f>
        <v>Alex Mann II</v>
      </c>
      <c r="K497">
        <f>Table511[[#This Row],[Total_Amount]]/(L497*(1-Table511[[#This Row],[Discount]]))</f>
        <v>2</v>
      </c>
      <c r="L497" s="5">
        <v>406.46</v>
      </c>
      <c r="M497">
        <v>0.3</v>
      </c>
      <c r="N497" t="s">
        <v>1351</v>
      </c>
      <c r="O497" s="5">
        <v>569.04399999999998</v>
      </c>
    </row>
    <row r="498" spans="1:15">
      <c r="A498" t="s">
        <v>1847</v>
      </c>
      <c r="B498" s="7">
        <v>45238</v>
      </c>
      <c r="C498" t="s">
        <v>527</v>
      </c>
      <c r="D498" t="s">
        <v>1263</v>
      </c>
      <c r="E498" t="s">
        <v>1277</v>
      </c>
      <c r="F498" t="str">
        <f>[1]Raw_Customer_Dim!$A$2</f>
        <v>CUST1000</v>
      </c>
      <c r="G498" t="str">
        <f>_xlfn.XLOOKUP(E498,Store_Dim!A:A,Store_Dim!B:B,"Not Found")</f>
        <v>Rivera-Warner</v>
      </c>
      <c r="H498" t="str">
        <f>_xlfn.XLOOKUP(D498,Product_Dim!A:A,Product_Dim!C:C,"Not Found")</f>
        <v>Sports</v>
      </c>
      <c r="I498" t="str">
        <f>_xlfn.XLOOKUP(E498,Store_Dim!A:A,Store_Dim!C:C,"Not Found")</f>
        <v>East</v>
      </c>
      <c r="J498" t="str">
        <f>_xlfn.XLOOKUP(C498,Customer_Dim!A:A,Customer_Dim!B:B,"Not Found")</f>
        <v>Christy Hill</v>
      </c>
      <c r="K498">
        <f>Table511[[#This Row],[Total_Amount]]/(L498*(1-Table511[[#This Row],[Discount]]))</f>
        <v>2</v>
      </c>
      <c r="L498" s="5">
        <v>264.39</v>
      </c>
      <c r="M498">
        <v>0.11</v>
      </c>
      <c r="N498" t="s">
        <v>1354</v>
      </c>
      <c r="O498" s="5">
        <v>470.61419999999998</v>
      </c>
    </row>
    <row r="499" spans="1:15">
      <c r="A499" t="s">
        <v>1848</v>
      </c>
      <c r="B499" s="7">
        <v>45754</v>
      </c>
      <c r="C499" t="s">
        <v>444</v>
      </c>
      <c r="D499" t="s">
        <v>1209</v>
      </c>
      <c r="E499" t="s">
        <v>1329</v>
      </c>
      <c r="F499" t="str">
        <f>[1]Raw_Customer_Dim!$A$2</f>
        <v>CUST1000</v>
      </c>
      <c r="G499" t="str">
        <f>_xlfn.XLOOKUP(E499,Store_Dim!A:A,Store_Dim!B:B,"Not Found")</f>
        <v>Frederick-Wright</v>
      </c>
      <c r="H499" t="str">
        <f>_xlfn.XLOOKUP(D499,Product_Dim!A:A,Product_Dim!C:C,"Not Found")</f>
        <v>Home</v>
      </c>
      <c r="I499" t="str">
        <f>_xlfn.XLOOKUP(E499,Store_Dim!A:A,Store_Dim!C:C,"Not Found")</f>
        <v>West</v>
      </c>
      <c r="J499" t="str">
        <f>_xlfn.XLOOKUP(C499,Customer_Dim!A:A,Customer_Dim!B:B,"Not Found")</f>
        <v>Todd Poole</v>
      </c>
      <c r="K499">
        <f>Table511[[#This Row],[Total_Amount]]/(L499*(1-Table511[[#This Row],[Discount]]))</f>
        <v>1</v>
      </c>
      <c r="L499" s="5">
        <v>414.97</v>
      </c>
      <c r="M499">
        <v>0.22</v>
      </c>
      <c r="N499" t="s">
        <v>1351</v>
      </c>
      <c r="O499" s="5">
        <v>323.67660000000001</v>
      </c>
    </row>
    <row r="500" spans="1:15">
      <c r="A500" t="s">
        <v>1849</v>
      </c>
      <c r="B500" s="7">
        <v>45280</v>
      </c>
      <c r="C500" t="s">
        <v>353</v>
      </c>
      <c r="D500" t="s">
        <v>1123</v>
      </c>
      <c r="E500" t="s">
        <v>1319</v>
      </c>
      <c r="F500" t="str">
        <f>[1]Raw_Customer_Dim!$A$2</f>
        <v>CUST1000</v>
      </c>
      <c r="G500" t="str">
        <f>_xlfn.XLOOKUP(E500,Store_Dim!A:A,Store_Dim!B:B,"Not Found")</f>
        <v>Thomas, Bridges and Harris</v>
      </c>
      <c r="H500" t="str">
        <f>_xlfn.XLOOKUP(D500,Product_Dim!A:A,Product_Dim!C:C,"Not Found")</f>
        <v>Clothing</v>
      </c>
      <c r="I500" t="str">
        <f>_xlfn.XLOOKUP(E500,Store_Dim!A:A,Store_Dim!C:C,"Not Found")</f>
        <v>North</v>
      </c>
      <c r="J500" t="str">
        <f>_xlfn.XLOOKUP(C500,Customer_Dim!A:A,Customer_Dim!B:B,"Not Found")</f>
        <v>Edward Rivera</v>
      </c>
      <c r="K500">
        <f>Table511[[#This Row],[Total_Amount]]/(L500*(1-Table511[[#This Row],[Discount]]))</f>
        <v>2</v>
      </c>
      <c r="L500" s="5">
        <v>583.51</v>
      </c>
      <c r="M500">
        <v>0.2</v>
      </c>
      <c r="N500" t="s">
        <v>1354</v>
      </c>
      <c r="O500" s="5">
        <v>933.61599999999999</v>
      </c>
    </row>
    <row r="501" spans="1:15">
      <c r="A501" t="s">
        <v>1850</v>
      </c>
      <c r="B501" s="7">
        <v>45911</v>
      </c>
      <c r="C501" t="s">
        <v>44</v>
      </c>
      <c r="D501" t="s">
        <v>1135</v>
      </c>
      <c r="E501" t="s">
        <v>1332</v>
      </c>
      <c r="F501" t="str">
        <f>[1]Raw_Customer_Dim!$A$2</f>
        <v>CUST1000</v>
      </c>
      <c r="G501" t="str">
        <f>_xlfn.XLOOKUP(E501,Store_Dim!A:A,Store_Dim!B:B,"Not Found")</f>
        <v>Holloway Ltd</v>
      </c>
      <c r="H501" t="str">
        <f>_xlfn.XLOOKUP(D501,Product_Dim!A:A,Product_Dim!C:C,"Not Found")</f>
        <v>Sports</v>
      </c>
      <c r="I501" t="str">
        <f>_xlfn.XLOOKUP(E501,Store_Dim!A:A,Store_Dim!C:C,"Not Found")</f>
        <v>North</v>
      </c>
      <c r="J501" t="str">
        <f>_xlfn.XLOOKUP(C501,Customer_Dim!A:A,Customer_Dim!B:B,"Not Found")</f>
        <v>Brian Lopez</v>
      </c>
      <c r="K501">
        <f>Table511[[#This Row],[Total_Amount]]/(L501*(1-Table511[[#This Row],[Discount]]))</f>
        <v>1</v>
      </c>
      <c r="L501" s="5">
        <v>659.27</v>
      </c>
      <c r="M501">
        <v>0.15</v>
      </c>
      <c r="N501" t="s">
        <v>1351</v>
      </c>
      <c r="O501" s="5">
        <v>560.37950000000001</v>
      </c>
    </row>
    <row r="502" spans="1:15">
      <c r="A502" t="s">
        <v>1851</v>
      </c>
      <c r="B502" s="7">
        <v>45627</v>
      </c>
      <c r="C502" t="s">
        <v>953</v>
      </c>
      <c r="D502" t="s">
        <v>1074</v>
      </c>
      <c r="E502" t="s">
        <v>1294</v>
      </c>
      <c r="F502" t="str">
        <f>[1]Raw_Customer_Dim!$A$2</f>
        <v>CUST1000</v>
      </c>
      <c r="G502" t="str">
        <f>_xlfn.XLOOKUP(E502,Store_Dim!A:A,Store_Dim!B:B,"Not Found")</f>
        <v>Alexander Group</v>
      </c>
      <c r="H502" t="str">
        <f>_xlfn.XLOOKUP(D502,Product_Dim!A:A,Product_Dim!C:C,"Not Found")</f>
        <v>Clothing</v>
      </c>
      <c r="I502" t="str">
        <f>_xlfn.XLOOKUP(E502,Store_Dim!A:A,Store_Dim!C:C,"Not Found")</f>
        <v>South</v>
      </c>
      <c r="J502" t="str">
        <f>_xlfn.XLOOKUP(C502,Customer_Dim!A:A,Customer_Dim!B:B,"Not Found")</f>
        <v>Gene Lee</v>
      </c>
      <c r="K502">
        <f>Table511[[#This Row],[Total_Amount]]/(L502*(1-Table511[[#This Row],[Discount]]))</f>
        <v>4</v>
      </c>
      <c r="L502" s="5">
        <v>106.66</v>
      </c>
      <c r="M502">
        <v>0.2</v>
      </c>
      <c r="N502" t="s">
        <v>1354</v>
      </c>
      <c r="O502" s="5">
        <v>341.31200000000001</v>
      </c>
    </row>
    <row r="503" spans="1:15">
      <c r="A503" t="s">
        <v>1852</v>
      </c>
      <c r="B503" s="7">
        <v>45617</v>
      </c>
      <c r="C503" t="s">
        <v>387</v>
      </c>
      <c r="D503" t="s">
        <v>1093</v>
      </c>
      <c r="E503" t="s">
        <v>1298</v>
      </c>
      <c r="F503" t="str">
        <f>[1]Raw_Customer_Dim!$A$2</f>
        <v>CUST1000</v>
      </c>
      <c r="G503" t="str">
        <f>_xlfn.XLOOKUP(E503,Store_Dim!A:A,Store_Dim!B:B,"Not Found")</f>
        <v>Gray Ltd</v>
      </c>
      <c r="H503" t="str">
        <f>_xlfn.XLOOKUP(D503,Product_Dim!A:A,Product_Dim!C:C,"Not Found")</f>
        <v>Home</v>
      </c>
      <c r="I503" t="str">
        <f>_xlfn.XLOOKUP(E503,Store_Dim!A:A,Store_Dim!C:C,"Not Found")</f>
        <v>North</v>
      </c>
      <c r="J503" t="str">
        <f>_xlfn.XLOOKUP(C503,Customer_Dim!A:A,Customer_Dim!B:B,"Not Found")</f>
        <v>Joseph Jones</v>
      </c>
      <c r="K503">
        <f>Table511[[#This Row],[Total_Amount]]/(L503*(1-Table511[[#This Row],[Discount]]))</f>
        <v>4</v>
      </c>
      <c r="L503" s="5">
        <v>168.55</v>
      </c>
      <c r="M503">
        <v>0.15</v>
      </c>
      <c r="N503" t="s">
        <v>1351</v>
      </c>
      <c r="O503" s="5">
        <v>573.07000000000005</v>
      </c>
    </row>
    <row r="504" spans="1:15">
      <c r="A504" t="s">
        <v>1853</v>
      </c>
      <c r="B504" s="7">
        <v>45899</v>
      </c>
      <c r="C504" t="s">
        <v>1037</v>
      </c>
      <c r="D504" t="s">
        <v>1161</v>
      </c>
      <c r="E504" t="s">
        <v>1286</v>
      </c>
      <c r="F504" t="str">
        <f>[1]Raw_Customer_Dim!$A$2</f>
        <v>CUST1000</v>
      </c>
      <c r="G504" t="str">
        <f>_xlfn.XLOOKUP(E504,Store_Dim!A:A,Store_Dim!B:B,"Not Found")</f>
        <v>Black-Horn</v>
      </c>
      <c r="H504" t="str">
        <f>_xlfn.XLOOKUP(D504,Product_Dim!A:A,Product_Dim!C:C,"Not Found")</f>
        <v>Sports</v>
      </c>
      <c r="I504" t="str">
        <f>_xlfn.XLOOKUP(E504,Store_Dim!A:A,Store_Dim!C:C,"Not Found")</f>
        <v>South</v>
      </c>
      <c r="J504" t="str">
        <f>_xlfn.XLOOKUP(C504,Customer_Dim!A:A,Customer_Dim!B:B,"Not Found")</f>
        <v>Zachary Andrade</v>
      </c>
      <c r="K504">
        <f>Table511[[#This Row],[Total_Amount]]/(L504*(1-Table511[[#This Row],[Discount]]))</f>
        <v>1.0000000000000002</v>
      </c>
      <c r="L504" s="5">
        <v>230.53</v>
      </c>
      <c r="M504">
        <v>0.06</v>
      </c>
      <c r="N504" t="s">
        <v>1354</v>
      </c>
      <c r="O504" s="5">
        <v>216.69820000000001</v>
      </c>
    </row>
    <row r="505" spans="1:15">
      <c r="A505" t="s">
        <v>1854</v>
      </c>
      <c r="B505" s="7">
        <v>45889</v>
      </c>
      <c r="C505" t="s">
        <v>33</v>
      </c>
      <c r="D505" t="s">
        <v>1181</v>
      </c>
      <c r="E505" t="s">
        <v>1282</v>
      </c>
      <c r="F505" t="str">
        <f>[1]Raw_Customer_Dim!$A$2</f>
        <v>CUST1000</v>
      </c>
      <c r="G505" t="str">
        <f>_xlfn.XLOOKUP(E505,Store_Dim!A:A,Store_Dim!B:B,"Not Found")</f>
        <v>Martinez, Adkins and Johnson</v>
      </c>
      <c r="H505" t="str">
        <f>_xlfn.XLOOKUP(D505,Product_Dim!A:A,Product_Dim!C:C,"Not Found")</f>
        <v>Sports</v>
      </c>
      <c r="I505" t="str">
        <f>_xlfn.XLOOKUP(E505,Store_Dim!A:A,Store_Dim!C:C,"Not Found")</f>
        <v>North</v>
      </c>
      <c r="J505" t="str">
        <f>_xlfn.XLOOKUP(C505,Customer_Dim!A:A,Customer_Dim!B:B,"Not Found")</f>
        <v>Daniel Boyd</v>
      </c>
      <c r="K505">
        <f>Table511[[#This Row],[Total_Amount]]/(L505*(1-Table511[[#This Row],[Discount]]))</f>
        <v>2</v>
      </c>
      <c r="L505" s="5">
        <v>355.41</v>
      </c>
      <c r="M505">
        <v>0.13</v>
      </c>
      <c r="N505" t="s">
        <v>1354</v>
      </c>
      <c r="O505" s="5">
        <v>618.41340000000002</v>
      </c>
    </row>
    <row r="506" spans="1:15">
      <c r="A506" t="s">
        <v>1855</v>
      </c>
      <c r="B506" s="7">
        <v>45943</v>
      </c>
      <c r="C506" t="s">
        <v>395</v>
      </c>
      <c r="D506" t="s">
        <v>1167</v>
      </c>
      <c r="E506" t="s">
        <v>1286</v>
      </c>
      <c r="F506" t="str">
        <f>[1]Raw_Customer_Dim!$A$2</f>
        <v>CUST1000</v>
      </c>
      <c r="G506" t="str">
        <f>_xlfn.XLOOKUP(E506,Store_Dim!A:A,Store_Dim!B:B,"Not Found")</f>
        <v>Black-Horn</v>
      </c>
      <c r="H506" t="str">
        <f>_xlfn.XLOOKUP(D506,Product_Dim!A:A,Product_Dim!C:C,"Not Found")</f>
        <v>Beauty</v>
      </c>
      <c r="I506" t="str">
        <f>_xlfn.XLOOKUP(E506,Store_Dim!A:A,Store_Dim!C:C,"Not Found")</f>
        <v>South</v>
      </c>
      <c r="J506" t="str">
        <f>_xlfn.XLOOKUP(C506,Customer_Dim!A:A,Customer_Dim!B:B,"Not Found")</f>
        <v>Antonio Wade</v>
      </c>
      <c r="K506">
        <f>Table511[[#This Row],[Total_Amount]]/(L506*(1-Table511[[#This Row],[Discount]]))</f>
        <v>2.9999999999999996</v>
      </c>
      <c r="L506" s="5">
        <v>843.44</v>
      </c>
      <c r="M506">
        <v>0.22</v>
      </c>
      <c r="N506" t="s">
        <v>1349</v>
      </c>
      <c r="O506" s="5">
        <v>1973.6496</v>
      </c>
    </row>
    <row r="507" spans="1:15">
      <c r="A507" t="s">
        <v>1856</v>
      </c>
      <c r="B507" s="7">
        <v>45306</v>
      </c>
      <c r="C507" t="s">
        <v>387</v>
      </c>
      <c r="D507" t="s">
        <v>1263</v>
      </c>
      <c r="E507" t="s">
        <v>1282</v>
      </c>
      <c r="F507" t="str">
        <f>[1]Raw_Customer_Dim!$A$2</f>
        <v>CUST1000</v>
      </c>
      <c r="G507" t="str">
        <f>_xlfn.XLOOKUP(E507,Store_Dim!A:A,Store_Dim!B:B,"Not Found")</f>
        <v>Martinez, Adkins and Johnson</v>
      </c>
      <c r="H507" t="str">
        <f>_xlfn.XLOOKUP(D507,Product_Dim!A:A,Product_Dim!C:C,"Not Found")</f>
        <v>Sports</v>
      </c>
      <c r="I507" t="str">
        <f>_xlfn.XLOOKUP(E507,Store_Dim!A:A,Store_Dim!C:C,"Not Found")</f>
        <v>North</v>
      </c>
      <c r="J507" t="str">
        <f>_xlfn.XLOOKUP(C507,Customer_Dim!A:A,Customer_Dim!B:B,"Not Found")</f>
        <v>Joseph Jones</v>
      </c>
      <c r="K507">
        <f>Table511[[#This Row],[Total_Amount]]/(L507*(1-Table511[[#This Row],[Discount]]))</f>
        <v>1</v>
      </c>
      <c r="L507" s="5">
        <v>301.60000000000002</v>
      </c>
      <c r="M507">
        <v>0.27</v>
      </c>
      <c r="N507" t="s">
        <v>1349</v>
      </c>
      <c r="O507" s="5">
        <v>220.16800000000001</v>
      </c>
    </row>
    <row r="508" spans="1:15">
      <c r="A508" t="s">
        <v>1857</v>
      </c>
      <c r="B508" s="7">
        <v>45772</v>
      </c>
      <c r="C508" t="s">
        <v>123</v>
      </c>
      <c r="D508" t="s">
        <v>1251</v>
      </c>
      <c r="E508" t="s">
        <v>1286</v>
      </c>
      <c r="F508" t="str">
        <f>[1]Raw_Customer_Dim!$A$2</f>
        <v>CUST1000</v>
      </c>
      <c r="G508" t="str">
        <f>_xlfn.XLOOKUP(E508,Store_Dim!A:A,Store_Dim!B:B,"Not Found")</f>
        <v>Black-Horn</v>
      </c>
      <c r="H508" t="str">
        <f>_xlfn.XLOOKUP(D508,Product_Dim!A:A,Product_Dim!C:C,"Not Found")</f>
        <v>Beauty</v>
      </c>
      <c r="I508" t="str">
        <f>_xlfn.XLOOKUP(E508,Store_Dim!A:A,Store_Dim!C:C,"Not Found")</f>
        <v>South</v>
      </c>
      <c r="J508" t="str">
        <f>_xlfn.XLOOKUP(C508,Customer_Dim!A:A,Customer_Dim!B:B,"Not Found")</f>
        <v>William Martin</v>
      </c>
      <c r="K508">
        <f>Table511[[#This Row],[Total_Amount]]/(L508*(1-Table511[[#This Row],[Discount]]))</f>
        <v>3</v>
      </c>
      <c r="L508" s="5">
        <v>21.59</v>
      </c>
      <c r="M508">
        <v>0.16</v>
      </c>
      <c r="N508" t="s">
        <v>1354</v>
      </c>
      <c r="O508" s="5">
        <v>54.406799999999997</v>
      </c>
    </row>
    <row r="509" spans="1:15">
      <c r="A509" t="s">
        <v>1858</v>
      </c>
      <c r="B509" s="7">
        <v>45346</v>
      </c>
      <c r="C509" t="s">
        <v>486</v>
      </c>
      <c r="D509" t="s">
        <v>1099</v>
      </c>
      <c r="E509" t="s">
        <v>1286</v>
      </c>
      <c r="F509" t="str">
        <f>[1]Raw_Customer_Dim!$A$2</f>
        <v>CUST1000</v>
      </c>
      <c r="G509" t="str">
        <f>_xlfn.XLOOKUP(E509,Store_Dim!A:A,Store_Dim!B:B,"Not Found")</f>
        <v>Black-Horn</v>
      </c>
      <c r="H509" t="str">
        <f>_xlfn.XLOOKUP(D509,Product_Dim!A:A,Product_Dim!C:C,"Not Found")</f>
        <v>Electronics</v>
      </c>
      <c r="I509" t="str">
        <f>_xlfn.XLOOKUP(E509,Store_Dim!A:A,Store_Dim!C:C,"Not Found")</f>
        <v>South</v>
      </c>
      <c r="J509" t="str">
        <f>_xlfn.XLOOKUP(C509,Customer_Dim!A:A,Customer_Dim!B:B,"Not Found")</f>
        <v>Blake Harrison</v>
      </c>
      <c r="K509">
        <f>Table511[[#This Row],[Total_Amount]]/(L509*(1-Table511[[#This Row],[Discount]]))</f>
        <v>3.9999999999999991</v>
      </c>
      <c r="L509" s="5">
        <v>284.24</v>
      </c>
      <c r="M509">
        <v>0.09</v>
      </c>
      <c r="N509" t="s">
        <v>1349</v>
      </c>
      <c r="O509" s="5">
        <v>1034.6335999999999</v>
      </c>
    </row>
    <row r="510" spans="1:15">
      <c r="A510" t="s">
        <v>1859</v>
      </c>
      <c r="B510" s="7">
        <v>45656</v>
      </c>
      <c r="C510" t="s">
        <v>799</v>
      </c>
      <c r="D510" t="s">
        <v>1080</v>
      </c>
      <c r="E510" t="s">
        <v>1311</v>
      </c>
      <c r="F510" t="str">
        <f>[1]Raw_Customer_Dim!$A$2</f>
        <v>CUST1000</v>
      </c>
      <c r="G510" t="str">
        <f>_xlfn.XLOOKUP(E510,Store_Dim!A:A,Store_Dim!B:B,"Not Found")</f>
        <v>Moore, Padilla and Butler</v>
      </c>
      <c r="H510" t="str">
        <f>_xlfn.XLOOKUP(D510,Product_Dim!A:A,Product_Dim!C:C,"Not Found")</f>
        <v>Clothing</v>
      </c>
      <c r="I510" t="str">
        <f>_xlfn.XLOOKUP(E510,Store_Dim!A:A,Store_Dim!C:C,"Not Found")</f>
        <v>South</v>
      </c>
      <c r="J510" t="str">
        <f>_xlfn.XLOOKUP(C510,Customer_Dim!A:A,Customer_Dim!B:B,"Not Found")</f>
        <v>Miranda King</v>
      </c>
      <c r="K510">
        <f>Table511[[#This Row],[Total_Amount]]/(L510*(1-Table511[[#This Row],[Discount]]))</f>
        <v>1</v>
      </c>
      <c r="L510" s="5">
        <v>191.6</v>
      </c>
      <c r="M510">
        <v>0.27</v>
      </c>
      <c r="N510" t="s">
        <v>1351</v>
      </c>
      <c r="O510" s="5">
        <v>139.86799999999999</v>
      </c>
    </row>
    <row r="511" spans="1:15">
      <c r="A511" t="s">
        <v>1860</v>
      </c>
      <c r="B511" s="7">
        <v>45762</v>
      </c>
      <c r="C511" t="s">
        <v>686</v>
      </c>
      <c r="D511" t="s">
        <v>1229</v>
      </c>
      <c r="E511" t="s">
        <v>1319</v>
      </c>
      <c r="F511" t="str">
        <f>[1]Raw_Customer_Dim!$A$2</f>
        <v>CUST1000</v>
      </c>
      <c r="G511" t="str">
        <f>_xlfn.XLOOKUP(E511,Store_Dim!A:A,Store_Dim!B:B,"Not Found")</f>
        <v>Thomas, Bridges and Harris</v>
      </c>
      <c r="H511" t="str">
        <f>_xlfn.XLOOKUP(D511,Product_Dim!A:A,Product_Dim!C:C,"Not Found")</f>
        <v>Home</v>
      </c>
      <c r="I511" t="str">
        <f>_xlfn.XLOOKUP(E511,Store_Dim!A:A,Store_Dim!C:C,"Not Found")</f>
        <v>North</v>
      </c>
      <c r="J511" t="str">
        <f>_xlfn.XLOOKUP(C511,Customer_Dim!A:A,Customer_Dim!B:B,"Not Found")</f>
        <v>Kevin Larson</v>
      </c>
      <c r="K511">
        <f>Table511[[#This Row],[Total_Amount]]/(L511*(1-Table511[[#This Row],[Discount]]))</f>
        <v>2</v>
      </c>
      <c r="L511" s="5">
        <v>616.97</v>
      </c>
      <c r="M511">
        <v>0.22</v>
      </c>
      <c r="N511" t="s">
        <v>1349</v>
      </c>
      <c r="O511" s="5">
        <v>962.47320000000002</v>
      </c>
    </row>
    <row r="512" spans="1:15">
      <c r="A512" t="s">
        <v>1861</v>
      </c>
      <c r="B512" s="7">
        <v>45580</v>
      </c>
      <c r="C512" t="s">
        <v>397</v>
      </c>
      <c r="D512" t="s">
        <v>1129</v>
      </c>
      <c r="E512" t="s">
        <v>1314</v>
      </c>
      <c r="F512" t="str">
        <f>[1]Raw_Customer_Dim!$A$2</f>
        <v>CUST1000</v>
      </c>
      <c r="G512" t="str">
        <f>_xlfn.XLOOKUP(E512,Store_Dim!A:A,Store_Dim!B:B,"Not Found")</f>
        <v>Hill, Wagner and Ballard</v>
      </c>
      <c r="H512" t="str">
        <f>_xlfn.XLOOKUP(D512,Product_Dim!A:A,Product_Dim!C:C,"Not Found")</f>
        <v>Sports</v>
      </c>
      <c r="I512" t="str">
        <f>_xlfn.XLOOKUP(E512,Store_Dim!A:A,Store_Dim!C:C,"Not Found")</f>
        <v>East</v>
      </c>
      <c r="J512" t="str">
        <f>_xlfn.XLOOKUP(C512,Customer_Dim!A:A,Customer_Dim!B:B,"Not Found")</f>
        <v>Daniel Contreras</v>
      </c>
      <c r="K512">
        <f>Table511[[#This Row],[Total_Amount]]/(L512*(1-Table511[[#This Row],[Discount]]))</f>
        <v>2.9999999999999996</v>
      </c>
      <c r="L512" s="5">
        <v>125.68</v>
      </c>
      <c r="M512">
        <v>0.26</v>
      </c>
      <c r="N512" t="s">
        <v>1354</v>
      </c>
      <c r="O512" s="5">
        <v>279.00959999999998</v>
      </c>
    </row>
    <row r="513" spans="1:15">
      <c r="A513" t="s">
        <v>1862</v>
      </c>
      <c r="B513" s="7">
        <v>45676</v>
      </c>
      <c r="C513" t="s">
        <v>768</v>
      </c>
      <c r="D513" t="s">
        <v>1159</v>
      </c>
      <c r="E513" t="s">
        <v>1294</v>
      </c>
      <c r="F513" t="str">
        <f>[1]Raw_Customer_Dim!$A$2</f>
        <v>CUST1000</v>
      </c>
      <c r="G513" t="str">
        <f>_xlfn.XLOOKUP(E513,Store_Dim!A:A,Store_Dim!B:B,"Not Found")</f>
        <v>Alexander Group</v>
      </c>
      <c r="H513" t="str">
        <f>_xlfn.XLOOKUP(D513,Product_Dim!A:A,Product_Dim!C:C,"Not Found")</f>
        <v>Electronics</v>
      </c>
      <c r="I513" t="str">
        <f>_xlfn.XLOOKUP(E513,Store_Dim!A:A,Store_Dim!C:C,"Not Found")</f>
        <v>South</v>
      </c>
      <c r="J513" t="str">
        <f>_xlfn.XLOOKUP(C513,Customer_Dim!A:A,Customer_Dim!B:B,"Not Found")</f>
        <v>Michael Greene</v>
      </c>
      <c r="K513">
        <f>Table511[[#This Row],[Total_Amount]]/(L513*(1-Table511[[#This Row],[Discount]]))</f>
        <v>3</v>
      </c>
      <c r="L513" s="5">
        <v>307.48</v>
      </c>
      <c r="M513">
        <v>0.24</v>
      </c>
      <c r="N513" t="s">
        <v>1349</v>
      </c>
      <c r="O513" s="5">
        <v>701.0544000000001</v>
      </c>
    </row>
    <row r="514" spans="1:15">
      <c r="A514" t="s">
        <v>1863</v>
      </c>
      <c r="B514" s="7">
        <v>45495</v>
      </c>
      <c r="C514" t="s">
        <v>660</v>
      </c>
      <c r="D514" t="s">
        <v>1074</v>
      </c>
      <c r="E514" t="s">
        <v>1338</v>
      </c>
      <c r="F514" t="str">
        <f>[1]Raw_Customer_Dim!$A$2</f>
        <v>CUST1000</v>
      </c>
      <c r="G514" t="str">
        <f>_xlfn.XLOOKUP(E514,Store_Dim!A:A,Store_Dim!B:B,"Not Found")</f>
        <v>Mann-Austin</v>
      </c>
      <c r="H514" t="str">
        <f>_xlfn.XLOOKUP(D514,Product_Dim!A:A,Product_Dim!C:C,"Not Found")</f>
        <v>Clothing</v>
      </c>
      <c r="I514" t="str">
        <f>_xlfn.XLOOKUP(E514,Store_Dim!A:A,Store_Dim!C:C,"Not Found")</f>
        <v>East</v>
      </c>
      <c r="J514" t="str">
        <f>_xlfn.XLOOKUP(C514,Customer_Dim!A:A,Customer_Dim!B:B,"Not Found")</f>
        <v>Tracy Stephens</v>
      </c>
      <c r="K514">
        <f>Table511[[#This Row],[Total_Amount]]/(L514*(1-Table511[[#This Row],[Discount]]))</f>
        <v>0.99999999999999989</v>
      </c>
      <c r="L514" s="5">
        <v>505.23</v>
      </c>
      <c r="M514">
        <v>0.11</v>
      </c>
      <c r="N514" t="s">
        <v>1349</v>
      </c>
      <c r="O514" s="5">
        <v>449.65469999999999</v>
      </c>
    </row>
    <row r="515" spans="1:15">
      <c r="A515" t="s">
        <v>1864</v>
      </c>
      <c r="B515" s="7">
        <v>45735</v>
      </c>
      <c r="C515" t="s">
        <v>793</v>
      </c>
      <c r="D515" t="s">
        <v>1163</v>
      </c>
      <c r="E515" t="s">
        <v>1329</v>
      </c>
      <c r="F515" t="str">
        <f>[1]Raw_Customer_Dim!$A$2</f>
        <v>CUST1000</v>
      </c>
      <c r="G515" t="str">
        <f>_xlfn.XLOOKUP(E515,Store_Dim!A:A,Store_Dim!B:B,"Not Found")</f>
        <v>Frederick-Wright</v>
      </c>
      <c r="H515" t="str">
        <f>_xlfn.XLOOKUP(D515,Product_Dim!A:A,Product_Dim!C:C,"Not Found")</f>
        <v>Sports</v>
      </c>
      <c r="I515" t="str">
        <f>_xlfn.XLOOKUP(E515,Store_Dim!A:A,Store_Dim!C:C,"Not Found")</f>
        <v>West</v>
      </c>
      <c r="J515" t="str">
        <f>_xlfn.XLOOKUP(C515,Customer_Dim!A:A,Customer_Dim!B:B,"Not Found")</f>
        <v>Brandon Mcbride</v>
      </c>
      <c r="K515">
        <f>Table511[[#This Row],[Total_Amount]]/(L515*(1-Table511[[#This Row],[Discount]]))</f>
        <v>1</v>
      </c>
      <c r="L515" s="5">
        <v>853.12</v>
      </c>
      <c r="M515">
        <v>0.19</v>
      </c>
      <c r="N515" t="s">
        <v>1354</v>
      </c>
      <c r="O515" s="5">
        <v>691.02719999999999</v>
      </c>
    </row>
    <row r="516" spans="1:15">
      <c r="A516" t="s">
        <v>1865</v>
      </c>
      <c r="B516" s="7">
        <v>45312</v>
      </c>
      <c r="C516" t="s">
        <v>319</v>
      </c>
      <c r="D516" t="s">
        <v>1068</v>
      </c>
      <c r="E516" t="s">
        <v>1304</v>
      </c>
      <c r="F516" t="str">
        <f>[1]Raw_Customer_Dim!$A$2</f>
        <v>CUST1000</v>
      </c>
      <c r="G516" t="str">
        <f>_xlfn.XLOOKUP(E516,Store_Dim!A:A,Store_Dim!B:B,"Not Found")</f>
        <v>Martinez-Mullins</v>
      </c>
      <c r="H516" t="str">
        <f>_xlfn.XLOOKUP(D516,Product_Dim!A:A,Product_Dim!C:C,"Not Found")</f>
        <v>Electronics</v>
      </c>
      <c r="I516" t="str">
        <f>_xlfn.XLOOKUP(E516,Store_Dim!A:A,Store_Dim!C:C,"Not Found")</f>
        <v>South</v>
      </c>
      <c r="J516" t="str">
        <f>_xlfn.XLOOKUP(C516,Customer_Dim!A:A,Customer_Dim!B:B,"Not Found")</f>
        <v>Jessica Mitchell</v>
      </c>
      <c r="K516">
        <f>Table511[[#This Row],[Total_Amount]]/(L516*(1-Table511[[#This Row],[Discount]]))</f>
        <v>4</v>
      </c>
      <c r="L516" s="5">
        <v>191.65</v>
      </c>
      <c r="M516">
        <v>0.19</v>
      </c>
      <c r="N516" t="s">
        <v>1351</v>
      </c>
      <c r="O516" s="5">
        <v>620.94600000000003</v>
      </c>
    </row>
    <row r="517" spans="1:15">
      <c r="A517" t="s">
        <v>1866</v>
      </c>
      <c r="B517" s="7">
        <v>45286</v>
      </c>
      <c r="C517" t="s">
        <v>381</v>
      </c>
      <c r="D517" t="s">
        <v>1167</v>
      </c>
      <c r="E517" t="s">
        <v>1291</v>
      </c>
      <c r="F517" t="str">
        <f>[1]Raw_Customer_Dim!$A$2</f>
        <v>CUST1000</v>
      </c>
      <c r="G517" t="str">
        <f>_xlfn.XLOOKUP(E517,Store_Dim!A:A,Store_Dim!B:B,"Not Found")</f>
        <v>Johnson-Wright</v>
      </c>
      <c r="H517" t="str">
        <f>_xlfn.XLOOKUP(D517,Product_Dim!A:A,Product_Dim!C:C,"Not Found")</f>
        <v>Beauty</v>
      </c>
      <c r="I517" t="str">
        <f>_xlfn.XLOOKUP(E517,Store_Dim!A:A,Store_Dim!C:C,"Not Found")</f>
        <v>North</v>
      </c>
      <c r="J517" t="str">
        <f>_xlfn.XLOOKUP(C517,Customer_Dim!A:A,Customer_Dim!B:B,"Not Found")</f>
        <v>John Lawson</v>
      </c>
      <c r="K517">
        <f>Table511[[#This Row],[Total_Amount]]/(L517*(1-Table511[[#This Row],[Discount]]))</f>
        <v>1</v>
      </c>
      <c r="L517" s="5">
        <v>169.69</v>
      </c>
      <c r="M517">
        <v>0.22</v>
      </c>
      <c r="N517" t="s">
        <v>1349</v>
      </c>
      <c r="O517" s="5">
        <v>132.35820000000001</v>
      </c>
    </row>
    <row r="518" spans="1:15">
      <c r="A518" t="s">
        <v>1867</v>
      </c>
      <c r="B518" s="7">
        <v>45372</v>
      </c>
      <c r="C518" t="s">
        <v>411</v>
      </c>
      <c r="D518" t="s">
        <v>1197</v>
      </c>
      <c r="E518" t="s">
        <v>1324</v>
      </c>
      <c r="F518" t="str">
        <f>[1]Raw_Customer_Dim!$A$2</f>
        <v>CUST1000</v>
      </c>
      <c r="G518" t="str">
        <f>_xlfn.XLOOKUP(E518,Store_Dim!A:A,Store_Dim!B:B,"Not Found")</f>
        <v>Mcdonald Inc</v>
      </c>
      <c r="H518" t="str">
        <f>_xlfn.XLOOKUP(D518,Product_Dim!A:A,Product_Dim!C:C,"Not Found")</f>
        <v>Electronics</v>
      </c>
      <c r="I518" t="str">
        <f>_xlfn.XLOOKUP(E518,Store_Dim!A:A,Store_Dim!C:C,"Not Found")</f>
        <v>South</v>
      </c>
      <c r="J518" t="str">
        <f>_xlfn.XLOOKUP(C518,Customer_Dim!A:A,Customer_Dim!B:B,"Not Found")</f>
        <v>Michelle Rogers</v>
      </c>
      <c r="K518">
        <f>Table511[[#This Row],[Total_Amount]]/(L518*(1-Table511[[#This Row],[Discount]]))</f>
        <v>1</v>
      </c>
      <c r="L518" s="5">
        <v>145.43</v>
      </c>
      <c r="M518">
        <v>0.08</v>
      </c>
      <c r="N518" t="s">
        <v>1349</v>
      </c>
      <c r="O518" s="5">
        <v>133.79560000000001</v>
      </c>
    </row>
    <row r="519" spans="1:15">
      <c r="A519" t="s">
        <v>1868</v>
      </c>
      <c r="B519" s="7">
        <v>45633</v>
      </c>
      <c r="C519" t="s">
        <v>222</v>
      </c>
      <c r="D519" t="s">
        <v>1259</v>
      </c>
      <c r="E519" t="s">
        <v>1319</v>
      </c>
      <c r="F519" t="str">
        <f>[1]Raw_Customer_Dim!$A$2</f>
        <v>CUST1000</v>
      </c>
      <c r="G519" t="str">
        <f>_xlfn.XLOOKUP(E519,Store_Dim!A:A,Store_Dim!B:B,"Not Found")</f>
        <v>Thomas, Bridges and Harris</v>
      </c>
      <c r="H519" t="str">
        <f>_xlfn.XLOOKUP(D519,Product_Dim!A:A,Product_Dim!C:C,"Not Found")</f>
        <v>Electronics</v>
      </c>
      <c r="I519" t="str">
        <f>_xlfn.XLOOKUP(E519,Store_Dim!A:A,Store_Dim!C:C,"Not Found")</f>
        <v>North</v>
      </c>
      <c r="J519" t="str">
        <f>_xlfn.XLOOKUP(C519,Customer_Dim!A:A,Customer_Dim!B:B,"Not Found")</f>
        <v>Christy Hoffman</v>
      </c>
      <c r="K519">
        <f>Table511[[#This Row],[Total_Amount]]/(L519*(1-Table511[[#This Row],[Discount]]))</f>
        <v>4</v>
      </c>
      <c r="L519" s="5">
        <v>828.35</v>
      </c>
      <c r="M519">
        <v>0.17</v>
      </c>
      <c r="N519" t="s">
        <v>1349</v>
      </c>
      <c r="O519" s="5">
        <v>2750.1219999999998</v>
      </c>
    </row>
    <row r="520" spans="1:15">
      <c r="A520" t="s">
        <v>1869</v>
      </c>
      <c r="B520" s="7">
        <v>45598</v>
      </c>
      <c r="C520" t="s">
        <v>787</v>
      </c>
      <c r="D520" t="s">
        <v>1263</v>
      </c>
      <c r="E520" t="s">
        <v>1304</v>
      </c>
      <c r="F520" t="str">
        <f>[1]Raw_Customer_Dim!$A$2</f>
        <v>CUST1000</v>
      </c>
      <c r="G520" t="str">
        <f>_xlfn.XLOOKUP(E520,Store_Dim!A:A,Store_Dim!B:B,"Not Found")</f>
        <v>Martinez-Mullins</v>
      </c>
      <c r="H520" t="str">
        <f>_xlfn.XLOOKUP(D520,Product_Dim!A:A,Product_Dim!C:C,"Not Found")</f>
        <v>Sports</v>
      </c>
      <c r="I520" t="str">
        <f>_xlfn.XLOOKUP(E520,Store_Dim!A:A,Store_Dim!C:C,"Not Found")</f>
        <v>South</v>
      </c>
      <c r="J520" t="str">
        <f>_xlfn.XLOOKUP(C520,Customer_Dim!A:A,Customer_Dim!B:B,"Not Found")</f>
        <v>Joshua Smith DVM</v>
      </c>
      <c r="K520">
        <f>Table511[[#This Row],[Total_Amount]]/(L520*(1-Table511[[#This Row],[Discount]]))</f>
        <v>2.9999999999999996</v>
      </c>
      <c r="L520" s="5">
        <v>268.76</v>
      </c>
      <c r="M520">
        <v>0.01</v>
      </c>
      <c r="N520" t="s">
        <v>1351</v>
      </c>
      <c r="O520" s="5">
        <v>798.21719999999993</v>
      </c>
    </row>
    <row r="521" spans="1:15">
      <c r="A521" t="s">
        <v>1870</v>
      </c>
      <c r="B521" s="7">
        <v>45495</v>
      </c>
      <c r="C521" t="s">
        <v>529</v>
      </c>
      <c r="D521" t="s">
        <v>1249</v>
      </c>
      <c r="E521" t="s">
        <v>1277</v>
      </c>
      <c r="F521" t="str">
        <f>[1]Raw_Customer_Dim!$A$2</f>
        <v>CUST1000</v>
      </c>
      <c r="G521" t="str">
        <f>_xlfn.XLOOKUP(E521,Store_Dim!A:A,Store_Dim!B:B,"Not Found")</f>
        <v>Rivera-Warner</v>
      </c>
      <c r="H521" t="str">
        <f>_xlfn.XLOOKUP(D521,Product_Dim!A:A,Product_Dim!C:C,"Not Found")</f>
        <v>Sports</v>
      </c>
      <c r="I521" t="str">
        <f>_xlfn.XLOOKUP(E521,Store_Dim!A:A,Store_Dim!C:C,"Not Found")</f>
        <v>East</v>
      </c>
      <c r="J521" t="str">
        <f>_xlfn.XLOOKUP(C521,Customer_Dim!A:A,Customer_Dim!B:B,"Not Found")</f>
        <v>Michelle Gonzalez</v>
      </c>
      <c r="K521">
        <f>Table511[[#This Row],[Total_Amount]]/(L521*(1-Table511[[#This Row],[Discount]]))</f>
        <v>4.0000000000000009</v>
      </c>
      <c r="L521" s="5">
        <v>370.09</v>
      </c>
      <c r="M521">
        <v>0.22</v>
      </c>
      <c r="N521" t="s">
        <v>1354</v>
      </c>
      <c r="O521" s="5">
        <v>1154.6808000000001</v>
      </c>
    </row>
    <row r="522" spans="1:15">
      <c r="A522" t="s">
        <v>1871</v>
      </c>
      <c r="B522" s="7">
        <v>45229</v>
      </c>
      <c r="C522" t="s">
        <v>569</v>
      </c>
      <c r="D522" t="s">
        <v>1229</v>
      </c>
      <c r="E522" t="s">
        <v>1301</v>
      </c>
      <c r="F522" t="str">
        <f>[1]Raw_Customer_Dim!$A$2</f>
        <v>CUST1000</v>
      </c>
      <c r="G522" t="str">
        <f>_xlfn.XLOOKUP(E522,Store_Dim!A:A,Store_Dim!B:B,"Not Found")</f>
        <v>Benson-Elliott</v>
      </c>
      <c r="H522" t="str">
        <f>_xlfn.XLOOKUP(D522,Product_Dim!A:A,Product_Dim!C:C,"Not Found")</f>
        <v>Home</v>
      </c>
      <c r="I522" t="str">
        <f>_xlfn.XLOOKUP(E522,Store_Dim!A:A,Store_Dim!C:C,"Not Found")</f>
        <v>East</v>
      </c>
      <c r="J522" t="str">
        <f>_xlfn.XLOOKUP(C522,Customer_Dim!A:A,Customer_Dim!B:B,"Not Found")</f>
        <v>Dr. Ashley Yates MD</v>
      </c>
      <c r="K522">
        <f>Table511[[#This Row],[Total_Amount]]/(L522*(1-Table511[[#This Row],[Discount]]))</f>
        <v>3</v>
      </c>
      <c r="L522" s="5">
        <v>679.22</v>
      </c>
      <c r="M522">
        <v>0.11</v>
      </c>
      <c r="N522" t="s">
        <v>1351</v>
      </c>
      <c r="O522" s="5">
        <v>1813.5174</v>
      </c>
    </row>
    <row r="523" spans="1:15">
      <c r="A523" t="s">
        <v>1872</v>
      </c>
      <c r="B523" s="7">
        <v>45433</v>
      </c>
      <c r="C523" t="s">
        <v>809</v>
      </c>
      <c r="D523" t="s">
        <v>1219</v>
      </c>
      <c r="E523" t="s">
        <v>1277</v>
      </c>
      <c r="F523" t="str">
        <f>[1]Raw_Customer_Dim!$A$2</f>
        <v>CUST1000</v>
      </c>
      <c r="G523" t="str">
        <f>_xlfn.XLOOKUP(E523,Store_Dim!A:A,Store_Dim!B:B,"Not Found")</f>
        <v>Rivera-Warner</v>
      </c>
      <c r="H523" t="str">
        <f>_xlfn.XLOOKUP(D523,Product_Dim!A:A,Product_Dim!C:C,"Not Found")</f>
        <v>Sports</v>
      </c>
      <c r="I523" t="str">
        <f>_xlfn.XLOOKUP(E523,Store_Dim!A:A,Store_Dim!C:C,"Not Found")</f>
        <v>East</v>
      </c>
      <c r="J523" t="str">
        <f>_xlfn.XLOOKUP(C523,Customer_Dim!A:A,Customer_Dim!B:B,"Not Found")</f>
        <v>James Orozco</v>
      </c>
      <c r="K523">
        <f>Table511[[#This Row],[Total_Amount]]/(L523*(1-Table511[[#This Row],[Discount]]))</f>
        <v>2.9999999999999996</v>
      </c>
      <c r="L523" s="5">
        <v>780.69</v>
      </c>
      <c r="M523">
        <v>0.1</v>
      </c>
      <c r="N523" t="s">
        <v>1354</v>
      </c>
      <c r="O523" s="5">
        <v>2107.8629999999998</v>
      </c>
    </row>
    <row r="524" spans="1:15">
      <c r="A524" t="s">
        <v>1873</v>
      </c>
      <c r="B524" s="7">
        <v>45766</v>
      </c>
      <c r="C524" t="s">
        <v>585</v>
      </c>
      <c r="D524" t="s">
        <v>1157</v>
      </c>
      <c r="E524" t="s">
        <v>1286</v>
      </c>
      <c r="F524" t="str">
        <f>[1]Raw_Customer_Dim!$A$2</f>
        <v>CUST1000</v>
      </c>
      <c r="G524" t="str">
        <f>_xlfn.XLOOKUP(E524,Store_Dim!A:A,Store_Dim!B:B,"Not Found")</f>
        <v>Black-Horn</v>
      </c>
      <c r="H524" t="str">
        <f>_xlfn.XLOOKUP(D524,Product_Dim!A:A,Product_Dim!C:C,"Not Found")</f>
        <v>Electronics</v>
      </c>
      <c r="I524" t="str">
        <f>_xlfn.XLOOKUP(E524,Store_Dim!A:A,Store_Dim!C:C,"Not Found")</f>
        <v>South</v>
      </c>
      <c r="J524" t="str">
        <f>_xlfn.XLOOKUP(C524,Customer_Dim!A:A,Customer_Dim!B:B,"Not Found")</f>
        <v>Carol Bishop</v>
      </c>
      <c r="K524">
        <f>Table511[[#This Row],[Total_Amount]]/(L524*(1-Table511[[#This Row],[Discount]]))</f>
        <v>2</v>
      </c>
      <c r="L524" s="5">
        <v>42.97</v>
      </c>
      <c r="M524">
        <v>0.18</v>
      </c>
      <c r="N524" t="s">
        <v>1351</v>
      </c>
      <c r="O524" s="5">
        <v>70.470799999999997</v>
      </c>
    </row>
    <row r="525" spans="1:15">
      <c r="A525" t="s">
        <v>1874</v>
      </c>
      <c r="B525" s="7">
        <v>45639</v>
      </c>
      <c r="C525" t="s">
        <v>636</v>
      </c>
      <c r="D525" t="s">
        <v>1237</v>
      </c>
      <c r="E525" t="s">
        <v>1277</v>
      </c>
      <c r="F525" t="str">
        <f>[1]Raw_Customer_Dim!$A$2</f>
        <v>CUST1000</v>
      </c>
      <c r="G525" t="str">
        <f>_xlfn.XLOOKUP(E525,Store_Dim!A:A,Store_Dim!B:B,"Not Found")</f>
        <v>Rivera-Warner</v>
      </c>
      <c r="H525" t="str">
        <f>_xlfn.XLOOKUP(D525,Product_Dim!A:A,Product_Dim!C:C,"Not Found")</f>
        <v>Sports</v>
      </c>
      <c r="I525" t="str">
        <f>_xlfn.XLOOKUP(E525,Store_Dim!A:A,Store_Dim!C:C,"Not Found")</f>
        <v>East</v>
      </c>
      <c r="J525" t="str">
        <f>_xlfn.XLOOKUP(C525,Customer_Dim!A:A,Customer_Dim!B:B,"Not Found")</f>
        <v>Tommy Roberts</v>
      </c>
      <c r="K525">
        <f>Table511[[#This Row],[Total_Amount]]/(L525*(1-Table511[[#This Row],[Discount]]))</f>
        <v>4.0000000000000009</v>
      </c>
      <c r="L525" s="5">
        <v>854.37</v>
      </c>
      <c r="M525">
        <v>7.0000000000000007E-2</v>
      </c>
      <c r="N525" t="s">
        <v>1351</v>
      </c>
      <c r="O525" s="5">
        <v>3178.2564000000002</v>
      </c>
    </row>
    <row r="526" spans="1:15">
      <c r="A526" t="s">
        <v>1875</v>
      </c>
      <c r="B526" s="7">
        <v>45774</v>
      </c>
      <c r="C526" t="s">
        <v>258</v>
      </c>
      <c r="D526" t="s">
        <v>1121</v>
      </c>
      <c r="E526" t="s">
        <v>1329</v>
      </c>
      <c r="F526" t="str">
        <f>[1]Raw_Customer_Dim!$A$2</f>
        <v>CUST1000</v>
      </c>
      <c r="G526" t="str">
        <f>_xlfn.XLOOKUP(E526,Store_Dim!A:A,Store_Dim!B:B,"Not Found")</f>
        <v>Frederick-Wright</v>
      </c>
      <c r="H526" t="str">
        <f>_xlfn.XLOOKUP(D526,Product_Dim!A:A,Product_Dim!C:C,"Not Found")</f>
        <v>Sports</v>
      </c>
      <c r="I526" t="str">
        <f>_xlfn.XLOOKUP(E526,Store_Dim!A:A,Store_Dim!C:C,"Not Found")</f>
        <v>West</v>
      </c>
      <c r="J526" t="str">
        <f>_xlfn.XLOOKUP(C526,Customer_Dim!A:A,Customer_Dim!B:B,"Not Found")</f>
        <v>Diane Watson</v>
      </c>
      <c r="K526">
        <f>Table511[[#This Row],[Total_Amount]]/(L526*(1-Table511[[#This Row],[Discount]]))</f>
        <v>2</v>
      </c>
      <c r="L526" s="5">
        <v>409.52</v>
      </c>
      <c r="M526">
        <v>0.06</v>
      </c>
      <c r="N526" t="s">
        <v>1354</v>
      </c>
      <c r="O526" s="5">
        <v>769.8975999999999</v>
      </c>
    </row>
    <row r="527" spans="1:15">
      <c r="A527" t="s">
        <v>1876</v>
      </c>
      <c r="B527" s="7">
        <v>45569</v>
      </c>
      <c r="C527" t="s">
        <v>389</v>
      </c>
      <c r="D527" t="s">
        <v>1221</v>
      </c>
      <c r="E527" t="s">
        <v>1314</v>
      </c>
      <c r="F527" t="str">
        <f>[1]Raw_Customer_Dim!$A$2</f>
        <v>CUST1000</v>
      </c>
      <c r="G527" t="str">
        <f>_xlfn.XLOOKUP(E527,Store_Dim!A:A,Store_Dim!B:B,"Not Found")</f>
        <v>Hill, Wagner and Ballard</v>
      </c>
      <c r="H527" t="str">
        <f>_xlfn.XLOOKUP(D527,Product_Dim!A:A,Product_Dim!C:C,"Not Found")</f>
        <v>Electronics</v>
      </c>
      <c r="I527" t="str">
        <f>_xlfn.XLOOKUP(E527,Store_Dim!A:A,Store_Dim!C:C,"Not Found")</f>
        <v>East</v>
      </c>
      <c r="J527" t="str">
        <f>_xlfn.XLOOKUP(C527,Customer_Dim!A:A,Customer_Dim!B:B,"Not Found")</f>
        <v>Daniel Rivas</v>
      </c>
      <c r="K527">
        <f>Table511[[#This Row],[Total_Amount]]/(L527*(1-Table511[[#This Row],[Discount]]))</f>
        <v>2</v>
      </c>
      <c r="L527" s="5">
        <v>407.46</v>
      </c>
      <c r="M527">
        <v>0.21</v>
      </c>
      <c r="N527" t="s">
        <v>1349</v>
      </c>
      <c r="O527" s="5">
        <v>643.78679999999997</v>
      </c>
    </row>
    <row r="528" spans="1:15">
      <c r="A528" t="s">
        <v>1877</v>
      </c>
      <c r="B528" s="7">
        <v>45856</v>
      </c>
      <c r="C528" t="s">
        <v>519</v>
      </c>
      <c r="D528" t="s">
        <v>1078</v>
      </c>
      <c r="E528" t="s">
        <v>1307</v>
      </c>
      <c r="F528" t="str">
        <f>[1]Raw_Customer_Dim!$A$2</f>
        <v>CUST1000</v>
      </c>
      <c r="G528" t="str">
        <f>_xlfn.XLOOKUP(E528,Store_Dim!A:A,Store_Dim!B:B,"Not Found")</f>
        <v>Bean, Jones and Park</v>
      </c>
      <c r="H528" t="str">
        <f>_xlfn.XLOOKUP(D528,Product_Dim!A:A,Product_Dim!C:C,"Not Found")</f>
        <v>Clothing</v>
      </c>
      <c r="I528" t="str">
        <f>_xlfn.XLOOKUP(E528,Store_Dim!A:A,Store_Dim!C:C,"Not Found")</f>
        <v>West</v>
      </c>
      <c r="J528" t="str">
        <f>_xlfn.XLOOKUP(C528,Customer_Dim!A:A,Customer_Dim!B:B,"Not Found")</f>
        <v>Casey Flores</v>
      </c>
      <c r="K528">
        <f>Table511[[#This Row],[Total_Amount]]/(L528*(1-Table511[[#This Row],[Discount]]))</f>
        <v>1</v>
      </c>
      <c r="L528" s="5">
        <v>728.84</v>
      </c>
      <c r="M528">
        <v>0.28000000000000003</v>
      </c>
      <c r="N528" t="s">
        <v>1351</v>
      </c>
      <c r="O528" s="5">
        <v>524.76480000000004</v>
      </c>
    </row>
    <row r="529" spans="1:15">
      <c r="A529" t="s">
        <v>1878</v>
      </c>
      <c r="B529" s="7">
        <v>45362</v>
      </c>
      <c r="C529" t="s">
        <v>969</v>
      </c>
      <c r="D529" t="s">
        <v>1229</v>
      </c>
      <c r="E529" t="s">
        <v>1301</v>
      </c>
      <c r="F529" t="str">
        <f>[1]Raw_Customer_Dim!$A$2</f>
        <v>CUST1000</v>
      </c>
      <c r="G529" t="str">
        <f>_xlfn.XLOOKUP(E529,Store_Dim!A:A,Store_Dim!B:B,"Not Found")</f>
        <v>Benson-Elliott</v>
      </c>
      <c r="H529" t="str">
        <f>_xlfn.XLOOKUP(D529,Product_Dim!A:A,Product_Dim!C:C,"Not Found")</f>
        <v>Home</v>
      </c>
      <c r="I529" t="str">
        <f>_xlfn.XLOOKUP(E529,Store_Dim!A:A,Store_Dim!C:C,"Not Found")</f>
        <v>East</v>
      </c>
      <c r="J529" t="str">
        <f>_xlfn.XLOOKUP(C529,Customer_Dim!A:A,Customer_Dim!B:B,"Not Found")</f>
        <v>April Phillips</v>
      </c>
      <c r="K529">
        <f>Table511[[#This Row],[Total_Amount]]/(L529*(1-Table511[[#This Row],[Discount]]))</f>
        <v>3.9999999999999996</v>
      </c>
      <c r="L529" s="5">
        <v>467.24</v>
      </c>
      <c r="M529">
        <v>0.08</v>
      </c>
      <c r="N529" t="s">
        <v>1351</v>
      </c>
      <c r="O529" s="5">
        <v>1719.4431999999999</v>
      </c>
    </row>
    <row r="530" spans="1:15">
      <c r="A530" t="s">
        <v>1879</v>
      </c>
      <c r="B530" s="7">
        <v>45457</v>
      </c>
      <c r="C530" t="s">
        <v>242</v>
      </c>
      <c r="D530" t="s">
        <v>1093</v>
      </c>
      <c r="E530" t="s">
        <v>1317</v>
      </c>
      <c r="F530" t="str">
        <f>[1]Raw_Customer_Dim!$A$2</f>
        <v>CUST1000</v>
      </c>
      <c r="G530" t="str">
        <f>_xlfn.XLOOKUP(E530,Store_Dim!A:A,Store_Dim!B:B,"Not Found")</f>
        <v>Aguirre-Keller</v>
      </c>
      <c r="H530" t="str">
        <f>_xlfn.XLOOKUP(D530,Product_Dim!A:A,Product_Dim!C:C,"Not Found")</f>
        <v>Home</v>
      </c>
      <c r="I530" t="str">
        <f>_xlfn.XLOOKUP(E530,Store_Dim!A:A,Store_Dim!C:C,"Not Found")</f>
        <v>South</v>
      </c>
      <c r="J530" t="str">
        <f>_xlfn.XLOOKUP(C530,Customer_Dim!A:A,Customer_Dim!B:B,"Not Found")</f>
        <v>Robert Jackson</v>
      </c>
      <c r="K530">
        <f>Table511[[#This Row],[Total_Amount]]/(L530*(1-Table511[[#This Row],[Discount]]))</f>
        <v>0.99999999999999989</v>
      </c>
      <c r="L530" s="5">
        <v>57.94</v>
      </c>
      <c r="M530">
        <v>0.13</v>
      </c>
      <c r="N530" t="s">
        <v>1351</v>
      </c>
      <c r="O530" s="5">
        <v>50.407799999999988</v>
      </c>
    </row>
    <row r="531" spans="1:15">
      <c r="A531" t="s">
        <v>1880</v>
      </c>
      <c r="B531" s="7">
        <v>45338</v>
      </c>
      <c r="C531" t="s">
        <v>752</v>
      </c>
      <c r="D531" t="s">
        <v>1171</v>
      </c>
      <c r="E531" t="s">
        <v>1332</v>
      </c>
      <c r="F531" t="str">
        <f>[1]Raw_Customer_Dim!$A$2</f>
        <v>CUST1000</v>
      </c>
      <c r="G531" t="str">
        <f>_xlfn.XLOOKUP(E531,Store_Dim!A:A,Store_Dim!B:B,"Not Found")</f>
        <v>Holloway Ltd</v>
      </c>
      <c r="H531" t="str">
        <f>_xlfn.XLOOKUP(D531,Product_Dim!A:A,Product_Dim!C:C,"Not Found")</f>
        <v>Beauty</v>
      </c>
      <c r="I531" t="str">
        <f>_xlfn.XLOOKUP(E531,Store_Dim!A:A,Store_Dim!C:C,"Not Found")</f>
        <v>North</v>
      </c>
      <c r="J531" t="str">
        <f>_xlfn.XLOOKUP(C531,Customer_Dim!A:A,Customer_Dim!B:B,"Not Found")</f>
        <v>Evelyn Brown</v>
      </c>
      <c r="K531">
        <f>Table511[[#This Row],[Total_Amount]]/(L531*(1-Table511[[#This Row],[Discount]]))</f>
        <v>1</v>
      </c>
      <c r="L531" s="5">
        <v>540.1</v>
      </c>
      <c r="M531">
        <v>0.22</v>
      </c>
      <c r="N531" t="s">
        <v>1349</v>
      </c>
      <c r="O531" s="5">
        <v>421.27800000000002</v>
      </c>
    </row>
    <row r="532" spans="1:15">
      <c r="A532" t="s">
        <v>1881</v>
      </c>
      <c r="B532" s="7">
        <v>45552</v>
      </c>
      <c r="C532" t="s">
        <v>206</v>
      </c>
      <c r="D532" t="s">
        <v>1087</v>
      </c>
      <c r="E532" t="s">
        <v>1338</v>
      </c>
      <c r="F532" t="str">
        <f>[1]Raw_Customer_Dim!$A$2</f>
        <v>CUST1000</v>
      </c>
      <c r="G532" t="str">
        <f>_xlfn.XLOOKUP(E532,Store_Dim!A:A,Store_Dim!B:B,"Not Found")</f>
        <v>Mann-Austin</v>
      </c>
      <c r="H532" t="str">
        <f>_xlfn.XLOOKUP(D532,Product_Dim!A:A,Product_Dim!C:C,"Not Found")</f>
        <v>Electronics</v>
      </c>
      <c r="I532" t="str">
        <f>_xlfn.XLOOKUP(E532,Store_Dim!A:A,Store_Dim!C:C,"Not Found")</f>
        <v>East</v>
      </c>
      <c r="J532" t="str">
        <f>_xlfn.XLOOKUP(C532,Customer_Dim!A:A,Customer_Dim!B:B,"Not Found")</f>
        <v>Katherine Young</v>
      </c>
      <c r="K532">
        <f>Table511[[#This Row],[Total_Amount]]/(L532*(1-Table511[[#This Row],[Discount]]))</f>
        <v>4</v>
      </c>
      <c r="L532" s="5">
        <v>816.28</v>
      </c>
      <c r="M532">
        <v>0.15</v>
      </c>
      <c r="N532" t="s">
        <v>1354</v>
      </c>
      <c r="O532" s="5">
        <v>2775.3519999999999</v>
      </c>
    </row>
    <row r="533" spans="1:15">
      <c r="A533" t="s">
        <v>1882</v>
      </c>
      <c r="B533" s="7">
        <v>45895</v>
      </c>
      <c r="C533" t="s">
        <v>418</v>
      </c>
      <c r="D533" t="s">
        <v>1157</v>
      </c>
      <c r="E533" t="s">
        <v>1307</v>
      </c>
      <c r="F533" t="str">
        <f>[1]Raw_Customer_Dim!$A$2</f>
        <v>CUST1000</v>
      </c>
      <c r="G533" t="str">
        <f>_xlfn.XLOOKUP(E533,Store_Dim!A:A,Store_Dim!B:B,"Not Found")</f>
        <v>Bean, Jones and Park</v>
      </c>
      <c r="H533" t="str">
        <f>_xlfn.XLOOKUP(D533,Product_Dim!A:A,Product_Dim!C:C,"Not Found")</f>
        <v>Electronics</v>
      </c>
      <c r="I533" t="str">
        <f>_xlfn.XLOOKUP(E533,Store_Dim!A:A,Store_Dim!C:C,"Not Found")</f>
        <v>West</v>
      </c>
      <c r="J533" t="str">
        <f>_xlfn.XLOOKUP(C533,Customer_Dim!A:A,Customer_Dim!B:B,"Not Found")</f>
        <v>Michelle Myers</v>
      </c>
      <c r="K533">
        <f>Table511[[#This Row],[Total_Amount]]/(L533*(1-Table511[[#This Row],[Discount]]))</f>
        <v>4</v>
      </c>
      <c r="L533" s="5">
        <v>727.49</v>
      </c>
      <c r="M533">
        <v>0.11</v>
      </c>
      <c r="N533" t="s">
        <v>1349</v>
      </c>
      <c r="O533" s="5">
        <v>2589.8643999999999</v>
      </c>
    </row>
    <row r="534" spans="1:15">
      <c r="A534" t="s">
        <v>1883</v>
      </c>
      <c r="B534" s="7">
        <v>45447</v>
      </c>
      <c r="C534" t="s">
        <v>403</v>
      </c>
      <c r="D534" t="s">
        <v>1245</v>
      </c>
      <c r="E534" t="s">
        <v>1322</v>
      </c>
      <c r="F534" t="str">
        <f>[1]Raw_Customer_Dim!$A$2</f>
        <v>CUST1000</v>
      </c>
      <c r="G534" t="str">
        <f>_xlfn.XLOOKUP(E534,Store_Dim!A:A,Store_Dim!B:B,"Not Found")</f>
        <v>Gardner, Humphrey and Contreras</v>
      </c>
      <c r="H534" t="str">
        <f>_xlfn.XLOOKUP(D534,Product_Dim!A:A,Product_Dim!C:C,"Not Found")</f>
        <v>Home</v>
      </c>
      <c r="I534" t="str">
        <f>_xlfn.XLOOKUP(E534,Store_Dim!A:A,Store_Dim!C:C,"Not Found")</f>
        <v>East</v>
      </c>
      <c r="J534" t="str">
        <f>_xlfn.XLOOKUP(C534,Customer_Dim!A:A,Customer_Dim!B:B,"Not Found")</f>
        <v>Amy Wilson</v>
      </c>
      <c r="K534">
        <f>Table511[[#This Row],[Total_Amount]]/(L534*(1-Table511[[#This Row],[Discount]]))</f>
        <v>4</v>
      </c>
      <c r="L534" s="5">
        <v>817.92</v>
      </c>
      <c r="M534">
        <v>0.21</v>
      </c>
      <c r="N534" t="s">
        <v>1349</v>
      </c>
      <c r="O534" s="5">
        <v>2584.6271999999999</v>
      </c>
    </row>
    <row r="535" spans="1:15">
      <c r="A535" t="s">
        <v>1884</v>
      </c>
      <c r="B535" s="7">
        <v>45578</v>
      </c>
      <c r="C535" t="s">
        <v>714</v>
      </c>
      <c r="D535" t="s">
        <v>1149</v>
      </c>
      <c r="E535" t="s">
        <v>1304</v>
      </c>
      <c r="F535" t="str">
        <f>[1]Raw_Customer_Dim!$A$2</f>
        <v>CUST1000</v>
      </c>
      <c r="G535" t="str">
        <f>_xlfn.XLOOKUP(E535,Store_Dim!A:A,Store_Dim!B:B,"Not Found")</f>
        <v>Martinez-Mullins</v>
      </c>
      <c r="H535" t="str">
        <f>_xlfn.XLOOKUP(D535,Product_Dim!A:A,Product_Dim!C:C,"Not Found")</f>
        <v>Sports</v>
      </c>
      <c r="I535" t="str">
        <f>_xlfn.XLOOKUP(E535,Store_Dim!A:A,Store_Dim!C:C,"Not Found")</f>
        <v>South</v>
      </c>
      <c r="J535" t="str">
        <f>_xlfn.XLOOKUP(C535,Customer_Dim!A:A,Customer_Dim!B:B,"Not Found")</f>
        <v>Andrew Smith</v>
      </c>
      <c r="K535">
        <f>Table511[[#This Row],[Total_Amount]]/(L535*(1-Table511[[#This Row],[Discount]]))</f>
        <v>2</v>
      </c>
      <c r="L535" s="5">
        <v>358.45</v>
      </c>
      <c r="M535">
        <v>7.0000000000000007E-2</v>
      </c>
      <c r="N535" t="s">
        <v>1354</v>
      </c>
      <c r="O535" s="5">
        <v>666.71699999999998</v>
      </c>
    </row>
    <row r="536" spans="1:15">
      <c r="A536" t="s">
        <v>1885</v>
      </c>
      <c r="B536" s="7">
        <v>45697</v>
      </c>
      <c r="C536" t="s">
        <v>464</v>
      </c>
      <c r="D536" t="s">
        <v>1247</v>
      </c>
      <c r="E536" t="s">
        <v>1311</v>
      </c>
      <c r="F536" t="str">
        <f>[1]Raw_Customer_Dim!$A$2</f>
        <v>CUST1000</v>
      </c>
      <c r="G536" t="str">
        <f>_xlfn.XLOOKUP(E536,Store_Dim!A:A,Store_Dim!B:B,"Not Found")</f>
        <v>Moore, Padilla and Butler</v>
      </c>
      <c r="H536" t="str">
        <f>_xlfn.XLOOKUP(D536,Product_Dim!A:A,Product_Dim!C:C,"Not Found")</f>
        <v>Home</v>
      </c>
      <c r="I536" t="str">
        <f>_xlfn.XLOOKUP(E536,Store_Dim!A:A,Store_Dim!C:C,"Not Found")</f>
        <v>South</v>
      </c>
      <c r="J536" t="str">
        <f>_xlfn.XLOOKUP(C536,Customer_Dim!A:A,Customer_Dim!B:B,"Not Found")</f>
        <v>Mary Boyd</v>
      </c>
      <c r="K536">
        <f>Table511[[#This Row],[Total_Amount]]/(L536*(1-Table511[[#This Row],[Discount]]))</f>
        <v>1</v>
      </c>
      <c r="L536" s="5">
        <v>972.06</v>
      </c>
      <c r="M536">
        <v>0.3</v>
      </c>
      <c r="N536" t="s">
        <v>1354</v>
      </c>
      <c r="O536" s="5">
        <v>680.44199999999989</v>
      </c>
    </row>
    <row r="537" spans="1:15">
      <c r="A537" t="s">
        <v>1886</v>
      </c>
      <c r="B537" s="7">
        <v>45281</v>
      </c>
      <c r="C537" t="s">
        <v>99</v>
      </c>
      <c r="D537" t="s">
        <v>1105</v>
      </c>
      <c r="E537" t="s">
        <v>1277</v>
      </c>
      <c r="F537" t="str">
        <f>[1]Raw_Customer_Dim!$A$2</f>
        <v>CUST1000</v>
      </c>
      <c r="G537" t="str">
        <f>_xlfn.XLOOKUP(E537,Store_Dim!A:A,Store_Dim!B:B,"Not Found")</f>
        <v>Rivera-Warner</v>
      </c>
      <c r="H537" t="str">
        <f>_xlfn.XLOOKUP(D537,Product_Dim!A:A,Product_Dim!C:C,"Not Found")</f>
        <v>Not Found</v>
      </c>
      <c r="I537" t="str">
        <f>_xlfn.XLOOKUP(E537,Store_Dim!A:A,Store_Dim!C:C,"Not Found")</f>
        <v>East</v>
      </c>
      <c r="J537" t="str">
        <f>_xlfn.XLOOKUP(C537,Customer_Dim!A:A,Customer_Dim!B:B,"Not Found")</f>
        <v>Mike Jennings</v>
      </c>
      <c r="K537">
        <f>Table511[[#This Row],[Total_Amount]]/(L537*(1-Table511[[#This Row],[Discount]]))</f>
        <v>1</v>
      </c>
      <c r="L537" s="5">
        <v>791.36</v>
      </c>
      <c r="M537">
        <v>0.06</v>
      </c>
      <c r="N537" t="s">
        <v>1351</v>
      </c>
      <c r="O537" s="5">
        <v>743.87839999999994</v>
      </c>
    </row>
    <row r="538" spans="1:15">
      <c r="A538" t="s">
        <v>1887</v>
      </c>
      <c r="B538" s="7">
        <v>45855</v>
      </c>
      <c r="C538" t="s">
        <v>692</v>
      </c>
      <c r="D538" t="s">
        <v>1201</v>
      </c>
      <c r="E538" t="s">
        <v>1298</v>
      </c>
      <c r="F538" t="str">
        <f>[1]Raw_Customer_Dim!$A$2</f>
        <v>CUST1000</v>
      </c>
      <c r="G538" t="str">
        <f>_xlfn.XLOOKUP(E538,Store_Dim!A:A,Store_Dim!B:B,"Not Found")</f>
        <v>Gray Ltd</v>
      </c>
      <c r="H538" t="str">
        <f>_xlfn.XLOOKUP(D538,Product_Dim!A:A,Product_Dim!C:C,"Not Found")</f>
        <v>Beauty</v>
      </c>
      <c r="I538" t="str">
        <f>_xlfn.XLOOKUP(E538,Store_Dim!A:A,Store_Dim!C:C,"Not Found")</f>
        <v>North</v>
      </c>
      <c r="J538" t="str">
        <f>_xlfn.XLOOKUP(C538,Customer_Dim!A:A,Customer_Dim!B:B,"Not Found")</f>
        <v>Elizabeth Johnson</v>
      </c>
      <c r="K538">
        <f>Table511[[#This Row],[Total_Amount]]/(L538*(1-Table511[[#This Row],[Discount]]))</f>
        <v>4</v>
      </c>
      <c r="L538" s="5">
        <v>839.65</v>
      </c>
      <c r="M538">
        <v>0.26</v>
      </c>
      <c r="N538" t="s">
        <v>1354</v>
      </c>
      <c r="O538" s="5">
        <v>2485.364</v>
      </c>
    </row>
    <row r="539" spans="1:15">
      <c r="A539" t="s">
        <v>1888</v>
      </c>
      <c r="B539" s="7">
        <v>45793</v>
      </c>
      <c r="C539" t="s">
        <v>573</v>
      </c>
      <c r="D539" t="s">
        <v>1217</v>
      </c>
      <c r="E539" t="s">
        <v>1286</v>
      </c>
      <c r="F539" t="str">
        <f>[1]Raw_Customer_Dim!$A$2</f>
        <v>CUST1000</v>
      </c>
      <c r="G539" t="str">
        <f>_xlfn.XLOOKUP(E539,Store_Dim!A:A,Store_Dim!B:B,"Not Found")</f>
        <v>Black-Horn</v>
      </c>
      <c r="H539" t="str">
        <f>_xlfn.XLOOKUP(D539,Product_Dim!A:A,Product_Dim!C:C,"Not Found")</f>
        <v>Sports</v>
      </c>
      <c r="I539" t="str">
        <f>_xlfn.XLOOKUP(E539,Store_Dim!A:A,Store_Dim!C:C,"Not Found")</f>
        <v>South</v>
      </c>
      <c r="J539" t="str">
        <f>_xlfn.XLOOKUP(C539,Customer_Dim!A:A,Customer_Dim!B:B,"Not Found")</f>
        <v>Damon Perez</v>
      </c>
      <c r="K539">
        <f>Table511[[#This Row],[Total_Amount]]/(L539*(1-Table511[[#This Row],[Discount]]))</f>
        <v>2</v>
      </c>
      <c r="L539" s="5">
        <v>245.52</v>
      </c>
      <c r="M539">
        <v>0.11</v>
      </c>
      <c r="N539" t="s">
        <v>1354</v>
      </c>
      <c r="O539" s="5">
        <v>437.0256</v>
      </c>
    </row>
    <row r="540" spans="1:15">
      <c r="A540" t="s">
        <v>1889</v>
      </c>
      <c r="B540" s="7">
        <v>45881</v>
      </c>
      <c r="C540" t="s">
        <v>839</v>
      </c>
      <c r="D540" t="s">
        <v>1237</v>
      </c>
      <c r="E540" t="s">
        <v>1307</v>
      </c>
      <c r="F540" t="str">
        <f>[1]Raw_Customer_Dim!$A$2</f>
        <v>CUST1000</v>
      </c>
      <c r="G540" t="str">
        <f>_xlfn.XLOOKUP(E540,Store_Dim!A:A,Store_Dim!B:B,"Not Found")</f>
        <v>Bean, Jones and Park</v>
      </c>
      <c r="H540" t="str">
        <f>_xlfn.XLOOKUP(D540,Product_Dim!A:A,Product_Dim!C:C,"Not Found")</f>
        <v>Sports</v>
      </c>
      <c r="I540" t="str">
        <f>_xlfn.XLOOKUP(E540,Store_Dim!A:A,Store_Dim!C:C,"Not Found")</f>
        <v>West</v>
      </c>
      <c r="J540" t="str">
        <f>_xlfn.XLOOKUP(C540,Customer_Dim!A:A,Customer_Dim!B:B,"Not Found")</f>
        <v>Timothy Valenzuela</v>
      </c>
      <c r="K540">
        <f>Table511[[#This Row],[Total_Amount]]/(L540*(1-Table511[[#This Row],[Discount]]))</f>
        <v>3.0000000000000004</v>
      </c>
      <c r="L540" s="5">
        <v>787.91</v>
      </c>
      <c r="M540">
        <v>0.06</v>
      </c>
      <c r="N540" t="s">
        <v>1351</v>
      </c>
      <c r="O540" s="5">
        <v>2221.9061999999999</v>
      </c>
    </row>
    <row r="541" spans="1:15">
      <c r="A541" t="s">
        <v>1890</v>
      </c>
      <c r="B541" s="7">
        <v>45890</v>
      </c>
      <c r="C541" t="s">
        <v>150</v>
      </c>
      <c r="D541" t="s">
        <v>1223</v>
      </c>
      <c r="E541" t="s">
        <v>1294</v>
      </c>
      <c r="F541" t="str">
        <f>[1]Raw_Customer_Dim!$A$2</f>
        <v>CUST1000</v>
      </c>
      <c r="G541" t="str">
        <f>_xlfn.XLOOKUP(E541,Store_Dim!A:A,Store_Dim!B:B,"Not Found")</f>
        <v>Alexander Group</v>
      </c>
      <c r="H541" t="str">
        <f>_xlfn.XLOOKUP(D541,Product_Dim!A:A,Product_Dim!C:C,"Not Found")</f>
        <v>Clothing</v>
      </c>
      <c r="I541" t="str">
        <f>_xlfn.XLOOKUP(E541,Store_Dim!A:A,Store_Dim!C:C,"Not Found")</f>
        <v>South</v>
      </c>
      <c r="J541" t="str">
        <f>_xlfn.XLOOKUP(C541,Customer_Dim!A:A,Customer_Dim!B:B,"Not Found")</f>
        <v>Sharon Brown</v>
      </c>
      <c r="K541">
        <f>Table511[[#This Row],[Total_Amount]]/(L541*(1-Table511[[#This Row],[Discount]]))</f>
        <v>2</v>
      </c>
      <c r="L541" s="5">
        <v>709.17</v>
      </c>
      <c r="M541">
        <v>0.22</v>
      </c>
      <c r="N541" t="s">
        <v>1349</v>
      </c>
      <c r="O541" s="5">
        <v>1106.3052</v>
      </c>
    </row>
    <row r="542" spans="1:15">
      <c r="A542" t="s">
        <v>1891</v>
      </c>
      <c r="B542" s="7">
        <v>45251</v>
      </c>
      <c r="C542" t="s">
        <v>533</v>
      </c>
      <c r="D542" t="s">
        <v>1255</v>
      </c>
      <c r="E542" t="s">
        <v>1304</v>
      </c>
      <c r="F542" t="str">
        <f>[1]Raw_Customer_Dim!$A$2</f>
        <v>CUST1000</v>
      </c>
      <c r="G542" t="str">
        <f>_xlfn.XLOOKUP(E542,Store_Dim!A:A,Store_Dim!B:B,"Not Found")</f>
        <v>Martinez-Mullins</v>
      </c>
      <c r="H542" t="str">
        <f>_xlfn.XLOOKUP(D542,Product_Dim!A:A,Product_Dim!C:C,"Not Found")</f>
        <v>Clothing</v>
      </c>
      <c r="I542" t="str">
        <f>_xlfn.XLOOKUP(E542,Store_Dim!A:A,Store_Dim!C:C,"Not Found")</f>
        <v>South</v>
      </c>
      <c r="J542" t="str">
        <f>_xlfn.XLOOKUP(C542,Customer_Dim!A:A,Customer_Dim!B:B,"Not Found")</f>
        <v>Jon Ortiz</v>
      </c>
      <c r="K542">
        <f>Table511[[#This Row],[Total_Amount]]/(L542*(1-Table511[[#This Row],[Discount]]))</f>
        <v>2</v>
      </c>
      <c r="L542" s="5">
        <v>533.91999999999996</v>
      </c>
      <c r="M542">
        <v>0.13</v>
      </c>
      <c r="N542" t="s">
        <v>1349</v>
      </c>
      <c r="O542" s="5">
        <v>929.02079999999989</v>
      </c>
    </row>
    <row r="543" spans="1:15">
      <c r="A543" t="s">
        <v>1892</v>
      </c>
      <c r="B543" s="7">
        <v>45695</v>
      </c>
      <c r="C543" t="s">
        <v>1045</v>
      </c>
      <c r="D543" t="s">
        <v>1157</v>
      </c>
      <c r="E543" t="s">
        <v>1277</v>
      </c>
      <c r="F543" t="str">
        <f>[1]Raw_Customer_Dim!$A$2</f>
        <v>CUST1000</v>
      </c>
      <c r="G543" t="str">
        <f>_xlfn.XLOOKUP(E543,Store_Dim!A:A,Store_Dim!B:B,"Not Found")</f>
        <v>Rivera-Warner</v>
      </c>
      <c r="H543" t="str">
        <f>_xlfn.XLOOKUP(D543,Product_Dim!A:A,Product_Dim!C:C,"Not Found")</f>
        <v>Electronics</v>
      </c>
      <c r="I543" t="str">
        <f>_xlfn.XLOOKUP(E543,Store_Dim!A:A,Store_Dim!C:C,"Not Found")</f>
        <v>East</v>
      </c>
      <c r="J543" t="str">
        <f>_xlfn.XLOOKUP(C543,Customer_Dim!A:A,Customer_Dim!B:B,"Not Found")</f>
        <v>Darrell Miller</v>
      </c>
      <c r="K543">
        <f>Table511[[#This Row],[Total_Amount]]/(L543*(1-Table511[[#This Row],[Discount]]))</f>
        <v>1</v>
      </c>
      <c r="L543" s="5">
        <v>878.84</v>
      </c>
      <c r="M543">
        <v>0.28000000000000003</v>
      </c>
      <c r="N543" t="s">
        <v>1354</v>
      </c>
      <c r="O543" s="5">
        <v>632.76480000000004</v>
      </c>
    </row>
    <row r="544" spans="1:15">
      <c r="A544" t="s">
        <v>1893</v>
      </c>
      <c r="B544" s="7">
        <v>45287</v>
      </c>
      <c r="C544" t="s">
        <v>470</v>
      </c>
      <c r="D544" t="s">
        <v>1161</v>
      </c>
      <c r="E544" t="s">
        <v>1329</v>
      </c>
      <c r="F544" t="str">
        <f>[1]Raw_Customer_Dim!$A$2</f>
        <v>CUST1000</v>
      </c>
      <c r="G544" t="str">
        <f>_xlfn.XLOOKUP(E544,Store_Dim!A:A,Store_Dim!B:B,"Not Found")</f>
        <v>Frederick-Wright</v>
      </c>
      <c r="H544" t="str">
        <f>_xlfn.XLOOKUP(D544,Product_Dim!A:A,Product_Dim!C:C,"Not Found")</f>
        <v>Sports</v>
      </c>
      <c r="I544" t="str">
        <f>_xlfn.XLOOKUP(E544,Store_Dim!A:A,Store_Dim!C:C,"Not Found")</f>
        <v>West</v>
      </c>
      <c r="J544" t="str">
        <f>_xlfn.XLOOKUP(C544,Customer_Dim!A:A,Customer_Dim!B:B,"Not Found")</f>
        <v>Tiffany Herrera</v>
      </c>
      <c r="K544">
        <f>Table511[[#This Row],[Total_Amount]]/(L544*(1-Table511[[#This Row],[Discount]]))</f>
        <v>1</v>
      </c>
      <c r="L544" s="5">
        <v>442.36</v>
      </c>
      <c r="M544">
        <v>0.14000000000000001</v>
      </c>
      <c r="N544" t="s">
        <v>1349</v>
      </c>
      <c r="O544" s="5">
        <v>380.42959999999999</v>
      </c>
    </row>
    <row r="545" spans="1:15">
      <c r="A545" t="s">
        <v>1894</v>
      </c>
      <c r="B545" s="7">
        <v>45711</v>
      </c>
      <c r="C545" t="s">
        <v>730</v>
      </c>
      <c r="D545" t="s">
        <v>1143</v>
      </c>
      <c r="E545" t="s">
        <v>1301</v>
      </c>
      <c r="F545" t="str">
        <f>[1]Raw_Customer_Dim!$A$2</f>
        <v>CUST1000</v>
      </c>
      <c r="G545" t="str">
        <f>_xlfn.XLOOKUP(E545,Store_Dim!A:A,Store_Dim!B:B,"Not Found")</f>
        <v>Benson-Elliott</v>
      </c>
      <c r="H545" t="str">
        <f>_xlfn.XLOOKUP(D545,Product_Dim!A:A,Product_Dim!C:C,"Not Found")</f>
        <v>Home</v>
      </c>
      <c r="I545" t="str">
        <f>_xlfn.XLOOKUP(E545,Store_Dim!A:A,Store_Dim!C:C,"Not Found")</f>
        <v>East</v>
      </c>
      <c r="J545" t="str">
        <f>_xlfn.XLOOKUP(C545,Customer_Dim!A:A,Customer_Dim!B:B,"Not Found")</f>
        <v>Teresa Johnson</v>
      </c>
      <c r="K545">
        <f>Table511[[#This Row],[Total_Amount]]/(L545*(1-Table511[[#This Row],[Discount]]))</f>
        <v>1</v>
      </c>
      <c r="L545" s="5">
        <v>763.34</v>
      </c>
      <c r="M545">
        <v>0.11</v>
      </c>
      <c r="N545" t="s">
        <v>1354</v>
      </c>
      <c r="O545" s="5">
        <v>679.37260000000003</v>
      </c>
    </row>
    <row r="546" spans="1:15">
      <c r="A546" t="s">
        <v>1895</v>
      </c>
      <c r="B546" s="7">
        <v>45842</v>
      </c>
      <c r="C546" t="s">
        <v>393</v>
      </c>
      <c r="D546" t="s">
        <v>1191</v>
      </c>
      <c r="E546" t="s">
        <v>1335</v>
      </c>
      <c r="F546" t="str">
        <f>[1]Raw_Customer_Dim!$A$2</f>
        <v>CUST1000</v>
      </c>
      <c r="G546" t="str">
        <f>_xlfn.XLOOKUP(E546,Store_Dim!A:A,Store_Dim!B:B,"Not Found")</f>
        <v>Guerrero-Schmitt</v>
      </c>
      <c r="H546" t="str">
        <f>_xlfn.XLOOKUP(D546,Product_Dim!A:A,Product_Dim!C:C,"Not Found")</f>
        <v>Beauty</v>
      </c>
      <c r="I546" t="str">
        <f>_xlfn.XLOOKUP(E546,Store_Dim!A:A,Store_Dim!C:C,"Not Found")</f>
        <v>East</v>
      </c>
      <c r="J546" t="str">
        <f>_xlfn.XLOOKUP(C546,Customer_Dim!A:A,Customer_Dim!B:B,"Not Found")</f>
        <v>Patricia Gardner</v>
      </c>
      <c r="K546">
        <f>Table511[[#This Row],[Total_Amount]]/(L546*(1-Table511[[#This Row],[Discount]]))</f>
        <v>3</v>
      </c>
      <c r="L546" s="5">
        <v>178.22</v>
      </c>
      <c r="M546">
        <v>0.15</v>
      </c>
      <c r="N546" t="s">
        <v>1354</v>
      </c>
      <c r="O546" s="5">
        <v>454.46100000000001</v>
      </c>
    </row>
    <row r="547" spans="1:15">
      <c r="A547" t="s">
        <v>1896</v>
      </c>
      <c r="B547" s="7">
        <v>45255</v>
      </c>
      <c r="C547" t="s">
        <v>265</v>
      </c>
      <c r="D547" t="s">
        <v>1125</v>
      </c>
      <c r="E547" t="s">
        <v>1282</v>
      </c>
      <c r="F547" t="str">
        <f>[1]Raw_Customer_Dim!$A$2</f>
        <v>CUST1000</v>
      </c>
      <c r="G547" t="str">
        <f>_xlfn.XLOOKUP(E547,Store_Dim!A:A,Store_Dim!B:B,"Not Found")</f>
        <v>Martinez, Adkins and Johnson</v>
      </c>
      <c r="H547" t="str">
        <f>_xlfn.XLOOKUP(D547,Product_Dim!A:A,Product_Dim!C:C,"Not Found")</f>
        <v>Electronics</v>
      </c>
      <c r="I547" t="str">
        <f>_xlfn.XLOOKUP(E547,Store_Dim!A:A,Store_Dim!C:C,"Not Found")</f>
        <v>North</v>
      </c>
      <c r="J547" t="str">
        <f>_xlfn.XLOOKUP(C547,Customer_Dim!A:A,Customer_Dim!B:B,"Not Found")</f>
        <v>Steven Stein</v>
      </c>
      <c r="K547">
        <f>Table511[[#This Row],[Total_Amount]]/(L547*(1-Table511[[#This Row],[Discount]]))</f>
        <v>4</v>
      </c>
      <c r="L547" s="5">
        <v>90.32</v>
      </c>
      <c r="M547">
        <v>0.08</v>
      </c>
      <c r="N547" t="s">
        <v>1351</v>
      </c>
      <c r="O547" s="5">
        <v>332.37759999999997</v>
      </c>
    </row>
    <row r="548" spans="1:15">
      <c r="A548" t="s">
        <v>1897</v>
      </c>
      <c r="B548" s="7">
        <v>45695</v>
      </c>
      <c r="C548" t="s">
        <v>819</v>
      </c>
      <c r="D548" t="s">
        <v>1093</v>
      </c>
      <c r="E548" t="s">
        <v>1301</v>
      </c>
      <c r="F548" t="str">
        <f>[1]Raw_Customer_Dim!$A$2</f>
        <v>CUST1000</v>
      </c>
      <c r="G548" t="str">
        <f>_xlfn.XLOOKUP(E548,Store_Dim!A:A,Store_Dim!B:B,"Not Found")</f>
        <v>Benson-Elliott</v>
      </c>
      <c r="H548" t="str">
        <f>_xlfn.XLOOKUP(D548,Product_Dim!A:A,Product_Dim!C:C,"Not Found")</f>
        <v>Home</v>
      </c>
      <c r="I548" t="str">
        <f>_xlfn.XLOOKUP(E548,Store_Dim!A:A,Store_Dim!C:C,"Not Found")</f>
        <v>East</v>
      </c>
      <c r="J548" t="str">
        <f>_xlfn.XLOOKUP(C548,Customer_Dim!A:A,Customer_Dim!B:B,"Not Found")</f>
        <v>Frank Stewart</v>
      </c>
      <c r="K548">
        <f>Table511[[#This Row],[Total_Amount]]/(L548*(1-Table511[[#This Row],[Discount]]))</f>
        <v>3</v>
      </c>
      <c r="L548" s="5">
        <v>370.93</v>
      </c>
      <c r="M548">
        <v>0</v>
      </c>
      <c r="N548" t="s">
        <v>1349</v>
      </c>
      <c r="O548" s="5">
        <v>1112.79</v>
      </c>
    </row>
    <row r="549" spans="1:15">
      <c r="A549" t="s">
        <v>1898</v>
      </c>
      <c r="B549" s="7">
        <v>45281</v>
      </c>
      <c r="C549" t="s">
        <v>133</v>
      </c>
      <c r="D549" t="s">
        <v>1119</v>
      </c>
      <c r="E549" t="s">
        <v>1326</v>
      </c>
      <c r="F549" t="str">
        <f>[1]Raw_Customer_Dim!$A$2</f>
        <v>CUST1000</v>
      </c>
      <c r="G549" t="str">
        <f>_xlfn.XLOOKUP(E549,Store_Dim!A:A,Store_Dim!B:B,"Not Found")</f>
        <v>Shelton PLC</v>
      </c>
      <c r="H549" t="str">
        <f>_xlfn.XLOOKUP(D549,Product_Dim!A:A,Product_Dim!C:C,"Not Found")</f>
        <v>Clothing</v>
      </c>
      <c r="I549" t="str">
        <f>_xlfn.XLOOKUP(E549,Store_Dim!A:A,Store_Dim!C:C,"Not Found")</f>
        <v>North</v>
      </c>
      <c r="J549" t="str">
        <f>_xlfn.XLOOKUP(C549,Customer_Dim!A:A,Customer_Dim!B:B,"Not Found")</f>
        <v>Michelle Garcia DDS</v>
      </c>
      <c r="K549">
        <f>Table511[[#This Row],[Total_Amount]]/(L549*(1-Table511[[#This Row],[Discount]]))</f>
        <v>1</v>
      </c>
      <c r="L549" s="5">
        <v>352.43</v>
      </c>
      <c r="M549">
        <v>0.14000000000000001</v>
      </c>
      <c r="N549" t="s">
        <v>1351</v>
      </c>
      <c r="O549" s="5">
        <v>303.08980000000003</v>
      </c>
    </row>
    <row r="550" spans="1:15">
      <c r="A550" t="s">
        <v>1899</v>
      </c>
      <c r="B550" s="7">
        <v>45295</v>
      </c>
      <c r="C550" t="s">
        <v>306</v>
      </c>
      <c r="D550" t="s">
        <v>1097</v>
      </c>
      <c r="E550" t="s">
        <v>1326</v>
      </c>
      <c r="F550" t="str">
        <f>[1]Raw_Customer_Dim!$A$2</f>
        <v>CUST1000</v>
      </c>
      <c r="G550" t="str">
        <f>_xlfn.XLOOKUP(E550,Store_Dim!A:A,Store_Dim!B:B,"Not Found")</f>
        <v>Shelton PLC</v>
      </c>
      <c r="H550" t="str">
        <f>_xlfn.XLOOKUP(D550,Product_Dim!A:A,Product_Dim!C:C,"Not Found")</f>
        <v>Beauty</v>
      </c>
      <c r="I550" t="str">
        <f>_xlfn.XLOOKUP(E550,Store_Dim!A:A,Store_Dim!C:C,"Not Found")</f>
        <v>North</v>
      </c>
      <c r="J550" t="str">
        <f>_xlfn.XLOOKUP(C550,Customer_Dim!A:A,Customer_Dim!B:B,"Not Found")</f>
        <v>Erin Hopkins</v>
      </c>
      <c r="K550">
        <f>Table511[[#This Row],[Total_Amount]]/(L550*(1-Table511[[#This Row],[Discount]]))</f>
        <v>2</v>
      </c>
      <c r="L550" s="5">
        <v>562.97</v>
      </c>
      <c r="M550">
        <v>0.2</v>
      </c>
      <c r="N550" t="s">
        <v>1349</v>
      </c>
      <c r="O550" s="5">
        <v>900.75200000000007</v>
      </c>
    </row>
    <row r="551" spans="1:15">
      <c r="A551" t="s">
        <v>1900</v>
      </c>
      <c r="B551" s="7">
        <v>45260</v>
      </c>
      <c r="C551" t="s">
        <v>375</v>
      </c>
      <c r="D551" t="s">
        <v>1183</v>
      </c>
      <c r="E551" t="s">
        <v>1304</v>
      </c>
      <c r="F551" t="str">
        <f>[1]Raw_Customer_Dim!$A$2</f>
        <v>CUST1000</v>
      </c>
      <c r="G551" t="str">
        <f>_xlfn.XLOOKUP(E551,Store_Dim!A:A,Store_Dim!B:B,"Not Found")</f>
        <v>Martinez-Mullins</v>
      </c>
      <c r="H551" t="str">
        <f>_xlfn.XLOOKUP(D551,Product_Dim!A:A,Product_Dim!C:C,"Not Found")</f>
        <v>Home</v>
      </c>
      <c r="I551" t="str">
        <f>_xlfn.XLOOKUP(E551,Store_Dim!A:A,Store_Dim!C:C,"Not Found")</f>
        <v>South</v>
      </c>
      <c r="J551" t="str">
        <f>_xlfn.XLOOKUP(C551,Customer_Dim!A:A,Customer_Dim!B:B,"Not Found")</f>
        <v>Paul Zamora</v>
      </c>
      <c r="K551">
        <f>Table511[[#This Row],[Total_Amount]]/(L551*(1-Table511[[#This Row],[Discount]]))</f>
        <v>1</v>
      </c>
      <c r="L551" s="5">
        <v>522.85</v>
      </c>
      <c r="M551">
        <v>0.12</v>
      </c>
      <c r="N551" t="s">
        <v>1351</v>
      </c>
      <c r="O551" s="5">
        <v>460.108</v>
      </c>
    </row>
    <row r="552" spans="1:15">
      <c r="A552" t="s">
        <v>1901</v>
      </c>
      <c r="B552" s="7">
        <v>45851</v>
      </c>
      <c r="C552" t="s">
        <v>762</v>
      </c>
      <c r="D552" t="s">
        <v>1115</v>
      </c>
      <c r="E552" t="s">
        <v>1329</v>
      </c>
      <c r="F552" t="str">
        <f>[1]Raw_Customer_Dim!$A$2</f>
        <v>CUST1000</v>
      </c>
      <c r="G552" t="str">
        <f>_xlfn.XLOOKUP(E552,Store_Dim!A:A,Store_Dim!B:B,"Not Found")</f>
        <v>Frederick-Wright</v>
      </c>
      <c r="H552" t="str">
        <f>_xlfn.XLOOKUP(D552,Product_Dim!A:A,Product_Dim!C:C,"Not Found")</f>
        <v>Home</v>
      </c>
      <c r="I552" t="str">
        <f>_xlfn.XLOOKUP(E552,Store_Dim!A:A,Store_Dim!C:C,"Not Found")</f>
        <v>West</v>
      </c>
      <c r="J552" t="str">
        <f>_xlfn.XLOOKUP(C552,Customer_Dim!A:A,Customer_Dim!B:B,"Not Found")</f>
        <v>Heather Valenzuela</v>
      </c>
      <c r="K552">
        <f>Table511[[#This Row],[Total_Amount]]/(L552*(1-Table511[[#This Row],[Discount]]))</f>
        <v>4.0000000000000009</v>
      </c>
      <c r="L552" s="5">
        <v>714.89</v>
      </c>
      <c r="M552">
        <v>0.15</v>
      </c>
      <c r="N552" t="s">
        <v>1349</v>
      </c>
      <c r="O552" s="5">
        <v>2430.6260000000002</v>
      </c>
    </row>
    <row r="553" spans="1:15">
      <c r="A553" t="s">
        <v>1902</v>
      </c>
      <c r="B553" s="7">
        <v>45222</v>
      </c>
      <c r="C553" t="s">
        <v>436</v>
      </c>
      <c r="D553" t="s">
        <v>1159</v>
      </c>
      <c r="E553" t="s">
        <v>1286</v>
      </c>
      <c r="F553" t="str">
        <f>[1]Raw_Customer_Dim!$A$2</f>
        <v>CUST1000</v>
      </c>
      <c r="G553" t="str">
        <f>_xlfn.XLOOKUP(E553,Store_Dim!A:A,Store_Dim!B:B,"Not Found")</f>
        <v>Black-Horn</v>
      </c>
      <c r="H553" t="str">
        <f>_xlfn.XLOOKUP(D553,Product_Dim!A:A,Product_Dim!C:C,"Not Found")</f>
        <v>Electronics</v>
      </c>
      <c r="I553" t="str">
        <f>_xlfn.XLOOKUP(E553,Store_Dim!A:A,Store_Dim!C:C,"Not Found")</f>
        <v>South</v>
      </c>
      <c r="J553" t="str">
        <f>_xlfn.XLOOKUP(C553,Customer_Dim!A:A,Customer_Dim!B:B,"Not Found")</f>
        <v>Dr. Suzanne Bullock</v>
      </c>
      <c r="K553">
        <f>Table511[[#This Row],[Total_Amount]]/(L553*(1-Table511[[#This Row],[Discount]]))</f>
        <v>3.0000000000000009</v>
      </c>
      <c r="L553" s="5">
        <v>137.77000000000001</v>
      </c>
      <c r="M553">
        <v>0.26</v>
      </c>
      <c r="N553" t="s">
        <v>1351</v>
      </c>
      <c r="O553" s="5">
        <v>305.84940000000012</v>
      </c>
    </row>
    <row r="554" spans="1:15">
      <c r="A554" t="s">
        <v>1903</v>
      </c>
      <c r="B554" s="7">
        <v>45940</v>
      </c>
      <c r="C554" t="s">
        <v>87</v>
      </c>
      <c r="D554" t="s">
        <v>1257</v>
      </c>
      <c r="E554" t="s">
        <v>1317</v>
      </c>
      <c r="F554" t="str">
        <f>[1]Raw_Customer_Dim!$A$2</f>
        <v>CUST1000</v>
      </c>
      <c r="G554" t="str">
        <f>_xlfn.XLOOKUP(E554,Store_Dim!A:A,Store_Dim!B:B,"Not Found")</f>
        <v>Aguirre-Keller</v>
      </c>
      <c r="H554" t="str">
        <f>_xlfn.XLOOKUP(D554,Product_Dim!A:A,Product_Dim!C:C,"Not Found")</f>
        <v>Home</v>
      </c>
      <c r="I554" t="str">
        <f>_xlfn.XLOOKUP(E554,Store_Dim!A:A,Store_Dim!C:C,"Not Found")</f>
        <v>South</v>
      </c>
      <c r="J554" t="str">
        <f>_xlfn.XLOOKUP(C554,Customer_Dim!A:A,Customer_Dim!B:B,"Not Found")</f>
        <v>Leslie Johnson</v>
      </c>
      <c r="K554">
        <f>Table511[[#This Row],[Total_Amount]]/(L554*(1-Table511[[#This Row],[Discount]]))</f>
        <v>3</v>
      </c>
      <c r="L554" s="5">
        <v>862.18</v>
      </c>
      <c r="M554">
        <v>0.22</v>
      </c>
      <c r="N554" t="s">
        <v>1351</v>
      </c>
      <c r="O554" s="5">
        <v>2017.5011999999999</v>
      </c>
    </row>
    <row r="555" spans="1:15">
      <c r="A555" t="s">
        <v>1904</v>
      </c>
      <c r="B555" s="7">
        <v>45822</v>
      </c>
      <c r="C555" t="s">
        <v>159</v>
      </c>
      <c r="D555" t="s">
        <v>1149</v>
      </c>
      <c r="E555" t="s">
        <v>1324</v>
      </c>
      <c r="F555" t="str">
        <f>[1]Raw_Customer_Dim!$A$2</f>
        <v>CUST1000</v>
      </c>
      <c r="G555" t="str">
        <f>_xlfn.XLOOKUP(E555,Store_Dim!A:A,Store_Dim!B:B,"Not Found")</f>
        <v>Mcdonald Inc</v>
      </c>
      <c r="H555" t="str">
        <f>_xlfn.XLOOKUP(D555,Product_Dim!A:A,Product_Dim!C:C,"Not Found")</f>
        <v>Sports</v>
      </c>
      <c r="I555" t="str">
        <f>_xlfn.XLOOKUP(E555,Store_Dim!A:A,Store_Dim!C:C,"Not Found")</f>
        <v>South</v>
      </c>
      <c r="J555" t="str">
        <f>_xlfn.XLOOKUP(C555,Customer_Dim!A:A,Customer_Dim!B:B,"Not Found")</f>
        <v>Jay Patel</v>
      </c>
      <c r="K555">
        <f>Table511[[#This Row],[Total_Amount]]/(L555*(1-Table511[[#This Row],[Discount]]))</f>
        <v>2</v>
      </c>
      <c r="L555" s="5">
        <v>833.64</v>
      </c>
      <c r="M555">
        <v>0.24</v>
      </c>
      <c r="N555" t="s">
        <v>1351</v>
      </c>
      <c r="O555" s="5">
        <v>1267.1328000000001</v>
      </c>
    </row>
    <row r="556" spans="1:15">
      <c r="A556" t="s">
        <v>1905</v>
      </c>
      <c r="B556" s="7">
        <v>45752</v>
      </c>
      <c r="C556" t="s">
        <v>604</v>
      </c>
      <c r="D556" t="s">
        <v>1111</v>
      </c>
      <c r="E556" t="s">
        <v>1326</v>
      </c>
      <c r="F556" t="str">
        <f>[1]Raw_Customer_Dim!$A$2</f>
        <v>CUST1000</v>
      </c>
      <c r="G556" t="str">
        <f>_xlfn.XLOOKUP(E556,Store_Dim!A:A,Store_Dim!B:B,"Not Found")</f>
        <v>Shelton PLC</v>
      </c>
      <c r="H556" t="str">
        <f>_xlfn.XLOOKUP(D556,Product_Dim!A:A,Product_Dim!C:C,"Not Found")</f>
        <v>Sports</v>
      </c>
      <c r="I556" t="str">
        <f>_xlfn.XLOOKUP(E556,Store_Dim!A:A,Store_Dim!C:C,"Not Found")</f>
        <v>North</v>
      </c>
      <c r="J556" t="str">
        <f>_xlfn.XLOOKUP(C556,Customer_Dim!A:A,Customer_Dim!B:B,"Not Found")</f>
        <v>Brian Garcia</v>
      </c>
      <c r="K556">
        <f>Table511[[#This Row],[Total_Amount]]/(L556*(1-Table511[[#This Row],[Discount]]))</f>
        <v>3</v>
      </c>
      <c r="L556" s="5">
        <v>543.22</v>
      </c>
      <c r="M556">
        <v>0.05</v>
      </c>
      <c r="N556" t="s">
        <v>1354</v>
      </c>
      <c r="O556" s="5">
        <v>1548.1769999999999</v>
      </c>
    </row>
    <row r="557" spans="1:15">
      <c r="A557" t="s">
        <v>1906</v>
      </c>
      <c r="B557" s="7">
        <v>45677</v>
      </c>
      <c r="C557" t="s">
        <v>620</v>
      </c>
      <c r="D557" t="s">
        <v>1249</v>
      </c>
      <c r="E557" t="s">
        <v>1286</v>
      </c>
      <c r="F557" t="str">
        <f>[1]Raw_Customer_Dim!$A$2</f>
        <v>CUST1000</v>
      </c>
      <c r="G557" t="str">
        <f>_xlfn.XLOOKUP(E557,Store_Dim!A:A,Store_Dim!B:B,"Not Found")</f>
        <v>Black-Horn</v>
      </c>
      <c r="H557" t="str">
        <f>_xlfn.XLOOKUP(D557,Product_Dim!A:A,Product_Dim!C:C,"Not Found")</f>
        <v>Sports</v>
      </c>
      <c r="I557" t="str">
        <f>_xlfn.XLOOKUP(E557,Store_Dim!A:A,Store_Dim!C:C,"Not Found")</f>
        <v>South</v>
      </c>
      <c r="J557" t="str">
        <f>_xlfn.XLOOKUP(C557,Customer_Dim!A:A,Customer_Dim!B:B,"Not Found")</f>
        <v>Stephen Fowler</v>
      </c>
      <c r="K557">
        <f>Table511[[#This Row],[Total_Amount]]/(L557*(1-Table511[[#This Row],[Discount]]))</f>
        <v>3</v>
      </c>
      <c r="L557" s="5">
        <v>691.02</v>
      </c>
      <c r="M557">
        <v>0.12</v>
      </c>
      <c r="N557" t="s">
        <v>1354</v>
      </c>
      <c r="O557" s="5">
        <v>1824.2927999999999</v>
      </c>
    </row>
    <row r="558" spans="1:15">
      <c r="A558" t="s">
        <v>1907</v>
      </c>
      <c r="B558" s="7">
        <v>45253</v>
      </c>
      <c r="C558" t="s">
        <v>229</v>
      </c>
      <c r="D558" t="s">
        <v>1245</v>
      </c>
      <c r="E558" t="s">
        <v>1332</v>
      </c>
      <c r="F558" t="str">
        <f>[1]Raw_Customer_Dim!$A$2</f>
        <v>CUST1000</v>
      </c>
      <c r="G558" t="str">
        <f>_xlfn.XLOOKUP(E558,Store_Dim!A:A,Store_Dim!B:B,"Not Found")</f>
        <v>Holloway Ltd</v>
      </c>
      <c r="H558" t="str">
        <f>_xlfn.XLOOKUP(D558,Product_Dim!A:A,Product_Dim!C:C,"Not Found")</f>
        <v>Home</v>
      </c>
      <c r="I558" t="str">
        <f>_xlfn.XLOOKUP(E558,Store_Dim!A:A,Store_Dim!C:C,"Not Found")</f>
        <v>North</v>
      </c>
      <c r="J558" t="str">
        <f>_xlfn.XLOOKUP(C558,Customer_Dim!A:A,Customer_Dim!B:B,"Not Found")</f>
        <v>Melissa Duffy MD</v>
      </c>
      <c r="K558">
        <f>Table511[[#This Row],[Total_Amount]]/(L558*(1-Table511[[#This Row],[Discount]]))</f>
        <v>3.9999999999999991</v>
      </c>
      <c r="L558" s="5">
        <v>338.73</v>
      </c>
      <c r="M558">
        <v>0.18</v>
      </c>
      <c r="N558" t="s">
        <v>1349</v>
      </c>
      <c r="O558" s="5">
        <v>1111.0344</v>
      </c>
    </row>
    <row r="559" spans="1:15">
      <c r="A559" t="s">
        <v>1908</v>
      </c>
      <c r="B559" s="7">
        <v>45389</v>
      </c>
      <c r="C559" t="s">
        <v>170</v>
      </c>
      <c r="D559" t="s">
        <v>1241</v>
      </c>
      <c r="E559" t="s">
        <v>1329</v>
      </c>
      <c r="F559" t="str">
        <f>[1]Raw_Customer_Dim!$A$2</f>
        <v>CUST1000</v>
      </c>
      <c r="G559" t="str">
        <f>_xlfn.XLOOKUP(E559,Store_Dim!A:A,Store_Dim!B:B,"Not Found")</f>
        <v>Frederick-Wright</v>
      </c>
      <c r="H559" t="str">
        <f>_xlfn.XLOOKUP(D559,Product_Dim!A:A,Product_Dim!C:C,"Not Found")</f>
        <v>Home</v>
      </c>
      <c r="I559" t="str">
        <f>_xlfn.XLOOKUP(E559,Store_Dim!A:A,Store_Dim!C:C,"Not Found")</f>
        <v>West</v>
      </c>
      <c r="J559" t="str">
        <f>_xlfn.XLOOKUP(C559,Customer_Dim!A:A,Customer_Dim!B:B,"Not Found")</f>
        <v>James Bean</v>
      </c>
      <c r="K559">
        <f>Table511[[#This Row],[Total_Amount]]/(L559*(1-Table511[[#This Row],[Discount]]))</f>
        <v>3.0000000000000004</v>
      </c>
      <c r="L559" s="5">
        <v>366.08</v>
      </c>
      <c r="M559">
        <v>0.05</v>
      </c>
      <c r="N559" t="s">
        <v>1349</v>
      </c>
      <c r="O559" s="5">
        <v>1043.328</v>
      </c>
    </row>
    <row r="560" spans="1:15">
      <c r="A560" t="s">
        <v>1909</v>
      </c>
      <c r="B560" s="7">
        <v>45840</v>
      </c>
      <c r="C560" t="s">
        <v>269</v>
      </c>
      <c r="D560" t="s">
        <v>1099</v>
      </c>
      <c r="E560" t="s">
        <v>1322</v>
      </c>
      <c r="F560" t="str">
        <f>[1]Raw_Customer_Dim!$A$2</f>
        <v>CUST1000</v>
      </c>
      <c r="G560" t="str">
        <f>_xlfn.XLOOKUP(E560,Store_Dim!A:A,Store_Dim!B:B,"Not Found")</f>
        <v>Gardner, Humphrey and Contreras</v>
      </c>
      <c r="H560" t="str">
        <f>_xlfn.XLOOKUP(D560,Product_Dim!A:A,Product_Dim!C:C,"Not Found")</f>
        <v>Electronics</v>
      </c>
      <c r="I560" t="str">
        <f>_xlfn.XLOOKUP(E560,Store_Dim!A:A,Store_Dim!C:C,"Not Found")</f>
        <v>East</v>
      </c>
      <c r="J560" t="str">
        <f>_xlfn.XLOOKUP(C560,Customer_Dim!A:A,Customer_Dim!B:B,"Not Found")</f>
        <v>Lance Baker</v>
      </c>
      <c r="K560">
        <f>Table511[[#This Row],[Total_Amount]]/(L560*(1-Table511[[#This Row],[Discount]]))</f>
        <v>4</v>
      </c>
      <c r="L560" s="5">
        <v>539.48</v>
      </c>
      <c r="M560">
        <v>0.28000000000000003</v>
      </c>
      <c r="N560" t="s">
        <v>1354</v>
      </c>
      <c r="O560" s="5">
        <v>1553.7023999999999</v>
      </c>
    </row>
    <row r="561" spans="1:15">
      <c r="A561" t="s">
        <v>1910</v>
      </c>
      <c r="B561" s="7">
        <v>45256</v>
      </c>
      <c r="C561" t="s">
        <v>841</v>
      </c>
      <c r="D561" t="s">
        <v>1255</v>
      </c>
      <c r="E561" t="s">
        <v>1329</v>
      </c>
      <c r="F561" t="str">
        <f>[1]Raw_Customer_Dim!$A$2</f>
        <v>CUST1000</v>
      </c>
      <c r="G561" t="str">
        <f>_xlfn.XLOOKUP(E561,Store_Dim!A:A,Store_Dim!B:B,"Not Found")</f>
        <v>Frederick-Wright</v>
      </c>
      <c r="H561" t="str">
        <f>_xlfn.XLOOKUP(D561,Product_Dim!A:A,Product_Dim!C:C,"Not Found")</f>
        <v>Clothing</v>
      </c>
      <c r="I561" t="str">
        <f>_xlfn.XLOOKUP(E561,Store_Dim!A:A,Store_Dim!C:C,"Not Found")</f>
        <v>West</v>
      </c>
      <c r="J561" t="str">
        <f>_xlfn.XLOOKUP(C561,Customer_Dim!A:A,Customer_Dim!B:B,"Not Found")</f>
        <v>Cynthia Lopez</v>
      </c>
      <c r="K561">
        <f>Table511[[#This Row],[Total_Amount]]/(L561*(1-Table511[[#This Row],[Discount]]))</f>
        <v>1.0000000000000002</v>
      </c>
      <c r="L561" s="5">
        <v>499.59</v>
      </c>
      <c r="M561">
        <v>0.03</v>
      </c>
      <c r="N561" t="s">
        <v>1354</v>
      </c>
      <c r="O561" s="5">
        <v>484.60230000000001</v>
      </c>
    </row>
    <row r="562" spans="1:15">
      <c r="A562" t="s">
        <v>1911</v>
      </c>
      <c r="B562" s="7">
        <v>45326</v>
      </c>
      <c r="C562" t="s">
        <v>438</v>
      </c>
      <c r="D562" t="s">
        <v>1133</v>
      </c>
      <c r="E562" t="s">
        <v>1307</v>
      </c>
      <c r="F562" t="str">
        <f>[1]Raw_Customer_Dim!$A$2</f>
        <v>CUST1000</v>
      </c>
      <c r="G562" t="str">
        <f>_xlfn.XLOOKUP(E562,Store_Dim!A:A,Store_Dim!B:B,"Not Found")</f>
        <v>Bean, Jones and Park</v>
      </c>
      <c r="H562" t="str">
        <f>_xlfn.XLOOKUP(D562,Product_Dim!A:A,Product_Dim!C:C,"Not Found")</f>
        <v>Home</v>
      </c>
      <c r="I562" t="str">
        <f>_xlfn.XLOOKUP(E562,Store_Dim!A:A,Store_Dim!C:C,"Not Found")</f>
        <v>West</v>
      </c>
      <c r="J562" t="str">
        <f>_xlfn.XLOOKUP(C562,Customer_Dim!A:A,Customer_Dim!B:B,"Not Found")</f>
        <v>Kimberly Brooks</v>
      </c>
      <c r="K562">
        <f>Table511[[#This Row],[Total_Amount]]/(L562*(1-Table511[[#This Row],[Discount]]))</f>
        <v>3</v>
      </c>
      <c r="L562" s="5">
        <v>330.04</v>
      </c>
      <c r="M562">
        <v>0.2</v>
      </c>
      <c r="N562" t="s">
        <v>1349</v>
      </c>
      <c r="O562" s="5">
        <v>792.09600000000012</v>
      </c>
    </row>
    <row r="563" spans="1:15">
      <c r="A563" t="s">
        <v>1912</v>
      </c>
      <c r="B563" s="7">
        <v>45459</v>
      </c>
      <c r="C563" t="s">
        <v>426</v>
      </c>
      <c r="D563" t="s">
        <v>1095</v>
      </c>
      <c r="E563" t="s">
        <v>1332</v>
      </c>
      <c r="F563" t="str">
        <f>[1]Raw_Customer_Dim!$A$2</f>
        <v>CUST1000</v>
      </c>
      <c r="G563" t="str">
        <f>_xlfn.XLOOKUP(E563,Store_Dim!A:A,Store_Dim!B:B,"Not Found")</f>
        <v>Holloway Ltd</v>
      </c>
      <c r="H563" t="str">
        <f>_xlfn.XLOOKUP(D563,Product_Dim!A:A,Product_Dim!C:C,"Not Found")</f>
        <v>Electronics</v>
      </c>
      <c r="I563" t="str">
        <f>_xlfn.XLOOKUP(E563,Store_Dim!A:A,Store_Dim!C:C,"Not Found")</f>
        <v>North</v>
      </c>
      <c r="J563" t="str">
        <f>_xlfn.XLOOKUP(C563,Customer_Dim!A:A,Customer_Dim!B:B,"Not Found")</f>
        <v>Melissa Hamilton</v>
      </c>
      <c r="K563">
        <f>Table511[[#This Row],[Total_Amount]]/(L563*(1-Table511[[#This Row],[Discount]]))</f>
        <v>2.0000000000000004</v>
      </c>
      <c r="L563" s="5">
        <v>813.01</v>
      </c>
      <c r="M563">
        <v>0.06</v>
      </c>
      <c r="N563" t="s">
        <v>1351</v>
      </c>
      <c r="O563" s="5">
        <v>1528.4588000000001</v>
      </c>
    </row>
    <row r="564" spans="1:15">
      <c r="A564" t="s">
        <v>1913</v>
      </c>
      <c r="B564" s="7">
        <v>45715</v>
      </c>
      <c r="C564" t="s">
        <v>84</v>
      </c>
      <c r="D564" t="s">
        <v>1071</v>
      </c>
      <c r="E564" t="s">
        <v>1286</v>
      </c>
      <c r="F564" t="str">
        <f>[1]Raw_Customer_Dim!$A$2</f>
        <v>CUST1000</v>
      </c>
      <c r="G564" t="str">
        <f>_xlfn.XLOOKUP(E564,Store_Dim!A:A,Store_Dim!B:B,"Not Found")</f>
        <v>Black-Horn</v>
      </c>
      <c r="H564" t="str">
        <f>_xlfn.XLOOKUP(D564,Product_Dim!A:A,Product_Dim!C:C,"Not Found")</f>
        <v>Clothing</v>
      </c>
      <c r="I564" t="str">
        <f>_xlfn.XLOOKUP(E564,Store_Dim!A:A,Store_Dim!C:C,"Not Found")</f>
        <v>South</v>
      </c>
      <c r="J564" t="str">
        <f>_xlfn.XLOOKUP(C564,Customer_Dim!A:A,Customer_Dim!B:B,"Not Found")</f>
        <v>Amber Carlson</v>
      </c>
      <c r="K564">
        <f>Table511[[#This Row],[Total_Amount]]/(L564*(1-Table511[[#This Row],[Discount]]))</f>
        <v>4</v>
      </c>
      <c r="L564" s="5">
        <v>204.8</v>
      </c>
      <c r="M564">
        <v>0.03</v>
      </c>
      <c r="N564" t="s">
        <v>1351</v>
      </c>
      <c r="O564" s="5">
        <v>794.62400000000002</v>
      </c>
    </row>
    <row r="565" spans="1:15">
      <c r="A565" t="s">
        <v>1914</v>
      </c>
      <c r="B565" s="7">
        <v>45223</v>
      </c>
      <c r="C565" t="s">
        <v>44</v>
      </c>
      <c r="D565" t="s">
        <v>1076</v>
      </c>
      <c r="E565" t="s">
        <v>1291</v>
      </c>
      <c r="F565" t="str">
        <f>[1]Raw_Customer_Dim!$A$2</f>
        <v>CUST1000</v>
      </c>
      <c r="G565" t="str">
        <f>_xlfn.XLOOKUP(E565,Store_Dim!A:A,Store_Dim!B:B,"Not Found")</f>
        <v>Johnson-Wright</v>
      </c>
      <c r="H565" t="str">
        <f>_xlfn.XLOOKUP(D565,Product_Dim!A:A,Product_Dim!C:C,"Not Found")</f>
        <v>Not Found</v>
      </c>
      <c r="I565" t="str">
        <f>_xlfn.XLOOKUP(E565,Store_Dim!A:A,Store_Dim!C:C,"Not Found")</f>
        <v>North</v>
      </c>
      <c r="J565" t="str">
        <f>_xlfn.XLOOKUP(C565,Customer_Dim!A:A,Customer_Dim!B:B,"Not Found")</f>
        <v>Brian Lopez</v>
      </c>
      <c r="K565">
        <f>Table511[[#This Row],[Total_Amount]]/(L565*(1-Table511[[#This Row],[Discount]]))</f>
        <v>2.9999999999999996</v>
      </c>
      <c r="L565" s="5">
        <v>728.32</v>
      </c>
      <c r="M565">
        <v>0.01</v>
      </c>
      <c r="N565" t="s">
        <v>1349</v>
      </c>
      <c r="O565" s="5">
        <v>2163.1104</v>
      </c>
    </row>
    <row r="566" spans="1:15">
      <c r="A566" t="s">
        <v>1915</v>
      </c>
      <c r="B566" s="7">
        <v>45507</v>
      </c>
      <c r="C566" t="s">
        <v>967</v>
      </c>
      <c r="D566" t="s">
        <v>1191</v>
      </c>
      <c r="E566" t="s">
        <v>1304</v>
      </c>
      <c r="F566" t="str">
        <f>[1]Raw_Customer_Dim!$A$2</f>
        <v>CUST1000</v>
      </c>
      <c r="G566" t="str">
        <f>_xlfn.XLOOKUP(E566,Store_Dim!A:A,Store_Dim!B:B,"Not Found")</f>
        <v>Martinez-Mullins</v>
      </c>
      <c r="H566" t="str">
        <f>_xlfn.XLOOKUP(D566,Product_Dim!A:A,Product_Dim!C:C,"Not Found")</f>
        <v>Beauty</v>
      </c>
      <c r="I566" t="str">
        <f>_xlfn.XLOOKUP(E566,Store_Dim!A:A,Store_Dim!C:C,"Not Found")</f>
        <v>South</v>
      </c>
      <c r="J566" t="str">
        <f>_xlfn.XLOOKUP(C566,Customer_Dim!A:A,Customer_Dim!B:B,"Not Found")</f>
        <v>Jeffery Wolf</v>
      </c>
      <c r="K566">
        <f>Table511[[#This Row],[Total_Amount]]/(L566*(1-Table511[[#This Row],[Discount]]))</f>
        <v>3</v>
      </c>
      <c r="L566" s="5">
        <v>836.4</v>
      </c>
      <c r="M566">
        <v>0</v>
      </c>
      <c r="N566" t="s">
        <v>1349</v>
      </c>
      <c r="O566" s="5">
        <v>2509.1999999999998</v>
      </c>
    </row>
    <row r="567" spans="1:15">
      <c r="A567" t="s">
        <v>1916</v>
      </c>
      <c r="B567" s="7">
        <v>45843</v>
      </c>
      <c r="C567" t="s">
        <v>359</v>
      </c>
      <c r="D567" t="s">
        <v>1253</v>
      </c>
      <c r="E567" t="s">
        <v>1319</v>
      </c>
      <c r="F567" t="str">
        <f>[1]Raw_Customer_Dim!$A$2</f>
        <v>CUST1000</v>
      </c>
      <c r="G567" t="str">
        <f>_xlfn.XLOOKUP(E567,Store_Dim!A:A,Store_Dim!B:B,"Not Found")</f>
        <v>Thomas, Bridges and Harris</v>
      </c>
      <c r="H567" t="str">
        <f>_xlfn.XLOOKUP(D567,Product_Dim!A:A,Product_Dim!C:C,"Not Found")</f>
        <v>Electronics</v>
      </c>
      <c r="I567" t="str">
        <f>_xlfn.XLOOKUP(E567,Store_Dim!A:A,Store_Dim!C:C,"Not Found")</f>
        <v>North</v>
      </c>
      <c r="J567" t="str">
        <f>_xlfn.XLOOKUP(C567,Customer_Dim!A:A,Customer_Dim!B:B,"Not Found")</f>
        <v>Denise Griffin</v>
      </c>
      <c r="K567">
        <f>Table511[[#This Row],[Total_Amount]]/(L567*(1-Table511[[#This Row],[Discount]]))</f>
        <v>1</v>
      </c>
      <c r="L567" s="5">
        <v>780.16</v>
      </c>
      <c r="M567">
        <v>0.02</v>
      </c>
      <c r="N567" t="s">
        <v>1354</v>
      </c>
      <c r="O567" s="5">
        <v>764.55679999999995</v>
      </c>
    </row>
    <row r="568" spans="1:15">
      <c r="A568" t="s">
        <v>1917</v>
      </c>
      <c r="B568" s="7">
        <v>45804</v>
      </c>
      <c r="C568" t="s">
        <v>1002</v>
      </c>
      <c r="D568" t="s">
        <v>1165</v>
      </c>
      <c r="E568" t="s">
        <v>1322</v>
      </c>
      <c r="F568" t="str">
        <f>[1]Raw_Customer_Dim!$A$2</f>
        <v>CUST1000</v>
      </c>
      <c r="G568" t="str">
        <f>_xlfn.XLOOKUP(E568,Store_Dim!A:A,Store_Dim!B:B,"Not Found")</f>
        <v>Gardner, Humphrey and Contreras</v>
      </c>
      <c r="H568" t="str">
        <f>_xlfn.XLOOKUP(D568,Product_Dim!A:A,Product_Dim!C:C,"Not Found")</f>
        <v>Clothing</v>
      </c>
      <c r="I568" t="str">
        <f>_xlfn.XLOOKUP(E568,Store_Dim!A:A,Store_Dim!C:C,"Not Found")</f>
        <v>East</v>
      </c>
      <c r="J568" t="str">
        <f>_xlfn.XLOOKUP(C568,Customer_Dim!A:A,Customer_Dim!B:B,"Not Found")</f>
        <v>Manuel Fisher</v>
      </c>
      <c r="K568">
        <f>Table511[[#This Row],[Total_Amount]]/(L568*(1-Table511[[#This Row],[Discount]]))</f>
        <v>4</v>
      </c>
      <c r="L568" s="5">
        <v>354.12</v>
      </c>
      <c r="M568">
        <v>0.06</v>
      </c>
      <c r="N568" t="s">
        <v>1351</v>
      </c>
      <c r="O568" s="5">
        <v>1331.4911999999999</v>
      </c>
    </row>
    <row r="569" spans="1:15">
      <c r="A569" t="s">
        <v>1918</v>
      </c>
      <c r="B569" s="7">
        <v>45602</v>
      </c>
      <c r="C569" t="s">
        <v>967</v>
      </c>
      <c r="D569" t="s">
        <v>1199</v>
      </c>
      <c r="E569" t="s">
        <v>1286</v>
      </c>
      <c r="F569" t="str">
        <f>[1]Raw_Customer_Dim!$A$2</f>
        <v>CUST1000</v>
      </c>
      <c r="G569" t="str">
        <f>_xlfn.XLOOKUP(E569,Store_Dim!A:A,Store_Dim!B:B,"Not Found")</f>
        <v>Black-Horn</v>
      </c>
      <c r="H569" t="str">
        <f>_xlfn.XLOOKUP(D569,Product_Dim!A:A,Product_Dim!C:C,"Not Found")</f>
        <v>Beauty</v>
      </c>
      <c r="I569" t="str">
        <f>_xlfn.XLOOKUP(E569,Store_Dim!A:A,Store_Dim!C:C,"Not Found")</f>
        <v>South</v>
      </c>
      <c r="J569" t="str">
        <f>_xlfn.XLOOKUP(C569,Customer_Dim!A:A,Customer_Dim!B:B,"Not Found")</f>
        <v>Jeffery Wolf</v>
      </c>
      <c r="K569">
        <f>Table511[[#This Row],[Total_Amount]]/(L569*(1-Table511[[#This Row],[Discount]]))</f>
        <v>3.9999999999999996</v>
      </c>
      <c r="L569" s="5">
        <v>282.48</v>
      </c>
      <c r="M569">
        <v>0.11</v>
      </c>
      <c r="N569" t="s">
        <v>1351</v>
      </c>
      <c r="O569" s="5">
        <v>1005.6288</v>
      </c>
    </row>
    <row r="570" spans="1:15">
      <c r="A570" t="s">
        <v>1919</v>
      </c>
      <c r="B570" s="7">
        <v>45446</v>
      </c>
      <c r="C570" t="s">
        <v>720</v>
      </c>
      <c r="D570" t="s">
        <v>1113</v>
      </c>
      <c r="E570" t="s">
        <v>1301</v>
      </c>
      <c r="F570" t="str">
        <f>[1]Raw_Customer_Dim!$A$2</f>
        <v>CUST1000</v>
      </c>
      <c r="G570" t="str">
        <f>_xlfn.XLOOKUP(E570,Store_Dim!A:A,Store_Dim!B:B,"Not Found")</f>
        <v>Benson-Elliott</v>
      </c>
      <c r="H570" t="str">
        <f>_xlfn.XLOOKUP(D570,Product_Dim!A:A,Product_Dim!C:C,"Not Found")</f>
        <v>Sports</v>
      </c>
      <c r="I570" t="str">
        <f>_xlfn.XLOOKUP(E570,Store_Dim!A:A,Store_Dim!C:C,"Not Found")</f>
        <v>East</v>
      </c>
      <c r="J570" t="str">
        <f>_xlfn.XLOOKUP(C570,Customer_Dim!A:A,Customer_Dim!B:B,"Not Found")</f>
        <v>Mario Harvey Jr.</v>
      </c>
      <c r="K570">
        <f>Table511[[#This Row],[Total_Amount]]/(L570*(1-Table511[[#This Row],[Discount]]))</f>
        <v>2.0000000000000004</v>
      </c>
      <c r="L570" s="5">
        <v>740.68</v>
      </c>
      <c r="M570">
        <v>0.02</v>
      </c>
      <c r="N570" t="s">
        <v>1351</v>
      </c>
      <c r="O570" s="5">
        <v>1451.7328</v>
      </c>
    </row>
    <row r="571" spans="1:15">
      <c r="A571" t="s">
        <v>1920</v>
      </c>
      <c r="B571" s="7">
        <v>45384</v>
      </c>
      <c r="C571" t="s">
        <v>269</v>
      </c>
      <c r="D571" t="s">
        <v>1185</v>
      </c>
      <c r="E571" t="s">
        <v>1311</v>
      </c>
      <c r="F571" t="str">
        <f>[1]Raw_Customer_Dim!$A$2</f>
        <v>CUST1000</v>
      </c>
      <c r="G571" t="str">
        <f>_xlfn.XLOOKUP(E571,Store_Dim!A:A,Store_Dim!B:B,"Not Found")</f>
        <v>Moore, Padilla and Butler</v>
      </c>
      <c r="H571" t="str">
        <f>_xlfn.XLOOKUP(D571,Product_Dim!A:A,Product_Dim!C:C,"Not Found")</f>
        <v>Home</v>
      </c>
      <c r="I571" t="str">
        <f>_xlfn.XLOOKUP(E571,Store_Dim!A:A,Store_Dim!C:C,"Not Found")</f>
        <v>South</v>
      </c>
      <c r="J571" t="str">
        <f>_xlfn.XLOOKUP(C571,Customer_Dim!A:A,Customer_Dim!B:B,"Not Found")</f>
        <v>Lance Baker</v>
      </c>
      <c r="K571">
        <f>Table511[[#This Row],[Total_Amount]]/(L571*(1-Table511[[#This Row],[Discount]]))</f>
        <v>3</v>
      </c>
      <c r="L571" s="5">
        <v>600.58000000000004</v>
      </c>
      <c r="M571">
        <v>0.28999999999999998</v>
      </c>
      <c r="N571" t="s">
        <v>1354</v>
      </c>
      <c r="O571" s="5">
        <v>1279.2354</v>
      </c>
    </row>
    <row r="572" spans="1:15">
      <c r="A572" t="s">
        <v>1921</v>
      </c>
      <c r="B572" s="7">
        <v>45348</v>
      </c>
      <c r="C572" t="s">
        <v>984</v>
      </c>
      <c r="D572" t="s">
        <v>1203</v>
      </c>
      <c r="E572" t="s">
        <v>1291</v>
      </c>
      <c r="F572" t="str">
        <f>[1]Raw_Customer_Dim!$A$2</f>
        <v>CUST1000</v>
      </c>
      <c r="G572" t="str">
        <f>_xlfn.XLOOKUP(E572,Store_Dim!A:A,Store_Dim!B:B,"Not Found")</f>
        <v>Johnson-Wright</v>
      </c>
      <c r="H572" t="str">
        <f>_xlfn.XLOOKUP(D572,Product_Dim!A:A,Product_Dim!C:C,"Not Found")</f>
        <v>Sports</v>
      </c>
      <c r="I572" t="str">
        <f>_xlfn.XLOOKUP(E572,Store_Dim!A:A,Store_Dim!C:C,"Not Found")</f>
        <v>North</v>
      </c>
      <c r="J572" t="str">
        <f>_xlfn.XLOOKUP(C572,Customer_Dim!A:A,Customer_Dim!B:B,"Not Found")</f>
        <v>Paul Cox</v>
      </c>
      <c r="K572">
        <f>Table511[[#This Row],[Total_Amount]]/(L572*(1-Table511[[#This Row],[Discount]]))</f>
        <v>3</v>
      </c>
      <c r="L572" s="5">
        <v>345.58</v>
      </c>
      <c r="M572">
        <v>0.22</v>
      </c>
      <c r="N572" t="s">
        <v>1349</v>
      </c>
      <c r="O572" s="5">
        <v>808.65719999999999</v>
      </c>
    </row>
    <row r="573" spans="1:15">
      <c r="A573" t="s">
        <v>1922</v>
      </c>
      <c r="B573" s="7">
        <v>45688</v>
      </c>
      <c r="C573" t="s">
        <v>632</v>
      </c>
      <c r="D573" t="s">
        <v>1109</v>
      </c>
      <c r="E573" t="s">
        <v>1317</v>
      </c>
      <c r="F573" t="str">
        <f>[1]Raw_Customer_Dim!$A$2</f>
        <v>CUST1000</v>
      </c>
      <c r="G573" t="str">
        <f>_xlfn.XLOOKUP(E573,Store_Dim!A:A,Store_Dim!B:B,"Not Found")</f>
        <v>Aguirre-Keller</v>
      </c>
      <c r="H573" t="str">
        <f>_xlfn.XLOOKUP(D573,Product_Dim!A:A,Product_Dim!C:C,"Not Found")</f>
        <v>Clothing</v>
      </c>
      <c r="I573" t="str">
        <f>_xlfn.XLOOKUP(E573,Store_Dim!A:A,Store_Dim!C:C,"Not Found")</f>
        <v>South</v>
      </c>
      <c r="J573" t="str">
        <f>_xlfn.XLOOKUP(C573,Customer_Dim!A:A,Customer_Dim!B:B,"Not Found")</f>
        <v>Hunter Sutton</v>
      </c>
      <c r="K573">
        <f>Table511[[#This Row],[Total_Amount]]/(L573*(1-Table511[[#This Row],[Discount]]))</f>
        <v>1</v>
      </c>
      <c r="L573" s="5">
        <v>974.52</v>
      </c>
      <c r="M573">
        <v>0.01</v>
      </c>
      <c r="N573" t="s">
        <v>1351</v>
      </c>
      <c r="O573" s="5">
        <v>964.77480000000003</v>
      </c>
    </row>
    <row r="574" spans="1:15">
      <c r="A574" t="s">
        <v>1923</v>
      </c>
      <c r="B574" s="7">
        <v>45249</v>
      </c>
      <c r="C574" t="s">
        <v>118</v>
      </c>
      <c r="D574" t="s">
        <v>1107</v>
      </c>
      <c r="E574" t="s">
        <v>1282</v>
      </c>
      <c r="F574" t="str">
        <f>[1]Raw_Customer_Dim!$A$2</f>
        <v>CUST1000</v>
      </c>
      <c r="G574" t="str">
        <f>_xlfn.XLOOKUP(E574,Store_Dim!A:A,Store_Dim!B:B,"Not Found")</f>
        <v>Martinez, Adkins and Johnson</v>
      </c>
      <c r="H574" t="str">
        <f>_xlfn.XLOOKUP(D574,Product_Dim!A:A,Product_Dim!C:C,"Not Found")</f>
        <v>Sports</v>
      </c>
      <c r="I574" t="str">
        <f>_xlfn.XLOOKUP(E574,Store_Dim!A:A,Store_Dim!C:C,"Not Found")</f>
        <v>North</v>
      </c>
      <c r="J574" t="str">
        <f>_xlfn.XLOOKUP(C574,Customer_Dim!A:A,Customer_Dim!B:B,"Not Found")</f>
        <v>Eric Vega</v>
      </c>
      <c r="K574">
        <f>Table511[[#This Row],[Total_Amount]]/(L574*(1-Table511[[#This Row],[Discount]]))</f>
        <v>3</v>
      </c>
      <c r="L574" s="5">
        <v>282.33</v>
      </c>
      <c r="M574">
        <v>7.0000000000000007E-2</v>
      </c>
      <c r="N574" t="s">
        <v>1349</v>
      </c>
      <c r="O574" s="5">
        <v>787.70069999999998</v>
      </c>
    </row>
    <row r="575" spans="1:15">
      <c r="A575" t="s">
        <v>1924</v>
      </c>
      <c r="B575" s="7">
        <v>45726</v>
      </c>
      <c r="C575" t="s">
        <v>827</v>
      </c>
      <c r="D575" t="s">
        <v>1225</v>
      </c>
      <c r="E575" t="s">
        <v>1338</v>
      </c>
      <c r="F575" t="str">
        <f>[1]Raw_Customer_Dim!$A$2</f>
        <v>CUST1000</v>
      </c>
      <c r="G575" t="str">
        <f>_xlfn.XLOOKUP(E575,Store_Dim!A:A,Store_Dim!B:B,"Not Found")</f>
        <v>Mann-Austin</v>
      </c>
      <c r="H575" t="str">
        <f>_xlfn.XLOOKUP(D575,Product_Dim!A:A,Product_Dim!C:C,"Not Found")</f>
        <v>Electronics</v>
      </c>
      <c r="I575" t="str">
        <f>_xlfn.XLOOKUP(E575,Store_Dim!A:A,Store_Dim!C:C,"Not Found")</f>
        <v>East</v>
      </c>
      <c r="J575" t="str">
        <f>_xlfn.XLOOKUP(C575,Customer_Dim!A:A,Customer_Dim!B:B,"Not Found")</f>
        <v>Martha Brown</v>
      </c>
      <c r="K575">
        <f>Table511[[#This Row],[Total_Amount]]/(L575*(1-Table511[[#This Row],[Discount]]))</f>
        <v>4</v>
      </c>
      <c r="L575" s="5">
        <v>158.46</v>
      </c>
      <c r="M575">
        <v>0.09</v>
      </c>
      <c r="N575" t="s">
        <v>1351</v>
      </c>
      <c r="O575" s="5">
        <v>576.7944</v>
      </c>
    </row>
    <row r="576" spans="1:15">
      <c r="A576" t="s">
        <v>1925</v>
      </c>
      <c r="B576" s="7">
        <v>45283</v>
      </c>
      <c r="C576" t="s">
        <v>750</v>
      </c>
      <c r="D576" t="s">
        <v>1183</v>
      </c>
      <c r="E576" t="s">
        <v>1304</v>
      </c>
      <c r="F576" t="str">
        <f>[1]Raw_Customer_Dim!$A$2</f>
        <v>CUST1000</v>
      </c>
      <c r="G576" t="str">
        <f>_xlfn.XLOOKUP(E576,Store_Dim!A:A,Store_Dim!B:B,"Not Found")</f>
        <v>Martinez-Mullins</v>
      </c>
      <c r="H576" t="str">
        <f>_xlfn.XLOOKUP(D576,Product_Dim!A:A,Product_Dim!C:C,"Not Found")</f>
        <v>Home</v>
      </c>
      <c r="I576" t="str">
        <f>_xlfn.XLOOKUP(E576,Store_Dim!A:A,Store_Dim!C:C,"Not Found")</f>
        <v>South</v>
      </c>
      <c r="J576" t="str">
        <f>_xlfn.XLOOKUP(C576,Customer_Dim!A:A,Customer_Dim!B:B,"Not Found")</f>
        <v>Ryan Moore</v>
      </c>
      <c r="K576">
        <f>Table511[[#This Row],[Total_Amount]]/(L576*(1-Table511[[#This Row],[Discount]]))</f>
        <v>2.0000000000000004</v>
      </c>
      <c r="L576" s="5">
        <v>778.56</v>
      </c>
      <c r="M576">
        <v>0.11</v>
      </c>
      <c r="N576" t="s">
        <v>1354</v>
      </c>
      <c r="O576" s="5">
        <v>1385.8368</v>
      </c>
    </row>
    <row r="577" spans="1:15">
      <c r="A577" t="s">
        <v>1926</v>
      </c>
      <c r="B577" s="7">
        <v>45353</v>
      </c>
      <c r="C577" t="s">
        <v>537</v>
      </c>
      <c r="D577" t="s">
        <v>1173</v>
      </c>
      <c r="E577" t="s">
        <v>1338</v>
      </c>
      <c r="F577" t="str">
        <f>[1]Raw_Customer_Dim!$A$2</f>
        <v>CUST1000</v>
      </c>
      <c r="G577" t="str">
        <f>_xlfn.XLOOKUP(E577,Store_Dim!A:A,Store_Dim!B:B,"Not Found")</f>
        <v>Mann-Austin</v>
      </c>
      <c r="H577" t="str">
        <f>_xlfn.XLOOKUP(D577,Product_Dim!A:A,Product_Dim!C:C,"Not Found")</f>
        <v>Sports</v>
      </c>
      <c r="I577" t="str">
        <f>_xlfn.XLOOKUP(E577,Store_Dim!A:A,Store_Dim!C:C,"Not Found")</f>
        <v>East</v>
      </c>
      <c r="J577" t="str">
        <f>_xlfn.XLOOKUP(C577,Customer_Dim!A:A,Customer_Dim!B:B,"Not Found")</f>
        <v>Wesley Short</v>
      </c>
      <c r="K577">
        <f>Table511[[#This Row],[Total_Amount]]/(L577*(1-Table511[[#This Row],[Discount]]))</f>
        <v>4</v>
      </c>
      <c r="L577" s="5">
        <v>280.16000000000003</v>
      </c>
      <c r="M577">
        <v>0.18</v>
      </c>
      <c r="N577" t="s">
        <v>1354</v>
      </c>
      <c r="O577" s="5">
        <v>918.92480000000012</v>
      </c>
    </row>
    <row r="578" spans="1:15">
      <c r="A578" t="s">
        <v>1927</v>
      </c>
      <c r="B578" s="7">
        <v>45592</v>
      </c>
      <c r="C578" t="s">
        <v>638</v>
      </c>
      <c r="D578" t="s">
        <v>1215</v>
      </c>
      <c r="E578" t="s">
        <v>1322</v>
      </c>
      <c r="F578" t="str">
        <f>[1]Raw_Customer_Dim!$A$2</f>
        <v>CUST1000</v>
      </c>
      <c r="G578" t="str">
        <f>_xlfn.XLOOKUP(E578,Store_Dim!A:A,Store_Dim!B:B,"Not Found")</f>
        <v>Gardner, Humphrey and Contreras</v>
      </c>
      <c r="H578" t="str">
        <f>_xlfn.XLOOKUP(D578,Product_Dim!A:A,Product_Dim!C:C,"Not Found")</f>
        <v>Beauty</v>
      </c>
      <c r="I578" t="str">
        <f>_xlfn.XLOOKUP(E578,Store_Dim!A:A,Store_Dim!C:C,"Not Found")</f>
        <v>East</v>
      </c>
      <c r="J578" t="str">
        <f>_xlfn.XLOOKUP(C578,Customer_Dim!A:A,Customer_Dim!B:B,"Not Found")</f>
        <v>Cynthia Roberts</v>
      </c>
      <c r="K578">
        <f>Table511[[#This Row],[Total_Amount]]/(L578*(1-Table511[[#This Row],[Discount]]))</f>
        <v>2</v>
      </c>
      <c r="L578" s="5">
        <v>649.54999999999995</v>
      </c>
      <c r="M578">
        <v>0.28999999999999998</v>
      </c>
      <c r="N578" t="s">
        <v>1351</v>
      </c>
      <c r="O578" s="5">
        <v>922.36099999999988</v>
      </c>
    </row>
    <row r="579" spans="1:15">
      <c r="A579" t="s">
        <v>1928</v>
      </c>
      <c r="B579" s="7">
        <v>45360</v>
      </c>
      <c r="C579" t="s">
        <v>33</v>
      </c>
      <c r="D579" t="s">
        <v>1249</v>
      </c>
      <c r="E579" t="s">
        <v>1286</v>
      </c>
      <c r="F579" t="str">
        <f>[1]Raw_Customer_Dim!$A$2</f>
        <v>CUST1000</v>
      </c>
      <c r="G579" t="str">
        <f>_xlfn.XLOOKUP(E579,Store_Dim!A:A,Store_Dim!B:B,"Not Found")</f>
        <v>Black-Horn</v>
      </c>
      <c r="H579" t="str">
        <f>_xlfn.XLOOKUP(D579,Product_Dim!A:A,Product_Dim!C:C,"Not Found")</f>
        <v>Sports</v>
      </c>
      <c r="I579" t="str">
        <f>_xlfn.XLOOKUP(E579,Store_Dim!A:A,Store_Dim!C:C,"Not Found")</f>
        <v>South</v>
      </c>
      <c r="J579" t="str">
        <f>_xlfn.XLOOKUP(C579,Customer_Dim!A:A,Customer_Dim!B:B,"Not Found")</f>
        <v>Daniel Boyd</v>
      </c>
      <c r="K579">
        <f>Table511[[#This Row],[Total_Amount]]/(L579*(1-Table511[[#This Row],[Discount]]))</f>
        <v>2</v>
      </c>
      <c r="L579" s="5">
        <v>994.32</v>
      </c>
      <c r="M579">
        <v>0.27</v>
      </c>
      <c r="N579" t="s">
        <v>1351</v>
      </c>
      <c r="O579" s="5">
        <v>1451.7072000000001</v>
      </c>
    </row>
    <row r="580" spans="1:15">
      <c r="A580" t="s">
        <v>1929</v>
      </c>
      <c r="B580" s="7">
        <v>45649</v>
      </c>
      <c r="C580" t="s">
        <v>509</v>
      </c>
      <c r="D580" t="s">
        <v>1235</v>
      </c>
      <c r="E580" t="s">
        <v>1319</v>
      </c>
      <c r="F580" t="str">
        <f>[1]Raw_Customer_Dim!$A$2</f>
        <v>CUST1000</v>
      </c>
      <c r="G580" t="str">
        <f>_xlfn.XLOOKUP(E580,Store_Dim!A:A,Store_Dim!B:B,"Not Found")</f>
        <v>Thomas, Bridges and Harris</v>
      </c>
      <c r="H580" t="str">
        <f>_xlfn.XLOOKUP(D580,Product_Dim!A:A,Product_Dim!C:C,"Not Found")</f>
        <v>Sports</v>
      </c>
      <c r="I580" t="str">
        <f>_xlfn.XLOOKUP(E580,Store_Dim!A:A,Store_Dim!C:C,"Not Found")</f>
        <v>North</v>
      </c>
      <c r="J580" t="str">
        <f>_xlfn.XLOOKUP(C580,Customer_Dim!A:A,Customer_Dim!B:B,"Not Found")</f>
        <v>Robert Harris</v>
      </c>
      <c r="K580">
        <f>Table511[[#This Row],[Total_Amount]]/(L580*(1-Table511[[#This Row],[Discount]]))</f>
        <v>1</v>
      </c>
      <c r="L580" s="5">
        <v>64.94</v>
      </c>
      <c r="M580">
        <v>0.21</v>
      </c>
      <c r="N580" t="s">
        <v>1351</v>
      </c>
      <c r="O580" s="5">
        <v>51.302599999999998</v>
      </c>
    </row>
    <row r="581" spans="1:15">
      <c r="A581" t="s">
        <v>1930</v>
      </c>
      <c r="B581" s="7">
        <v>45709</v>
      </c>
      <c r="C581" t="s">
        <v>333</v>
      </c>
      <c r="D581" t="s">
        <v>1151</v>
      </c>
      <c r="E581" t="s">
        <v>1304</v>
      </c>
      <c r="F581" t="str">
        <f>[1]Raw_Customer_Dim!$A$2</f>
        <v>CUST1000</v>
      </c>
      <c r="G581" t="str">
        <f>_xlfn.XLOOKUP(E581,Store_Dim!A:A,Store_Dim!B:B,"Not Found")</f>
        <v>Martinez-Mullins</v>
      </c>
      <c r="H581" t="str">
        <f>_xlfn.XLOOKUP(D581,Product_Dim!A:A,Product_Dim!C:C,"Not Found")</f>
        <v>Electronics</v>
      </c>
      <c r="I581" t="str">
        <f>_xlfn.XLOOKUP(E581,Store_Dim!A:A,Store_Dim!C:C,"Not Found")</f>
        <v>South</v>
      </c>
      <c r="J581" t="str">
        <f>_xlfn.XLOOKUP(C581,Customer_Dim!A:A,Customer_Dim!B:B,"Not Found")</f>
        <v>Patrick Coleman</v>
      </c>
      <c r="K581">
        <f>Table511[[#This Row],[Total_Amount]]/(L581*(1-Table511[[#This Row],[Discount]]))</f>
        <v>2</v>
      </c>
      <c r="L581" s="5">
        <v>507.66</v>
      </c>
      <c r="M581">
        <v>0</v>
      </c>
      <c r="N581" t="s">
        <v>1354</v>
      </c>
      <c r="O581" s="5">
        <v>1015.32</v>
      </c>
    </row>
    <row r="582" spans="1:15">
      <c r="A582" t="s">
        <v>1931</v>
      </c>
      <c r="B582" s="7">
        <v>45273</v>
      </c>
      <c r="C582" t="s">
        <v>547</v>
      </c>
      <c r="D582" t="s">
        <v>1235</v>
      </c>
      <c r="E582" t="s">
        <v>1294</v>
      </c>
      <c r="F582" t="str">
        <f>[1]Raw_Customer_Dim!$A$2</f>
        <v>CUST1000</v>
      </c>
      <c r="G582" t="str">
        <f>_xlfn.XLOOKUP(E582,Store_Dim!A:A,Store_Dim!B:B,"Not Found")</f>
        <v>Alexander Group</v>
      </c>
      <c r="H582" t="str">
        <f>_xlfn.XLOOKUP(D582,Product_Dim!A:A,Product_Dim!C:C,"Not Found")</f>
        <v>Sports</v>
      </c>
      <c r="I582" t="str">
        <f>_xlfn.XLOOKUP(E582,Store_Dim!A:A,Store_Dim!C:C,"Not Found")</f>
        <v>South</v>
      </c>
      <c r="J582" t="str">
        <f>_xlfn.XLOOKUP(C582,Customer_Dim!A:A,Customer_Dim!B:B,"Not Found")</f>
        <v>William Jackson</v>
      </c>
      <c r="K582">
        <f>Table511[[#This Row],[Total_Amount]]/(L582*(1-Table511[[#This Row],[Discount]]))</f>
        <v>4</v>
      </c>
      <c r="L582" s="5">
        <v>968.27</v>
      </c>
      <c r="M582">
        <v>0.03</v>
      </c>
      <c r="N582" t="s">
        <v>1351</v>
      </c>
      <c r="O582" s="5">
        <v>3756.8876</v>
      </c>
    </row>
    <row r="583" spans="1:15">
      <c r="A583" t="s">
        <v>1932</v>
      </c>
      <c r="B583" s="7">
        <v>45250</v>
      </c>
      <c r="C583" t="s">
        <v>61</v>
      </c>
      <c r="D583" t="s">
        <v>1249</v>
      </c>
      <c r="E583" t="s">
        <v>1298</v>
      </c>
      <c r="F583" t="str">
        <f>[1]Raw_Customer_Dim!$A$2</f>
        <v>CUST1000</v>
      </c>
      <c r="G583" t="str">
        <f>_xlfn.XLOOKUP(E583,Store_Dim!A:A,Store_Dim!B:B,"Not Found")</f>
        <v>Gray Ltd</v>
      </c>
      <c r="H583" t="str">
        <f>_xlfn.XLOOKUP(D583,Product_Dim!A:A,Product_Dim!C:C,"Not Found")</f>
        <v>Sports</v>
      </c>
      <c r="I583" t="str">
        <f>_xlfn.XLOOKUP(E583,Store_Dim!A:A,Store_Dim!C:C,"Not Found")</f>
        <v>North</v>
      </c>
      <c r="J583" t="str">
        <f>_xlfn.XLOOKUP(C583,Customer_Dim!A:A,Customer_Dim!B:B,"Not Found")</f>
        <v>Adam Cruz</v>
      </c>
      <c r="K583">
        <f>Table511[[#This Row],[Total_Amount]]/(L583*(1-Table511[[#This Row],[Discount]]))</f>
        <v>4</v>
      </c>
      <c r="L583" s="5">
        <v>510.33</v>
      </c>
      <c r="M583">
        <v>0.2</v>
      </c>
      <c r="N583" t="s">
        <v>1351</v>
      </c>
      <c r="O583" s="5">
        <v>1633.056</v>
      </c>
    </row>
    <row r="584" spans="1:15">
      <c r="A584" t="s">
        <v>1933</v>
      </c>
      <c r="B584" s="7">
        <v>45539</v>
      </c>
      <c r="C584" t="s">
        <v>44</v>
      </c>
      <c r="D584" t="s">
        <v>1161</v>
      </c>
      <c r="E584" t="s">
        <v>1338</v>
      </c>
      <c r="F584" t="str">
        <f>[1]Raw_Customer_Dim!$A$2</f>
        <v>CUST1000</v>
      </c>
      <c r="G584" t="str">
        <f>_xlfn.XLOOKUP(E584,Store_Dim!A:A,Store_Dim!B:B,"Not Found")</f>
        <v>Mann-Austin</v>
      </c>
      <c r="H584" t="str">
        <f>_xlfn.XLOOKUP(D584,Product_Dim!A:A,Product_Dim!C:C,"Not Found")</f>
        <v>Sports</v>
      </c>
      <c r="I584" t="str">
        <f>_xlfn.XLOOKUP(E584,Store_Dim!A:A,Store_Dim!C:C,"Not Found")</f>
        <v>East</v>
      </c>
      <c r="J584" t="str">
        <f>_xlfn.XLOOKUP(C584,Customer_Dim!A:A,Customer_Dim!B:B,"Not Found")</f>
        <v>Brian Lopez</v>
      </c>
      <c r="K584">
        <f>Table511[[#This Row],[Total_Amount]]/(L584*(1-Table511[[#This Row],[Discount]]))</f>
        <v>2</v>
      </c>
      <c r="L584" s="5">
        <v>156.72999999999999</v>
      </c>
      <c r="M584">
        <v>0.18</v>
      </c>
      <c r="N584" t="s">
        <v>1354</v>
      </c>
      <c r="O584" s="5">
        <v>257.03719999999998</v>
      </c>
    </row>
    <row r="585" spans="1:15">
      <c r="A585" t="s">
        <v>1934</v>
      </c>
      <c r="B585" s="7">
        <v>45810</v>
      </c>
      <c r="C585" t="s">
        <v>345</v>
      </c>
      <c r="D585" t="s">
        <v>1271</v>
      </c>
      <c r="E585" t="s">
        <v>1314</v>
      </c>
      <c r="F585" t="str">
        <f>[1]Raw_Customer_Dim!$A$2</f>
        <v>CUST1000</v>
      </c>
      <c r="G585" t="str">
        <f>_xlfn.XLOOKUP(E585,Store_Dim!A:A,Store_Dim!B:B,"Not Found")</f>
        <v>Hill, Wagner and Ballard</v>
      </c>
      <c r="H585" t="str">
        <f>_xlfn.XLOOKUP(D585,Product_Dim!A:A,Product_Dim!C:C,"Not Found")</f>
        <v>Home</v>
      </c>
      <c r="I585" t="str">
        <f>_xlfn.XLOOKUP(E585,Store_Dim!A:A,Store_Dim!C:C,"Not Found")</f>
        <v>East</v>
      </c>
      <c r="J585" t="str">
        <f>_xlfn.XLOOKUP(C585,Customer_Dim!A:A,Customer_Dim!B:B,"Not Found")</f>
        <v>Maria Ramirez</v>
      </c>
      <c r="K585">
        <f>Table511[[#This Row],[Total_Amount]]/(L585*(1-Table511[[#This Row],[Discount]]))</f>
        <v>3</v>
      </c>
      <c r="L585" s="5">
        <v>53.83</v>
      </c>
      <c r="M585">
        <v>0.24</v>
      </c>
      <c r="N585" t="s">
        <v>1349</v>
      </c>
      <c r="O585" s="5">
        <v>122.7324</v>
      </c>
    </row>
    <row r="586" spans="1:15">
      <c r="A586" t="s">
        <v>1935</v>
      </c>
      <c r="B586" s="7">
        <v>45350</v>
      </c>
      <c r="C586" t="s">
        <v>817</v>
      </c>
      <c r="D586" t="s">
        <v>1229</v>
      </c>
      <c r="E586" t="s">
        <v>1294</v>
      </c>
      <c r="F586" t="str">
        <f>[1]Raw_Customer_Dim!$A$2</f>
        <v>CUST1000</v>
      </c>
      <c r="G586" t="str">
        <f>_xlfn.XLOOKUP(E586,Store_Dim!A:A,Store_Dim!B:B,"Not Found")</f>
        <v>Alexander Group</v>
      </c>
      <c r="H586" t="str">
        <f>_xlfn.XLOOKUP(D586,Product_Dim!A:A,Product_Dim!C:C,"Not Found")</f>
        <v>Home</v>
      </c>
      <c r="I586" t="str">
        <f>_xlfn.XLOOKUP(E586,Store_Dim!A:A,Store_Dim!C:C,"Not Found")</f>
        <v>South</v>
      </c>
      <c r="J586" t="str">
        <f>_xlfn.XLOOKUP(C586,Customer_Dim!A:A,Customer_Dim!B:B,"Not Found")</f>
        <v>Charles Conley</v>
      </c>
      <c r="K586">
        <f>Table511[[#This Row],[Total_Amount]]/(L586*(1-Table511[[#This Row],[Discount]]))</f>
        <v>1</v>
      </c>
      <c r="L586" s="5">
        <v>34.71</v>
      </c>
      <c r="M586">
        <v>0.1</v>
      </c>
      <c r="N586" t="s">
        <v>1354</v>
      </c>
      <c r="O586" s="5">
        <v>31.239000000000001</v>
      </c>
    </row>
    <row r="587" spans="1:15">
      <c r="A587" t="s">
        <v>1936</v>
      </c>
      <c r="B587" s="7">
        <v>45633</v>
      </c>
      <c r="C587" t="s">
        <v>521</v>
      </c>
      <c r="D587" t="s">
        <v>1227</v>
      </c>
      <c r="E587" t="s">
        <v>1282</v>
      </c>
      <c r="F587" t="str">
        <f>[1]Raw_Customer_Dim!$A$2</f>
        <v>CUST1000</v>
      </c>
      <c r="G587" t="str">
        <f>_xlfn.XLOOKUP(E587,Store_Dim!A:A,Store_Dim!B:B,"Not Found")</f>
        <v>Martinez, Adkins and Johnson</v>
      </c>
      <c r="H587" t="str">
        <f>_xlfn.XLOOKUP(D587,Product_Dim!A:A,Product_Dim!C:C,"Not Found")</f>
        <v>Electronics</v>
      </c>
      <c r="I587" t="str">
        <f>_xlfn.XLOOKUP(E587,Store_Dim!A:A,Store_Dim!C:C,"Not Found")</f>
        <v>North</v>
      </c>
      <c r="J587" t="str">
        <f>_xlfn.XLOOKUP(C587,Customer_Dim!A:A,Customer_Dim!B:B,"Not Found")</f>
        <v>Tanner Thompson</v>
      </c>
      <c r="K587">
        <f>Table511[[#This Row],[Total_Amount]]/(L587*(1-Table511[[#This Row],[Discount]]))</f>
        <v>2</v>
      </c>
      <c r="L587" s="5">
        <v>829.15</v>
      </c>
      <c r="M587">
        <v>0.11</v>
      </c>
      <c r="N587" t="s">
        <v>1351</v>
      </c>
      <c r="O587" s="5">
        <v>1475.8869999999999</v>
      </c>
    </row>
    <row r="588" spans="1:15">
      <c r="A588" t="s">
        <v>1937</v>
      </c>
      <c r="B588" s="7">
        <v>45798</v>
      </c>
      <c r="C588" t="s">
        <v>591</v>
      </c>
      <c r="D588" t="s">
        <v>1269</v>
      </c>
      <c r="E588" t="s">
        <v>1291</v>
      </c>
      <c r="F588" t="str">
        <f>[1]Raw_Customer_Dim!$A$2</f>
        <v>CUST1000</v>
      </c>
      <c r="G588" t="str">
        <f>_xlfn.XLOOKUP(E588,Store_Dim!A:A,Store_Dim!B:B,"Not Found")</f>
        <v>Johnson-Wright</v>
      </c>
      <c r="H588" t="str">
        <f>_xlfn.XLOOKUP(D588,Product_Dim!A:A,Product_Dim!C:C,"Not Found")</f>
        <v>Electronics</v>
      </c>
      <c r="I588" t="str">
        <f>_xlfn.XLOOKUP(E588,Store_Dim!A:A,Store_Dim!C:C,"Not Found")</f>
        <v>North</v>
      </c>
      <c r="J588" t="str">
        <f>_xlfn.XLOOKUP(C588,Customer_Dim!A:A,Customer_Dim!B:B,"Not Found")</f>
        <v>Matthew Payne</v>
      </c>
      <c r="K588">
        <f>Table511[[#This Row],[Total_Amount]]/(L588*(1-Table511[[#This Row],[Discount]]))</f>
        <v>2</v>
      </c>
      <c r="L588" s="5">
        <v>481.86</v>
      </c>
      <c r="M588">
        <v>0.1</v>
      </c>
      <c r="N588" t="s">
        <v>1354</v>
      </c>
      <c r="O588" s="5">
        <v>867.34800000000007</v>
      </c>
    </row>
    <row r="589" spans="1:15">
      <c r="A589" t="s">
        <v>1938</v>
      </c>
      <c r="B589" s="7">
        <v>45354</v>
      </c>
      <c r="C589" t="s">
        <v>355</v>
      </c>
      <c r="D589" t="s">
        <v>1177</v>
      </c>
      <c r="E589" t="s">
        <v>1304</v>
      </c>
      <c r="F589" t="str">
        <f>[1]Raw_Customer_Dim!$A$2</f>
        <v>CUST1000</v>
      </c>
      <c r="G589" t="str">
        <f>_xlfn.XLOOKUP(E589,Store_Dim!A:A,Store_Dim!B:B,"Not Found")</f>
        <v>Martinez-Mullins</v>
      </c>
      <c r="H589" t="str">
        <f>_xlfn.XLOOKUP(D589,Product_Dim!A:A,Product_Dim!C:C,"Not Found")</f>
        <v>Sports</v>
      </c>
      <c r="I589" t="str">
        <f>_xlfn.XLOOKUP(E589,Store_Dim!A:A,Store_Dim!C:C,"Not Found")</f>
        <v>South</v>
      </c>
      <c r="J589" t="str">
        <f>_xlfn.XLOOKUP(C589,Customer_Dim!A:A,Customer_Dim!B:B,"Not Found")</f>
        <v>Rhonda Young</v>
      </c>
      <c r="K589">
        <f>Table511[[#This Row],[Total_Amount]]/(L589*(1-Table511[[#This Row],[Discount]]))</f>
        <v>4</v>
      </c>
      <c r="L589" s="5">
        <v>915.17</v>
      </c>
      <c r="M589">
        <v>0.19</v>
      </c>
      <c r="N589" t="s">
        <v>1354</v>
      </c>
      <c r="O589" s="5">
        <v>2965.1507999999999</v>
      </c>
    </row>
    <row r="590" spans="1:15">
      <c r="A590" t="s">
        <v>1939</v>
      </c>
      <c r="B590" s="7">
        <v>45357</v>
      </c>
      <c r="C590" t="s">
        <v>490</v>
      </c>
      <c r="D590" t="s">
        <v>1215</v>
      </c>
      <c r="E590" t="s">
        <v>1335</v>
      </c>
      <c r="F590" t="str">
        <f>[1]Raw_Customer_Dim!$A$2</f>
        <v>CUST1000</v>
      </c>
      <c r="G590" t="str">
        <f>_xlfn.XLOOKUP(E590,Store_Dim!A:A,Store_Dim!B:B,"Not Found")</f>
        <v>Guerrero-Schmitt</v>
      </c>
      <c r="H590" t="str">
        <f>_xlfn.XLOOKUP(D590,Product_Dim!A:A,Product_Dim!C:C,"Not Found")</f>
        <v>Beauty</v>
      </c>
      <c r="I590" t="str">
        <f>_xlfn.XLOOKUP(E590,Store_Dim!A:A,Store_Dim!C:C,"Not Found")</f>
        <v>East</v>
      </c>
      <c r="J590" t="str">
        <f>_xlfn.XLOOKUP(C590,Customer_Dim!A:A,Customer_Dim!B:B,"Not Found")</f>
        <v>Eric Todd</v>
      </c>
      <c r="K590">
        <f>Table511[[#This Row],[Total_Amount]]/(L590*(1-Table511[[#This Row],[Discount]]))</f>
        <v>1.0000000000000002</v>
      </c>
      <c r="L590" s="5">
        <v>250.95</v>
      </c>
      <c r="M590">
        <v>0.03</v>
      </c>
      <c r="N590" t="s">
        <v>1351</v>
      </c>
      <c r="O590" s="5">
        <v>243.42150000000001</v>
      </c>
    </row>
    <row r="591" spans="1:15">
      <c r="A591" t="s">
        <v>1940</v>
      </c>
      <c r="B591" s="7">
        <v>45257</v>
      </c>
      <c r="C591" t="s">
        <v>714</v>
      </c>
      <c r="D591" t="s">
        <v>1265</v>
      </c>
      <c r="E591" t="s">
        <v>1298</v>
      </c>
      <c r="F591" t="str">
        <f>[1]Raw_Customer_Dim!$A$2</f>
        <v>CUST1000</v>
      </c>
      <c r="G591" t="str">
        <f>_xlfn.XLOOKUP(E591,Store_Dim!A:A,Store_Dim!B:B,"Not Found")</f>
        <v>Gray Ltd</v>
      </c>
      <c r="H591" t="str">
        <f>_xlfn.XLOOKUP(D591,Product_Dim!A:A,Product_Dim!C:C,"Not Found")</f>
        <v>Clothing</v>
      </c>
      <c r="I591" t="str">
        <f>_xlfn.XLOOKUP(E591,Store_Dim!A:A,Store_Dim!C:C,"Not Found")</f>
        <v>North</v>
      </c>
      <c r="J591" t="str">
        <f>_xlfn.XLOOKUP(C591,Customer_Dim!A:A,Customer_Dim!B:B,"Not Found")</f>
        <v>Andrew Smith</v>
      </c>
      <c r="K591">
        <f>Table511[[#This Row],[Total_Amount]]/(L591*(1-Table511[[#This Row],[Discount]]))</f>
        <v>3</v>
      </c>
      <c r="L591" s="5">
        <v>882.84</v>
      </c>
      <c r="M591">
        <v>0.1</v>
      </c>
      <c r="N591" t="s">
        <v>1349</v>
      </c>
      <c r="O591" s="5">
        <v>2383.6680000000001</v>
      </c>
    </row>
    <row r="592" spans="1:15">
      <c r="A592" t="s">
        <v>1941</v>
      </c>
      <c r="B592" s="7">
        <v>45702</v>
      </c>
      <c r="C592" t="s">
        <v>337</v>
      </c>
      <c r="D592" t="s">
        <v>1111</v>
      </c>
      <c r="E592" t="s">
        <v>1335</v>
      </c>
      <c r="F592" t="str">
        <f>[1]Raw_Customer_Dim!$A$2</f>
        <v>CUST1000</v>
      </c>
      <c r="G592" t="str">
        <f>_xlfn.XLOOKUP(E592,Store_Dim!A:A,Store_Dim!B:B,"Not Found")</f>
        <v>Guerrero-Schmitt</v>
      </c>
      <c r="H592" t="str">
        <f>_xlfn.XLOOKUP(D592,Product_Dim!A:A,Product_Dim!C:C,"Not Found")</f>
        <v>Sports</v>
      </c>
      <c r="I592" t="str">
        <f>_xlfn.XLOOKUP(E592,Store_Dim!A:A,Store_Dim!C:C,"Not Found")</f>
        <v>East</v>
      </c>
      <c r="J592" t="str">
        <f>_xlfn.XLOOKUP(C592,Customer_Dim!A:A,Customer_Dim!B:B,"Not Found")</f>
        <v>Sean Roth</v>
      </c>
      <c r="K592">
        <f>Table511[[#This Row],[Total_Amount]]/(L592*(1-Table511[[#This Row],[Discount]]))</f>
        <v>4</v>
      </c>
      <c r="L592" s="5">
        <v>573.37</v>
      </c>
      <c r="M592">
        <v>0.04</v>
      </c>
      <c r="N592" t="s">
        <v>1354</v>
      </c>
      <c r="O592" s="5">
        <v>2201.7408</v>
      </c>
    </row>
    <row r="593" spans="1:15">
      <c r="A593" t="s">
        <v>1942</v>
      </c>
      <c r="B593" s="7">
        <v>45318</v>
      </c>
      <c r="C593" t="s">
        <v>162</v>
      </c>
      <c r="D593" t="s">
        <v>1137</v>
      </c>
      <c r="E593" t="s">
        <v>1319</v>
      </c>
      <c r="F593" t="str">
        <f>[1]Raw_Customer_Dim!$A$2</f>
        <v>CUST1000</v>
      </c>
      <c r="G593" t="str">
        <f>_xlfn.XLOOKUP(E593,Store_Dim!A:A,Store_Dim!B:B,"Not Found")</f>
        <v>Thomas, Bridges and Harris</v>
      </c>
      <c r="H593" t="str">
        <f>_xlfn.XLOOKUP(D593,Product_Dim!A:A,Product_Dim!C:C,"Not Found")</f>
        <v>Beauty</v>
      </c>
      <c r="I593" t="str">
        <f>_xlfn.XLOOKUP(E593,Store_Dim!A:A,Store_Dim!C:C,"Not Found")</f>
        <v>North</v>
      </c>
      <c r="J593" t="str">
        <f>_xlfn.XLOOKUP(C593,Customer_Dim!A:A,Customer_Dim!B:B,"Not Found")</f>
        <v>Cheryl Copeland</v>
      </c>
      <c r="K593">
        <f>Table511[[#This Row],[Total_Amount]]/(L593*(1-Table511[[#This Row],[Discount]]))</f>
        <v>3</v>
      </c>
      <c r="L593" s="5">
        <v>622.72</v>
      </c>
      <c r="M593">
        <v>0.04</v>
      </c>
      <c r="N593" t="s">
        <v>1349</v>
      </c>
      <c r="O593" s="5">
        <v>1793.4336000000001</v>
      </c>
    </row>
    <row r="594" spans="1:15">
      <c r="A594" t="s">
        <v>1943</v>
      </c>
      <c r="B594" s="7">
        <v>45943</v>
      </c>
      <c r="C594" t="s">
        <v>839</v>
      </c>
      <c r="D594" t="s">
        <v>1257</v>
      </c>
      <c r="E594" t="s">
        <v>1332</v>
      </c>
      <c r="F594" t="str">
        <f>[1]Raw_Customer_Dim!$A$2</f>
        <v>CUST1000</v>
      </c>
      <c r="G594" t="str">
        <f>_xlfn.XLOOKUP(E594,Store_Dim!A:A,Store_Dim!B:B,"Not Found")</f>
        <v>Holloway Ltd</v>
      </c>
      <c r="H594" t="str">
        <f>_xlfn.XLOOKUP(D594,Product_Dim!A:A,Product_Dim!C:C,"Not Found")</f>
        <v>Home</v>
      </c>
      <c r="I594" t="str">
        <f>_xlfn.XLOOKUP(E594,Store_Dim!A:A,Store_Dim!C:C,"Not Found")</f>
        <v>North</v>
      </c>
      <c r="J594" t="str">
        <f>_xlfn.XLOOKUP(C594,Customer_Dim!A:A,Customer_Dim!B:B,"Not Found")</f>
        <v>Timothy Valenzuela</v>
      </c>
      <c r="K594">
        <f>Table511[[#This Row],[Total_Amount]]/(L594*(1-Table511[[#This Row],[Discount]]))</f>
        <v>3.0000000000000004</v>
      </c>
      <c r="L594" s="5">
        <v>259.74</v>
      </c>
      <c r="M594">
        <v>0.24</v>
      </c>
      <c r="N594" t="s">
        <v>1349</v>
      </c>
      <c r="O594" s="5">
        <v>592.20720000000006</v>
      </c>
    </row>
    <row r="595" spans="1:15">
      <c r="A595" t="s">
        <v>1944</v>
      </c>
      <c r="B595" s="7">
        <v>45769</v>
      </c>
      <c r="C595" t="s">
        <v>152</v>
      </c>
      <c r="D595" t="s">
        <v>1129</v>
      </c>
      <c r="E595" t="s">
        <v>1322</v>
      </c>
      <c r="F595" t="str">
        <f>[1]Raw_Customer_Dim!$A$2</f>
        <v>CUST1000</v>
      </c>
      <c r="G595" t="str">
        <f>_xlfn.XLOOKUP(E595,Store_Dim!A:A,Store_Dim!B:B,"Not Found")</f>
        <v>Gardner, Humphrey and Contreras</v>
      </c>
      <c r="H595" t="str">
        <f>_xlfn.XLOOKUP(D595,Product_Dim!A:A,Product_Dim!C:C,"Not Found")</f>
        <v>Sports</v>
      </c>
      <c r="I595" t="str">
        <f>_xlfn.XLOOKUP(E595,Store_Dim!A:A,Store_Dim!C:C,"Not Found")</f>
        <v>East</v>
      </c>
      <c r="J595" t="str">
        <f>_xlfn.XLOOKUP(C595,Customer_Dim!A:A,Customer_Dim!B:B,"Not Found")</f>
        <v>Katherine Dorsey</v>
      </c>
      <c r="K595">
        <f>Table511[[#This Row],[Total_Amount]]/(L595*(1-Table511[[#This Row],[Discount]]))</f>
        <v>4</v>
      </c>
      <c r="L595" s="5">
        <v>951.09</v>
      </c>
      <c r="M595">
        <v>0.14000000000000001</v>
      </c>
      <c r="N595" t="s">
        <v>1354</v>
      </c>
      <c r="O595" s="5">
        <v>3271.7496000000001</v>
      </c>
    </row>
    <row r="596" spans="1:15">
      <c r="A596" t="s">
        <v>1945</v>
      </c>
      <c r="B596" s="7">
        <v>45765</v>
      </c>
      <c r="C596" t="s">
        <v>460</v>
      </c>
      <c r="D596" t="s">
        <v>1271</v>
      </c>
      <c r="E596" t="s">
        <v>1286</v>
      </c>
      <c r="F596" t="str">
        <f>[1]Raw_Customer_Dim!$A$2</f>
        <v>CUST1000</v>
      </c>
      <c r="G596" t="str">
        <f>_xlfn.XLOOKUP(E596,Store_Dim!A:A,Store_Dim!B:B,"Not Found")</f>
        <v>Black-Horn</v>
      </c>
      <c r="H596" t="str">
        <f>_xlfn.XLOOKUP(D596,Product_Dim!A:A,Product_Dim!C:C,"Not Found")</f>
        <v>Home</v>
      </c>
      <c r="I596" t="str">
        <f>_xlfn.XLOOKUP(E596,Store_Dim!A:A,Store_Dim!C:C,"Not Found")</f>
        <v>South</v>
      </c>
      <c r="J596" t="str">
        <f>_xlfn.XLOOKUP(C596,Customer_Dim!A:A,Customer_Dim!B:B,"Not Found")</f>
        <v>Carmen Price</v>
      </c>
      <c r="K596">
        <f>Table511[[#This Row],[Total_Amount]]/(L596*(1-Table511[[#This Row],[Discount]]))</f>
        <v>1.0000000000000002</v>
      </c>
      <c r="L596" s="5">
        <v>71.709999999999994</v>
      </c>
      <c r="M596">
        <v>0.23</v>
      </c>
      <c r="N596" t="s">
        <v>1354</v>
      </c>
      <c r="O596" s="5">
        <v>55.216700000000003</v>
      </c>
    </row>
    <row r="597" spans="1:15">
      <c r="A597" t="s">
        <v>1946</v>
      </c>
      <c r="B597" s="7">
        <v>45891</v>
      </c>
      <c r="C597" t="s">
        <v>407</v>
      </c>
      <c r="D597" t="s">
        <v>1113</v>
      </c>
      <c r="E597" t="s">
        <v>1304</v>
      </c>
      <c r="F597" t="str">
        <f>[1]Raw_Customer_Dim!$A$2</f>
        <v>CUST1000</v>
      </c>
      <c r="G597" t="str">
        <f>_xlfn.XLOOKUP(E597,Store_Dim!A:A,Store_Dim!B:B,"Not Found")</f>
        <v>Martinez-Mullins</v>
      </c>
      <c r="H597" t="str">
        <f>_xlfn.XLOOKUP(D597,Product_Dim!A:A,Product_Dim!C:C,"Not Found")</f>
        <v>Sports</v>
      </c>
      <c r="I597" t="str">
        <f>_xlfn.XLOOKUP(E597,Store_Dim!A:A,Store_Dim!C:C,"Not Found")</f>
        <v>South</v>
      </c>
      <c r="J597" t="str">
        <f>_xlfn.XLOOKUP(C597,Customer_Dim!A:A,Customer_Dim!B:B,"Not Found")</f>
        <v>Teresa Stokes</v>
      </c>
      <c r="K597">
        <f>Table511[[#This Row],[Total_Amount]]/(L597*(1-Table511[[#This Row],[Discount]]))</f>
        <v>3.9999999999999996</v>
      </c>
      <c r="L597" s="5">
        <v>894.93</v>
      </c>
      <c r="M597">
        <v>0.05</v>
      </c>
      <c r="N597" t="s">
        <v>1354</v>
      </c>
      <c r="O597" s="5">
        <v>3400.733999999999</v>
      </c>
    </row>
    <row r="598" spans="1:15">
      <c r="A598" t="s">
        <v>1947</v>
      </c>
      <c r="B598" s="7">
        <v>45842</v>
      </c>
      <c r="C598" t="s">
        <v>466</v>
      </c>
      <c r="D598" t="s">
        <v>1229</v>
      </c>
      <c r="E598" t="s">
        <v>1307</v>
      </c>
      <c r="F598" t="str">
        <f>[1]Raw_Customer_Dim!$A$2</f>
        <v>CUST1000</v>
      </c>
      <c r="G598" t="str">
        <f>_xlfn.XLOOKUP(E598,Store_Dim!A:A,Store_Dim!B:B,"Not Found")</f>
        <v>Bean, Jones and Park</v>
      </c>
      <c r="H598" t="str">
        <f>_xlfn.XLOOKUP(D598,Product_Dim!A:A,Product_Dim!C:C,"Not Found")</f>
        <v>Home</v>
      </c>
      <c r="I598" t="str">
        <f>_xlfn.XLOOKUP(E598,Store_Dim!A:A,Store_Dim!C:C,"Not Found")</f>
        <v>West</v>
      </c>
      <c r="J598" t="str">
        <f>_xlfn.XLOOKUP(C598,Customer_Dim!A:A,Customer_Dim!B:B,"Not Found")</f>
        <v>Christina Garcia</v>
      </c>
      <c r="K598">
        <f>Table511[[#This Row],[Total_Amount]]/(L598*(1-Table511[[#This Row],[Discount]]))</f>
        <v>4</v>
      </c>
      <c r="L598" s="5">
        <v>870.18</v>
      </c>
      <c r="M598">
        <v>0.13</v>
      </c>
      <c r="N598" t="s">
        <v>1354</v>
      </c>
      <c r="O598" s="5">
        <v>3028.2264</v>
      </c>
    </row>
    <row r="599" spans="1:15">
      <c r="A599" t="s">
        <v>1948</v>
      </c>
      <c r="B599" s="7">
        <v>45382</v>
      </c>
      <c r="C599" t="s">
        <v>620</v>
      </c>
      <c r="D599" t="s">
        <v>1201</v>
      </c>
      <c r="E599" t="s">
        <v>1286</v>
      </c>
      <c r="F599" t="str">
        <f>[1]Raw_Customer_Dim!$A$2</f>
        <v>CUST1000</v>
      </c>
      <c r="G599" t="str">
        <f>_xlfn.XLOOKUP(E599,Store_Dim!A:A,Store_Dim!B:B,"Not Found")</f>
        <v>Black-Horn</v>
      </c>
      <c r="H599" t="str">
        <f>_xlfn.XLOOKUP(D599,Product_Dim!A:A,Product_Dim!C:C,"Not Found")</f>
        <v>Beauty</v>
      </c>
      <c r="I599" t="str">
        <f>_xlfn.XLOOKUP(E599,Store_Dim!A:A,Store_Dim!C:C,"Not Found")</f>
        <v>South</v>
      </c>
      <c r="J599" t="str">
        <f>_xlfn.XLOOKUP(C599,Customer_Dim!A:A,Customer_Dim!B:B,"Not Found")</f>
        <v>Stephen Fowler</v>
      </c>
      <c r="K599">
        <f>Table511[[#This Row],[Total_Amount]]/(L599*(1-Table511[[#This Row],[Discount]]))</f>
        <v>2</v>
      </c>
      <c r="L599" s="5">
        <v>552.72</v>
      </c>
      <c r="M599">
        <v>0.06</v>
      </c>
      <c r="N599" t="s">
        <v>1351</v>
      </c>
      <c r="O599" s="5">
        <v>1039.1135999999999</v>
      </c>
    </row>
    <row r="600" spans="1:15">
      <c r="A600" t="s">
        <v>1949</v>
      </c>
      <c r="B600" s="7">
        <v>45236</v>
      </c>
      <c r="C600" t="s">
        <v>555</v>
      </c>
      <c r="D600" t="s">
        <v>1151</v>
      </c>
      <c r="E600" t="s">
        <v>1307</v>
      </c>
      <c r="F600" t="str">
        <f>[1]Raw_Customer_Dim!$A$2</f>
        <v>CUST1000</v>
      </c>
      <c r="G600" t="str">
        <f>_xlfn.XLOOKUP(E600,Store_Dim!A:A,Store_Dim!B:B,"Not Found")</f>
        <v>Bean, Jones and Park</v>
      </c>
      <c r="H600" t="str">
        <f>_xlfn.XLOOKUP(D600,Product_Dim!A:A,Product_Dim!C:C,"Not Found")</f>
        <v>Electronics</v>
      </c>
      <c r="I600" t="str">
        <f>_xlfn.XLOOKUP(E600,Store_Dim!A:A,Store_Dim!C:C,"Not Found")</f>
        <v>West</v>
      </c>
      <c r="J600" t="str">
        <f>_xlfn.XLOOKUP(C600,Customer_Dim!A:A,Customer_Dim!B:B,"Not Found")</f>
        <v>Mary Russell</v>
      </c>
      <c r="K600">
        <f>Table511[[#This Row],[Total_Amount]]/(L600*(1-Table511[[#This Row],[Discount]]))</f>
        <v>3</v>
      </c>
      <c r="L600" s="5">
        <v>700.43</v>
      </c>
      <c r="M600">
        <v>0.01</v>
      </c>
      <c r="N600" t="s">
        <v>1354</v>
      </c>
      <c r="O600" s="5">
        <v>2080.2770999999998</v>
      </c>
    </row>
    <row r="601" spans="1:15">
      <c r="A601" t="s">
        <v>1950</v>
      </c>
      <c r="B601" s="7">
        <v>45806</v>
      </c>
      <c r="C601" t="s">
        <v>742</v>
      </c>
      <c r="D601" t="s">
        <v>1090</v>
      </c>
      <c r="E601" t="s">
        <v>1286</v>
      </c>
      <c r="F601" t="str">
        <f>[1]Raw_Customer_Dim!$A$2</f>
        <v>CUST1000</v>
      </c>
      <c r="G601" t="str">
        <f>_xlfn.XLOOKUP(E601,Store_Dim!A:A,Store_Dim!B:B,"Not Found")</f>
        <v>Black-Horn</v>
      </c>
      <c r="H601" t="str">
        <f>_xlfn.XLOOKUP(D601,Product_Dim!A:A,Product_Dim!C:C,"Not Found")</f>
        <v>Sports</v>
      </c>
      <c r="I601" t="str">
        <f>_xlfn.XLOOKUP(E601,Store_Dim!A:A,Store_Dim!C:C,"Not Found")</f>
        <v>South</v>
      </c>
      <c r="J601" t="str">
        <f>_xlfn.XLOOKUP(C601,Customer_Dim!A:A,Customer_Dim!B:B,"Not Found")</f>
        <v>Mrs. Susan Buckley</v>
      </c>
      <c r="K601">
        <f>Table511[[#This Row],[Total_Amount]]/(L601*(1-Table511[[#This Row],[Discount]]))</f>
        <v>2</v>
      </c>
      <c r="L601" s="5">
        <v>823.03</v>
      </c>
      <c r="M601">
        <v>0.18</v>
      </c>
      <c r="N601" t="s">
        <v>1351</v>
      </c>
      <c r="O601" s="5">
        <v>1349.7692</v>
      </c>
    </row>
    <row r="602" spans="1:15">
      <c r="A602" t="s">
        <v>1951</v>
      </c>
      <c r="B602" s="7">
        <v>45401</v>
      </c>
      <c r="C602" t="s">
        <v>573</v>
      </c>
      <c r="D602" t="s">
        <v>1257</v>
      </c>
      <c r="E602" t="s">
        <v>1301</v>
      </c>
      <c r="F602" t="str">
        <f>[1]Raw_Customer_Dim!$A$2</f>
        <v>CUST1000</v>
      </c>
      <c r="G602" t="str">
        <f>_xlfn.XLOOKUP(E602,Store_Dim!A:A,Store_Dim!B:B,"Not Found")</f>
        <v>Benson-Elliott</v>
      </c>
      <c r="H602" t="str">
        <f>_xlfn.XLOOKUP(D602,Product_Dim!A:A,Product_Dim!C:C,"Not Found")</f>
        <v>Home</v>
      </c>
      <c r="I602" t="str">
        <f>_xlfn.XLOOKUP(E602,Store_Dim!A:A,Store_Dim!C:C,"Not Found")</f>
        <v>East</v>
      </c>
      <c r="J602" t="str">
        <f>_xlfn.XLOOKUP(C602,Customer_Dim!A:A,Customer_Dim!B:B,"Not Found")</f>
        <v>Damon Perez</v>
      </c>
      <c r="K602">
        <f>Table511[[#This Row],[Total_Amount]]/(L602*(1-Table511[[#This Row],[Discount]]))</f>
        <v>1</v>
      </c>
      <c r="L602" s="5">
        <v>117.37</v>
      </c>
      <c r="M602">
        <v>0.21</v>
      </c>
      <c r="N602" t="s">
        <v>1349</v>
      </c>
      <c r="O602" s="5">
        <v>92.722300000000004</v>
      </c>
    </row>
    <row r="603" spans="1:15">
      <c r="A603" t="s">
        <v>1952</v>
      </c>
      <c r="B603" s="7">
        <v>45716</v>
      </c>
      <c r="C603" t="s">
        <v>267</v>
      </c>
      <c r="D603" t="s">
        <v>1185</v>
      </c>
      <c r="E603" t="s">
        <v>1282</v>
      </c>
      <c r="F603" t="str">
        <f>[1]Raw_Customer_Dim!$A$2</f>
        <v>CUST1000</v>
      </c>
      <c r="G603" t="str">
        <f>_xlfn.XLOOKUP(E603,Store_Dim!A:A,Store_Dim!B:B,"Not Found")</f>
        <v>Martinez, Adkins and Johnson</v>
      </c>
      <c r="H603" t="str">
        <f>_xlfn.XLOOKUP(D603,Product_Dim!A:A,Product_Dim!C:C,"Not Found")</f>
        <v>Home</v>
      </c>
      <c r="I603" t="str">
        <f>_xlfn.XLOOKUP(E603,Store_Dim!A:A,Store_Dim!C:C,"Not Found")</f>
        <v>North</v>
      </c>
      <c r="J603" t="str">
        <f>_xlfn.XLOOKUP(C603,Customer_Dim!A:A,Customer_Dim!B:B,"Not Found")</f>
        <v>Christopher Lester</v>
      </c>
      <c r="K603">
        <f>Table511[[#This Row],[Total_Amount]]/(L603*(1-Table511[[#This Row],[Discount]]))</f>
        <v>4</v>
      </c>
      <c r="L603" s="5">
        <v>165.37</v>
      </c>
      <c r="M603">
        <v>0.28999999999999998</v>
      </c>
      <c r="N603" t="s">
        <v>1349</v>
      </c>
      <c r="O603" s="5">
        <v>469.6508</v>
      </c>
    </row>
    <row r="604" spans="1:15">
      <c r="A604" t="s">
        <v>1953</v>
      </c>
      <c r="B604" s="7">
        <v>45718</v>
      </c>
      <c r="C604" t="s">
        <v>819</v>
      </c>
      <c r="D604" t="s">
        <v>1082</v>
      </c>
      <c r="E604" t="s">
        <v>1314</v>
      </c>
      <c r="F604" t="str">
        <f>[1]Raw_Customer_Dim!$A$2</f>
        <v>CUST1000</v>
      </c>
      <c r="G604" t="str">
        <f>_xlfn.XLOOKUP(E604,Store_Dim!A:A,Store_Dim!B:B,"Not Found")</f>
        <v>Hill, Wagner and Ballard</v>
      </c>
      <c r="H604" t="str">
        <f>_xlfn.XLOOKUP(D604,Product_Dim!A:A,Product_Dim!C:C,"Not Found")</f>
        <v>Beauty</v>
      </c>
      <c r="I604" t="str">
        <f>_xlfn.XLOOKUP(E604,Store_Dim!A:A,Store_Dim!C:C,"Not Found")</f>
        <v>East</v>
      </c>
      <c r="J604" t="str">
        <f>_xlfn.XLOOKUP(C604,Customer_Dim!A:A,Customer_Dim!B:B,"Not Found")</f>
        <v>Frank Stewart</v>
      </c>
      <c r="K604">
        <f>Table511[[#This Row],[Total_Amount]]/(L604*(1-Table511[[#This Row],[Discount]]))</f>
        <v>3</v>
      </c>
      <c r="L604" s="5">
        <v>483.06</v>
      </c>
      <c r="M604">
        <v>0.05</v>
      </c>
      <c r="N604" t="s">
        <v>1349</v>
      </c>
      <c r="O604" s="5">
        <v>1376.721</v>
      </c>
    </row>
    <row r="605" spans="1:15">
      <c r="A605" t="s">
        <v>1954</v>
      </c>
      <c r="B605" s="7">
        <v>45379</v>
      </c>
      <c r="C605" t="s">
        <v>650</v>
      </c>
      <c r="D605" t="s">
        <v>1235</v>
      </c>
      <c r="E605" t="s">
        <v>1304</v>
      </c>
      <c r="F605" t="str">
        <f>[1]Raw_Customer_Dim!$A$2</f>
        <v>CUST1000</v>
      </c>
      <c r="G605" t="str">
        <f>_xlfn.XLOOKUP(E605,Store_Dim!A:A,Store_Dim!B:B,"Not Found")</f>
        <v>Martinez-Mullins</v>
      </c>
      <c r="H605" t="str">
        <f>_xlfn.XLOOKUP(D605,Product_Dim!A:A,Product_Dim!C:C,"Not Found")</f>
        <v>Sports</v>
      </c>
      <c r="I605" t="str">
        <f>_xlfn.XLOOKUP(E605,Store_Dim!A:A,Store_Dim!C:C,"Not Found")</f>
        <v>South</v>
      </c>
      <c r="J605" t="str">
        <f>_xlfn.XLOOKUP(C605,Customer_Dim!A:A,Customer_Dim!B:B,"Not Found")</f>
        <v>Gloria Taylor</v>
      </c>
      <c r="K605">
        <f>Table511[[#This Row],[Total_Amount]]/(L605*(1-Table511[[#This Row],[Discount]]))</f>
        <v>4</v>
      </c>
      <c r="L605" s="5">
        <v>262.05</v>
      </c>
      <c r="M605">
        <v>0.24</v>
      </c>
      <c r="N605" t="s">
        <v>1351</v>
      </c>
      <c r="O605" s="5">
        <v>796.63200000000006</v>
      </c>
    </row>
    <row r="606" spans="1:15">
      <c r="A606" t="s">
        <v>1955</v>
      </c>
      <c r="B606" s="7">
        <v>45635</v>
      </c>
      <c r="C606" t="s">
        <v>988</v>
      </c>
      <c r="D606" t="s">
        <v>1101</v>
      </c>
      <c r="E606" t="s">
        <v>1324</v>
      </c>
      <c r="F606" t="str">
        <f>[1]Raw_Customer_Dim!$A$2</f>
        <v>CUST1000</v>
      </c>
      <c r="G606" t="str">
        <f>_xlfn.XLOOKUP(E606,Store_Dim!A:A,Store_Dim!B:B,"Not Found")</f>
        <v>Mcdonald Inc</v>
      </c>
      <c r="H606" t="str">
        <f>_xlfn.XLOOKUP(D606,Product_Dim!A:A,Product_Dim!C:C,"Not Found")</f>
        <v>Home</v>
      </c>
      <c r="I606" t="str">
        <f>_xlfn.XLOOKUP(E606,Store_Dim!A:A,Store_Dim!C:C,"Not Found")</f>
        <v>South</v>
      </c>
      <c r="J606" t="str">
        <f>_xlfn.XLOOKUP(C606,Customer_Dim!A:A,Customer_Dim!B:B,"Not Found")</f>
        <v>Samantha Lee</v>
      </c>
      <c r="K606">
        <f>Table511[[#This Row],[Total_Amount]]/(L606*(1-Table511[[#This Row],[Discount]]))</f>
        <v>3</v>
      </c>
      <c r="L606" s="5">
        <v>970.89</v>
      </c>
      <c r="M606">
        <v>0.11</v>
      </c>
      <c r="N606" t="s">
        <v>1354</v>
      </c>
      <c r="O606" s="5">
        <v>2592.2763</v>
      </c>
    </row>
    <row r="607" spans="1:15">
      <c r="A607" t="s">
        <v>1956</v>
      </c>
      <c r="B607" s="7">
        <v>45222</v>
      </c>
      <c r="C607" t="s">
        <v>494</v>
      </c>
      <c r="D607" t="s">
        <v>1217</v>
      </c>
      <c r="E607" t="s">
        <v>1277</v>
      </c>
      <c r="F607" t="str">
        <f>[1]Raw_Customer_Dim!$A$2</f>
        <v>CUST1000</v>
      </c>
      <c r="G607" t="str">
        <f>_xlfn.XLOOKUP(E607,Store_Dim!A:A,Store_Dim!B:B,"Not Found")</f>
        <v>Rivera-Warner</v>
      </c>
      <c r="H607" t="str">
        <f>_xlfn.XLOOKUP(D607,Product_Dim!A:A,Product_Dim!C:C,"Not Found")</f>
        <v>Sports</v>
      </c>
      <c r="I607" t="str">
        <f>_xlfn.XLOOKUP(E607,Store_Dim!A:A,Store_Dim!C:C,"Not Found")</f>
        <v>East</v>
      </c>
      <c r="J607" t="str">
        <f>_xlfn.XLOOKUP(C607,Customer_Dim!A:A,Customer_Dim!B:B,"Not Found")</f>
        <v>Kathryn Garcia</v>
      </c>
      <c r="K607">
        <f>Table511[[#This Row],[Total_Amount]]/(L607*(1-Table511[[#This Row],[Discount]]))</f>
        <v>1</v>
      </c>
      <c r="L607" s="5">
        <v>61.11</v>
      </c>
      <c r="M607">
        <v>0.1</v>
      </c>
      <c r="N607" t="s">
        <v>1351</v>
      </c>
      <c r="O607" s="5">
        <v>54.999000000000002</v>
      </c>
    </row>
    <row r="608" spans="1:15">
      <c r="A608" t="s">
        <v>1957</v>
      </c>
      <c r="B608" s="7">
        <v>45555</v>
      </c>
      <c r="C608" t="s">
        <v>92</v>
      </c>
      <c r="D608" t="s">
        <v>1127</v>
      </c>
      <c r="E608" t="s">
        <v>1307</v>
      </c>
      <c r="F608" t="str">
        <f>[1]Raw_Customer_Dim!$A$2</f>
        <v>CUST1000</v>
      </c>
      <c r="G608" t="str">
        <f>_xlfn.XLOOKUP(E608,Store_Dim!A:A,Store_Dim!B:B,"Not Found")</f>
        <v>Bean, Jones and Park</v>
      </c>
      <c r="H608" t="str">
        <f>_xlfn.XLOOKUP(D608,Product_Dim!A:A,Product_Dim!C:C,"Not Found")</f>
        <v>Home</v>
      </c>
      <c r="I608" t="str">
        <f>_xlfn.XLOOKUP(E608,Store_Dim!A:A,Store_Dim!C:C,"Not Found")</f>
        <v>West</v>
      </c>
      <c r="J608" t="str">
        <f>_xlfn.XLOOKUP(C608,Customer_Dim!A:A,Customer_Dim!B:B,"Not Found")</f>
        <v>David Arnold</v>
      </c>
      <c r="K608">
        <f>Table511[[#This Row],[Total_Amount]]/(L608*(1-Table511[[#This Row],[Discount]]))</f>
        <v>3</v>
      </c>
      <c r="L608" s="5">
        <v>827.88</v>
      </c>
      <c r="M608">
        <v>0.19</v>
      </c>
      <c r="N608" t="s">
        <v>1351</v>
      </c>
      <c r="O608" s="5">
        <v>2011.7483999999999</v>
      </c>
    </row>
    <row r="609" spans="1:15">
      <c r="A609" t="s">
        <v>1958</v>
      </c>
      <c r="B609" s="7">
        <v>45583</v>
      </c>
      <c r="C609" t="s">
        <v>923</v>
      </c>
      <c r="D609" t="s">
        <v>1247</v>
      </c>
      <c r="E609" t="s">
        <v>1322</v>
      </c>
      <c r="F609" t="str">
        <f>[1]Raw_Customer_Dim!$A$2</f>
        <v>CUST1000</v>
      </c>
      <c r="G609" t="str">
        <f>_xlfn.XLOOKUP(E609,Store_Dim!A:A,Store_Dim!B:B,"Not Found")</f>
        <v>Gardner, Humphrey and Contreras</v>
      </c>
      <c r="H609" t="str">
        <f>_xlfn.XLOOKUP(D609,Product_Dim!A:A,Product_Dim!C:C,"Not Found")</f>
        <v>Home</v>
      </c>
      <c r="I609" t="str">
        <f>_xlfn.XLOOKUP(E609,Store_Dim!A:A,Store_Dim!C:C,"Not Found")</f>
        <v>East</v>
      </c>
      <c r="J609" t="str">
        <f>_xlfn.XLOOKUP(C609,Customer_Dim!A:A,Customer_Dim!B:B,"Not Found")</f>
        <v>Kimberly Roberts</v>
      </c>
      <c r="K609">
        <f>Table511[[#This Row],[Total_Amount]]/(L609*(1-Table511[[#This Row],[Discount]]))</f>
        <v>2.9999999999999996</v>
      </c>
      <c r="L609" s="5">
        <v>926.85</v>
      </c>
      <c r="M609">
        <v>0.18</v>
      </c>
      <c r="N609" t="s">
        <v>1354</v>
      </c>
      <c r="O609" s="5">
        <v>2280.0509999999999</v>
      </c>
    </row>
    <row r="610" spans="1:15">
      <c r="A610" t="s">
        <v>1959</v>
      </c>
      <c r="B610" s="7">
        <v>45662</v>
      </c>
      <c r="C610" t="s">
        <v>698</v>
      </c>
      <c r="D610" t="s">
        <v>1093</v>
      </c>
      <c r="E610" t="s">
        <v>1324</v>
      </c>
      <c r="F610" t="str">
        <f>[1]Raw_Customer_Dim!$A$2</f>
        <v>CUST1000</v>
      </c>
      <c r="G610" t="str">
        <f>_xlfn.XLOOKUP(E610,Store_Dim!A:A,Store_Dim!B:B,"Not Found")</f>
        <v>Mcdonald Inc</v>
      </c>
      <c r="H610" t="str">
        <f>_xlfn.XLOOKUP(D610,Product_Dim!A:A,Product_Dim!C:C,"Not Found")</f>
        <v>Home</v>
      </c>
      <c r="I610" t="str">
        <f>_xlfn.XLOOKUP(E610,Store_Dim!A:A,Store_Dim!C:C,"Not Found")</f>
        <v>South</v>
      </c>
      <c r="J610" t="str">
        <f>_xlfn.XLOOKUP(C610,Customer_Dim!A:A,Customer_Dim!B:B,"Not Found")</f>
        <v>Tiffany Williams</v>
      </c>
      <c r="K610">
        <f>Table511[[#This Row],[Total_Amount]]/(L610*(1-Table511[[#This Row],[Discount]]))</f>
        <v>1</v>
      </c>
      <c r="L610" s="5">
        <v>874.59</v>
      </c>
      <c r="M610">
        <v>0.28999999999999998</v>
      </c>
      <c r="N610" t="s">
        <v>1351</v>
      </c>
      <c r="O610" s="5">
        <v>620.95889999999997</v>
      </c>
    </row>
    <row r="611" spans="1:15">
      <c r="A611" t="s">
        <v>1960</v>
      </c>
      <c r="B611" s="7">
        <v>45921</v>
      </c>
      <c r="C611" t="s">
        <v>1002</v>
      </c>
      <c r="D611" t="s">
        <v>1103</v>
      </c>
      <c r="E611" t="s">
        <v>1282</v>
      </c>
      <c r="F611" t="str">
        <f>[1]Raw_Customer_Dim!$A$2</f>
        <v>CUST1000</v>
      </c>
      <c r="G611" t="str">
        <f>_xlfn.XLOOKUP(E611,Store_Dim!A:A,Store_Dim!B:B,"Not Found")</f>
        <v>Martinez, Adkins and Johnson</v>
      </c>
      <c r="H611" t="str">
        <f>_xlfn.XLOOKUP(D611,Product_Dim!A:A,Product_Dim!C:C,"Not Found")</f>
        <v>Electronics</v>
      </c>
      <c r="I611" t="str">
        <f>_xlfn.XLOOKUP(E611,Store_Dim!A:A,Store_Dim!C:C,"Not Found")</f>
        <v>North</v>
      </c>
      <c r="J611" t="str">
        <f>_xlfn.XLOOKUP(C611,Customer_Dim!A:A,Customer_Dim!B:B,"Not Found")</f>
        <v>Manuel Fisher</v>
      </c>
      <c r="K611">
        <f>Table511[[#This Row],[Total_Amount]]/(L611*(1-Table511[[#This Row],[Discount]]))</f>
        <v>4</v>
      </c>
      <c r="L611" s="5">
        <v>479.11</v>
      </c>
      <c r="M611">
        <v>0.24</v>
      </c>
      <c r="N611" t="s">
        <v>1351</v>
      </c>
      <c r="O611" s="5">
        <v>1456.4944</v>
      </c>
    </row>
    <row r="612" spans="1:15">
      <c r="A612" t="s">
        <v>1961</v>
      </c>
      <c r="B612" s="7">
        <v>45490</v>
      </c>
      <c r="C612" t="s">
        <v>488</v>
      </c>
      <c r="D612" t="s">
        <v>1137</v>
      </c>
      <c r="E612" t="s">
        <v>1332</v>
      </c>
      <c r="F612" t="str">
        <f>[1]Raw_Customer_Dim!$A$2</f>
        <v>CUST1000</v>
      </c>
      <c r="G612" t="str">
        <f>_xlfn.XLOOKUP(E612,Store_Dim!A:A,Store_Dim!B:B,"Not Found")</f>
        <v>Holloway Ltd</v>
      </c>
      <c r="H612" t="str">
        <f>_xlfn.XLOOKUP(D612,Product_Dim!A:A,Product_Dim!C:C,"Not Found")</f>
        <v>Beauty</v>
      </c>
      <c r="I612" t="str">
        <f>_xlfn.XLOOKUP(E612,Store_Dim!A:A,Store_Dim!C:C,"Not Found")</f>
        <v>North</v>
      </c>
      <c r="J612" t="str">
        <f>_xlfn.XLOOKUP(C612,Customer_Dim!A:A,Customer_Dim!B:B,"Not Found")</f>
        <v>Stuart Johnson</v>
      </c>
      <c r="K612">
        <f>Table511[[#This Row],[Total_Amount]]/(L612*(1-Table511[[#This Row],[Discount]]))</f>
        <v>3</v>
      </c>
      <c r="L612" s="5">
        <v>182.91</v>
      </c>
      <c r="M612">
        <v>0.28999999999999998</v>
      </c>
      <c r="N612" t="s">
        <v>1349</v>
      </c>
      <c r="O612" s="5">
        <v>389.59829999999999</v>
      </c>
    </row>
    <row r="613" spans="1:15">
      <c r="A613" t="s">
        <v>1962</v>
      </c>
      <c r="B613" s="7">
        <v>45652</v>
      </c>
      <c r="C613" t="s">
        <v>608</v>
      </c>
      <c r="D613" t="s">
        <v>1141</v>
      </c>
      <c r="E613" t="s">
        <v>1298</v>
      </c>
      <c r="F613" t="str">
        <f>[1]Raw_Customer_Dim!$A$2</f>
        <v>CUST1000</v>
      </c>
      <c r="G613" t="str">
        <f>_xlfn.XLOOKUP(E613,Store_Dim!A:A,Store_Dim!B:B,"Not Found")</f>
        <v>Gray Ltd</v>
      </c>
      <c r="H613" t="str">
        <f>_xlfn.XLOOKUP(D613,Product_Dim!A:A,Product_Dim!C:C,"Not Found")</f>
        <v>Electronics</v>
      </c>
      <c r="I613" t="str">
        <f>_xlfn.XLOOKUP(E613,Store_Dim!A:A,Store_Dim!C:C,"Not Found")</f>
        <v>North</v>
      </c>
      <c r="J613" t="str">
        <f>_xlfn.XLOOKUP(C613,Customer_Dim!A:A,Customer_Dim!B:B,"Not Found")</f>
        <v>Adam Rowland</v>
      </c>
      <c r="K613">
        <f>Table511[[#This Row],[Total_Amount]]/(L613*(1-Table511[[#This Row],[Discount]]))</f>
        <v>4.0000000000000009</v>
      </c>
      <c r="L613" s="5">
        <v>745.51</v>
      </c>
      <c r="M613">
        <v>0.05</v>
      </c>
      <c r="N613" t="s">
        <v>1349</v>
      </c>
      <c r="O613" s="5">
        <v>2832.9380000000001</v>
      </c>
    </row>
    <row r="614" spans="1:15">
      <c r="A614" t="s">
        <v>1963</v>
      </c>
      <c r="B614" s="7">
        <v>45598</v>
      </c>
      <c r="C614" t="s">
        <v>1024</v>
      </c>
      <c r="D614" t="s">
        <v>1249</v>
      </c>
      <c r="E614" t="s">
        <v>1326</v>
      </c>
      <c r="F614" t="str">
        <f>[1]Raw_Customer_Dim!$A$2</f>
        <v>CUST1000</v>
      </c>
      <c r="G614" t="str">
        <f>_xlfn.XLOOKUP(E614,Store_Dim!A:A,Store_Dim!B:B,"Not Found")</f>
        <v>Shelton PLC</v>
      </c>
      <c r="H614" t="str">
        <f>_xlfn.XLOOKUP(D614,Product_Dim!A:A,Product_Dim!C:C,"Not Found")</f>
        <v>Sports</v>
      </c>
      <c r="I614" t="str">
        <f>_xlfn.XLOOKUP(E614,Store_Dim!A:A,Store_Dim!C:C,"Not Found")</f>
        <v>North</v>
      </c>
      <c r="J614" t="str">
        <f>_xlfn.XLOOKUP(C614,Customer_Dim!A:A,Customer_Dim!B:B,"Not Found")</f>
        <v>Bryan Tran</v>
      </c>
      <c r="K614">
        <f>Table511[[#This Row],[Total_Amount]]/(L614*(1-Table511[[#This Row],[Discount]]))</f>
        <v>3.0000000000000004</v>
      </c>
      <c r="L614" s="5">
        <v>920.61</v>
      </c>
      <c r="M614">
        <v>0.04</v>
      </c>
      <c r="N614" t="s">
        <v>1349</v>
      </c>
      <c r="O614" s="5">
        <v>2651.3568</v>
      </c>
    </row>
    <row r="615" spans="1:15">
      <c r="A615" t="s">
        <v>1964</v>
      </c>
      <c r="B615" s="7">
        <v>45772</v>
      </c>
      <c r="C615" t="s">
        <v>913</v>
      </c>
      <c r="D615" t="s">
        <v>1223</v>
      </c>
      <c r="E615" t="s">
        <v>1314</v>
      </c>
      <c r="F615" t="str">
        <f>[1]Raw_Customer_Dim!$A$2</f>
        <v>CUST1000</v>
      </c>
      <c r="G615" t="str">
        <f>_xlfn.XLOOKUP(E615,Store_Dim!A:A,Store_Dim!B:B,"Not Found")</f>
        <v>Hill, Wagner and Ballard</v>
      </c>
      <c r="H615" t="str">
        <f>_xlfn.XLOOKUP(D615,Product_Dim!A:A,Product_Dim!C:C,"Not Found")</f>
        <v>Clothing</v>
      </c>
      <c r="I615" t="str">
        <f>_xlfn.XLOOKUP(E615,Store_Dim!A:A,Store_Dim!C:C,"Not Found")</f>
        <v>East</v>
      </c>
      <c r="J615" t="str">
        <f>_xlfn.XLOOKUP(C615,Customer_Dim!A:A,Customer_Dim!B:B,"Not Found")</f>
        <v>Bryce Hawkins</v>
      </c>
      <c r="K615">
        <f>Table511[[#This Row],[Total_Amount]]/(L615*(1-Table511[[#This Row],[Discount]]))</f>
        <v>4.0000000000000009</v>
      </c>
      <c r="L615" s="5">
        <v>659.03</v>
      </c>
      <c r="M615">
        <v>0.15</v>
      </c>
      <c r="N615" t="s">
        <v>1349</v>
      </c>
      <c r="O615" s="5">
        <v>2240.7020000000002</v>
      </c>
    </row>
    <row r="616" spans="1:15">
      <c r="A616" t="s">
        <v>1965</v>
      </c>
      <c r="B616" s="7">
        <v>45338</v>
      </c>
      <c r="C616" t="s">
        <v>1043</v>
      </c>
      <c r="D616" t="s">
        <v>1090</v>
      </c>
      <c r="E616" t="s">
        <v>1286</v>
      </c>
      <c r="F616" t="str">
        <f>[1]Raw_Customer_Dim!$A$2</f>
        <v>CUST1000</v>
      </c>
      <c r="G616" t="str">
        <f>_xlfn.XLOOKUP(E616,Store_Dim!A:A,Store_Dim!B:B,"Not Found")</f>
        <v>Black-Horn</v>
      </c>
      <c r="H616" t="str">
        <f>_xlfn.XLOOKUP(D616,Product_Dim!A:A,Product_Dim!C:C,"Not Found")</f>
        <v>Sports</v>
      </c>
      <c r="I616" t="str">
        <f>_xlfn.XLOOKUP(E616,Store_Dim!A:A,Store_Dim!C:C,"Not Found")</f>
        <v>South</v>
      </c>
      <c r="J616" t="str">
        <f>_xlfn.XLOOKUP(C616,Customer_Dim!A:A,Customer_Dim!B:B,"Not Found")</f>
        <v>Not Found</v>
      </c>
      <c r="K616">
        <f>Table511[[#This Row],[Total_Amount]]/(L616*(1-Table511[[#This Row],[Discount]]))</f>
        <v>0.99999999999999978</v>
      </c>
      <c r="L616" s="5">
        <v>312.91000000000003</v>
      </c>
      <c r="M616">
        <v>0.12</v>
      </c>
      <c r="N616" t="s">
        <v>1351</v>
      </c>
      <c r="O616" s="5">
        <v>275.36079999999998</v>
      </c>
    </row>
    <row r="617" spans="1:15">
      <c r="A617" t="s">
        <v>1966</v>
      </c>
      <c r="B617" s="7">
        <v>45524</v>
      </c>
      <c r="C617" t="s">
        <v>519</v>
      </c>
      <c r="D617" t="s">
        <v>1097</v>
      </c>
      <c r="E617" t="s">
        <v>1335</v>
      </c>
      <c r="F617" t="str">
        <f>[1]Raw_Customer_Dim!$A$2</f>
        <v>CUST1000</v>
      </c>
      <c r="G617" t="str">
        <f>_xlfn.XLOOKUP(E617,Store_Dim!A:A,Store_Dim!B:B,"Not Found")</f>
        <v>Guerrero-Schmitt</v>
      </c>
      <c r="H617" t="str">
        <f>_xlfn.XLOOKUP(D617,Product_Dim!A:A,Product_Dim!C:C,"Not Found")</f>
        <v>Beauty</v>
      </c>
      <c r="I617" t="str">
        <f>_xlfn.XLOOKUP(E617,Store_Dim!A:A,Store_Dim!C:C,"Not Found")</f>
        <v>East</v>
      </c>
      <c r="J617" t="str">
        <f>_xlfn.XLOOKUP(C617,Customer_Dim!A:A,Customer_Dim!B:B,"Not Found")</f>
        <v>Casey Flores</v>
      </c>
      <c r="K617">
        <f>Table511[[#This Row],[Total_Amount]]/(L617*(1-Table511[[#This Row],[Discount]]))</f>
        <v>4</v>
      </c>
      <c r="L617" s="5">
        <v>705.64</v>
      </c>
      <c r="M617">
        <v>0.11</v>
      </c>
      <c r="N617" t="s">
        <v>1351</v>
      </c>
      <c r="O617" s="5">
        <v>2512.0783999999999</v>
      </c>
    </row>
    <row r="618" spans="1:15">
      <c r="A618" t="s">
        <v>1967</v>
      </c>
      <c r="B618" s="7">
        <v>45497</v>
      </c>
      <c r="C618" t="s">
        <v>349</v>
      </c>
      <c r="D618" t="s">
        <v>1090</v>
      </c>
      <c r="E618" t="s">
        <v>1314</v>
      </c>
      <c r="F618" t="str">
        <f>[1]Raw_Customer_Dim!$A$2</f>
        <v>CUST1000</v>
      </c>
      <c r="G618" t="str">
        <f>_xlfn.XLOOKUP(E618,Store_Dim!A:A,Store_Dim!B:B,"Not Found")</f>
        <v>Hill, Wagner and Ballard</v>
      </c>
      <c r="H618" t="str">
        <f>_xlfn.XLOOKUP(D618,Product_Dim!A:A,Product_Dim!C:C,"Not Found")</f>
        <v>Sports</v>
      </c>
      <c r="I618" t="str">
        <f>_xlfn.XLOOKUP(E618,Store_Dim!A:A,Store_Dim!C:C,"Not Found")</f>
        <v>East</v>
      </c>
      <c r="J618" t="str">
        <f>_xlfn.XLOOKUP(C618,Customer_Dim!A:A,Customer_Dim!B:B,"Not Found")</f>
        <v>Justin Cross</v>
      </c>
      <c r="K618">
        <f>Table511[[#This Row],[Total_Amount]]/(L618*(1-Table511[[#This Row],[Discount]]))</f>
        <v>3.9999999999999991</v>
      </c>
      <c r="L618" s="5">
        <v>386.41</v>
      </c>
      <c r="M618">
        <v>0.13</v>
      </c>
      <c r="N618" t="s">
        <v>1354</v>
      </c>
      <c r="O618" s="5">
        <v>1344.7067999999999</v>
      </c>
    </row>
    <row r="619" spans="1:15">
      <c r="A619" t="s">
        <v>1968</v>
      </c>
      <c r="B619" s="7">
        <v>45534</v>
      </c>
      <c r="C619" t="s">
        <v>92</v>
      </c>
      <c r="D619" t="s">
        <v>1261</v>
      </c>
      <c r="E619" t="s">
        <v>1317</v>
      </c>
      <c r="F619" t="str">
        <f>[1]Raw_Customer_Dim!$A$2</f>
        <v>CUST1000</v>
      </c>
      <c r="G619" t="str">
        <f>_xlfn.XLOOKUP(E619,Store_Dim!A:A,Store_Dim!B:B,"Not Found")</f>
        <v>Aguirre-Keller</v>
      </c>
      <c r="H619" t="str">
        <f>_xlfn.XLOOKUP(D619,Product_Dim!A:A,Product_Dim!C:C,"Not Found")</f>
        <v>Beauty</v>
      </c>
      <c r="I619" t="str">
        <f>_xlfn.XLOOKUP(E619,Store_Dim!A:A,Store_Dim!C:C,"Not Found")</f>
        <v>South</v>
      </c>
      <c r="J619" t="str">
        <f>_xlfn.XLOOKUP(C619,Customer_Dim!A:A,Customer_Dim!B:B,"Not Found")</f>
        <v>David Arnold</v>
      </c>
      <c r="K619">
        <f>Table511[[#This Row],[Total_Amount]]/(L619*(1-Table511[[#This Row],[Discount]]))</f>
        <v>3</v>
      </c>
      <c r="L619" s="5">
        <v>265.89</v>
      </c>
      <c r="M619">
        <v>0.08</v>
      </c>
      <c r="N619" t="s">
        <v>1354</v>
      </c>
      <c r="O619" s="5">
        <v>733.85640000000001</v>
      </c>
    </row>
    <row r="620" spans="1:15">
      <c r="A620" t="s">
        <v>1969</v>
      </c>
      <c r="B620" s="7">
        <v>45925</v>
      </c>
      <c r="C620" t="s">
        <v>202</v>
      </c>
      <c r="D620" t="s">
        <v>1133</v>
      </c>
      <c r="E620" t="s">
        <v>1329</v>
      </c>
      <c r="F620" t="str">
        <f>[1]Raw_Customer_Dim!$A$2</f>
        <v>CUST1000</v>
      </c>
      <c r="G620" t="str">
        <f>_xlfn.XLOOKUP(E620,Store_Dim!A:A,Store_Dim!B:B,"Not Found")</f>
        <v>Frederick-Wright</v>
      </c>
      <c r="H620" t="str">
        <f>_xlfn.XLOOKUP(D620,Product_Dim!A:A,Product_Dim!C:C,"Not Found")</f>
        <v>Home</v>
      </c>
      <c r="I620" t="str">
        <f>_xlfn.XLOOKUP(E620,Store_Dim!A:A,Store_Dim!C:C,"Not Found")</f>
        <v>West</v>
      </c>
      <c r="J620" t="str">
        <f>_xlfn.XLOOKUP(C620,Customer_Dim!A:A,Customer_Dim!B:B,"Not Found")</f>
        <v>Rhonda Morales</v>
      </c>
      <c r="K620">
        <f>Table511[[#This Row],[Total_Amount]]/(L620*(1-Table511[[#This Row],[Discount]]))</f>
        <v>1.0000000000000002</v>
      </c>
      <c r="L620" s="5">
        <v>703.16</v>
      </c>
      <c r="M620">
        <v>0.28999999999999998</v>
      </c>
      <c r="N620" t="s">
        <v>1349</v>
      </c>
      <c r="O620" s="5">
        <v>499.24360000000001</v>
      </c>
    </row>
    <row r="621" spans="1:15">
      <c r="A621" t="s">
        <v>1970</v>
      </c>
      <c r="B621" s="7">
        <v>45765</v>
      </c>
      <c r="C621" t="s">
        <v>1004</v>
      </c>
      <c r="D621" t="s">
        <v>1267</v>
      </c>
      <c r="E621" t="s">
        <v>1322</v>
      </c>
      <c r="F621" t="str">
        <f>[1]Raw_Customer_Dim!$A$2</f>
        <v>CUST1000</v>
      </c>
      <c r="G621" t="str">
        <f>_xlfn.XLOOKUP(E621,Store_Dim!A:A,Store_Dim!B:B,"Not Found")</f>
        <v>Gardner, Humphrey and Contreras</v>
      </c>
      <c r="H621" t="str">
        <f>_xlfn.XLOOKUP(D621,Product_Dim!A:A,Product_Dim!C:C,"Not Found")</f>
        <v>Sports</v>
      </c>
      <c r="I621" t="str">
        <f>_xlfn.XLOOKUP(E621,Store_Dim!A:A,Store_Dim!C:C,"Not Found")</f>
        <v>East</v>
      </c>
      <c r="J621" t="str">
        <f>_xlfn.XLOOKUP(C621,Customer_Dim!A:A,Customer_Dim!B:B,"Not Found")</f>
        <v>Debra Mccullough</v>
      </c>
      <c r="K621">
        <f>Table511[[#This Row],[Total_Amount]]/(L621*(1-Table511[[#This Row],[Discount]]))</f>
        <v>2</v>
      </c>
      <c r="L621" s="5">
        <v>394.5</v>
      </c>
      <c r="M621">
        <v>0.28999999999999998</v>
      </c>
      <c r="N621" t="s">
        <v>1354</v>
      </c>
      <c r="O621" s="5">
        <v>560.18999999999994</v>
      </c>
    </row>
    <row r="622" spans="1:15">
      <c r="A622" t="s">
        <v>1971</v>
      </c>
      <c r="B622" s="7">
        <v>45882</v>
      </c>
      <c r="C622" t="s">
        <v>294</v>
      </c>
      <c r="D622" t="s">
        <v>1267</v>
      </c>
      <c r="E622" t="s">
        <v>1304</v>
      </c>
      <c r="F622" t="str">
        <f>[1]Raw_Customer_Dim!$A$2</f>
        <v>CUST1000</v>
      </c>
      <c r="G622" t="str">
        <f>_xlfn.XLOOKUP(E622,Store_Dim!A:A,Store_Dim!B:B,"Not Found")</f>
        <v>Martinez-Mullins</v>
      </c>
      <c r="H622" t="str">
        <f>_xlfn.XLOOKUP(D622,Product_Dim!A:A,Product_Dim!C:C,"Not Found")</f>
        <v>Sports</v>
      </c>
      <c r="I622" t="str">
        <f>_xlfn.XLOOKUP(E622,Store_Dim!A:A,Store_Dim!C:C,"Not Found")</f>
        <v>South</v>
      </c>
      <c r="J622" t="str">
        <f>_xlfn.XLOOKUP(C622,Customer_Dim!A:A,Customer_Dim!B:B,"Not Found")</f>
        <v>Colleen Mccarthy</v>
      </c>
      <c r="K622">
        <f>Table511[[#This Row],[Total_Amount]]/(L622*(1-Table511[[#This Row],[Discount]]))</f>
        <v>3</v>
      </c>
      <c r="L622" s="5">
        <v>411.25</v>
      </c>
      <c r="M622">
        <v>0.05</v>
      </c>
      <c r="N622" t="s">
        <v>1349</v>
      </c>
      <c r="O622" s="5">
        <v>1172.0625</v>
      </c>
    </row>
    <row r="623" spans="1:15">
      <c r="A623" t="s">
        <v>1972</v>
      </c>
      <c r="B623" s="7">
        <v>45923</v>
      </c>
      <c r="C623" t="s">
        <v>770</v>
      </c>
      <c r="D623" t="s">
        <v>1169</v>
      </c>
      <c r="E623" t="s">
        <v>1286</v>
      </c>
      <c r="F623" t="str">
        <f>[1]Raw_Customer_Dim!$A$2</f>
        <v>CUST1000</v>
      </c>
      <c r="G623" t="str">
        <f>_xlfn.XLOOKUP(E623,Store_Dim!A:A,Store_Dim!B:B,"Not Found")</f>
        <v>Black-Horn</v>
      </c>
      <c r="H623" t="str">
        <f>_xlfn.XLOOKUP(D623,Product_Dim!A:A,Product_Dim!C:C,"Not Found")</f>
        <v>Electronics</v>
      </c>
      <c r="I623" t="str">
        <f>_xlfn.XLOOKUP(E623,Store_Dim!A:A,Store_Dim!C:C,"Not Found")</f>
        <v>South</v>
      </c>
      <c r="J623" t="str">
        <f>_xlfn.XLOOKUP(C623,Customer_Dim!A:A,Customer_Dim!B:B,"Not Found")</f>
        <v xml:space="preserve">   laura green</v>
      </c>
      <c r="K623">
        <f>Table511[[#This Row],[Total_Amount]]/(L623*(1-Table511[[#This Row],[Discount]]))</f>
        <v>4</v>
      </c>
      <c r="L623" s="5">
        <v>395.45</v>
      </c>
      <c r="M623">
        <v>0.01</v>
      </c>
      <c r="N623" t="s">
        <v>1349</v>
      </c>
      <c r="O623" s="5">
        <v>1565.982</v>
      </c>
    </row>
    <row r="624" spans="1:15">
      <c r="A624" t="s">
        <v>1973</v>
      </c>
      <c r="B624" s="7">
        <v>45421</v>
      </c>
      <c r="C624" t="s">
        <v>109</v>
      </c>
      <c r="D624" t="s">
        <v>1253</v>
      </c>
      <c r="E624" t="s">
        <v>1298</v>
      </c>
      <c r="F624" t="str">
        <f>[1]Raw_Customer_Dim!$A$2</f>
        <v>CUST1000</v>
      </c>
      <c r="G624" t="str">
        <f>_xlfn.XLOOKUP(E624,Store_Dim!A:A,Store_Dim!B:B,"Not Found")</f>
        <v>Gray Ltd</v>
      </c>
      <c r="H624" t="str">
        <f>_xlfn.XLOOKUP(D624,Product_Dim!A:A,Product_Dim!C:C,"Not Found")</f>
        <v>Electronics</v>
      </c>
      <c r="I624" t="str">
        <f>_xlfn.XLOOKUP(E624,Store_Dim!A:A,Store_Dim!C:C,"Not Found")</f>
        <v>North</v>
      </c>
      <c r="J624" t="str">
        <f>_xlfn.XLOOKUP(C624,Customer_Dim!A:A,Customer_Dim!B:B,"Not Found")</f>
        <v>Thomas Phillips</v>
      </c>
      <c r="K624">
        <f>Table511[[#This Row],[Total_Amount]]/(L624*(1-Table511[[#This Row],[Discount]]))</f>
        <v>2</v>
      </c>
      <c r="L624" s="5">
        <v>678.98</v>
      </c>
      <c r="M624">
        <v>0.23</v>
      </c>
      <c r="N624" t="s">
        <v>1349</v>
      </c>
      <c r="O624" s="5">
        <v>1045.6292000000001</v>
      </c>
    </row>
    <row r="625" spans="1:15">
      <c r="A625" t="s">
        <v>1974</v>
      </c>
      <c r="B625" s="7">
        <v>45608</v>
      </c>
      <c r="C625" t="s">
        <v>194</v>
      </c>
      <c r="D625" t="s">
        <v>1127</v>
      </c>
      <c r="E625" t="s">
        <v>1324</v>
      </c>
      <c r="F625" t="str">
        <f>[1]Raw_Customer_Dim!$A$2</f>
        <v>CUST1000</v>
      </c>
      <c r="G625" t="str">
        <f>_xlfn.XLOOKUP(E625,Store_Dim!A:A,Store_Dim!B:B,"Not Found")</f>
        <v>Mcdonald Inc</v>
      </c>
      <c r="H625" t="str">
        <f>_xlfn.XLOOKUP(D625,Product_Dim!A:A,Product_Dim!C:C,"Not Found")</f>
        <v>Home</v>
      </c>
      <c r="I625" t="str">
        <f>_xlfn.XLOOKUP(E625,Store_Dim!A:A,Store_Dim!C:C,"Not Found")</f>
        <v>South</v>
      </c>
      <c r="J625" t="str">
        <f>_xlfn.XLOOKUP(C625,Customer_Dim!A:A,Customer_Dim!B:B,"Not Found")</f>
        <v>Tonya Burch</v>
      </c>
      <c r="K625">
        <f>Table511[[#This Row],[Total_Amount]]/(L625*(1-Table511[[#This Row],[Discount]]))</f>
        <v>4</v>
      </c>
      <c r="L625" s="5">
        <v>757.71</v>
      </c>
      <c r="M625">
        <v>0.26</v>
      </c>
      <c r="N625" t="s">
        <v>1354</v>
      </c>
      <c r="O625" s="5">
        <v>2242.8216000000002</v>
      </c>
    </row>
    <row r="626" spans="1:15">
      <c r="A626" t="s">
        <v>1975</v>
      </c>
      <c r="B626" s="7">
        <v>45644</v>
      </c>
      <c r="C626" t="s">
        <v>164</v>
      </c>
      <c r="D626" t="s">
        <v>1261</v>
      </c>
      <c r="E626" t="s">
        <v>1294</v>
      </c>
      <c r="F626" t="str">
        <f>[1]Raw_Customer_Dim!$A$2</f>
        <v>CUST1000</v>
      </c>
      <c r="G626" t="str">
        <f>_xlfn.XLOOKUP(E626,Store_Dim!A:A,Store_Dim!B:B,"Not Found")</f>
        <v>Alexander Group</v>
      </c>
      <c r="H626" t="str">
        <f>_xlfn.XLOOKUP(D626,Product_Dim!A:A,Product_Dim!C:C,"Not Found")</f>
        <v>Beauty</v>
      </c>
      <c r="I626" t="str">
        <f>_xlfn.XLOOKUP(E626,Store_Dim!A:A,Store_Dim!C:C,"Not Found")</f>
        <v>South</v>
      </c>
      <c r="J626" t="str">
        <f>_xlfn.XLOOKUP(C626,Customer_Dim!A:A,Customer_Dim!B:B,"Not Found")</f>
        <v>Alyssa Vargas</v>
      </c>
      <c r="K626">
        <f>Table511[[#This Row],[Total_Amount]]/(L626*(1-Table511[[#This Row],[Discount]]))</f>
        <v>1</v>
      </c>
      <c r="L626" s="5">
        <v>647.86</v>
      </c>
      <c r="M626">
        <v>0.05</v>
      </c>
      <c r="N626" t="s">
        <v>1354</v>
      </c>
      <c r="O626" s="5">
        <v>615.46699999999998</v>
      </c>
    </row>
    <row r="627" spans="1:15">
      <c r="A627" t="s">
        <v>1976</v>
      </c>
      <c r="B627" s="7">
        <v>45517</v>
      </c>
      <c r="C627" t="s">
        <v>331</v>
      </c>
      <c r="D627" t="s">
        <v>1097</v>
      </c>
      <c r="E627" t="s">
        <v>1301</v>
      </c>
      <c r="F627" t="str">
        <f>[1]Raw_Customer_Dim!$A$2</f>
        <v>CUST1000</v>
      </c>
      <c r="G627" t="str">
        <f>_xlfn.XLOOKUP(E627,Store_Dim!A:A,Store_Dim!B:B,"Not Found")</f>
        <v>Benson-Elliott</v>
      </c>
      <c r="H627" t="str">
        <f>_xlfn.XLOOKUP(D627,Product_Dim!A:A,Product_Dim!C:C,"Not Found")</f>
        <v>Beauty</v>
      </c>
      <c r="I627" t="str">
        <f>_xlfn.XLOOKUP(E627,Store_Dim!A:A,Store_Dim!C:C,"Not Found")</f>
        <v>East</v>
      </c>
      <c r="J627" t="str">
        <f>_xlfn.XLOOKUP(C627,Customer_Dim!A:A,Customer_Dim!B:B,"Not Found")</f>
        <v>Matthew Hanna</v>
      </c>
      <c r="K627">
        <f>Table511[[#This Row],[Total_Amount]]/(L627*(1-Table511[[#This Row],[Discount]]))</f>
        <v>2</v>
      </c>
      <c r="L627" s="5">
        <v>179.64</v>
      </c>
      <c r="M627">
        <v>0.1</v>
      </c>
      <c r="N627" t="s">
        <v>1351</v>
      </c>
      <c r="O627" s="5">
        <v>323.35199999999998</v>
      </c>
    </row>
    <row r="628" spans="1:15">
      <c r="A628" t="s">
        <v>1977</v>
      </c>
      <c r="B628" s="7">
        <v>45545</v>
      </c>
      <c r="C628" t="s">
        <v>855</v>
      </c>
      <c r="D628" t="s">
        <v>1197</v>
      </c>
      <c r="E628" t="s">
        <v>1294</v>
      </c>
      <c r="F628" t="str">
        <f>[1]Raw_Customer_Dim!$A$2</f>
        <v>CUST1000</v>
      </c>
      <c r="G628" t="str">
        <f>_xlfn.XLOOKUP(E628,Store_Dim!A:A,Store_Dim!B:B,"Not Found")</f>
        <v>Alexander Group</v>
      </c>
      <c r="H628" t="str">
        <f>_xlfn.XLOOKUP(D628,Product_Dim!A:A,Product_Dim!C:C,"Not Found")</f>
        <v>Electronics</v>
      </c>
      <c r="I628" t="str">
        <f>_xlfn.XLOOKUP(E628,Store_Dim!A:A,Store_Dim!C:C,"Not Found")</f>
        <v>South</v>
      </c>
      <c r="J628" t="str">
        <f>_xlfn.XLOOKUP(C628,Customer_Dim!A:A,Customer_Dim!B:B,"Not Found")</f>
        <v>Alexander Byrd</v>
      </c>
      <c r="K628">
        <f>Table511[[#This Row],[Total_Amount]]/(L628*(1-Table511[[#This Row],[Discount]]))</f>
        <v>2.9999999999999996</v>
      </c>
      <c r="L628" s="5">
        <v>392.65</v>
      </c>
      <c r="M628">
        <v>0.17</v>
      </c>
      <c r="N628" t="s">
        <v>1351</v>
      </c>
      <c r="O628" s="5">
        <v>977.69849999999985</v>
      </c>
    </row>
    <row r="629" spans="1:15">
      <c r="A629" t="s">
        <v>1978</v>
      </c>
      <c r="B629" s="7">
        <v>45547</v>
      </c>
      <c r="C629" t="s">
        <v>413</v>
      </c>
      <c r="D629" t="s">
        <v>1255</v>
      </c>
      <c r="E629" t="s">
        <v>1329</v>
      </c>
      <c r="F629" t="str">
        <f>[1]Raw_Customer_Dim!$A$2</f>
        <v>CUST1000</v>
      </c>
      <c r="G629" t="str">
        <f>_xlfn.XLOOKUP(E629,Store_Dim!A:A,Store_Dim!B:B,"Not Found")</f>
        <v>Frederick-Wright</v>
      </c>
      <c r="H629" t="str">
        <f>_xlfn.XLOOKUP(D629,Product_Dim!A:A,Product_Dim!C:C,"Not Found")</f>
        <v>Clothing</v>
      </c>
      <c r="I629" t="str">
        <f>_xlfn.XLOOKUP(E629,Store_Dim!A:A,Store_Dim!C:C,"Not Found")</f>
        <v>West</v>
      </c>
      <c r="J629" t="str">
        <f>_xlfn.XLOOKUP(C629,Customer_Dim!A:A,Customer_Dim!B:B,"Not Found")</f>
        <v>John Bradford</v>
      </c>
      <c r="K629">
        <f>Table511[[#This Row],[Total_Amount]]/(L629*(1-Table511[[#This Row],[Discount]]))</f>
        <v>4</v>
      </c>
      <c r="L629" s="5">
        <v>969.55</v>
      </c>
      <c r="M629">
        <v>0.09</v>
      </c>
      <c r="N629" t="s">
        <v>1354</v>
      </c>
      <c r="O629" s="5">
        <v>3529.1619999999998</v>
      </c>
    </row>
    <row r="630" spans="1:15">
      <c r="A630" t="s">
        <v>1979</v>
      </c>
      <c r="B630" s="7">
        <v>45433</v>
      </c>
      <c r="C630" t="s">
        <v>986</v>
      </c>
      <c r="D630" t="s">
        <v>1221</v>
      </c>
      <c r="E630" t="s">
        <v>1319</v>
      </c>
      <c r="F630" t="str">
        <f>[1]Raw_Customer_Dim!$A$2</f>
        <v>CUST1000</v>
      </c>
      <c r="G630" t="str">
        <f>_xlfn.XLOOKUP(E630,Store_Dim!A:A,Store_Dim!B:B,"Not Found")</f>
        <v>Thomas, Bridges and Harris</v>
      </c>
      <c r="H630" t="str">
        <f>_xlfn.XLOOKUP(D630,Product_Dim!A:A,Product_Dim!C:C,"Not Found")</f>
        <v>Electronics</v>
      </c>
      <c r="I630" t="str">
        <f>_xlfn.XLOOKUP(E630,Store_Dim!A:A,Store_Dim!C:C,"Not Found")</f>
        <v>North</v>
      </c>
      <c r="J630" t="str">
        <f>_xlfn.XLOOKUP(C630,Customer_Dim!A:A,Customer_Dim!B:B,"Not Found")</f>
        <v>Beth Martin</v>
      </c>
      <c r="K630">
        <f>Table511[[#This Row],[Total_Amount]]/(L630*(1-Table511[[#This Row],[Discount]]))</f>
        <v>2.9999999999999996</v>
      </c>
      <c r="L630" s="5">
        <v>322.94</v>
      </c>
      <c r="M630">
        <v>0.01</v>
      </c>
      <c r="N630" t="s">
        <v>1349</v>
      </c>
      <c r="O630" s="5">
        <v>959.13179999999988</v>
      </c>
    </row>
    <row r="631" spans="1:15">
      <c r="A631" t="s">
        <v>1980</v>
      </c>
      <c r="B631" s="7">
        <v>45792</v>
      </c>
      <c r="C631" t="s">
        <v>787</v>
      </c>
      <c r="D631" t="s">
        <v>1239</v>
      </c>
      <c r="E631" t="s">
        <v>1277</v>
      </c>
      <c r="F631" t="str">
        <f>[1]Raw_Customer_Dim!$A$2</f>
        <v>CUST1000</v>
      </c>
      <c r="G631" t="str">
        <f>_xlfn.XLOOKUP(E631,Store_Dim!A:A,Store_Dim!B:B,"Not Found")</f>
        <v>Rivera-Warner</v>
      </c>
      <c r="H631" t="str">
        <f>_xlfn.XLOOKUP(D631,Product_Dim!A:A,Product_Dim!C:C,"Not Found")</f>
        <v>Beauty</v>
      </c>
      <c r="I631" t="str">
        <f>_xlfn.XLOOKUP(E631,Store_Dim!A:A,Store_Dim!C:C,"Not Found")</f>
        <v>East</v>
      </c>
      <c r="J631" t="str">
        <f>_xlfn.XLOOKUP(C631,Customer_Dim!A:A,Customer_Dim!B:B,"Not Found")</f>
        <v>Joshua Smith DVM</v>
      </c>
      <c r="K631">
        <f>Table511[[#This Row],[Total_Amount]]/(L631*(1-Table511[[#This Row],[Discount]]))</f>
        <v>1</v>
      </c>
      <c r="L631" s="5">
        <v>92.83</v>
      </c>
      <c r="M631">
        <v>0.26</v>
      </c>
      <c r="N631" t="s">
        <v>1351</v>
      </c>
      <c r="O631" s="5">
        <v>68.694199999999995</v>
      </c>
    </row>
    <row r="632" spans="1:15">
      <c r="A632" t="s">
        <v>1981</v>
      </c>
      <c r="B632" s="7">
        <v>45804</v>
      </c>
      <c r="C632" t="s">
        <v>903</v>
      </c>
      <c r="D632" t="s">
        <v>1087</v>
      </c>
      <c r="E632" t="s">
        <v>1291</v>
      </c>
      <c r="F632" t="str">
        <f>[1]Raw_Customer_Dim!$A$2</f>
        <v>CUST1000</v>
      </c>
      <c r="G632" t="str">
        <f>_xlfn.XLOOKUP(E632,Store_Dim!A:A,Store_Dim!B:B,"Not Found")</f>
        <v>Johnson-Wright</v>
      </c>
      <c r="H632" t="str">
        <f>_xlfn.XLOOKUP(D632,Product_Dim!A:A,Product_Dim!C:C,"Not Found")</f>
        <v>Electronics</v>
      </c>
      <c r="I632" t="str">
        <f>_xlfn.XLOOKUP(E632,Store_Dim!A:A,Store_Dim!C:C,"Not Found")</f>
        <v>North</v>
      </c>
      <c r="J632" t="str">
        <f>_xlfn.XLOOKUP(C632,Customer_Dim!A:A,Customer_Dim!B:B,"Not Found")</f>
        <v>Dr. Tamara White MD</v>
      </c>
      <c r="K632">
        <f>Table511[[#This Row],[Total_Amount]]/(L632*(1-Table511[[#This Row],[Discount]]))</f>
        <v>4</v>
      </c>
      <c r="L632" s="5">
        <v>432.29</v>
      </c>
      <c r="M632">
        <v>0.16</v>
      </c>
      <c r="N632" t="s">
        <v>1354</v>
      </c>
      <c r="O632" s="5">
        <v>1452.4944</v>
      </c>
    </row>
    <row r="633" spans="1:15">
      <c r="A633" t="s">
        <v>1982</v>
      </c>
      <c r="B633" s="7">
        <v>45311</v>
      </c>
      <c r="C633" t="s">
        <v>214</v>
      </c>
      <c r="D633" t="s">
        <v>1151</v>
      </c>
      <c r="E633" t="s">
        <v>1322</v>
      </c>
      <c r="F633" t="str">
        <f>[1]Raw_Customer_Dim!$A$2</f>
        <v>CUST1000</v>
      </c>
      <c r="G633" t="str">
        <f>_xlfn.XLOOKUP(E633,Store_Dim!A:A,Store_Dim!B:B,"Not Found")</f>
        <v>Gardner, Humphrey and Contreras</v>
      </c>
      <c r="H633" t="str">
        <f>_xlfn.XLOOKUP(D633,Product_Dim!A:A,Product_Dim!C:C,"Not Found")</f>
        <v>Electronics</v>
      </c>
      <c r="I633" t="str">
        <f>_xlfn.XLOOKUP(E633,Store_Dim!A:A,Store_Dim!C:C,"Not Found")</f>
        <v>East</v>
      </c>
      <c r="J633" t="str">
        <f>_xlfn.XLOOKUP(C633,Customer_Dim!A:A,Customer_Dim!B:B,"Not Found")</f>
        <v>Jennifer Garcia</v>
      </c>
      <c r="K633">
        <f>Table511[[#This Row],[Total_Amount]]/(L633*(1-Table511[[#This Row],[Discount]]))</f>
        <v>2</v>
      </c>
      <c r="L633" s="5">
        <v>925.78</v>
      </c>
      <c r="M633">
        <v>0.14000000000000001</v>
      </c>
      <c r="N633" t="s">
        <v>1354</v>
      </c>
      <c r="O633" s="5">
        <v>1592.3416</v>
      </c>
    </row>
    <row r="634" spans="1:15">
      <c r="A634" t="s">
        <v>1983</v>
      </c>
      <c r="B634" s="7">
        <v>45605</v>
      </c>
      <c r="C634" t="s">
        <v>1016</v>
      </c>
      <c r="D634" t="s">
        <v>1123</v>
      </c>
      <c r="E634" t="s">
        <v>1317</v>
      </c>
      <c r="F634" t="str">
        <f>[1]Raw_Customer_Dim!$A$2</f>
        <v>CUST1000</v>
      </c>
      <c r="G634" t="str">
        <f>_xlfn.XLOOKUP(E634,Store_Dim!A:A,Store_Dim!B:B,"Not Found")</f>
        <v>Aguirre-Keller</v>
      </c>
      <c r="H634" t="str">
        <f>_xlfn.XLOOKUP(D634,Product_Dim!A:A,Product_Dim!C:C,"Not Found")</f>
        <v>Clothing</v>
      </c>
      <c r="I634" t="str">
        <f>_xlfn.XLOOKUP(E634,Store_Dim!A:A,Store_Dim!C:C,"Not Found")</f>
        <v>South</v>
      </c>
      <c r="J634" t="str">
        <f>_xlfn.XLOOKUP(C634,Customer_Dim!A:A,Customer_Dim!B:B,"Not Found")</f>
        <v>Andrea Harris</v>
      </c>
      <c r="K634">
        <f>Table511[[#This Row],[Total_Amount]]/(L634*(1-Table511[[#This Row],[Discount]]))</f>
        <v>1.9999999999999998</v>
      </c>
      <c r="L634" s="5">
        <v>151.47</v>
      </c>
      <c r="M634">
        <v>0.21</v>
      </c>
      <c r="N634" t="s">
        <v>1351</v>
      </c>
      <c r="O634" s="5">
        <v>239.32259999999999</v>
      </c>
    </row>
    <row r="635" spans="1:15">
      <c r="A635" t="s">
        <v>1984</v>
      </c>
      <c r="B635" s="7">
        <v>45338</v>
      </c>
      <c r="C635" t="s">
        <v>961</v>
      </c>
      <c r="D635" t="s">
        <v>1239</v>
      </c>
      <c r="E635" t="s">
        <v>1314</v>
      </c>
      <c r="F635" t="str">
        <f>[1]Raw_Customer_Dim!$A$2</f>
        <v>CUST1000</v>
      </c>
      <c r="G635" t="str">
        <f>_xlfn.XLOOKUP(E635,Store_Dim!A:A,Store_Dim!B:B,"Not Found")</f>
        <v>Hill, Wagner and Ballard</v>
      </c>
      <c r="H635" t="str">
        <f>_xlfn.XLOOKUP(D635,Product_Dim!A:A,Product_Dim!C:C,"Not Found")</f>
        <v>Beauty</v>
      </c>
      <c r="I635" t="str">
        <f>_xlfn.XLOOKUP(E635,Store_Dim!A:A,Store_Dim!C:C,"Not Found")</f>
        <v>East</v>
      </c>
      <c r="J635" t="str">
        <f>_xlfn.XLOOKUP(C635,Customer_Dim!A:A,Customer_Dim!B:B,"Not Found")</f>
        <v>William Cortez</v>
      </c>
      <c r="K635">
        <f>Table511[[#This Row],[Total_Amount]]/(L635*(1-Table511[[#This Row],[Discount]]))</f>
        <v>1</v>
      </c>
      <c r="L635" s="5">
        <v>343.05</v>
      </c>
      <c r="M635">
        <v>0.28000000000000003</v>
      </c>
      <c r="N635" t="s">
        <v>1351</v>
      </c>
      <c r="O635" s="5">
        <v>246.99600000000001</v>
      </c>
    </row>
    <row r="636" spans="1:15">
      <c r="A636" t="s">
        <v>1985</v>
      </c>
      <c r="B636" s="7">
        <v>45642</v>
      </c>
      <c r="C636" t="s">
        <v>180</v>
      </c>
      <c r="D636" t="s">
        <v>1107</v>
      </c>
      <c r="E636" t="s">
        <v>1294</v>
      </c>
      <c r="F636" t="str">
        <f>[1]Raw_Customer_Dim!$A$2</f>
        <v>CUST1000</v>
      </c>
      <c r="G636" t="str">
        <f>_xlfn.XLOOKUP(E636,Store_Dim!A:A,Store_Dim!B:B,"Not Found")</f>
        <v>Alexander Group</v>
      </c>
      <c r="H636" t="str">
        <f>_xlfn.XLOOKUP(D636,Product_Dim!A:A,Product_Dim!C:C,"Not Found")</f>
        <v>Sports</v>
      </c>
      <c r="I636" t="str">
        <f>_xlfn.XLOOKUP(E636,Store_Dim!A:A,Store_Dim!C:C,"Not Found")</f>
        <v>South</v>
      </c>
      <c r="J636" t="str">
        <f>_xlfn.XLOOKUP(C636,Customer_Dim!A:A,Customer_Dim!B:B,"Not Found")</f>
        <v>Cody Diaz</v>
      </c>
      <c r="K636">
        <f>Table511[[#This Row],[Total_Amount]]/(L636*(1-Table511[[#This Row],[Discount]]))</f>
        <v>1</v>
      </c>
      <c r="L636" s="5">
        <v>373.06</v>
      </c>
      <c r="M636">
        <v>0.11</v>
      </c>
      <c r="N636" t="s">
        <v>1351</v>
      </c>
      <c r="O636" s="5">
        <v>332.02339999999998</v>
      </c>
    </row>
    <row r="637" spans="1:15">
      <c r="A637" t="s">
        <v>1986</v>
      </c>
      <c r="B637" s="7">
        <v>45693</v>
      </c>
      <c r="C637" t="s">
        <v>885</v>
      </c>
      <c r="D637" t="s">
        <v>1109</v>
      </c>
      <c r="E637" t="s">
        <v>1326</v>
      </c>
      <c r="F637" t="str">
        <f>[1]Raw_Customer_Dim!$A$2</f>
        <v>CUST1000</v>
      </c>
      <c r="G637" t="str">
        <f>_xlfn.XLOOKUP(E637,Store_Dim!A:A,Store_Dim!B:B,"Not Found")</f>
        <v>Shelton PLC</v>
      </c>
      <c r="H637" t="str">
        <f>_xlfn.XLOOKUP(D637,Product_Dim!A:A,Product_Dim!C:C,"Not Found")</f>
        <v>Clothing</v>
      </c>
      <c r="I637" t="str">
        <f>_xlfn.XLOOKUP(E637,Store_Dim!A:A,Store_Dim!C:C,"Not Found")</f>
        <v>North</v>
      </c>
      <c r="J637" t="str">
        <f>_xlfn.XLOOKUP(C637,Customer_Dim!A:A,Customer_Dim!B:B,"Not Found")</f>
        <v>Katrina Perez</v>
      </c>
      <c r="K637">
        <f>Table511[[#This Row],[Total_Amount]]/(L637*(1-Table511[[#This Row],[Discount]]))</f>
        <v>1</v>
      </c>
      <c r="L637" s="5">
        <v>124.98</v>
      </c>
      <c r="M637">
        <v>7.0000000000000007E-2</v>
      </c>
      <c r="N637" t="s">
        <v>1354</v>
      </c>
      <c r="O637" s="5">
        <v>116.23139999999999</v>
      </c>
    </row>
    <row r="638" spans="1:15">
      <c r="A638" t="s">
        <v>1987</v>
      </c>
      <c r="B638" s="7">
        <v>45763</v>
      </c>
      <c r="C638" t="s">
        <v>608</v>
      </c>
      <c r="D638" t="s">
        <v>1219</v>
      </c>
      <c r="E638" t="s">
        <v>1338</v>
      </c>
      <c r="F638" t="str">
        <f>[1]Raw_Customer_Dim!$A$2</f>
        <v>CUST1000</v>
      </c>
      <c r="G638" t="str">
        <f>_xlfn.XLOOKUP(E638,Store_Dim!A:A,Store_Dim!B:B,"Not Found")</f>
        <v>Mann-Austin</v>
      </c>
      <c r="H638" t="str">
        <f>_xlfn.XLOOKUP(D638,Product_Dim!A:A,Product_Dim!C:C,"Not Found")</f>
        <v>Sports</v>
      </c>
      <c r="I638" t="str">
        <f>_xlfn.XLOOKUP(E638,Store_Dim!A:A,Store_Dim!C:C,"Not Found")</f>
        <v>East</v>
      </c>
      <c r="J638" t="str">
        <f>_xlfn.XLOOKUP(C638,Customer_Dim!A:A,Customer_Dim!B:B,"Not Found")</f>
        <v>Adam Rowland</v>
      </c>
      <c r="K638">
        <f>Table511[[#This Row],[Total_Amount]]/(L638*(1-Table511[[#This Row],[Discount]]))</f>
        <v>4</v>
      </c>
      <c r="L638" s="5">
        <v>221.49</v>
      </c>
      <c r="M638">
        <v>0.26</v>
      </c>
      <c r="N638" t="s">
        <v>1351</v>
      </c>
      <c r="O638" s="5">
        <v>655.61040000000003</v>
      </c>
    </row>
    <row r="639" spans="1:15">
      <c r="A639" t="s">
        <v>1988</v>
      </c>
      <c r="B639" s="7">
        <v>45572</v>
      </c>
      <c r="C639" t="s">
        <v>401</v>
      </c>
      <c r="D639" t="s">
        <v>1119</v>
      </c>
      <c r="E639" t="s">
        <v>1326</v>
      </c>
      <c r="F639" t="str">
        <f>[1]Raw_Customer_Dim!$A$2</f>
        <v>CUST1000</v>
      </c>
      <c r="G639" t="str">
        <f>_xlfn.XLOOKUP(E639,Store_Dim!A:A,Store_Dim!B:B,"Not Found")</f>
        <v>Shelton PLC</v>
      </c>
      <c r="H639" t="str">
        <f>_xlfn.XLOOKUP(D639,Product_Dim!A:A,Product_Dim!C:C,"Not Found")</f>
        <v>Clothing</v>
      </c>
      <c r="I639" t="str">
        <f>_xlfn.XLOOKUP(E639,Store_Dim!A:A,Store_Dim!C:C,"Not Found")</f>
        <v>North</v>
      </c>
      <c r="J639" t="str">
        <f>_xlfn.XLOOKUP(C639,Customer_Dim!A:A,Customer_Dim!B:B,"Not Found")</f>
        <v>Christopher Garcia DDS</v>
      </c>
      <c r="K639">
        <f>Table511[[#This Row],[Total_Amount]]/(L639*(1-Table511[[#This Row],[Discount]]))</f>
        <v>1</v>
      </c>
      <c r="L639" s="5">
        <v>563.32000000000005</v>
      </c>
      <c r="M639">
        <v>0.01</v>
      </c>
      <c r="N639" t="s">
        <v>1351</v>
      </c>
      <c r="O639" s="5">
        <v>557.68680000000006</v>
      </c>
    </row>
    <row r="640" spans="1:15">
      <c r="A640" t="s">
        <v>1989</v>
      </c>
      <c r="B640" s="7">
        <v>45338</v>
      </c>
      <c r="C640" t="s">
        <v>843</v>
      </c>
      <c r="D640" t="s">
        <v>1095</v>
      </c>
      <c r="E640" t="s">
        <v>1277</v>
      </c>
      <c r="F640" t="str">
        <f>[1]Raw_Customer_Dim!$A$2</f>
        <v>CUST1000</v>
      </c>
      <c r="G640" t="str">
        <f>_xlfn.XLOOKUP(E640,Store_Dim!A:A,Store_Dim!B:B,"Not Found")</f>
        <v>Rivera-Warner</v>
      </c>
      <c r="H640" t="str">
        <f>_xlfn.XLOOKUP(D640,Product_Dim!A:A,Product_Dim!C:C,"Not Found")</f>
        <v>Electronics</v>
      </c>
      <c r="I640" t="str">
        <f>_xlfn.XLOOKUP(E640,Store_Dim!A:A,Store_Dim!C:C,"Not Found")</f>
        <v>East</v>
      </c>
      <c r="J640" t="str">
        <f>_xlfn.XLOOKUP(C640,Customer_Dim!A:A,Customer_Dim!B:B,"Not Found")</f>
        <v>Daniel Bell</v>
      </c>
      <c r="K640">
        <f>Table511[[#This Row],[Total_Amount]]/(L640*(1-Table511[[#This Row],[Discount]]))</f>
        <v>1</v>
      </c>
      <c r="L640" s="5">
        <v>362.93</v>
      </c>
      <c r="M640">
        <v>0.27</v>
      </c>
      <c r="N640" t="s">
        <v>1349</v>
      </c>
      <c r="O640" s="5">
        <v>264.93889999999999</v>
      </c>
    </row>
    <row r="641" spans="1:15">
      <c r="A641" t="s">
        <v>1990</v>
      </c>
      <c r="B641" s="7">
        <v>45373</v>
      </c>
      <c r="C641" t="s">
        <v>736</v>
      </c>
      <c r="D641" t="s">
        <v>1095</v>
      </c>
      <c r="E641" t="s">
        <v>1326</v>
      </c>
      <c r="F641" t="str">
        <f>[1]Raw_Customer_Dim!$A$2</f>
        <v>CUST1000</v>
      </c>
      <c r="G641" t="str">
        <f>_xlfn.XLOOKUP(E641,Store_Dim!A:A,Store_Dim!B:B,"Not Found")</f>
        <v>Shelton PLC</v>
      </c>
      <c r="H641" t="str">
        <f>_xlfn.XLOOKUP(D641,Product_Dim!A:A,Product_Dim!C:C,"Not Found")</f>
        <v>Electronics</v>
      </c>
      <c r="I641" t="str">
        <f>_xlfn.XLOOKUP(E641,Store_Dim!A:A,Store_Dim!C:C,"Not Found")</f>
        <v>North</v>
      </c>
      <c r="J641" t="str">
        <f>_xlfn.XLOOKUP(C641,Customer_Dim!A:A,Customer_Dim!B:B,"Not Found")</f>
        <v>John Jones</v>
      </c>
      <c r="K641">
        <f>Table511[[#This Row],[Total_Amount]]/(L641*(1-Table511[[#This Row],[Discount]]))</f>
        <v>3.9999999999999991</v>
      </c>
      <c r="L641" s="5">
        <v>369.22</v>
      </c>
      <c r="M641">
        <v>0.18</v>
      </c>
      <c r="N641" t="s">
        <v>1354</v>
      </c>
      <c r="O641" s="5">
        <v>1211.0416</v>
      </c>
    </row>
    <row r="642" spans="1:15">
      <c r="A642" t="s">
        <v>1991</v>
      </c>
      <c r="B642" s="7">
        <v>45590</v>
      </c>
      <c r="C642" t="s">
        <v>883</v>
      </c>
      <c r="D642" t="s">
        <v>1265</v>
      </c>
      <c r="E642" t="s">
        <v>1324</v>
      </c>
      <c r="F642" t="str">
        <f>[1]Raw_Customer_Dim!$A$2</f>
        <v>CUST1000</v>
      </c>
      <c r="G642" t="str">
        <f>_xlfn.XLOOKUP(E642,Store_Dim!A:A,Store_Dim!B:B,"Not Found")</f>
        <v>Mcdonald Inc</v>
      </c>
      <c r="H642" t="str">
        <f>_xlfn.XLOOKUP(D642,Product_Dim!A:A,Product_Dim!C:C,"Not Found")</f>
        <v>Clothing</v>
      </c>
      <c r="I642" t="str">
        <f>_xlfn.XLOOKUP(E642,Store_Dim!A:A,Store_Dim!C:C,"Not Found")</f>
        <v>South</v>
      </c>
      <c r="J642" t="str">
        <f>_xlfn.XLOOKUP(C642,Customer_Dim!A:A,Customer_Dim!B:B,"Not Found")</f>
        <v>Jackie Thompson</v>
      </c>
      <c r="K642">
        <f>Table511[[#This Row],[Total_Amount]]/(L642*(1-Table511[[#This Row],[Discount]]))</f>
        <v>3</v>
      </c>
      <c r="L642" s="5">
        <v>950.83</v>
      </c>
      <c r="M642">
        <v>0.06</v>
      </c>
      <c r="N642" t="s">
        <v>1351</v>
      </c>
      <c r="O642" s="5">
        <v>2681.3406</v>
      </c>
    </row>
    <row r="643" spans="1:15">
      <c r="A643" t="s">
        <v>1992</v>
      </c>
      <c r="B643" s="7">
        <v>45365</v>
      </c>
      <c r="C643" t="s">
        <v>347</v>
      </c>
      <c r="D643" t="s">
        <v>1147</v>
      </c>
      <c r="E643" t="s">
        <v>1322</v>
      </c>
      <c r="F643" t="str">
        <f>[1]Raw_Customer_Dim!$A$2</f>
        <v>CUST1000</v>
      </c>
      <c r="G643" t="str">
        <f>_xlfn.XLOOKUP(E643,Store_Dim!A:A,Store_Dim!B:B,"Not Found")</f>
        <v>Gardner, Humphrey and Contreras</v>
      </c>
      <c r="H643" t="str">
        <f>_xlfn.XLOOKUP(D643,Product_Dim!A:A,Product_Dim!C:C,"Not Found")</f>
        <v>Clothing</v>
      </c>
      <c r="I643" t="str">
        <f>_xlfn.XLOOKUP(E643,Store_Dim!A:A,Store_Dim!C:C,"Not Found")</f>
        <v>East</v>
      </c>
      <c r="J643" t="str">
        <f>_xlfn.XLOOKUP(C643,Customer_Dim!A:A,Customer_Dim!B:B,"Not Found")</f>
        <v>Carlos Skinner</v>
      </c>
      <c r="K643">
        <f>Table511[[#This Row],[Total_Amount]]/(L643*(1-Table511[[#This Row],[Discount]]))</f>
        <v>3</v>
      </c>
      <c r="L643" s="5">
        <v>338.79</v>
      </c>
      <c r="M643">
        <v>0.01</v>
      </c>
      <c r="N643" t="s">
        <v>1349</v>
      </c>
      <c r="O643" s="5">
        <v>1006.2063000000001</v>
      </c>
    </row>
    <row r="644" spans="1:15">
      <c r="A644" t="s">
        <v>1993</v>
      </c>
      <c r="B644" s="7">
        <v>45711</v>
      </c>
      <c r="C644" t="s">
        <v>353</v>
      </c>
      <c r="D644" t="s">
        <v>1253</v>
      </c>
      <c r="E644" t="s">
        <v>1282</v>
      </c>
      <c r="F644" t="str">
        <f>[1]Raw_Customer_Dim!$A$2</f>
        <v>CUST1000</v>
      </c>
      <c r="G644" t="str">
        <f>_xlfn.XLOOKUP(E644,Store_Dim!A:A,Store_Dim!B:B,"Not Found")</f>
        <v>Martinez, Adkins and Johnson</v>
      </c>
      <c r="H644" t="str">
        <f>_xlfn.XLOOKUP(D644,Product_Dim!A:A,Product_Dim!C:C,"Not Found")</f>
        <v>Electronics</v>
      </c>
      <c r="I644" t="str">
        <f>_xlfn.XLOOKUP(E644,Store_Dim!A:A,Store_Dim!C:C,"Not Found")</f>
        <v>North</v>
      </c>
      <c r="J644" t="str">
        <f>_xlfn.XLOOKUP(C644,Customer_Dim!A:A,Customer_Dim!B:B,"Not Found")</f>
        <v>Edward Rivera</v>
      </c>
      <c r="K644">
        <f>Table511[[#This Row],[Total_Amount]]/(L644*(1-Table511[[#This Row],[Discount]]))</f>
        <v>3</v>
      </c>
      <c r="L644" s="5">
        <v>853.32</v>
      </c>
      <c r="M644">
        <v>7.0000000000000007E-2</v>
      </c>
      <c r="N644" t="s">
        <v>1354</v>
      </c>
      <c r="O644" s="5">
        <v>2380.7628</v>
      </c>
    </row>
    <row r="645" spans="1:15">
      <c r="A645" t="s">
        <v>1994</v>
      </c>
      <c r="B645" s="7">
        <v>45586</v>
      </c>
      <c r="C645" t="s">
        <v>359</v>
      </c>
      <c r="D645" t="s">
        <v>1225</v>
      </c>
      <c r="E645" t="s">
        <v>1301</v>
      </c>
      <c r="F645" t="str">
        <f>[1]Raw_Customer_Dim!$A$2</f>
        <v>CUST1000</v>
      </c>
      <c r="G645" t="str">
        <f>_xlfn.XLOOKUP(E645,Store_Dim!A:A,Store_Dim!B:B,"Not Found")</f>
        <v>Benson-Elliott</v>
      </c>
      <c r="H645" t="str">
        <f>_xlfn.XLOOKUP(D645,Product_Dim!A:A,Product_Dim!C:C,"Not Found")</f>
        <v>Electronics</v>
      </c>
      <c r="I645" t="str">
        <f>_xlfn.XLOOKUP(E645,Store_Dim!A:A,Store_Dim!C:C,"Not Found")</f>
        <v>East</v>
      </c>
      <c r="J645" t="str">
        <f>_xlfn.XLOOKUP(C645,Customer_Dim!A:A,Customer_Dim!B:B,"Not Found")</f>
        <v>Denise Griffin</v>
      </c>
      <c r="K645">
        <f>Table511[[#This Row],[Total_Amount]]/(L645*(1-Table511[[#This Row],[Discount]]))</f>
        <v>3</v>
      </c>
      <c r="L645" s="5">
        <v>89.78</v>
      </c>
      <c r="M645">
        <v>0.2</v>
      </c>
      <c r="N645" t="s">
        <v>1354</v>
      </c>
      <c r="O645" s="5">
        <v>215.47200000000001</v>
      </c>
    </row>
    <row r="646" spans="1:15">
      <c r="A646" t="s">
        <v>1995</v>
      </c>
      <c r="B646" s="7">
        <v>45334</v>
      </c>
      <c r="C646" t="s">
        <v>444</v>
      </c>
      <c r="D646" t="s">
        <v>1183</v>
      </c>
      <c r="E646" t="s">
        <v>1282</v>
      </c>
      <c r="F646" t="str">
        <f>[1]Raw_Customer_Dim!$A$2</f>
        <v>CUST1000</v>
      </c>
      <c r="G646" t="str">
        <f>_xlfn.XLOOKUP(E646,Store_Dim!A:A,Store_Dim!B:B,"Not Found")</f>
        <v>Martinez, Adkins and Johnson</v>
      </c>
      <c r="H646" t="str">
        <f>_xlfn.XLOOKUP(D646,Product_Dim!A:A,Product_Dim!C:C,"Not Found")</f>
        <v>Home</v>
      </c>
      <c r="I646" t="str">
        <f>_xlfn.XLOOKUP(E646,Store_Dim!A:A,Store_Dim!C:C,"Not Found")</f>
        <v>North</v>
      </c>
      <c r="J646" t="str">
        <f>_xlfn.XLOOKUP(C646,Customer_Dim!A:A,Customer_Dim!B:B,"Not Found")</f>
        <v>Todd Poole</v>
      </c>
      <c r="K646">
        <f>Table511[[#This Row],[Total_Amount]]/(L646*(1-Table511[[#This Row],[Discount]]))</f>
        <v>1</v>
      </c>
      <c r="L646" s="5">
        <v>172.04</v>
      </c>
      <c r="M646">
        <v>0.04</v>
      </c>
      <c r="N646" t="s">
        <v>1351</v>
      </c>
      <c r="O646" s="5">
        <v>165.1584</v>
      </c>
    </row>
    <row r="647" spans="1:15">
      <c r="A647" t="s">
        <v>1996</v>
      </c>
      <c r="B647" s="7">
        <v>45333</v>
      </c>
      <c r="C647" t="s">
        <v>996</v>
      </c>
      <c r="D647" t="s">
        <v>1181</v>
      </c>
      <c r="E647" t="s">
        <v>1282</v>
      </c>
      <c r="F647" t="str">
        <f>[1]Raw_Customer_Dim!$A$2</f>
        <v>CUST1000</v>
      </c>
      <c r="G647" t="str">
        <f>_xlfn.XLOOKUP(E647,Store_Dim!A:A,Store_Dim!B:B,"Not Found")</f>
        <v>Martinez, Adkins and Johnson</v>
      </c>
      <c r="H647" t="str">
        <f>_xlfn.XLOOKUP(D647,Product_Dim!A:A,Product_Dim!C:C,"Not Found")</f>
        <v>Sports</v>
      </c>
      <c r="I647" t="str">
        <f>_xlfn.XLOOKUP(E647,Store_Dim!A:A,Store_Dim!C:C,"Not Found")</f>
        <v>North</v>
      </c>
      <c r="J647" t="str">
        <f>_xlfn.XLOOKUP(C647,Customer_Dim!A:A,Customer_Dim!B:B,"Not Found")</f>
        <v>Michael Foley</v>
      </c>
      <c r="K647">
        <f>Table511[[#This Row],[Total_Amount]]/(L647*(1-Table511[[#This Row],[Discount]]))</f>
        <v>1.0000000000000002</v>
      </c>
      <c r="L647" s="5">
        <v>389.2</v>
      </c>
      <c r="M647">
        <v>0.05</v>
      </c>
      <c r="N647" t="s">
        <v>1349</v>
      </c>
      <c r="O647" s="5">
        <v>369.74</v>
      </c>
    </row>
    <row r="648" spans="1:15">
      <c r="A648" t="s">
        <v>1997</v>
      </c>
      <c r="B648" s="7">
        <v>45778</v>
      </c>
      <c r="C648" t="s">
        <v>984</v>
      </c>
      <c r="D648" t="s">
        <v>1227</v>
      </c>
      <c r="E648" t="s">
        <v>1322</v>
      </c>
      <c r="F648" t="str">
        <f>[1]Raw_Customer_Dim!$A$2</f>
        <v>CUST1000</v>
      </c>
      <c r="G648" t="str">
        <f>_xlfn.XLOOKUP(E648,Store_Dim!A:A,Store_Dim!B:B,"Not Found")</f>
        <v>Gardner, Humphrey and Contreras</v>
      </c>
      <c r="H648" t="str">
        <f>_xlfn.XLOOKUP(D648,Product_Dim!A:A,Product_Dim!C:C,"Not Found")</f>
        <v>Electronics</v>
      </c>
      <c r="I648" t="str">
        <f>_xlfn.XLOOKUP(E648,Store_Dim!A:A,Store_Dim!C:C,"Not Found")</f>
        <v>East</v>
      </c>
      <c r="J648" t="str">
        <f>_xlfn.XLOOKUP(C648,Customer_Dim!A:A,Customer_Dim!B:B,"Not Found")</f>
        <v>Paul Cox</v>
      </c>
      <c r="K648">
        <f>Table511[[#This Row],[Total_Amount]]/(L648*(1-Table511[[#This Row],[Discount]]))</f>
        <v>3</v>
      </c>
      <c r="L648" s="5">
        <v>865.96</v>
      </c>
      <c r="M648">
        <v>0.12</v>
      </c>
      <c r="N648" t="s">
        <v>1351</v>
      </c>
      <c r="O648" s="5">
        <v>2286.1343999999999</v>
      </c>
    </row>
    <row r="649" spans="1:15">
      <c r="A649" t="s">
        <v>1998</v>
      </c>
      <c r="B649" s="7">
        <v>45592</v>
      </c>
      <c r="C649" t="s">
        <v>399</v>
      </c>
      <c r="D649" t="s">
        <v>1111</v>
      </c>
      <c r="E649" t="s">
        <v>1282</v>
      </c>
      <c r="F649" t="str">
        <f>[1]Raw_Customer_Dim!$A$2</f>
        <v>CUST1000</v>
      </c>
      <c r="G649" t="str">
        <f>_xlfn.XLOOKUP(E649,Store_Dim!A:A,Store_Dim!B:B,"Not Found")</f>
        <v>Martinez, Adkins and Johnson</v>
      </c>
      <c r="H649" t="str">
        <f>_xlfn.XLOOKUP(D649,Product_Dim!A:A,Product_Dim!C:C,"Not Found")</f>
        <v>Sports</v>
      </c>
      <c r="I649" t="str">
        <f>_xlfn.XLOOKUP(E649,Store_Dim!A:A,Store_Dim!C:C,"Not Found")</f>
        <v>North</v>
      </c>
      <c r="J649" t="str">
        <f>_xlfn.XLOOKUP(C649,Customer_Dim!A:A,Customer_Dim!B:B,"Not Found")</f>
        <v>Steve Mclaughlin</v>
      </c>
      <c r="K649">
        <f>Table511[[#This Row],[Total_Amount]]/(L649*(1-Table511[[#This Row],[Discount]]))</f>
        <v>2.9999999999999996</v>
      </c>
      <c r="L649" s="5">
        <v>79.95</v>
      </c>
      <c r="M649">
        <v>0.2</v>
      </c>
      <c r="N649" t="s">
        <v>1354</v>
      </c>
      <c r="O649" s="5">
        <v>191.88</v>
      </c>
    </row>
    <row r="650" spans="1:15">
      <c r="A650" t="s">
        <v>1999</v>
      </c>
      <c r="B650" s="7">
        <v>45259</v>
      </c>
      <c r="C650" t="s">
        <v>825</v>
      </c>
      <c r="D650" t="s">
        <v>1125</v>
      </c>
      <c r="E650" t="s">
        <v>1304</v>
      </c>
      <c r="F650" t="str">
        <f>[1]Raw_Customer_Dim!$A$2</f>
        <v>CUST1000</v>
      </c>
      <c r="G650" t="str">
        <f>_xlfn.XLOOKUP(E650,Store_Dim!A:A,Store_Dim!B:B,"Not Found")</f>
        <v>Martinez-Mullins</v>
      </c>
      <c r="H650" t="str">
        <f>_xlfn.XLOOKUP(D650,Product_Dim!A:A,Product_Dim!C:C,"Not Found")</f>
        <v>Electronics</v>
      </c>
      <c r="I650" t="str">
        <f>_xlfn.XLOOKUP(E650,Store_Dim!A:A,Store_Dim!C:C,"Not Found")</f>
        <v>South</v>
      </c>
      <c r="J650" t="str">
        <f>_xlfn.XLOOKUP(C650,Customer_Dim!A:A,Customer_Dim!B:B,"Not Found")</f>
        <v>Erika Padilla</v>
      </c>
      <c r="K650">
        <f>Table511[[#This Row],[Total_Amount]]/(L650*(1-Table511[[#This Row],[Discount]]))</f>
        <v>1</v>
      </c>
      <c r="L650" s="5">
        <v>566.5</v>
      </c>
      <c r="M650">
        <v>0.25</v>
      </c>
      <c r="N650" t="s">
        <v>1354</v>
      </c>
      <c r="O650" s="5">
        <v>424.875</v>
      </c>
    </row>
    <row r="651" spans="1:15">
      <c r="A651" t="s">
        <v>2000</v>
      </c>
      <c r="B651" s="7">
        <v>45801</v>
      </c>
      <c r="C651" t="s">
        <v>867</v>
      </c>
      <c r="D651" t="s">
        <v>1115</v>
      </c>
      <c r="E651" t="s">
        <v>1277</v>
      </c>
      <c r="F651" t="str">
        <f>[1]Raw_Customer_Dim!$A$2</f>
        <v>CUST1000</v>
      </c>
      <c r="G651" t="str">
        <f>_xlfn.XLOOKUP(E651,Store_Dim!A:A,Store_Dim!B:B,"Not Found")</f>
        <v>Rivera-Warner</v>
      </c>
      <c r="H651" t="str">
        <f>_xlfn.XLOOKUP(D651,Product_Dim!A:A,Product_Dim!C:C,"Not Found")</f>
        <v>Home</v>
      </c>
      <c r="I651" t="str">
        <f>_xlfn.XLOOKUP(E651,Store_Dim!A:A,Store_Dim!C:C,"Not Found")</f>
        <v>East</v>
      </c>
      <c r="J651" t="str">
        <f>_xlfn.XLOOKUP(C651,Customer_Dim!A:A,Customer_Dim!B:B,"Not Found")</f>
        <v>Cassandra Perez</v>
      </c>
      <c r="K651">
        <f>Table511[[#This Row],[Total_Amount]]/(L651*(1-Table511[[#This Row],[Discount]]))</f>
        <v>2</v>
      </c>
      <c r="L651" s="5">
        <v>347.95</v>
      </c>
      <c r="M651">
        <v>0.13</v>
      </c>
      <c r="N651" t="s">
        <v>1354</v>
      </c>
      <c r="O651" s="5">
        <v>605.43299999999999</v>
      </c>
    </row>
    <row r="652" spans="1:15">
      <c r="A652" t="s">
        <v>2001</v>
      </c>
      <c r="B652" s="7">
        <v>45347</v>
      </c>
      <c r="C652" t="s">
        <v>480</v>
      </c>
      <c r="D652" t="s">
        <v>1189</v>
      </c>
      <c r="E652" t="s">
        <v>1291</v>
      </c>
      <c r="F652" t="str">
        <f>[1]Raw_Customer_Dim!$A$2</f>
        <v>CUST1000</v>
      </c>
      <c r="G652" t="str">
        <f>_xlfn.XLOOKUP(E652,Store_Dim!A:A,Store_Dim!B:B,"Not Found")</f>
        <v>Johnson-Wright</v>
      </c>
      <c r="H652" t="str">
        <f>_xlfn.XLOOKUP(D652,Product_Dim!A:A,Product_Dim!C:C,"Not Found")</f>
        <v>Clothing</v>
      </c>
      <c r="I652" t="str">
        <f>_xlfn.XLOOKUP(E652,Store_Dim!A:A,Store_Dim!C:C,"Not Found")</f>
        <v>North</v>
      </c>
      <c r="J652" t="str">
        <f>_xlfn.XLOOKUP(C652,Customer_Dim!A:A,Customer_Dim!B:B,"Not Found")</f>
        <v>Joan Johnson</v>
      </c>
      <c r="K652">
        <f>Table511[[#This Row],[Total_Amount]]/(L652*(1-Table511[[#This Row],[Discount]]))</f>
        <v>2</v>
      </c>
      <c r="L652" s="5">
        <v>250.83</v>
      </c>
      <c r="M652">
        <v>0.15</v>
      </c>
      <c r="N652" t="s">
        <v>1351</v>
      </c>
      <c r="O652" s="5">
        <v>426.411</v>
      </c>
    </row>
    <row r="653" spans="1:15">
      <c r="A653" t="s">
        <v>2002</v>
      </c>
      <c r="B653" s="7">
        <v>45721</v>
      </c>
      <c r="C653" t="s">
        <v>359</v>
      </c>
      <c r="D653" t="s">
        <v>1215</v>
      </c>
      <c r="E653" t="s">
        <v>1282</v>
      </c>
      <c r="F653" t="str">
        <f>[1]Raw_Customer_Dim!$A$2</f>
        <v>CUST1000</v>
      </c>
      <c r="G653" t="str">
        <f>_xlfn.XLOOKUP(E653,Store_Dim!A:A,Store_Dim!B:B,"Not Found")</f>
        <v>Martinez, Adkins and Johnson</v>
      </c>
      <c r="H653" t="str">
        <f>_xlfn.XLOOKUP(D653,Product_Dim!A:A,Product_Dim!C:C,"Not Found")</f>
        <v>Beauty</v>
      </c>
      <c r="I653" t="str">
        <f>_xlfn.XLOOKUP(E653,Store_Dim!A:A,Store_Dim!C:C,"Not Found")</f>
        <v>North</v>
      </c>
      <c r="J653" t="str">
        <f>_xlfn.XLOOKUP(C653,Customer_Dim!A:A,Customer_Dim!B:B,"Not Found")</f>
        <v>Denise Griffin</v>
      </c>
      <c r="K653">
        <f>Table511[[#This Row],[Total_Amount]]/(L653*(1-Table511[[#This Row],[Discount]]))</f>
        <v>1</v>
      </c>
      <c r="L653" s="5">
        <v>888.05</v>
      </c>
      <c r="M653">
        <v>0.2</v>
      </c>
      <c r="N653" t="s">
        <v>1351</v>
      </c>
      <c r="O653" s="5">
        <v>710.44</v>
      </c>
    </row>
    <row r="654" spans="1:15">
      <c r="A654" t="s">
        <v>2003</v>
      </c>
      <c r="B654" s="7">
        <v>45531</v>
      </c>
      <c r="C654" t="s">
        <v>30</v>
      </c>
      <c r="D654" t="s">
        <v>1151</v>
      </c>
      <c r="E654" t="s">
        <v>1335</v>
      </c>
      <c r="F654" t="str">
        <f>[1]Raw_Customer_Dim!$A$2</f>
        <v>CUST1000</v>
      </c>
      <c r="G654" t="str">
        <f>_xlfn.XLOOKUP(E654,Store_Dim!A:A,Store_Dim!B:B,"Not Found")</f>
        <v>Guerrero-Schmitt</v>
      </c>
      <c r="H654" t="str">
        <f>_xlfn.XLOOKUP(D654,Product_Dim!A:A,Product_Dim!C:C,"Not Found")</f>
        <v>Electronics</v>
      </c>
      <c r="I654" t="str">
        <f>_xlfn.XLOOKUP(E654,Store_Dim!A:A,Store_Dim!C:C,"Not Found")</f>
        <v>East</v>
      </c>
      <c r="J654" t="str">
        <f>_xlfn.XLOOKUP(C654,Customer_Dim!A:A,Customer_Dim!B:B,"Not Found")</f>
        <v>Amber Jackson</v>
      </c>
      <c r="K654">
        <f>Table511[[#This Row],[Total_Amount]]/(L654*(1-Table511[[#This Row],[Discount]]))</f>
        <v>2</v>
      </c>
      <c r="L654" s="5">
        <v>673.02</v>
      </c>
      <c r="M654">
        <v>0.11</v>
      </c>
      <c r="N654" t="s">
        <v>1351</v>
      </c>
      <c r="O654" s="5">
        <v>1197.9756</v>
      </c>
    </row>
    <row r="655" spans="1:15">
      <c r="A655" t="s">
        <v>2004</v>
      </c>
      <c r="B655" s="7">
        <v>45332</v>
      </c>
      <c r="C655" t="s">
        <v>943</v>
      </c>
      <c r="D655" t="s">
        <v>1201</v>
      </c>
      <c r="E655" t="s">
        <v>1291</v>
      </c>
      <c r="F655" t="str">
        <f>[1]Raw_Customer_Dim!$A$2</f>
        <v>CUST1000</v>
      </c>
      <c r="G655" t="str">
        <f>_xlfn.XLOOKUP(E655,Store_Dim!A:A,Store_Dim!B:B,"Not Found")</f>
        <v>Johnson-Wright</v>
      </c>
      <c r="H655" t="str">
        <f>_xlfn.XLOOKUP(D655,Product_Dim!A:A,Product_Dim!C:C,"Not Found")</f>
        <v>Beauty</v>
      </c>
      <c r="I655" t="str">
        <f>_xlfn.XLOOKUP(E655,Store_Dim!A:A,Store_Dim!C:C,"Not Found")</f>
        <v>North</v>
      </c>
      <c r="J655" t="str">
        <f>_xlfn.XLOOKUP(C655,Customer_Dim!A:A,Customer_Dim!B:B,"Not Found")</f>
        <v>Tammy Trevino</v>
      </c>
      <c r="K655">
        <f>Table511[[#This Row],[Total_Amount]]/(L655*(1-Table511[[#This Row],[Discount]]))</f>
        <v>2</v>
      </c>
      <c r="L655" s="5">
        <v>492.62</v>
      </c>
      <c r="M655">
        <v>0.26</v>
      </c>
      <c r="N655" t="s">
        <v>1354</v>
      </c>
      <c r="O655" s="5">
        <v>729.07759999999996</v>
      </c>
    </row>
    <row r="656" spans="1:15">
      <c r="A656" t="s">
        <v>2005</v>
      </c>
      <c r="B656" s="7">
        <v>45344</v>
      </c>
      <c r="C656" t="s">
        <v>815</v>
      </c>
      <c r="D656" t="s">
        <v>1243</v>
      </c>
      <c r="E656" t="s">
        <v>1291</v>
      </c>
      <c r="F656" t="str">
        <f>[1]Raw_Customer_Dim!$A$2</f>
        <v>CUST1000</v>
      </c>
      <c r="G656" t="str">
        <f>_xlfn.XLOOKUP(E656,Store_Dim!A:A,Store_Dim!B:B,"Not Found")</f>
        <v>Johnson-Wright</v>
      </c>
      <c r="H656" t="str">
        <f>_xlfn.XLOOKUP(D656,Product_Dim!A:A,Product_Dim!C:C,"Not Found")</f>
        <v>Clothing</v>
      </c>
      <c r="I656" t="str">
        <f>_xlfn.XLOOKUP(E656,Store_Dim!A:A,Store_Dim!C:C,"Not Found")</f>
        <v>North</v>
      </c>
      <c r="J656" t="str">
        <f>_xlfn.XLOOKUP(C656,Customer_Dim!A:A,Customer_Dim!B:B,"Not Found")</f>
        <v>Michele Burke</v>
      </c>
      <c r="K656">
        <f>Table511[[#This Row],[Total_Amount]]/(L656*(1-Table511[[#This Row],[Discount]]))</f>
        <v>4</v>
      </c>
      <c r="L656" s="5">
        <v>986.93</v>
      </c>
      <c r="M656">
        <v>0.01</v>
      </c>
      <c r="N656" t="s">
        <v>1349</v>
      </c>
      <c r="O656" s="5">
        <v>3908.2428</v>
      </c>
    </row>
    <row r="657" spans="1:15">
      <c r="A657" t="s">
        <v>2006</v>
      </c>
      <c r="B657" s="7">
        <v>45388</v>
      </c>
      <c r="C657" t="s">
        <v>1020</v>
      </c>
      <c r="D657" t="s">
        <v>1117</v>
      </c>
      <c r="E657" t="s">
        <v>1319</v>
      </c>
      <c r="F657" t="str">
        <f>[1]Raw_Customer_Dim!$A$2</f>
        <v>CUST1000</v>
      </c>
      <c r="G657" t="str">
        <f>_xlfn.XLOOKUP(E657,Store_Dim!A:A,Store_Dim!B:B,"Not Found")</f>
        <v>Thomas, Bridges and Harris</v>
      </c>
      <c r="H657" t="str">
        <f>_xlfn.XLOOKUP(D657,Product_Dim!A:A,Product_Dim!C:C,"Not Found")</f>
        <v>Sports</v>
      </c>
      <c r="I657" t="str">
        <f>_xlfn.XLOOKUP(E657,Store_Dim!A:A,Store_Dim!C:C,"Not Found")</f>
        <v>North</v>
      </c>
      <c r="J657" t="str">
        <f>_xlfn.XLOOKUP(C657,Customer_Dim!A:A,Customer_Dim!B:B,"Not Found")</f>
        <v>Dylan Gutierrez</v>
      </c>
      <c r="K657">
        <f>Table511[[#This Row],[Total_Amount]]/(L657*(1-Table511[[#This Row],[Discount]]))</f>
        <v>4</v>
      </c>
      <c r="L657" s="5">
        <v>411.68</v>
      </c>
      <c r="M657">
        <v>0.06</v>
      </c>
      <c r="N657" t="s">
        <v>1351</v>
      </c>
      <c r="O657" s="5">
        <v>1547.9168</v>
      </c>
    </row>
    <row r="658" spans="1:15">
      <c r="A658" t="s">
        <v>2007</v>
      </c>
      <c r="B658" s="7">
        <v>45397</v>
      </c>
      <c r="C658" t="s">
        <v>500</v>
      </c>
      <c r="D658" t="s">
        <v>1145</v>
      </c>
      <c r="E658" t="s">
        <v>1332</v>
      </c>
      <c r="F658" t="str">
        <f>[1]Raw_Customer_Dim!$A$2</f>
        <v>CUST1000</v>
      </c>
      <c r="G658" t="str">
        <f>_xlfn.XLOOKUP(E658,Store_Dim!A:A,Store_Dim!B:B,"Not Found")</f>
        <v>Holloway Ltd</v>
      </c>
      <c r="H658" t="str">
        <f>_xlfn.XLOOKUP(D658,Product_Dim!A:A,Product_Dim!C:C,"Not Found")</f>
        <v>Clothing</v>
      </c>
      <c r="I658" t="str">
        <f>_xlfn.XLOOKUP(E658,Store_Dim!A:A,Store_Dim!C:C,"Not Found")</f>
        <v>North</v>
      </c>
      <c r="J658" t="str">
        <f>_xlfn.XLOOKUP(C658,Customer_Dim!A:A,Customer_Dim!B:B,"Not Found")</f>
        <v>Jordan Wells</v>
      </c>
      <c r="K658">
        <f>Table511[[#This Row],[Total_Amount]]/(L658*(1-Table511[[#This Row],[Discount]]))</f>
        <v>2.0000000000000004</v>
      </c>
      <c r="L658" s="5">
        <v>637.55999999999995</v>
      </c>
      <c r="M658">
        <v>0.05</v>
      </c>
      <c r="N658" t="s">
        <v>1354</v>
      </c>
      <c r="O658" s="5">
        <v>1211.364</v>
      </c>
    </row>
    <row r="659" spans="1:15">
      <c r="A659" t="s">
        <v>2008</v>
      </c>
      <c r="B659" s="7">
        <v>45633</v>
      </c>
      <c r="C659" t="s">
        <v>53</v>
      </c>
      <c r="D659" t="s">
        <v>1099</v>
      </c>
      <c r="E659" t="s">
        <v>1291</v>
      </c>
      <c r="F659" t="str">
        <f>[1]Raw_Customer_Dim!$A$2</f>
        <v>CUST1000</v>
      </c>
      <c r="G659" t="str">
        <f>_xlfn.XLOOKUP(E659,Store_Dim!A:A,Store_Dim!B:B,"Not Found")</f>
        <v>Johnson-Wright</v>
      </c>
      <c r="H659" t="str">
        <f>_xlfn.XLOOKUP(D659,Product_Dim!A:A,Product_Dim!C:C,"Not Found")</f>
        <v>Electronics</v>
      </c>
      <c r="I659" t="str">
        <f>_xlfn.XLOOKUP(E659,Store_Dim!A:A,Store_Dim!C:C,"Not Found")</f>
        <v>North</v>
      </c>
      <c r="J659" t="str">
        <f>_xlfn.XLOOKUP(C659,Customer_Dim!A:A,Customer_Dim!B:B,"Not Found")</f>
        <v>Ashley Cohen</v>
      </c>
      <c r="K659">
        <f>Table511[[#This Row],[Total_Amount]]/(L659*(1-Table511[[#This Row],[Discount]]))</f>
        <v>3</v>
      </c>
      <c r="L659" s="5">
        <v>706.87</v>
      </c>
      <c r="M659">
        <v>0.27</v>
      </c>
      <c r="N659" t="s">
        <v>1349</v>
      </c>
      <c r="O659" s="5">
        <v>1548.0453</v>
      </c>
    </row>
    <row r="660" spans="1:15">
      <c r="A660" t="s">
        <v>2009</v>
      </c>
      <c r="B660" s="7">
        <v>45629</v>
      </c>
      <c r="C660" t="s">
        <v>155</v>
      </c>
      <c r="D660" t="s">
        <v>1103</v>
      </c>
      <c r="E660" t="s">
        <v>1301</v>
      </c>
      <c r="F660" t="str">
        <f>[1]Raw_Customer_Dim!$A$2</f>
        <v>CUST1000</v>
      </c>
      <c r="G660" t="str">
        <f>_xlfn.XLOOKUP(E660,Store_Dim!A:A,Store_Dim!B:B,"Not Found")</f>
        <v>Benson-Elliott</v>
      </c>
      <c r="H660" t="str">
        <f>_xlfn.XLOOKUP(D660,Product_Dim!A:A,Product_Dim!C:C,"Not Found")</f>
        <v>Electronics</v>
      </c>
      <c r="I660" t="str">
        <f>_xlfn.XLOOKUP(E660,Store_Dim!A:A,Store_Dim!C:C,"Not Found")</f>
        <v>East</v>
      </c>
      <c r="J660" t="str">
        <f>_xlfn.XLOOKUP(C660,Customer_Dim!A:A,Customer_Dim!B:B,"Not Found")</f>
        <v>Wayne Mcpherson</v>
      </c>
      <c r="K660">
        <f>Table511[[#This Row],[Total_Amount]]/(L660*(1-Table511[[#This Row],[Discount]]))</f>
        <v>2</v>
      </c>
      <c r="L660" s="5">
        <v>884.48</v>
      </c>
      <c r="M660">
        <v>0</v>
      </c>
      <c r="N660" t="s">
        <v>1354</v>
      </c>
      <c r="O660" s="5">
        <v>1768.96</v>
      </c>
    </row>
    <row r="661" spans="1:15">
      <c r="A661" t="s">
        <v>2010</v>
      </c>
      <c r="B661" s="7">
        <v>45291</v>
      </c>
      <c r="C661" t="s">
        <v>135</v>
      </c>
      <c r="D661" t="s">
        <v>1257</v>
      </c>
      <c r="E661" t="s">
        <v>1294</v>
      </c>
      <c r="F661" t="str">
        <f>[1]Raw_Customer_Dim!$A$2</f>
        <v>CUST1000</v>
      </c>
      <c r="G661" t="str">
        <f>_xlfn.XLOOKUP(E661,Store_Dim!A:A,Store_Dim!B:B,"Not Found")</f>
        <v>Alexander Group</v>
      </c>
      <c r="H661" t="str">
        <f>_xlfn.XLOOKUP(D661,Product_Dim!A:A,Product_Dim!C:C,"Not Found")</f>
        <v>Home</v>
      </c>
      <c r="I661" t="str">
        <f>_xlfn.XLOOKUP(E661,Store_Dim!A:A,Store_Dim!C:C,"Not Found")</f>
        <v>South</v>
      </c>
      <c r="J661" t="str">
        <f>_xlfn.XLOOKUP(C661,Customer_Dim!A:A,Customer_Dim!B:B,"Not Found")</f>
        <v>Gina Knight</v>
      </c>
      <c r="K661">
        <f>Table511[[#This Row],[Total_Amount]]/(L661*(1-Table511[[#This Row],[Discount]]))</f>
        <v>3</v>
      </c>
      <c r="L661" s="5">
        <v>718.23</v>
      </c>
      <c r="M661">
        <v>0.19</v>
      </c>
      <c r="N661" t="s">
        <v>1351</v>
      </c>
      <c r="O661" s="5">
        <v>1745.2989</v>
      </c>
    </row>
    <row r="662" spans="1:15">
      <c r="A662" t="s">
        <v>2011</v>
      </c>
      <c r="B662" s="7">
        <v>45914</v>
      </c>
      <c r="C662" t="s">
        <v>422</v>
      </c>
      <c r="D662" t="s">
        <v>1253</v>
      </c>
      <c r="E662" t="s">
        <v>1335</v>
      </c>
      <c r="F662" t="str">
        <f>[1]Raw_Customer_Dim!$A$2</f>
        <v>CUST1000</v>
      </c>
      <c r="G662" t="str">
        <f>_xlfn.XLOOKUP(E662,Store_Dim!A:A,Store_Dim!B:B,"Not Found")</f>
        <v>Guerrero-Schmitt</v>
      </c>
      <c r="H662" t="str">
        <f>_xlfn.XLOOKUP(D662,Product_Dim!A:A,Product_Dim!C:C,"Not Found")</f>
        <v>Electronics</v>
      </c>
      <c r="I662" t="str">
        <f>_xlfn.XLOOKUP(E662,Store_Dim!A:A,Store_Dim!C:C,"Not Found")</f>
        <v>East</v>
      </c>
      <c r="J662" t="str">
        <f>_xlfn.XLOOKUP(C662,Customer_Dim!A:A,Customer_Dim!B:B,"Not Found")</f>
        <v>Wesley Thompson</v>
      </c>
      <c r="K662">
        <f>Table511[[#This Row],[Total_Amount]]/(L662*(1-Table511[[#This Row],[Discount]]))</f>
        <v>3.0000000000000004</v>
      </c>
      <c r="L662" s="5">
        <v>107.44</v>
      </c>
      <c r="M662">
        <v>0.27</v>
      </c>
      <c r="N662" t="s">
        <v>1351</v>
      </c>
      <c r="O662" s="5">
        <v>235.2936</v>
      </c>
    </row>
    <row r="663" spans="1:15">
      <c r="A663" t="s">
        <v>2012</v>
      </c>
      <c r="B663" s="7">
        <v>45673</v>
      </c>
      <c r="C663" t="s">
        <v>157</v>
      </c>
      <c r="D663" t="s">
        <v>1165</v>
      </c>
      <c r="E663" t="s">
        <v>1291</v>
      </c>
      <c r="F663" t="str">
        <f>[1]Raw_Customer_Dim!$A$2</f>
        <v>CUST1000</v>
      </c>
      <c r="G663" t="str">
        <f>_xlfn.XLOOKUP(E663,Store_Dim!A:A,Store_Dim!B:B,"Not Found")</f>
        <v>Johnson-Wright</v>
      </c>
      <c r="H663" t="str">
        <f>_xlfn.XLOOKUP(D663,Product_Dim!A:A,Product_Dim!C:C,"Not Found")</f>
        <v>Clothing</v>
      </c>
      <c r="I663" t="str">
        <f>_xlfn.XLOOKUP(E663,Store_Dim!A:A,Store_Dim!C:C,"Not Found")</f>
        <v>North</v>
      </c>
      <c r="J663" t="str">
        <f>_xlfn.XLOOKUP(C663,Customer_Dim!A:A,Customer_Dim!B:B,"Not Found")</f>
        <v>Christopher Sutton</v>
      </c>
      <c r="K663">
        <f>Table511[[#This Row],[Total_Amount]]/(L663*(1-Table511[[#This Row],[Discount]]))</f>
        <v>4</v>
      </c>
      <c r="L663" s="5">
        <v>608.97</v>
      </c>
      <c r="M663">
        <v>0.14000000000000001</v>
      </c>
      <c r="N663" t="s">
        <v>1354</v>
      </c>
      <c r="O663" s="5">
        <v>2094.8568</v>
      </c>
    </row>
    <row r="664" spans="1:15">
      <c r="A664" t="s">
        <v>2013</v>
      </c>
      <c r="B664" s="7">
        <v>45689</v>
      </c>
      <c r="C664" t="s">
        <v>771</v>
      </c>
      <c r="D664" t="s">
        <v>1195</v>
      </c>
      <c r="E664" t="s">
        <v>1301</v>
      </c>
      <c r="F664" t="str">
        <f>[1]Raw_Customer_Dim!$A$2</f>
        <v>CUST1000</v>
      </c>
      <c r="G664" t="str">
        <f>_xlfn.XLOOKUP(E664,Store_Dim!A:A,Store_Dim!B:B,"Not Found")</f>
        <v>Benson-Elliott</v>
      </c>
      <c r="H664" t="str">
        <f>_xlfn.XLOOKUP(D664,Product_Dim!A:A,Product_Dim!C:C,"Not Found")</f>
        <v>Sports</v>
      </c>
      <c r="I664" t="str">
        <f>_xlfn.XLOOKUP(E664,Store_Dim!A:A,Store_Dim!C:C,"Not Found")</f>
        <v>East</v>
      </c>
      <c r="J664" t="str">
        <f>_xlfn.XLOOKUP(C664,Customer_Dim!A:A,Customer_Dim!B:B,"Not Found")</f>
        <v>Ryan Torres</v>
      </c>
      <c r="K664">
        <f>Table511[[#This Row],[Total_Amount]]/(L664*(1-Table511[[#This Row],[Discount]]))</f>
        <v>2.9999999999999996</v>
      </c>
      <c r="L664" s="5">
        <v>260.45999999999998</v>
      </c>
      <c r="M664">
        <v>0.09</v>
      </c>
      <c r="N664" t="s">
        <v>1349</v>
      </c>
      <c r="O664" s="5">
        <v>711.05579999999986</v>
      </c>
    </row>
    <row r="665" spans="1:15">
      <c r="A665" t="s">
        <v>2014</v>
      </c>
      <c r="B665" s="7">
        <v>45646</v>
      </c>
      <c r="C665" t="s">
        <v>306</v>
      </c>
      <c r="D665" t="s">
        <v>1117</v>
      </c>
      <c r="E665" t="s">
        <v>1301</v>
      </c>
      <c r="F665" t="str">
        <f>[1]Raw_Customer_Dim!$A$2</f>
        <v>CUST1000</v>
      </c>
      <c r="G665" t="str">
        <f>_xlfn.XLOOKUP(E665,Store_Dim!A:A,Store_Dim!B:B,"Not Found")</f>
        <v>Benson-Elliott</v>
      </c>
      <c r="H665" t="str">
        <f>_xlfn.XLOOKUP(D665,Product_Dim!A:A,Product_Dim!C:C,"Not Found")</f>
        <v>Sports</v>
      </c>
      <c r="I665" t="str">
        <f>_xlfn.XLOOKUP(E665,Store_Dim!A:A,Store_Dim!C:C,"Not Found")</f>
        <v>East</v>
      </c>
      <c r="J665" t="str">
        <f>_xlfn.XLOOKUP(C665,Customer_Dim!A:A,Customer_Dim!B:B,"Not Found")</f>
        <v>Erin Hopkins</v>
      </c>
      <c r="K665">
        <f>Table511[[#This Row],[Total_Amount]]/(L665*(1-Table511[[#This Row],[Discount]]))</f>
        <v>1</v>
      </c>
      <c r="L665" s="5">
        <v>747.03</v>
      </c>
      <c r="M665">
        <v>0.01</v>
      </c>
      <c r="N665" t="s">
        <v>1349</v>
      </c>
      <c r="O665" s="5">
        <v>739.55970000000002</v>
      </c>
    </row>
    <row r="666" spans="1:15">
      <c r="A666" t="s">
        <v>2015</v>
      </c>
      <c r="B666" s="7">
        <v>45475</v>
      </c>
      <c r="C666" t="s">
        <v>871</v>
      </c>
      <c r="D666" t="s">
        <v>1105</v>
      </c>
      <c r="E666" t="s">
        <v>1307</v>
      </c>
      <c r="F666" t="str">
        <f>[1]Raw_Customer_Dim!$A$2</f>
        <v>CUST1000</v>
      </c>
      <c r="G666" t="str">
        <f>_xlfn.XLOOKUP(E666,Store_Dim!A:A,Store_Dim!B:B,"Not Found")</f>
        <v>Bean, Jones and Park</v>
      </c>
      <c r="H666" t="str">
        <f>_xlfn.XLOOKUP(D666,Product_Dim!A:A,Product_Dim!C:C,"Not Found")</f>
        <v>Not Found</v>
      </c>
      <c r="I666" t="str">
        <f>_xlfn.XLOOKUP(E666,Store_Dim!A:A,Store_Dim!C:C,"Not Found")</f>
        <v>West</v>
      </c>
      <c r="J666" t="str">
        <f>_xlfn.XLOOKUP(C666,Customer_Dim!A:A,Customer_Dim!B:B,"Not Found")</f>
        <v>David Ross</v>
      </c>
      <c r="K666">
        <f>Table511[[#This Row],[Total_Amount]]/(L666*(1-Table511[[#This Row],[Discount]]))</f>
        <v>4</v>
      </c>
      <c r="L666" s="5">
        <v>700.88</v>
      </c>
      <c r="M666">
        <v>0.23</v>
      </c>
      <c r="N666" t="s">
        <v>1351</v>
      </c>
      <c r="O666" s="5">
        <v>2158.7103999999999</v>
      </c>
    </row>
    <row r="667" spans="1:15">
      <c r="A667" t="s">
        <v>2016</v>
      </c>
      <c r="B667" s="7">
        <v>45781</v>
      </c>
      <c r="C667" t="s">
        <v>138</v>
      </c>
      <c r="D667" t="s">
        <v>1263</v>
      </c>
      <c r="E667" t="s">
        <v>1324</v>
      </c>
      <c r="F667" t="str">
        <f>[1]Raw_Customer_Dim!$A$2</f>
        <v>CUST1000</v>
      </c>
      <c r="G667" t="str">
        <f>_xlfn.XLOOKUP(E667,Store_Dim!A:A,Store_Dim!B:B,"Not Found")</f>
        <v>Mcdonald Inc</v>
      </c>
      <c r="H667" t="str">
        <f>_xlfn.XLOOKUP(D667,Product_Dim!A:A,Product_Dim!C:C,"Not Found")</f>
        <v>Sports</v>
      </c>
      <c r="I667" t="str">
        <f>_xlfn.XLOOKUP(E667,Store_Dim!A:A,Store_Dim!C:C,"Not Found")</f>
        <v>South</v>
      </c>
      <c r="J667" t="str">
        <f>_xlfn.XLOOKUP(C667,Customer_Dim!A:A,Customer_Dim!B:B,"Not Found")</f>
        <v>April Mullins</v>
      </c>
      <c r="K667">
        <f>Table511[[#This Row],[Total_Amount]]/(L667*(1-Table511[[#This Row],[Discount]]))</f>
        <v>4</v>
      </c>
      <c r="L667" s="5">
        <v>20.09</v>
      </c>
      <c r="M667">
        <v>0.16</v>
      </c>
      <c r="N667" t="s">
        <v>1351</v>
      </c>
      <c r="O667" s="5">
        <v>67.502399999999994</v>
      </c>
    </row>
    <row r="668" spans="1:15">
      <c r="A668" t="s">
        <v>2017</v>
      </c>
      <c r="B668" s="7">
        <v>45654</v>
      </c>
      <c r="C668" t="s">
        <v>170</v>
      </c>
      <c r="D668" t="s">
        <v>1147</v>
      </c>
      <c r="E668" t="s">
        <v>1317</v>
      </c>
      <c r="F668" t="str">
        <f>[1]Raw_Customer_Dim!$A$2</f>
        <v>CUST1000</v>
      </c>
      <c r="G668" t="str">
        <f>_xlfn.XLOOKUP(E668,Store_Dim!A:A,Store_Dim!B:B,"Not Found")</f>
        <v>Aguirre-Keller</v>
      </c>
      <c r="H668" t="str">
        <f>_xlfn.XLOOKUP(D668,Product_Dim!A:A,Product_Dim!C:C,"Not Found")</f>
        <v>Clothing</v>
      </c>
      <c r="I668" t="str">
        <f>_xlfn.XLOOKUP(E668,Store_Dim!A:A,Store_Dim!C:C,"Not Found")</f>
        <v>South</v>
      </c>
      <c r="J668" t="str">
        <f>_xlfn.XLOOKUP(C668,Customer_Dim!A:A,Customer_Dim!B:B,"Not Found")</f>
        <v>James Bean</v>
      </c>
      <c r="K668">
        <f>Table511[[#This Row],[Total_Amount]]/(L668*(1-Table511[[#This Row],[Discount]]))</f>
        <v>3</v>
      </c>
      <c r="L668" s="5">
        <v>917.64</v>
      </c>
      <c r="M668">
        <v>0.24</v>
      </c>
      <c r="N668" t="s">
        <v>1351</v>
      </c>
      <c r="O668" s="5">
        <v>2092.2192</v>
      </c>
    </row>
    <row r="669" spans="1:15">
      <c r="A669" t="s">
        <v>2018</v>
      </c>
      <c r="B669" s="7">
        <v>45594</v>
      </c>
      <c r="C669" t="s">
        <v>145</v>
      </c>
      <c r="D669" t="s">
        <v>1115</v>
      </c>
      <c r="E669" t="s">
        <v>1277</v>
      </c>
      <c r="F669" t="str">
        <f>[1]Raw_Customer_Dim!$A$2</f>
        <v>CUST1000</v>
      </c>
      <c r="G669" t="str">
        <f>_xlfn.XLOOKUP(E669,Store_Dim!A:A,Store_Dim!B:B,"Not Found")</f>
        <v>Rivera-Warner</v>
      </c>
      <c r="H669" t="str">
        <f>_xlfn.XLOOKUP(D669,Product_Dim!A:A,Product_Dim!C:C,"Not Found")</f>
        <v>Home</v>
      </c>
      <c r="I669" t="str">
        <f>_xlfn.XLOOKUP(E669,Store_Dim!A:A,Store_Dim!C:C,"Not Found")</f>
        <v>East</v>
      </c>
      <c r="J669" t="str">
        <f>_xlfn.XLOOKUP(C669,Customer_Dim!A:A,Customer_Dim!B:B,"Not Found")</f>
        <v>Sarah Rodgers</v>
      </c>
      <c r="K669">
        <f>Table511[[#This Row],[Total_Amount]]/(L669*(1-Table511[[#This Row],[Discount]]))</f>
        <v>0.99999999999999989</v>
      </c>
      <c r="L669" s="5">
        <v>242.08</v>
      </c>
      <c r="M669">
        <v>0.18</v>
      </c>
      <c r="N669" t="s">
        <v>1351</v>
      </c>
      <c r="O669" s="5">
        <v>198.50559999999999</v>
      </c>
    </row>
    <row r="670" spans="1:15">
      <c r="A670" t="s">
        <v>2019</v>
      </c>
      <c r="B670" s="7">
        <v>45581</v>
      </c>
      <c r="C670" t="s">
        <v>159</v>
      </c>
      <c r="D670" t="s">
        <v>1199</v>
      </c>
      <c r="E670" t="s">
        <v>1304</v>
      </c>
      <c r="F670" t="str">
        <f>[1]Raw_Customer_Dim!$A$2</f>
        <v>CUST1000</v>
      </c>
      <c r="G670" t="str">
        <f>_xlfn.XLOOKUP(E670,Store_Dim!A:A,Store_Dim!B:B,"Not Found")</f>
        <v>Martinez-Mullins</v>
      </c>
      <c r="H670" t="str">
        <f>_xlfn.XLOOKUP(D670,Product_Dim!A:A,Product_Dim!C:C,"Not Found")</f>
        <v>Beauty</v>
      </c>
      <c r="I670" t="str">
        <f>_xlfn.XLOOKUP(E670,Store_Dim!A:A,Store_Dim!C:C,"Not Found")</f>
        <v>South</v>
      </c>
      <c r="J670" t="str">
        <f>_xlfn.XLOOKUP(C670,Customer_Dim!A:A,Customer_Dim!B:B,"Not Found")</f>
        <v>Jay Patel</v>
      </c>
      <c r="K670">
        <f>Table511[[#This Row],[Total_Amount]]/(L670*(1-Table511[[#This Row],[Discount]]))</f>
        <v>1.0000000000000002</v>
      </c>
      <c r="L670" s="5">
        <v>536.67999999999995</v>
      </c>
      <c r="M670">
        <v>0.27</v>
      </c>
      <c r="N670" t="s">
        <v>1349</v>
      </c>
      <c r="O670" s="5">
        <v>391.77640000000002</v>
      </c>
    </row>
    <row r="671" spans="1:15">
      <c r="A671" t="s">
        <v>2020</v>
      </c>
      <c r="B671" s="7">
        <v>45748</v>
      </c>
      <c r="C671" t="s">
        <v>246</v>
      </c>
      <c r="D671" t="s">
        <v>1131</v>
      </c>
      <c r="E671" t="s">
        <v>1294</v>
      </c>
      <c r="F671" t="str">
        <f>[1]Raw_Customer_Dim!$A$2</f>
        <v>CUST1000</v>
      </c>
      <c r="G671" t="str">
        <f>_xlfn.XLOOKUP(E671,Store_Dim!A:A,Store_Dim!B:B,"Not Found")</f>
        <v>Alexander Group</v>
      </c>
      <c r="H671" t="str">
        <f>_xlfn.XLOOKUP(D671,Product_Dim!A:A,Product_Dim!C:C,"Not Found")</f>
        <v>Home</v>
      </c>
      <c r="I671" t="str">
        <f>_xlfn.XLOOKUP(E671,Store_Dim!A:A,Store_Dim!C:C,"Not Found")</f>
        <v>South</v>
      </c>
      <c r="J671" t="str">
        <f>_xlfn.XLOOKUP(C671,Customer_Dim!A:A,Customer_Dim!B:B,"Not Found")</f>
        <v>David Patterson</v>
      </c>
      <c r="K671">
        <f>Table511[[#This Row],[Total_Amount]]/(L671*(1-Table511[[#This Row],[Discount]]))</f>
        <v>2</v>
      </c>
      <c r="L671" s="5">
        <v>145.18</v>
      </c>
      <c r="M671">
        <v>0.26</v>
      </c>
      <c r="N671" t="s">
        <v>1351</v>
      </c>
      <c r="O671" s="5">
        <v>214.8664</v>
      </c>
    </row>
    <row r="672" spans="1:15">
      <c r="A672" t="s">
        <v>2021</v>
      </c>
      <c r="B672" s="7">
        <v>45369</v>
      </c>
      <c r="C672" t="s">
        <v>505</v>
      </c>
      <c r="D672" t="s">
        <v>1207</v>
      </c>
      <c r="E672" t="s">
        <v>1294</v>
      </c>
      <c r="F672" t="str">
        <f>[1]Raw_Customer_Dim!$A$2</f>
        <v>CUST1000</v>
      </c>
      <c r="G672" t="str">
        <f>_xlfn.XLOOKUP(E672,Store_Dim!A:A,Store_Dim!B:B,"Not Found")</f>
        <v>Alexander Group</v>
      </c>
      <c r="H672" t="str">
        <f>_xlfn.XLOOKUP(D672,Product_Dim!A:A,Product_Dim!C:C,"Not Found")</f>
        <v>Electronics</v>
      </c>
      <c r="I672" t="str">
        <f>_xlfn.XLOOKUP(E672,Store_Dim!A:A,Store_Dim!C:C,"Not Found")</f>
        <v>South</v>
      </c>
      <c r="J672" t="str">
        <f>_xlfn.XLOOKUP(C672,Customer_Dim!A:A,Customer_Dim!B:B,"Not Found")</f>
        <v>Lisa Young</v>
      </c>
      <c r="K672">
        <f>Table511[[#This Row],[Total_Amount]]/(L672*(1-Table511[[#This Row],[Discount]]))</f>
        <v>2</v>
      </c>
      <c r="L672" s="5">
        <v>132.77000000000001</v>
      </c>
      <c r="M672">
        <v>0.13</v>
      </c>
      <c r="N672" t="s">
        <v>1354</v>
      </c>
      <c r="O672" s="5">
        <v>231.0198</v>
      </c>
    </row>
    <row r="673" spans="1:15">
      <c r="A673" t="s">
        <v>2022</v>
      </c>
      <c r="B673" s="7">
        <v>45701</v>
      </c>
      <c r="C673" t="s">
        <v>50</v>
      </c>
      <c r="D673" t="s">
        <v>1155</v>
      </c>
      <c r="E673" t="s">
        <v>1311</v>
      </c>
      <c r="F673" t="str">
        <f>[1]Raw_Customer_Dim!$A$2</f>
        <v>CUST1000</v>
      </c>
      <c r="G673" t="str">
        <f>_xlfn.XLOOKUP(E673,Store_Dim!A:A,Store_Dim!B:B,"Not Found")</f>
        <v>Moore, Padilla and Butler</v>
      </c>
      <c r="H673" t="str">
        <f>_xlfn.XLOOKUP(D673,Product_Dim!A:A,Product_Dim!C:C,"Not Found")</f>
        <v>Sports</v>
      </c>
      <c r="I673" t="str">
        <f>_xlfn.XLOOKUP(E673,Store_Dim!A:A,Store_Dim!C:C,"Not Found")</f>
        <v>South</v>
      </c>
      <c r="J673" t="str">
        <f>_xlfn.XLOOKUP(C673,Customer_Dim!A:A,Customer_Dim!B:B,"Not Found")</f>
        <v>Nathan Hernandez</v>
      </c>
      <c r="K673">
        <f>Table511[[#This Row],[Total_Amount]]/(L673*(1-Table511[[#This Row],[Discount]]))</f>
        <v>4</v>
      </c>
      <c r="L673" s="5">
        <v>682.11</v>
      </c>
      <c r="M673">
        <v>0.14000000000000001</v>
      </c>
      <c r="N673" t="s">
        <v>1349</v>
      </c>
      <c r="O673" s="5">
        <v>2346.4584</v>
      </c>
    </row>
    <row r="674" spans="1:15">
      <c r="A674" t="s">
        <v>2023</v>
      </c>
      <c r="B674" s="7">
        <v>45510</v>
      </c>
      <c r="C674" t="s">
        <v>1033</v>
      </c>
      <c r="D674" t="s">
        <v>1153</v>
      </c>
      <c r="E674" t="s">
        <v>1332</v>
      </c>
      <c r="F674" t="str">
        <f>[1]Raw_Customer_Dim!$A$2</f>
        <v>CUST1000</v>
      </c>
      <c r="G674" t="str">
        <f>_xlfn.XLOOKUP(E674,Store_Dim!A:A,Store_Dim!B:B,"Not Found")</f>
        <v>Holloway Ltd</v>
      </c>
      <c r="H674" t="str">
        <f>_xlfn.XLOOKUP(D674,Product_Dim!A:A,Product_Dim!C:C,"Not Found")</f>
        <v>Electronics</v>
      </c>
      <c r="I674" t="str">
        <f>_xlfn.XLOOKUP(E674,Store_Dim!A:A,Store_Dim!C:C,"Not Found")</f>
        <v>North</v>
      </c>
      <c r="J674" t="str">
        <f>_xlfn.XLOOKUP(C674,Customer_Dim!A:A,Customer_Dim!B:B,"Not Found")</f>
        <v>Not Found</v>
      </c>
      <c r="K674">
        <f>Table511[[#This Row],[Total_Amount]]/(L674*(1-Table511[[#This Row],[Discount]]))</f>
        <v>4</v>
      </c>
      <c r="L674" s="5">
        <v>502.95</v>
      </c>
      <c r="M674">
        <v>0.14000000000000001</v>
      </c>
      <c r="N674" t="s">
        <v>1354</v>
      </c>
      <c r="O674" s="5">
        <v>1730.1479999999999</v>
      </c>
    </row>
    <row r="675" spans="1:15">
      <c r="A675" t="s">
        <v>2024</v>
      </c>
      <c r="B675" s="7">
        <v>45538</v>
      </c>
      <c r="C675" t="s">
        <v>531</v>
      </c>
      <c r="D675" t="s">
        <v>1147</v>
      </c>
      <c r="E675" t="s">
        <v>1329</v>
      </c>
      <c r="F675" t="str">
        <f>[1]Raw_Customer_Dim!$A$2</f>
        <v>CUST1000</v>
      </c>
      <c r="G675" t="str">
        <f>_xlfn.XLOOKUP(E675,Store_Dim!A:A,Store_Dim!B:B,"Not Found")</f>
        <v>Frederick-Wright</v>
      </c>
      <c r="H675" t="str">
        <f>_xlfn.XLOOKUP(D675,Product_Dim!A:A,Product_Dim!C:C,"Not Found")</f>
        <v>Clothing</v>
      </c>
      <c r="I675" t="str">
        <f>_xlfn.XLOOKUP(E675,Store_Dim!A:A,Store_Dim!C:C,"Not Found")</f>
        <v>West</v>
      </c>
      <c r="J675" t="str">
        <f>_xlfn.XLOOKUP(C675,Customer_Dim!A:A,Customer_Dim!B:B,"Not Found")</f>
        <v>Nathaniel Hill</v>
      </c>
      <c r="K675">
        <f>Table511[[#This Row],[Total_Amount]]/(L675*(1-Table511[[#This Row],[Discount]]))</f>
        <v>2</v>
      </c>
      <c r="L675" s="5">
        <v>472.08</v>
      </c>
      <c r="M675">
        <v>7.0000000000000007E-2</v>
      </c>
      <c r="N675" t="s">
        <v>1349</v>
      </c>
      <c r="O675" s="5">
        <v>878.0687999999999</v>
      </c>
    </row>
    <row r="676" spans="1:15">
      <c r="A676" t="s">
        <v>2025</v>
      </c>
      <c r="B676" s="7">
        <v>45665</v>
      </c>
      <c r="C676" t="s">
        <v>1008</v>
      </c>
      <c r="D676" t="s">
        <v>1187</v>
      </c>
      <c r="E676" t="s">
        <v>1332</v>
      </c>
      <c r="F676" t="str">
        <f>[1]Raw_Customer_Dim!$A$2</f>
        <v>CUST1000</v>
      </c>
      <c r="G676" t="str">
        <f>_xlfn.XLOOKUP(E676,Store_Dim!A:A,Store_Dim!B:B,"Not Found")</f>
        <v>Holloway Ltd</v>
      </c>
      <c r="H676" t="str">
        <f>_xlfn.XLOOKUP(D676,Product_Dim!A:A,Product_Dim!C:C,"Not Found")</f>
        <v>Sports</v>
      </c>
      <c r="I676" t="str">
        <f>_xlfn.XLOOKUP(E676,Store_Dim!A:A,Store_Dim!C:C,"Not Found")</f>
        <v>North</v>
      </c>
      <c r="J676" t="str">
        <f>_xlfn.XLOOKUP(C676,Customer_Dim!A:A,Customer_Dim!B:B,"Not Found")</f>
        <v>Laura Mathews</v>
      </c>
      <c r="K676">
        <f>Table511[[#This Row],[Total_Amount]]/(L676*(1-Table511[[#This Row],[Discount]]))</f>
        <v>2</v>
      </c>
      <c r="L676" s="5">
        <v>218.11</v>
      </c>
      <c r="M676">
        <v>0.02</v>
      </c>
      <c r="N676" t="s">
        <v>1354</v>
      </c>
      <c r="O676" s="5">
        <v>427.49560000000002</v>
      </c>
    </row>
    <row r="677" spans="1:15">
      <c r="A677" t="s">
        <v>2026</v>
      </c>
      <c r="B677" s="7">
        <v>45859</v>
      </c>
      <c r="C677" t="s">
        <v>159</v>
      </c>
      <c r="D677" t="s">
        <v>1071</v>
      </c>
      <c r="E677" t="s">
        <v>1301</v>
      </c>
      <c r="F677" t="str">
        <f>[1]Raw_Customer_Dim!$A$2</f>
        <v>CUST1000</v>
      </c>
      <c r="G677" t="str">
        <f>_xlfn.XLOOKUP(E677,Store_Dim!A:A,Store_Dim!B:B,"Not Found")</f>
        <v>Benson-Elliott</v>
      </c>
      <c r="H677" t="str">
        <f>_xlfn.XLOOKUP(D677,Product_Dim!A:A,Product_Dim!C:C,"Not Found")</f>
        <v>Clothing</v>
      </c>
      <c r="I677" t="str">
        <f>_xlfn.XLOOKUP(E677,Store_Dim!A:A,Store_Dim!C:C,"Not Found")</f>
        <v>East</v>
      </c>
      <c r="J677" t="str">
        <f>_xlfn.XLOOKUP(C677,Customer_Dim!A:A,Customer_Dim!B:B,"Not Found")</f>
        <v>Jay Patel</v>
      </c>
      <c r="K677">
        <f>Table511[[#This Row],[Total_Amount]]/(L677*(1-Table511[[#This Row],[Discount]]))</f>
        <v>4</v>
      </c>
      <c r="L677" s="5">
        <v>845.58</v>
      </c>
      <c r="M677">
        <v>0.06</v>
      </c>
      <c r="N677" t="s">
        <v>1351</v>
      </c>
      <c r="O677" s="5">
        <v>3179.3807999999999</v>
      </c>
    </row>
    <row r="678" spans="1:15">
      <c r="A678" t="s">
        <v>2027</v>
      </c>
      <c r="B678" s="7">
        <v>45255</v>
      </c>
      <c r="C678" t="s">
        <v>317</v>
      </c>
      <c r="D678" t="s">
        <v>1233</v>
      </c>
      <c r="E678" t="s">
        <v>1286</v>
      </c>
      <c r="F678" t="str">
        <f>[1]Raw_Customer_Dim!$A$2</f>
        <v>CUST1000</v>
      </c>
      <c r="G678" t="str">
        <f>_xlfn.XLOOKUP(E678,Store_Dim!A:A,Store_Dim!B:B,"Not Found")</f>
        <v>Black-Horn</v>
      </c>
      <c r="H678" t="str">
        <f>_xlfn.XLOOKUP(D678,Product_Dim!A:A,Product_Dim!C:C,"Not Found")</f>
        <v>Home</v>
      </c>
      <c r="I678" t="str">
        <f>_xlfn.XLOOKUP(E678,Store_Dim!A:A,Store_Dim!C:C,"Not Found")</f>
        <v>South</v>
      </c>
      <c r="J678" t="str">
        <f>_xlfn.XLOOKUP(C678,Customer_Dim!A:A,Customer_Dim!B:B,"Not Found")</f>
        <v>Susan Mcdonald</v>
      </c>
      <c r="K678">
        <f>Table511[[#This Row],[Total_Amount]]/(L678*(1-Table511[[#This Row],[Discount]]))</f>
        <v>2</v>
      </c>
      <c r="L678" s="5">
        <v>111.28</v>
      </c>
      <c r="M678">
        <v>0.14000000000000001</v>
      </c>
      <c r="N678" t="s">
        <v>1349</v>
      </c>
      <c r="O678" s="5">
        <v>191.4016</v>
      </c>
    </row>
    <row r="679" spans="1:15">
      <c r="A679" t="s">
        <v>2028</v>
      </c>
      <c r="B679" s="7">
        <v>45842</v>
      </c>
      <c r="C679" t="s">
        <v>415</v>
      </c>
      <c r="D679" t="s">
        <v>1191</v>
      </c>
      <c r="E679" t="s">
        <v>1324</v>
      </c>
      <c r="F679" t="str">
        <f>[1]Raw_Customer_Dim!$A$2</f>
        <v>CUST1000</v>
      </c>
      <c r="G679" t="str">
        <f>_xlfn.XLOOKUP(E679,Store_Dim!A:A,Store_Dim!B:B,"Not Found")</f>
        <v>Mcdonald Inc</v>
      </c>
      <c r="H679" t="str">
        <f>_xlfn.XLOOKUP(D679,Product_Dim!A:A,Product_Dim!C:C,"Not Found")</f>
        <v>Beauty</v>
      </c>
      <c r="I679" t="str">
        <f>_xlfn.XLOOKUP(E679,Store_Dim!A:A,Store_Dim!C:C,"Not Found")</f>
        <v>South</v>
      </c>
      <c r="J679" t="str">
        <f>_xlfn.XLOOKUP(C679,Customer_Dim!A:A,Customer_Dim!B:B,"Not Found")</f>
        <v>Curtis Lam</v>
      </c>
      <c r="K679">
        <f>Table511[[#This Row],[Total_Amount]]/(L679*(1-Table511[[#This Row],[Discount]]))</f>
        <v>2</v>
      </c>
      <c r="L679" s="5">
        <v>37.21</v>
      </c>
      <c r="M679">
        <v>0.19</v>
      </c>
      <c r="N679" t="s">
        <v>1349</v>
      </c>
      <c r="O679" s="5">
        <v>60.280200000000008</v>
      </c>
    </row>
    <row r="680" spans="1:15">
      <c r="A680" t="s">
        <v>2029</v>
      </c>
      <c r="B680" s="7">
        <v>45220</v>
      </c>
      <c r="C680" t="s">
        <v>897</v>
      </c>
      <c r="D680" t="s">
        <v>1197</v>
      </c>
      <c r="E680" t="s">
        <v>1322</v>
      </c>
      <c r="F680" t="str">
        <f>[1]Raw_Customer_Dim!$A$2</f>
        <v>CUST1000</v>
      </c>
      <c r="G680" t="str">
        <f>_xlfn.XLOOKUP(E680,Store_Dim!A:A,Store_Dim!B:B,"Not Found")</f>
        <v>Gardner, Humphrey and Contreras</v>
      </c>
      <c r="H680" t="str">
        <f>_xlfn.XLOOKUP(D680,Product_Dim!A:A,Product_Dim!C:C,"Not Found")</f>
        <v>Electronics</v>
      </c>
      <c r="I680" t="str">
        <f>_xlfn.XLOOKUP(E680,Store_Dim!A:A,Store_Dim!C:C,"Not Found")</f>
        <v>East</v>
      </c>
      <c r="J680" t="str">
        <f>_xlfn.XLOOKUP(C680,Customer_Dim!A:A,Customer_Dim!B:B,"Not Found")</f>
        <v>Karen King</v>
      </c>
      <c r="K680">
        <f>Table511[[#This Row],[Total_Amount]]/(L680*(1-Table511[[#This Row],[Discount]]))</f>
        <v>1</v>
      </c>
      <c r="L680" s="5">
        <v>331.73</v>
      </c>
      <c r="M680">
        <v>0.04</v>
      </c>
      <c r="N680" t="s">
        <v>1349</v>
      </c>
      <c r="O680" s="5">
        <v>318.46080000000001</v>
      </c>
    </row>
    <row r="681" spans="1:15">
      <c r="A681" t="s">
        <v>2030</v>
      </c>
      <c r="B681" s="7">
        <v>45273</v>
      </c>
      <c r="C681" t="s">
        <v>791</v>
      </c>
      <c r="D681" t="s">
        <v>1213</v>
      </c>
      <c r="E681" t="s">
        <v>1319</v>
      </c>
      <c r="F681" t="str">
        <f>[1]Raw_Customer_Dim!$A$2</f>
        <v>CUST1000</v>
      </c>
      <c r="G681" t="str">
        <f>_xlfn.XLOOKUP(E681,Store_Dim!A:A,Store_Dim!B:B,"Not Found")</f>
        <v>Thomas, Bridges and Harris</v>
      </c>
      <c r="H681" t="str">
        <f>_xlfn.XLOOKUP(D681,Product_Dim!A:A,Product_Dim!C:C,"Not Found")</f>
        <v>Home</v>
      </c>
      <c r="I681" t="str">
        <f>_xlfn.XLOOKUP(E681,Store_Dim!A:A,Store_Dim!C:C,"Not Found")</f>
        <v>North</v>
      </c>
      <c r="J681" t="str">
        <f>_xlfn.XLOOKUP(C681,Customer_Dim!A:A,Customer_Dim!B:B,"Not Found")</f>
        <v>Chloe Aguilar</v>
      </c>
      <c r="K681">
        <f>Table511[[#This Row],[Total_Amount]]/(L681*(1-Table511[[#This Row],[Discount]]))</f>
        <v>3</v>
      </c>
      <c r="L681" s="5">
        <v>306.70999999999998</v>
      </c>
      <c r="M681">
        <v>0.09</v>
      </c>
      <c r="N681" t="s">
        <v>1351</v>
      </c>
      <c r="O681" s="5">
        <v>837.31829999999991</v>
      </c>
    </row>
    <row r="682" spans="1:15">
      <c r="A682" t="s">
        <v>2031</v>
      </c>
      <c r="B682" s="7">
        <v>45456</v>
      </c>
      <c r="C682" t="s">
        <v>604</v>
      </c>
      <c r="D682" t="s">
        <v>1123</v>
      </c>
      <c r="E682" t="s">
        <v>1301</v>
      </c>
      <c r="F682" t="str">
        <f>[1]Raw_Customer_Dim!$A$2</f>
        <v>CUST1000</v>
      </c>
      <c r="G682" t="str">
        <f>_xlfn.XLOOKUP(E682,Store_Dim!A:A,Store_Dim!B:B,"Not Found")</f>
        <v>Benson-Elliott</v>
      </c>
      <c r="H682" t="str">
        <f>_xlfn.XLOOKUP(D682,Product_Dim!A:A,Product_Dim!C:C,"Not Found")</f>
        <v>Clothing</v>
      </c>
      <c r="I682" t="str">
        <f>_xlfn.XLOOKUP(E682,Store_Dim!A:A,Store_Dim!C:C,"Not Found")</f>
        <v>East</v>
      </c>
      <c r="J682" t="str">
        <f>_xlfn.XLOOKUP(C682,Customer_Dim!A:A,Customer_Dim!B:B,"Not Found")</f>
        <v>Brian Garcia</v>
      </c>
      <c r="K682">
        <f>Table511[[#This Row],[Total_Amount]]/(L682*(1-Table511[[#This Row],[Discount]]))</f>
        <v>4</v>
      </c>
      <c r="L682" s="5">
        <v>484.92</v>
      </c>
      <c r="M682">
        <v>0.28000000000000003</v>
      </c>
      <c r="N682" t="s">
        <v>1351</v>
      </c>
      <c r="O682" s="5">
        <v>1396.5696</v>
      </c>
    </row>
    <row r="683" spans="1:15">
      <c r="A683" t="s">
        <v>2032</v>
      </c>
      <c r="B683" s="7">
        <v>45292</v>
      </c>
      <c r="C683" t="s">
        <v>126</v>
      </c>
      <c r="D683" t="s">
        <v>1173</v>
      </c>
      <c r="E683" t="s">
        <v>1298</v>
      </c>
      <c r="F683" t="str">
        <f>[1]Raw_Customer_Dim!$A$2</f>
        <v>CUST1000</v>
      </c>
      <c r="G683" t="str">
        <f>_xlfn.XLOOKUP(E683,Store_Dim!A:A,Store_Dim!B:B,"Not Found")</f>
        <v>Gray Ltd</v>
      </c>
      <c r="H683" t="str">
        <f>_xlfn.XLOOKUP(D683,Product_Dim!A:A,Product_Dim!C:C,"Not Found")</f>
        <v>Sports</v>
      </c>
      <c r="I683" t="str">
        <f>_xlfn.XLOOKUP(E683,Store_Dim!A:A,Store_Dim!C:C,"Not Found")</f>
        <v>North</v>
      </c>
      <c r="J683" t="str">
        <f>_xlfn.XLOOKUP(C683,Customer_Dim!A:A,Customer_Dim!B:B,"Not Found")</f>
        <v>Joseph Snow</v>
      </c>
      <c r="K683">
        <f>Table511[[#This Row],[Total_Amount]]/(L683*(1-Table511[[#This Row],[Discount]]))</f>
        <v>2</v>
      </c>
      <c r="L683" s="5">
        <v>42.04</v>
      </c>
      <c r="M683">
        <v>7.0000000000000007E-2</v>
      </c>
      <c r="N683" t="s">
        <v>1349</v>
      </c>
      <c r="O683" s="5">
        <v>78.194399999999987</v>
      </c>
    </row>
    <row r="684" spans="1:15">
      <c r="A684" t="s">
        <v>2033</v>
      </c>
      <c r="B684" s="7">
        <v>45278</v>
      </c>
      <c r="C684" t="s">
        <v>626</v>
      </c>
      <c r="D684" t="s">
        <v>1183</v>
      </c>
      <c r="E684" t="s">
        <v>1301</v>
      </c>
      <c r="F684" t="str">
        <f>[1]Raw_Customer_Dim!$A$2</f>
        <v>CUST1000</v>
      </c>
      <c r="G684" t="str">
        <f>_xlfn.XLOOKUP(E684,Store_Dim!A:A,Store_Dim!B:B,"Not Found")</f>
        <v>Benson-Elliott</v>
      </c>
      <c r="H684" t="str">
        <f>_xlfn.XLOOKUP(D684,Product_Dim!A:A,Product_Dim!C:C,"Not Found")</f>
        <v>Home</v>
      </c>
      <c r="I684" t="str">
        <f>_xlfn.XLOOKUP(E684,Store_Dim!A:A,Store_Dim!C:C,"Not Found")</f>
        <v>East</v>
      </c>
      <c r="J684" t="str">
        <f>_xlfn.XLOOKUP(C684,Customer_Dim!A:A,Customer_Dim!B:B,"Not Found")</f>
        <v>Brittany Watson</v>
      </c>
      <c r="K684">
        <f>Table511[[#This Row],[Total_Amount]]/(L684*(1-Table511[[#This Row],[Discount]]))</f>
        <v>3</v>
      </c>
      <c r="L684" s="5">
        <v>599.48</v>
      </c>
      <c r="M684">
        <v>0.22</v>
      </c>
      <c r="N684" t="s">
        <v>1351</v>
      </c>
      <c r="O684" s="5">
        <v>1402.7832000000001</v>
      </c>
    </row>
    <row r="685" spans="1:15">
      <c r="A685" t="s">
        <v>2034</v>
      </c>
      <c r="B685" s="7">
        <v>45232</v>
      </c>
      <c r="C685" t="s">
        <v>777</v>
      </c>
      <c r="D685" t="s">
        <v>1107</v>
      </c>
      <c r="E685" t="s">
        <v>1282</v>
      </c>
      <c r="F685" t="str">
        <f>[1]Raw_Customer_Dim!$A$2</f>
        <v>CUST1000</v>
      </c>
      <c r="G685" t="str">
        <f>_xlfn.XLOOKUP(E685,Store_Dim!A:A,Store_Dim!B:B,"Not Found")</f>
        <v>Martinez, Adkins and Johnson</v>
      </c>
      <c r="H685" t="str">
        <f>_xlfn.XLOOKUP(D685,Product_Dim!A:A,Product_Dim!C:C,"Not Found")</f>
        <v>Sports</v>
      </c>
      <c r="I685" t="str">
        <f>_xlfn.XLOOKUP(E685,Store_Dim!A:A,Store_Dim!C:C,"Not Found")</f>
        <v>North</v>
      </c>
      <c r="J685" t="str">
        <f>_xlfn.XLOOKUP(C685,Customer_Dim!A:A,Customer_Dim!B:B,"Not Found")</f>
        <v>Manuel Castillo</v>
      </c>
      <c r="K685">
        <f>Table511[[#This Row],[Total_Amount]]/(L685*(1-Table511[[#This Row],[Discount]]))</f>
        <v>3</v>
      </c>
      <c r="L685" s="5">
        <v>401.42</v>
      </c>
      <c r="M685">
        <v>0.01</v>
      </c>
      <c r="N685" t="s">
        <v>1354</v>
      </c>
      <c r="O685" s="5">
        <v>1192.2174</v>
      </c>
    </row>
    <row r="686" spans="1:15">
      <c r="A686" t="s">
        <v>2035</v>
      </c>
      <c r="B686" s="7">
        <v>45907</v>
      </c>
      <c r="C686" t="s">
        <v>446</v>
      </c>
      <c r="D686" t="s">
        <v>1165</v>
      </c>
      <c r="E686" t="s">
        <v>1307</v>
      </c>
      <c r="F686" t="str">
        <f>[1]Raw_Customer_Dim!$A$2</f>
        <v>CUST1000</v>
      </c>
      <c r="G686" t="str">
        <f>_xlfn.XLOOKUP(E686,Store_Dim!A:A,Store_Dim!B:B,"Not Found")</f>
        <v>Bean, Jones and Park</v>
      </c>
      <c r="H686" t="str">
        <f>_xlfn.XLOOKUP(D686,Product_Dim!A:A,Product_Dim!C:C,"Not Found")</f>
        <v>Clothing</v>
      </c>
      <c r="I686" t="str">
        <f>_xlfn.XLOOKUP(E686,Store_Dim!A:A,Store_Dim!C:C,"Not Found")</f>
        <v>West</v>
      </c>
      <c r="J686" t="str">
        <f>_xlfn.XLOOKUP(C686,Customer_Dim!A:A,Customer_Dim!B:B,"Not Found")</f>
        <v>Jacob Wood</v>
      </c>
      <c r="K686">
        <f>Table511[[#This Row],[Total_Amount]]/(L686*(1-Table511[[#This Row],[Discount]]))</f>
        <v>4</v>
      </c>
      <c r="L686" s="5">
        <v>442.54</v>
      </c>
      <c r="M686">
        <v>0.06</v>
      </c>
      <c r="N686" t="s">
        <v>1349</v>
      </c>
      <c r="O686" s="5">
        <v>1663.9503999999999</v>
      </c>
    </row>
    <row r="687" spans="1:15">
      <c r="A687" t="s">
        <v>2036</v>
      </c>
      <c r="B687" s="7">
        <v>45270</v>
      </c>
      <c r="C687" t="s">
        <v>975</v>
      </c>
      <c r="D687" t="s">
        <v>1249</v>
      </c>
      <c r="E687" t="s">
        <v>1322</v>
      </c>
      <c r="F687" t="str">
        <f>[1]Raw_Customer_Dim!$A$2</f>
        <v>CUST1000</v>
      </c>
      <c r="G687" t="str">
        <f>_xlfn.XLOOKUP(E687,Store_Dim!A:A,Store_Dim!B:B,"Not Found")</f>
        <v>Gardner, Humphrey and Contreras</v>
      </c>
      <c r="H687" t="str">
        <f>_xlfn.XLOOKUP(D687,Product_Dim!A:A,Product_Dim!C:C,"Not Found")</f>
        <v>Sports</v>
      </c>
      <c r="I687" t="str">
        <f>_xlfn.XLOOKUP(E687,Store_Dim!A:A,Store_Dim!C:C,"Not Found")</f>
        <v>East</v>
      </c>
      <c r="J687" t="str">
        <f>_xlfn.XLOOKUP(C687,Customer_Dim!A:A,Customer_Dim!B:B,"Not Found")</f>
        <v>Julie Powell</v>
      </c>
      <c r="K687">
        <f>Table511[[#This Row],[Total_Amount]]/(L687*(1-Table511[[#This Row],[Discount]]))</f>
        <v>4</v>
      </c>
      <c r="L687" s="5">
        <v>451.41</v>
      </c>
      <c r="M687">
        <v>0.06</v>
      </c>
      <c r="N687" t="s">
        <v>1351</v>
      </c>
      <c r="O687" s="5">
        <v>1697.3016</v>
      </c>
    </row>
    <row r="688" spans="1:15">
      <c r="A688" t="s">
        <v>2037</v>
      </c>
      <c r="B688" s="7">
        <v>45942</v>
      </c>
      <c r="C688" t="s">
        <v>594</v>
      </c>
      <c r="D688" t="s">
        <v>1255</v>
      </c>
      <c r="E688" t="s">
        <v>1311</v>
      </c>
      <c r="F688" t="str">
        <f>[1]Raw_Customer_Dim!$A$2</f>
        <v>CUST1000</v>
      </c>
      <c r="G688" t="str">
        <f>_xlfn.XLOOKUP(E688,Store_Dim!A:A,Store_Dim!B:B,"Not Found")</f>
        <v>Moore, Padilla and Butler</v>
      </c>
      <c r="H688" t="str">
        <f>_xlfn.XLOOKUP(D688,Product_Dim!A:A,Product_Dim!C:C,"Not Found")</f>
        <v>Clothing</v>
      </c>
      <c r="I688" t="str">
        <f>_xlfn.XLOOKUP(E688,Store_Dim!A:A,Store_Dim!C:C,"Not Found")</f>
        <v>South</v>
      </c>
      <c r="J688" t="str">
        <f>_xlfn.XLOOKUP(C688,Customer_Dim!A:A,Customer_Dim!B:B,"Not Found")</f>
        <v>Tracy Kelly</v>
      </c>
      <c r="K688">
        <f>Table511[[#This Row],[Total_Amount]]/(L688*(1-Table511[[#This Row],[Discount]]))</f>
        <v>4</v>
      </c>
      <c r="L688" s="5">
        <v>547.21</v>
      </c>
      <c r="M688">
        <v>0.25</v>
      </c>
      <c r="N688" t="s">
        <v>1349</v>
      </c>
      <c r="O688" s="5">
        <v>1641.63</v>
      </c>
    </row>
    <row r="689" spans="1:15">
      <c r="A689" t="s">
        <v>2038</v>
      </c>
      <c r="B689" s="7">
        <v>45750</v>
      </c>
      <c r="C689" t="s">
        <v>468</v>
      </c>
      <c r="D689" t="s">
        <v>1247</v>
      </c>
      <c r="E689" t="s">
        <v>1294</v>
      </c>
      <c r="F689" t="str">
        <f>[1]Raw_Customer_Dim!$A$2</f>
        <v>CUST1000</v>
      </c>
      <c r="G689" t="str">
        <f>_xlfn.XLOOKUP(E689,Store_Dim!A:A,Store_Dim!B:B,"Not Found")</f>
        <v>Alexander Group</v>
      </c>
      <c r="H689" t="str">
        <f>_xlfn.XLOOKUP(D689,Product_Dim!A:A,Product_Dim!C:C,"Not Found")</f>
        <v>Home</v>
      </c>
      <c r="I689" t="str">
        <f>_xlfn.XLOOKUP(E689,Store_Dim!A:A,Store_Dim!C:C,"Not Found")</f>
        <v>South</v>
      </c>
      <c r="J689" t="str">
        <f>_xlfn.XLOOKUP(C689,Customer_Dim!A:A,Customer_Dim!B:B,"Not Found")</f>
        <v>Sarah Brady</v>
      </c>
      <c r="K689">
        <f>Table511[[#This Row],[Total_Amount]]/(L689*(1-Table511[[#This Row],[Discount]]))</f>
        <v>1</v>
      </c>
      <c r="L689" s="5">
        <v>979.28</v>
      </c>
      <c r="M689">
        <v>0.2</v>
      </c>
      <c r="N689" t="s">
        <v>1351</v>
      </c>
      <c r="O689" s="5">
        <v>783.42399999999998</v>
      </c>
    </row>
    <row r="690" spans="1:15">
      <c r="A690" t="s">
        <v>2039</v>
      </c>
      <c r="B690" s="7">
        <v>45300</v>
      </c>
      <c r="C690" t="s">
        <v>990</v>
      </c>
      <c r="D690" t="s">
        <v>1185</v>
      </c>
      <c r="E690" t="s">
        <v>1304</v>
      </c>
      <c r="F690" t="str">
        <f>[1]Raw_Customer_Dim!$A$2</f>
        <v>CUST1000</v>
      </c>
      <c r="G690" t="str">
        <f>_xlfn.XLOOKUP(E690,Store_Dim!A:A,Store_Dim!B:B,"Not Found")</f>
        <v>Martinez-Mullins</v>
      </c>
      <c r="H690" t="str">
        <f>_xlfn.XLOOKUP(D690,Product_Dim!A:A,Product_Dim!C:C,"Not Found")</f>
        <v>Home</v>
      </c>
      <c r="I690" t="str">
        <f>_xlfn.XLOOKUP(E690,Store_Dim!A:A,Store_Dim!C:C,"Not Found")</f>
        <v>South</v>
      </c>
      <c r="J690" t="str">
        <f>_xlfn.XLOOKUP(C690,Customer_Dim!A:A,Customer_Dim!B:B,"Not Found")</f>
        <v>Not Found</v>
      </c>
      <c r="K690">
        <f>Table511[[#This Row],[Total_Amount]]/(L690*(1-Table511[[#This Row],[Discount]]))</f>
        <v>4.0000000000000009</v>
      </c>
      <c r="L690" s="5">
        <v>263.58999999999997</v>
      </c>
      <c r="M690">
        <v>0.04</v>
      </c>
      <c r="N690" t="s">
        <v>1349</v>
      </c>
      <c r="O690" s="5">
        <v>1012.1856</v>
      </c>
    </row>
    <row r="691" spans="1:15">
      <c r="A691" t="s">
        <v>2040</v>
      </c>
      <c r="B691" s="7">
        <v>45876</v>
      </c>
      <c r="C691" t="s">
        <v>18</v>
      </c>
      <c r="D691" t="s">
        <v>1181</v>
      </c>
      <c r="E691" t="s">
        <v>1298</v>
      </c>
      <c r="F691" t="str">
        <f>[1]Raw_Customer_Dim!$A$2</f>
        <v>CUST1000</v>
      </c>
      <c r="G691" t="str">
        <f>_xlfn.XLOOKUP(E691,Store_Dim!A:A,Store_Dim!B:B,"Not Found")</f>
        <v>Gray Ltd</v>
      </c>
      <c r="H691" t="str">
        <f>_xlfn.XLOOKUP(D691,Product_Dim!A:A,Product_Dim!C:C,"Not Found")</f>
        <v>Sports</v>
      </c>
      <c r="I691" t="str">
        <f>_xlfn.XLOOKUP(E691,Store_Dim!A:A,Store_Dim!C:C,"Not Found")</f>
        <v>North</v>
      </c>
      <c r="J691" t="str">
        <f>_xlfn.XLOOKUP(C691,Customer_Dim!A:A,Customer_Dim!B:B,"Not Found")</f>
        <v>dr. Benjamin Price</v>
      </c>
      <c r="K691">
        <f>Table511[[#This Row],[Total_Amount]]/(L691*(1-Table511[[#This Row],[Discount]]))</f>
        <v>1</v>
      </c>
      <c r="L691" s="5">
        <v>692.75</v>
      </c>
      <c r="M691">
        <v>0.11</v>
      </c>
      <c r="N691" t="s">
        <v>1354</v>
      </c>
      <c r="O691" s="5">
        <v>616.54750000000001</v>
      </c>
    </row>
    <row r="692" spans="1:15">
      <c r="A692" t="s">
        <v>2041</v>
      </c>
      <c r="B692" s="7">
        <v>45301</v>
      </c>
      <c r="C692" t="s">
        <v>387</v>
      </c>
      <c r="D692" t="s">
        <v>1199</v>
      </c>
      <c r="E692" t="s">
        <v>1291</v>
      </c>
      <c r="F692" t="str">
        <f>[1]Raw_Customer_Dim!$A$2</f>
        <v>CUST1000</v>
      </c>
      <c r="G692" t="str">
        <f>_xlfn.XLOOKUP(E692,Store_Dim!A:A,Store_Dim!B:B,"Not Found")</f>
        <v>Johnson-Wright</v>
      </c>
      <c r="H692" t="str">
        <f>_xlfn.XLOOKUP(D692,Product_Dim!A:A,Product_Dim!C:C,"Not Found")</f>
        <v>Beauty</v>
      </c>
      <c r="I692" t="str">
        <f>_xlfn.XLOOKUP(E692,Store_Dim!A:A,Store_Dim!C:C,"Not Found")</f>
        <v>North</v>
      </c>
      <c r="J692" t="str">
        <f>_xlfn.XLOOKUP(C692,Customer_Dim!A:A,Customer_Dim!B:B,"Not Found")</f>
        <v>Joseph Jones</v>
      </c>
      <c r="K692">
        <f>Table511[[#This Row],[Total_Amount]]/(L692*(1-Table511[[#This Row],[Discount]]))</f>
        <v>3</v>
      </c>
      <c r="L692" s="5">
        <v>142.83000000000001</v>
      </c>
      <c r="M692">
        <v>0.01</v>
      </c>
      <c r="N692" t="s">
        <v>1349</v>
      </c>
      <c r="O692" s="5">
        <v>424.20510000000002</v>
      </c>
    </row>
    <row r="693" spans="1:15">
      <c r="A693" t="s">
        <v>2042</v>
      </c>
      <c r="B693" s="7">
        <v>45857</v>
      </c>
      <c r="C693" t="s">
        <v>308</v>
      </c>
      <c r="D693" t="s">
        <v>1117</v>
      </c>
      <c r="E693" t="s">
        <v>1286</v>
      </c>
      <c r="F693" t="str">
        <f>[1]Raw_Customer_Dim!$A$2</f>
        <v>CUST1000</v>
      </c>
      <c r="G693" t="str">
        <f>_xlfn.XLOOKUP(E693,Store_Dim!A:A,Store_Dim!B:B,"Not Found")</f>
        <v>Black-Horn</v>
      </c>
      <c r="H693" t="str">
        <f>_xlfn.XLOOKUP(D693,Product_Dim!A:A,Product_Dim!C:C,"Not Found")</f>
        <v>Sports</v>
      </c>
      <c r="I693" t="str">
        <f>_xlfn.XLOOKUP(E693,Store_Dim!A:A,Store_Dim!C:C,"Not Found")</f>
        <v>South</v>
      </c>
      <c r="J693" t="str">
        <f>_xlfn.XLOOKUP(C693,Customer_Dim!A:A,Customer_Dim!B:B,"Not Found")</f>
        <v>Donald Lee</v>
      </c>
      <c r="K693">
        <f>Table511[[#This Row],[Total_Amount]]/(L693*(1-Table511[[#This Row],[Discount]]))</f>
        <v>2</v>
      </c>
      <c r="L693" s="5">
        <v>419.25</v>
      </c>
      <c r="M693">
        <v>0.17</v>
      </c>
      <c r="N693" t="s">
        <v>1351</v>
      </c>
      <c r="O693" s="5">
        <v>695.95499999999993</v>
      </c>
    </row>
    <row r="694" spans="1:15">
      <c r="A694" t="s">
        <v>2043</v>
      </c>
      <c r="B694" s="7">
        <v>45650</v>
      </c>
      <c r="C694" t="s">
        <v>543</v>
      </c>
      <c r="D694" t="s">
        <v>1125</v>
      </c>
      <c r="E694" t="s">
        <v>1338</v>
      </c>
      <c r="F694" t="str">
        <f>[1]Raw_Customer_Dim!$A$2</f>
        <v>CUST1000</v>
      </c>
      <c r="G694" t="str">
        <f>_xlfn.XLOOKUP(E694,Store_Dim!A:A,Store_Dim!B:B,"Not Found")</f>
        <v>Mann-Austin</v>
      </c>
      <c r="H694" t="str">
        <f>_xlfn.XLOOKUP(D694,Product_Dim!A:A,Product_Dim!C:C,"Not Found")</f>
        <v>Electronics</v>
      </c>
      <c r="I694" t="str">
        <f>_xlfn.XLOOKUP(E694,Store_Dim!A:A,Store_Dim!C:C,"Not Found")</f>
        <v>East</v>
      </c>
      <c r="J694" t="str">
        <f>_xlfn.XLOOKUP(C694,Customer_Dim!A:A,Customer_Dim!B:B,"Not Found")</f>
        <v>William Hull</v>
      </c>
      <c r="K694">
        <f>Table511[[#This Row],[Total_Amount]]/(L694*(1-Table511[[#This Row],[Discount]]))</f>
        <v>2</v>
      </c>
      <c r="L694" s="5">
        <v>800.84</v>
      </c>
      <c r="M694">
        <v>0.27</v>
      </c>
      <c r="N694" t="s">
        <v>1354</v>
      </c>
      <c r="O694" s="5">
        <v>1169.2264</v>
      </c>
    </row>
    <row r="695" spans="1:15">
      <c r="A695" t="s">
        <v>2044</v>
      </c>
      <c r="B695" s="7">
        <v>45520</v>
      </c>
      <c r="C695" t="s">
        <v>13</v>
      </c>
      <c r="D695" t="s">
        <v>1169</v>
      </c>
      <c r="E695" t="s">
        <v>1286</v>
      </c>
      <c r="F695" t="str">
        <f>[1]Raw_Customer_Dim!$A$2</f>
        <v>CUST1000</v>
      </c>
      <c r="G695" t="str">
        <f>_xlfn.XLOOKUP(E695,Store_Dim!A:A,Store_Dim!B:B,"Not Found")</f>
        <v>Black-Horn</v>
      </c>
      <c r="H695" t="str">
        <f>_xlfn.XLOOKUP(D695,Product_Dim!A:A,Product_Dim!C:C,"Not Found")</f>
        <v>Electronics</v>
      </c>
      <c r="I695" t="str">
        <f>_xlfn.XLOOKUP(E695,Store_Dim!A:A,Store_Dim!C:C,"Not Found")</f>
        <v>South</v>
      </c>
      <c r="J695" t="str">
        <f>_xlfn.XLOOKUP(C695,Customer_Dim!A:A,Customer_Dim!B:B,"Not Found")</f>
        <v>Eugene Nelson</v>
      </c>
      <c r="K695">
        <f>Table511[[#This Row],[Total_Amount]]/(L695*(1-Table511[[#This Row],[Discount]]))</f>
        <v>0.99999999999999978</v>
      </c>
      <c r="L695" s="5">
        <v>301.24</v>
      </c>
      <c r="M695">
        <v>0.11</v>
      </c>
      <c r="N695" t="s">
        <v>1351</v>
      </c>
      <c r="O695" s="5">
        <v>268.10359999999997</v>
      </c>
    </row>
    <row r="696" spans="1:15">
      <c r="A696" t="s">
        <v>2045</v>
      </c>
      <c r="B696" s="7">
        <v>45497</v>
      </c>
      <c r="C696" t="s">
        <v>640</v>
      </c>
      <c r="D696" t="s">
        <v>1243</v>
      </c>
      <c r="E696" t="s">
        <v>1298</v>
      </c>
      <c r="F696" t="str">
        <f>[1]Raw_Customer_Dim!$A$2</f>
        <v>CUST1000</v>
      </c>
      <c r="G696" t="str">
        <f>_xlfn.XLOOKUP(E696,Store_Dim!A:A,Store_Dim!B:B,"Not Found")</f>
        <v>Gray Ltd</v>
      </c>
      <c r="H696" t="str">
        <f>_xlfn.XLOOKUP(D696,Product_Dim!A:A,Product_Dim!C:C,"Not Found")</f>
        <v>Clothing</v>
      </c>
      <c r="I696" t="str">
        <f>_xlfn.XLOOKUP(E696,Store_Dim!A:A,Store_Dim!C:C,"Not Found")</f>
        <v>North</v>
      </c>
      <c r="J696" t="str">
        <f>_xlfn.XLOOKUP(C696,Customer_Dim!A:A,Customer_Dim!B:B,"Not Found")</f>
        <v>Misty Ferguson</v>
      </c>
      <c r="K696">
        <f>Table511[[#This Row],[Total_Amount]]/(L696*(1-Table511[[#This Row],[Discount]]))</f>
        <v>2</v>
      </c>
      <c r="L696" s="5">
        <v>701.49</v>
      </c>
      <c r="M696">
        <v>0.09</v>
      </c>
      <c r="N696" t="s">
        <v>1351</v>
      </c>
      <c r="O696" s="5">
        <v>1276.7118</v>
      </c>
    </row>
    <row r="697" spans="1:15">
      <c r="A697" t="s">
        <v>2046</v>
      </c>
      <c r="B697" s="7">
        <v>45615</v>
      </c>
      <c r="C697" t="s">
        <v>766</v>
      </c>
      <c r="D697" t="s">
        <v>1125</v>
      </c>
      <c r="E697" t="s">
        <v>1314</v>
      </c>
      <c r="F697" t="str">
        <f>[1]Raw_Customer_Dim!$A$2</f>
        <v>CUST1000</v>
      </c>
      <c r="G697" t="str">
        <f>_xlfn.XLOOKUP(E697,Store_Dim!A:A,Store_Dim!B:B,"Not Found")</f>
        <v>Hill, Wagner and Ballard</v>
      </c>
      <c r="H697" t="str">
        <f>_xlfn.XLOOKUP(D697,Product_Dim!A:A,Product_Dim!C:C,"Not Found")</f>
        <v>Electronics</v>
      </c>
      <c r="I697" t="str">
        <f>_xlfn.XLOOKUP(E697,Store_Dim!A:A,Store_Dim!C:C,"Not Found")</f>
        <v>East</v>
      </c>
      <c r="J697" t="str">
        <f>_xlfn.XLOOKUP(C697,Customer_Dim!A:A,Customer_Dim!B:B,"Not Found")</f>
        <v>Jeffrey Mccarthy</v>
      </c>
      <c r="K697">
        <f>Table511[[#This Row],[Total_Amount]]/(L697*(1-Table511[[#This Row],[Discount]]))</f>
        <v>4</v>
      </c>
      <c r="L697" s="5">
        <v>413.48</v>
      </c>
      <c r="M697">
        <v>0.02</v>
      </c>
      <c r="N697" t="s">
        <v>1351</v>
      </c>
      <c r="O697" s="5">
        <v>1620.8416</v>
      </c>
    </row>
    <row r="698" spans="1:15">
      <c r="A698" t="s">
        <v>2047</v>
      </c>
      <c r="B698" s="7">
        <v>45365</v>
      </c>
      <c r="C698" t="s">
        <v>456</v>
      </c>
      <c r="D698" t="s">
        <v>1087</v>
      </c>
      <c r="E698" t="s">
        <v>1282</v>
      </c>
      <c r="F698" t="str">
        <f>[1]Raw_Customer_Dim!$A$2</f>
        <v>CUST1000</v>
      </c>
      <c r="G698" t="str">
        <f>_xlfn.XLOOKUP(E698,Store_Dim!A:A,Store_Dim!B:B,"Not Found")</f>
        <v>Martinez, Adkins and Johnson</v>
      </c>
      <c r="H698" t="str">
        <f>_xlfn.XLOOKUP(D698,Product_Dim!A:A,Product_Dim!C:C,"Not Found")</f>
        <v>Electronics</v>
      </c>
      <c r="I698" t="str">
        <f>_xlfn.XLOOKUP(E698,Store_Dim!A:A,Store_Dim!C:C,"Not Found")</f>
        <v>North</v>
      </c>
      <c r="J698" t="str">
        <f>_xlfn.XLOOKUP(C698,Customer_Dim!A:A,Customer_Dim!B:B,"Not Found")</f>
        <v>Andrea Jacobs</v>
      </c>
      <c r="K698">
        <f>Table511[[#This Row],[Total_Amount]]/(L698*(1-Table511[[#This Row],[Discount]]))</f>
        <v>4</v>
      </c>
      <c r="L698" s="5">
        <v>167.83</v>
      </c>
      <c r="M698">
        <v>0.15</v>
      </c>
      <c r="N698" t="s">
        <v>1349</v>
      </c>
      <c r="O698" s="5">
        <v>570.62200000000007</v>
      </c>
    </row>
    <row r="699" spans="1:15">
      <c r="A699" t="s">
        <v>2048</v>
      </c>
      <c r="B699" s="7">
        <v>45832</v>
      </c>
      <c r="C699" t="s">
        <v>339</v>
      </c>
      <c r="D699" t="s">
        <v>1103</v>
      </c>
      <c r="E699" t="s">
        <v>1335</v>
      </c>
      <c r="F699" t="str">
        <f>[1]Raw_Customer_Dim!$A$2</f>
        <v>CUST1000</v>
      </c>
      <c r="G699" t="str">
        <f>_xlfn.XLOOKUP(E699,Store_Dim!A:A,Store_Dim!B:B,"Not Found")</f>
        <v>Guerrero-Schmitt</v>
      </c>
      <c r="H699" t="str">
        <f>_xlfn.XLOOKUP(D699,Product_Dim!A:A,Product_Dim!C:C,"Not Found")</f>
        <v>Electronics</v>
      </c>
      <c r="I699" t="str">
        <f>_xlfn.XLOOKUP(E699,Store_Dim!A:A,Store_Dim!C:C,"Not Found")</f>
        <v>East</v>
      </c>
      <c r="J699" t="str">
        <f>_xlfn.XLOOKUP(C699,Customer_Dim!A:A,Customer_Dim!B:B,"Not Found")</f>
        <v>Brian Holder</v>
      </c>
      <c r="K699">
        <f>Table511[[#This Row],[Total_Amount]]/(L699*(1-Table511[[#This Row],[Discount]]))</f>
        <v>2</v>
      </c>
      <c r="L699" s="5">
        <v>669.12</v>
      </c>
      <c r="M699">
        <v>0.22</v>
      </c>
      <c r="N699" t="s">
        <v>1349</v>
      </c>
      <c r="O699" s="5">
        <v>1043.8271999999999</v>
      </c>
    </row>
    <row r="700" spans="1:15">
      <c r="A700" t="s">
        <v>2049</v>
      </c>
      <c r="B700" s="7">
        <v>45530</v>
      </c>
      <c r="C700" t="s">
        <v>115</v>
      </c>
      <c r="D700" t="s">
        <v>1147</v>
      </c>
      <c r="E700" t="s">
        <v>1304</v>
      </c>
      <c r="F700" t="str">
        <f>[1]Raw_Customer_Dim!$A$2</f>
        <v>CUST1000</v>
      </c>
      <c r="G700" t="str">
        <f>_xlfn.XLOOKUP(E700,Store_Dim!A:A,Store_Dim!B:B,"Not Found")</f>
        <v>Martinez-Mullins</v>
      </c>
      <c r="H700" t="str">
        <f>_xlfn.XLOOKUP(D700,Product_Dim!A:A,Product_Dim!C:C,"Not Found")</f>
        <v>Clothing</v>
      </c>
      <c r="I700" t="str">
        <f>_xlfn.XLOOKUP(E700,Store_Dim!A:A,Store_Dim!C:C,"Not Found")</f>
        <v>South</v>
      </c>
      <c r="J700" t="str">
        <f>_xlfn.XLOOKUP(C700,Customer_Dim!A:A,Customer_Dim!B:B,"Not Found")</f>
        <v>Tonya Reynolds</v>
      </c>
      <c r="K700">
        <f>Table511[[#This Row],[Total_Amount]]/(L700*(1-Table511[[#This Row],[Discount]]))</f>
        <v>3</v>
      </c>
      <c r="L700" s="5">
        <v>346.77</v>
      </c>
      <c r="M700">
        <v>0.18</v>
      </c>
      <c r="N700" t="s">
        <v>1351</v>
      </c>
      <c r="O700" s="5">
        <v>853.05420000000004</v>
      </c>
    </row>
    <row r="701" spans="1:15">
      <c r="A701" t="s">
        <v>2050</v>
      </c>
      <c r="B701" s="7">
        <v>45939</v>
      </c>
      <c r="C701" t="s">
        <v>164</v>
      </c>
      <c r="D701" t="s">
        <v>1119</v>
      </c>
      <c r="E701" t="s">
        <v>1338</v>
      </c>
      <c r="F701" t="str">
        <f>[1]Raw_Customer_Dim!$A$2</f>
        <v>CUST1000</v>
      </c>
      <c r="G701" t="str">
        <f>_xlfn.XLOOKUP(E701,Store_Dim!A:A,Store_Dim!B:B,"Not Found")</f>
        <v>Mann-Austin</v>
      </c>
      <c r="H701" t="str">
        <f>_xlfn.XLOOKUP(D701,Product_Dim!A:A,Product_Dim!C:C,"Not Found")</f>
        <v>Clothing</v>
      </c>
      <c r="I701" t="str">
        <f>_xlfn.XLOOKUP(E701,Store_Dim!A:A,Store_Dim!C:C,"Not Found")</f>
        <v>East</v>
      </c>
      <c r="J701" t="str">
        <f>_xlfn.XLOOKUP(C701,Customer_Dim!A:A,Customer_Dim!B:B,"Not Found")</f>
        <v>Alyssa Vargas</v>
      </c>
      <c r="K701">
        <f>Table511[[#This Row],[Total_Amount]]/(L701*(1-Table511[[#This Row],[Discount]]))</f>
        <v>2.9999999999999996</v>
      </c>
      <c r="L701" s="5">
        <v>648.33000000000004</v>
      </c>
      <c r="M701">
        <v>0.2</v>
      </c>
      <c r="N701" t="s">
        <v>1354</v>
      </c>
      <c r="O701" s="5">
        <v>1555.992</v>
      </c>
    </row>
    <row r="702" spans="1:15">
      <c r="A702" t="s">
        <v>2051</v>
      </c>
      <c r="B702" s="7">
        <v>45401</v>
      </c>
      <c r="C702" t="s">
        <v>634</v>
      </c>
      <c r="D702" t="s">
        <v>1082</v>
      </c>
      <c r="E702" t="s">
        <v>1286</v>
      </c>
      <c r="F702" t="str">
        <f>[1]Raw_Customer_Dim!$A$2</f>
        <v>CUST1000</v>
      </c>
      <c r="G702" t="str">
        <f>_xlfn.XLOOKUP(E702,Store_Dim!A:A,Store_Dim!B:B,"Not Found")</f>
        <v>Black-Horn</v>
      </c>
      <c r="H702" t="str">
        <f>_xlfn.XLOOKUP(D702,Product_Dim!A:A,Product_Dim!C:C,"Not Found")</f>
        <v>Beauty</v>
      </c>
      <c r="I702" t="str">
        <f>_xlfn.XLOOKUP(E702,Store_Dim!A:A,Store_Dim!C:C,"Not Found")</f>
        <v>South</v>
      </c>
      <c r="J702" t="str">
        <f>_xlfn.XLOOKUP(C702,Customer_Dim!A:A,Customer_Dim!B:B,"Not Found")</f>
        <v>Donna Guerra</v>
      </c>
      <c r="K702">
        <f>Table511[[#This Row],[Total_Amount]]/(L702*(1-Table511[[#This Row],[Discount]]))</f>
        <v>4</v>
      </c>
      <c r="L702" s="5">
        <v>254.94</v>
      </c>
      <c r="M702">
        <v>0.06</v>
      </c>
      <c r="N702" t="s">
        <v>1351</v>
      </c>
      <c r="O702" s="5">
        <v>958.57439999999997</v>
      </c>
    </row>
    <row r="703" spans="1:15">
      <c r="A703" t="s">
        <v>2052</v>
      </c>
      <c r="B703" s="7">
        <v>45420</v>
      </c>
      <c r="C703" t="s">
        <v>740</v>
      </c>
      <c r="D703" t="s">
        <v>1235</v>
      </c>
      <c r="E703" t="s">
        <v>1294</v>
      </c>
      <c r="F703" t="str">
        <f>[1]Raw_Customer_Dim!$A$2</f>
        <v>CUST1000</v>
      </c>
      <c r="G703" t="str">
        <f>_xlfn.XLOOKUP(E703,Store_Dim!A:A,Store_Dim!B:B,"Not Found")</f>
        <v>Alexander Group</v>
      </c>
      <c r="H703" t="str">
        <f>_xlfn.XLOOKUP(D703,Product_Dim!A:A,Product_Dim!C:C,"Not Found")</f>
        <v>Sports</v>
      </c>
      <c r="I703" t="str">
        <f>_xlfn.XLOOKUP(E703,Store_Dim!A:A,Store_Dim!C:C,"Not Found")</f>
        <v>South</v>
      </c>
      <c r="J703" t="str">
        <f>_xlfn.XLOOKUP(C703,Customer_Dim!A:A,Customer_Dim!B:B,"Not Found")</f>
        <v>Jasmine Snyder</v>
      </c>
      <c r="K703">
        <f>Table511[[#This Row],[Total_Amount]]/(L703*(1-Table511[[#This Row],[Discount]]))</f>
        <v>1</v>
      </c>
      <c r="L703" s="5">
        <v>445.5</v>
      </c>
      <c r="M703">
        <v>0.28000000000000003</v>
      </c>
      <c r="N703" t="s">
        <v>1349</v>
      </c>
      <c r="O703" s="5">
        <v>320.76</v>
      </c>
    </row>
    <row r="704" spans="1:15">
      <c r="A704" t="s">
        <v>2053</v>
      </c>
      <c r="B704" s="7">
        <v>45459</v>
      </c>
      <c r="C704" t="s">
        <v>505</v>
      </c>
      <c r="D704" t="s">
        <v>1253</v>
      </c>
      <c r="E704" t="s">
        <v>1294</v>
      </c>
      <c r="F704" t="str">
        <f>[1]Raw_Customer_Dim!$A$2</f>
        <v>CUST1000</v>
      </c>
      <c r="G704" t="str">
        <f>_xlfn.XLOOKUP(E704,Store_Dim!A:A,Store_Dim!B:B,"Not Found")</f>
        <v>Alexander Group</v>
      </c>
      <c r="H704" t="str">
        <f>_xlfn.XLOOKUP(D704,Product_Dim!A:A,Product_Dim!C:C,"Not Found")</f>
        <v>Electronics</v>
      </c>
      <c r="I704" t="str">
        <f>_xlfn.XLOOKUP(E704,Store_Dim!A:A,Store_Dim!C:C,"Not Found")</f>
        <v>South</v>
      </c>
      <c r="J704" t="str">
        <f>_xlfn.XLOOKUP(C704,Customer_Dim!A:A,Customer_Dim!B:B,"Not Found")</f>
        <v>Lisa Young</v>
      </c>
      <c r="K704">
        <f>Table511[[#This Row],[Total_Amount]]/(L704*(1-Table511[[#This Row],[Discount]]))</f>
        <v>1</v>
      </c>
      <c r="L704" s="5">
        <v>900.94</v>
      </c>
      <c r="M704">
        <v>0.1</v>
      </c>
      <c r="N704" t="s">
        <v>1349</v>
      </c>
      <c r="O704" s="5">
        <v>810.84600000000012</v>
      </c>
    </row>
    <row r="705" spans="1:15">
      <c r="A705" t="s">
        <v>2054</v>
      </c>
      <c r="B705" s="7">
        <v>45429</v>
      </c>
      <c r="C705" t="s">
        <v>454</v>
      </c>
      <c r="D705" t="s">
        <v>1103</v>
      </c>
      <c r="E705" t="s">
        <v>1329</v>
      </c>
      <c r="F705" t="str">
        <f>[1]Raw_Customer_Dim!$A$2</f>
        <v>CUST1000</v>
      </c>
      <c r="G705" t="str">
        <f>_xlfn.XLOOKUP(E705,Store_Dim!A:A,Store_Dim!B:B,"Not Found")</f>
        <v>Frederick-Wright</v>
      </c>
      <c r="H705" t="str">
        <f>_xlfn.XLOOKUP(D705,Product_Dim!A:A,Product_Dim!C:C,"Not Found")</f>
        <v>Electronics</v>
      </c>
      <c r="I705" t="str">
        <f>_xlfn.XLOOKUP(E705,Store_Dim!A:A,Store_Dim!C:C,"Not Found")</f>
        <v>West</v>
      </c>
      <c r="J705" t="str">
        <f>_xlfn.XLOOKUP(C705,Customer_Dim!A:A,Customer_Dim!B:B,"Not Found")</f>
        <v>Megan Greer</v>
      </c>
      <c r="K705">
        <f>Table511[[#This Row],[Total_Amount]]/(L705*(1-Table511[[#This Row],[Discount]]))</f>
        <v>2.9999999999999996</v>
      </c>
      <c r="L705" s="5">
        <v>262.69</v>
      </c>
      <c r="M705">
        <v>0.04</v>
      </c>
      <c r="N705" t="s">
        <v>1351</v>
      </c>
      <c r="O705" s="5">
        <v>756.54719999999986</v>
      </c>
    </row>
    <row r="706" spans="1:15">
      <c r="A706" t="s">
        <v>2055</v>
      </c>
      <c r="B706" s="7">
        <v>45386</v>
      </c>
      <c r="C706" t="s">
        <v>1026</v>
      </c>
      <c r="D706" t="s">
        <v>1209</v>
      </c>
      <c r="E706" t="s">
        <v>1286</v>
      </c>
      <c r="F706" t="str">
        <f>[1]Raw_Customer_Dim!$A$2</f>
        <v>CUST1000</v>
      </c>
      <c r="G706" t="str">
        <f>_xlfn.XLOOKUP(E706,Store_Dim!A:A,Store_Dim!B:B,"Not Found")</f>
        <v>Black-Horn</v>
      </c>
      <c r="H706" t="str">
        <f>_xlfn.XLOOKUP(D706,Product_Dim!A:A,Product_Dim!C:C,"Not Found")</f>
        <v>Home</v>
      </c>
      <c r="I706" t="str">
        <f>_xlfn.XLOOKUP(E706,Store_Dim!A:A,Store_Dim!C:C,"Not Found")</f>
        <v>South</v>
      </c>
      <c r="J706" t="str">
        <f>_xlfn.XLOOKUP(C706,Customer_Dim!A:A,Customer_Dim!B:B,"Not Found")</f>
        <v>Sheri Joyce</v>
      </c>
      <c r="K706">
        <f>Table511[[#This Row],[Total_Amount]]/(L706*(1-Table511[[#This Row],[Discount]]))</f>
        <v>2.9999999999999996</v>
      </c>
      <c r="L706" s="5">
        <v>212.72</v>
      </c>
      <c r="M706">
        <v>0.22</v>
      </c>
      <c r="N706" t="s">
        <v>1351</v>
      </c>
      <c r="O706" s="5">
        <v>497.76479999999998</v>
      </c>
    </row>
    <row r="707" spans="1:15">
      <c r="A707" t="s">
        <v>2056</v>
      </c>
      <c r="B707" s="7">
        <v>45803</v>
      </c>
      <c r="C707" t="s">
        <v>363</v>
      </c>
      <c r="D707" t="s">
        <v>1121</v>
      </c>
      <c r="E707" t="s">
        <v>1335</v>
      </c>
      <c r="F707" t="str">
        <f>[1]Raw_Customer_Dim!$A$2</f>
        <v>CUST1000</v>
      </c>
      <c r="G707" t="str">
        <f>_xlfn.XLOOKUP(E707,Store_Dim!A:A,Store_Dim!B:B,"Not Found")</f>
        <v>Guerrero-Schmitt</v>
      </c>
      <c r="H707" t="str">
        <f>_xlfn.XLOOKUP(D707,Product_Dim!A:A,Product_Dim!C:C,"Not Found")</f>
        <v>Sports</v>
      </c>
      <c r="I707" t="str">
        <f>_xlfn.XLOOKUP(E707,Store_Dim!A:A,Store_Dim!C:C,"Not Found")</f>
        <v>East</v>
      </c>
      <c r="J707" t="str">
        <f>_xlfn.XLOOKUP(C707,Customer_Dim!A:A,Customer_Dim!B:B,"Not Found")</f>
        <v>Michael Davies</v>
      </c>
      <c r="K707">
        <f>Table511[[#This Row],[Total_Amount]]/(L707*(1-Table511[[#This Row],[Discount]]))</f>
        <v>4</v>
      </c>
      <c r="L707" s="5">
        <v>757.9</v>
      </c>
      <c r="M707">
        <v>0.22</v>
      </c>
      <c r="N707" t="s">
        <v>1351</v>
      </c>
      <c r="O707" s="5">
        <v>2364.6480000000001</v>
      </c>
    </row>
    <row r="708" spans="1:15">
      <c r="A708" t="s">
        <v>2057</v>
      </c>
      <c r="B708" s="7">
        <v>45346</v>
      </c>
      <c r="C708" t="s">
        <v>61</v>
      </c>
      <c r="D708" t="s">
        <v>1233</v>
      </c>
      <c r="E708" t="s">
        <v>1332</v>
      </c>
      <c r="F708" t="str">
        <f>[1]Raw_Customer_Dim!$A$2</f>
        <v>CUST1000</v>
      </c>
      <c r="G708" t="str">
        <f>_xlfn.XLOOKUP(E708,Store_Dim!A:A,Store_Dim!B:B,"Not Found")</f>
        <v>Holloway Ltd</v>
      </c>
      <c r="H708" t="str">
        <f>_xlfn.XLOOKUP(D708,Product_Dim!A:A,Product_Dim!C:C,"Not Found")</f>
        <v>Home</v>
      </c>
      <c r="I708" t="str">
        <f>_xlfn.XLOOKUP(E708,Store_Dim!A:A,Store_Dim!C:C,"Not Found")</f>
        <v>North</v>
      </c>
      <c r="J708" t="str">
        <f>_xlfn.XLOOKUP(C708,Customer_Dim!A:A,Customer_Dim!B:B,"Not Found")</f>
        <v>Adam Cruz</v>
      </c>
      <c r="K708">
        <f>Table511[[#This Row],[Total_Amount]]/(L708*(1-Table511[[#This Row],[Discount]]))</f>
        <v>1</v>
      </c>
      <c r="L708" s="5">
        <v>846.04</v>
      </c>
      <c r="M708">
        <v>0.08</v>
      </c>
      <c r="N708" t="s">
        <v>1351</v>
      </c>
      <c r="O708" s="5">
        <v>778.35680000000002</v>
      </c>
    </row>
    <row r="709" spans="1:15">
      <c r="A709" t="s">
        <v>2058</v>
      </c>
      <c r="B709" s="7">
        <v>45267</v>
      </c>
      <c r="C709" t="s">
        <v>379</v>
      </c>
      <c r="D709" t="s">
        <v>1149</v>
      </c>
      <c r="E709" t="s">
        <v>1304</v>
      </c>
      <c r="F709" t="str">
        <f>[1]Raw_Customer_Dim!$A$2</f>
        <v>CUST1000</v>
      </c>
      <c r="G709" t="str">
        <f>_xlfn.XLOOKUP(E709,Store_Dim!A:A,Store_Dim!B:B,"Not Found")</f>
        <v>Martinez-Mullins</v>
      </c>
      <c r="H709" t="str">
        <f>_xlfn.XLOOKUP(D709,Product_Dim!A:A,Product_Dim!C:C,"Not Found")</f>
        <v>Sports</v>
      </c>
      <c r="I709" t="str">
        <f>_xlfn.XLOOKUP(E709,Store_Dim!A:A,Store_Dim!C:C,"Not Found")</f>
        <v>South</v>
      </c>
      <c r="J709" t="str">
        <f>_xlfn.XLOOKUP(C709,Customer_Dim!A:A,Customer_Dim!B:B,"Not Found")</f>
        <v>Brian Choi</v>
      </c>
      <c r="K709">
        <f>Table511[[#This Row],[Total_Amount]]/(L709*(1-Table511[[#This Row],[Discount]]))</f>
        <v>3</v>
      </c>
      <c r="L709" s="5">
        <v>179.7</v>
      </c>
      <c r="M709">
        <v>0.17</v>
      </c>
      <c r="N709" t="s">
        <v>1354</v>
      </c>
      <c r="O709" s="5">
        <v>447.45299999999992</v>
      </c>
    </row>
    <row r="710" spans="1:15">
      <c r="A710" t="s">
        <v>2059</v>
      </c>
      <c r="B710" s="7">
        <v>45572</v>
      </c>
      <c r="C710" t="s">
        <v>955</v>
      </c>
      <c r="D710" t="s">
        <v>1135</v>
      </c>
      <c r="E710" t="s">
        <v>1294</v>
      </c>
      <c r="F710" t="str">
        <f>[1]Raw_Customer_Dim!$A$2</f>
        <v>CUST1000</v>
      </c>
      <c r="G710" t="str">
        <f>_xlfn.XLOOKUP(E710,Store_Dim!A:A,Store_Dim!B:B,"Not Found")</f>
        <v>Alexander Group</v>
      </c>
      <c r="H710" t="str">
        <f>_xlfn.XLOOKUP(D710,Product_Dim!A:A,Product_Dim!C:C,"Not Found")</f>
        <v>Sports</v>
      </c>
      <c r="I710" t="str">
        <f>_xlfn.XLOOKUP(E710,Store_Dim!A:A,Store_Dim!C:C,"Not Found")</f>
        <v>South</v>
      </c>
      <c r="J710" t="str">
        <f>_xlfn.XLOOKUP(C710,Customer_Dim!A:A,Customer_Dim!B:B,"Not Found")</f>
        <v>Shannon Turner</v>
      </c>
      <c r="K710">
        <f>Table511[[#This Row],[Total_Amount]]/(L710*(1-Table511[[#This Row],[Discount]]))</f>
        <v>4</v>
      </c>
      <c r="L710" s="5">
        <v>681.08</v>
      </c>
      <c r="M710">
        <v>0</v>
      </c>
      <c r="N710" t="s">
        <v>1351</v>
      </c>
      <c r="O710" s="5">
        <v>2724.32</v>
      </c>
    </row>
    <row r="711" spans="1:15">
      <c r="A711" t="s">
        <v>2060</v>
      </c>
      <c r="B711" s="7">
        <v>45252</v>
      </c>
      <c r="C711" t="s">
        <v>869</v>
      </c>
      <c r="D711" t="s">
        <v>1078</v>
      </c>
      <c r="E711" t="s">
        <v>1304</v>
      </c>
      <c r="F711" t="str">
        <f>[1]Raw_Customer_Dim!$A$2</f>
        <v>CUST1000</v>
      </c>
      <c r="G711" t="str">
        <f>_xlfn.XLOOKUP(E711,Store_Dim!A:A,Store_Dim!B:B,"Not Found")</f>
        <v>Martinez-Mullins</v>
      </c>
      <c r="H711" t="str">
        <f>_xlfn.XLOOKUP(D711,Product_Dim!A:A,Product_Dim!C:C,"Not Found")</f>
        <v>Clothing</v>
      </c>
      <c r="I711" t="str">
        <f>_xlfn.XLOOKUP(E711,Store_Dim!A:A,Store_Dim!C:C,"Not Found")</f>
        <v>South</v>
      </c>
      <c r="J711" t="str">
        <f>_xlfn.XLOOKUP(C711,Customer_Dim!A:A,Customer_Dim!B:B,"Not Found")</f>
        <v>Justin Ingram</v>
      </c>
      <c r="K711">
        <f>Table511[[#This Row],[Total_Amount]]/(L711*(1-Table511[[#This Row],[Discount]]))</f>
        <v>4</v>
      </c>
      <c r="L711" s="5">
        <v>723.44</v>
      </c>
      <c r="M711">
        <v>0.14000000000000001</v>
      </c>
      <c r="N711" t="s">
        <v>1351</v>
      </c>
      <c r="O711" s="5">
        <v>2488.6336000000001</v>
      </c>
    </row>
    <row r="712" spans="1:15">
      <c r="A712" t="s">
        <v>2061</v>
      </c>
      <c r="B712" s="7">
        <v>45939</v>
      </c>
      <c r="C712" t="s">
        <v>313</v>
      </c>
      <c r="D712" t="s">
        <v>1135</v>
      </c>
      <c r="E712" t="s">
        <v>1324</v>
      </c>
      <c r="F712" t="str">
        <f>[1]Raw_Customer_Dim!$A$2</f>
        <v>CUST1000</v>
      </c>
      <c r="G712" t="str">
        <f>_xlfn.XLOOKUP(E712,Store_Dim!A:A,Store_Dim!B:B,"Not Found")</f>
        <v>Mcdonald Inc</v>
      </c>
      <c r="H712" t="str">
        <f>_xlfn.XLOOKUP(D712,Product_Dim!A:A,Product_Dim!C:C,"Not Found")</f>
        <v>Sports</v>
      </c>
      <c r="I712" t="str">
        <f>_xlfn.XLOOKUP(E712,Store_Dim!A:A,Store_Dim!C:C,"Not Found")</f>
        <v>South</v>
      </c>
      <c r="J712" t="str">
        <f>_xlfn.XLOOKUP(C712,Customer_Dim!A:A,Customer_Dim!B:B,"Not Found")</f>
        <v>James Wolfe</v>
      </c>
      <c r="K712">
        <f>Table511[[#This Row],[Total_Amount]]/(L712*(1-Table511[[#This Row],[Discount]]))</f>
        <v>4</v>
      </c>
      <c r="L712" s="5">
        <v>471.89</v>
      </c>
      <c r="M712">
        <v>0.12</v>
      </c>
      <c r="N712" t="s">
        <v>1354</v>
      </c>
      <c r="O712" s="5">
        <v>1661.0527999999999</v>
      </c>
    </row>
    <row r="713" spans="1:15">
      <c r="A713" t="s">
        <v>2062</v>
      </c>
      <c r="B713" s="7">
        <v>45559</v>
      </c>
      <c r="C713" t="s">
        <v>795</v>
      </c>
      <c r="D713" t="s">
        <v>1215</v>
      </c>
      <c r="E713" t="s">
        <v>1332</v>
      </c>
      <c r="F713" t="str">
        <f>[1]Raw_Customer_Dim!$A$2</f>
        <v>CUST1000</v>
      </c>
      <c r="G713" t="str">
        <f>_xlfn.XLOOKUP(E713,Store_Dim!A:A,Store_Dim!B:B,"Not Found")</f>
        <v>Holloway Ltd</v>
      </c>
      <c r="H713" t="str">
        <f>_xlfn.XLOOKUP(D713,Product_Dim!A:A,Product_Dim!C:C,"Not Found")</f>
        <v>Beauty</v>
      </c>
      <c r="I713" t="str">
        <f>_xlfn.XLOOKUP(E713,Store_Dim!A:A,Store_Dim!C:C,"Not Found")</f>
        <v>North</v>
      </c>
      <c r="J713" t="str">
        <f>_xlfn.XLOOKUP(C713,Customer_Dim!A:A,Customer_Dim!B:B,"Not Found")</f>
        <v>Mallory Allen</v>
      </c>
      <c r="K713">
        <f>Table511[[#This Row],[Total_Amount]]/(L713*(1-Table511[[#This Row],[Discount]]))</f>
        <v>1</v>
      </c>
      <c r="L713" s="5">
        <v>613.17999999999995</v>
      </c>
      <c r="M713">
        <v>0.14000000000000001</v>
      </c>
      <c r="N713" t="s">
        <v>1354</v>
      </c>
      <c r="O713" s="5">
        <v>527.33479999999997</v>
      </c>
    </row>
    <row r="714" spans="1:15">
      <c r="A714" t="s">
        <v>2063</v>
      </c>
      <c r="B714" s="7">
        <v>45229</v>
      </c>
      <c r="C714" t="s">
        <v>145</v>
      </c>
      <c r="D714" t="s">
        <v>1159</v>
      </c>
      <c r="E714" t="s">
        <v>1294</v>
      </c>
      <c r="F714" t="str">
        <f>[1]Raw_Customer_Dim!$A$2</f>
        <v>CUST1000</v>
      </c>
      <c r="G714" t="str">
        <f>_xlfn.XLOOKUP(E714,Store_Dim!A:A,Store_Dim!B:B,"Not Found")</f>
        <v>Alexander Group</v>
      </c>
      <c r="H714" t="str">
        <f>_xlfn.XLOOKUP(D714,Product_Dim!A:A,Product_Dim!C:C,"Not Found")</f>
        <v>Electronics</v>
      </c>
      <c r="I714" t="str">
        <f>_xlfn.XLOOKUP(E714,Store_Dim!A:A,Store_Dim!C:C,"Not Found")</f>
        <v>South</v>
      </c>
      <c r="J714" t="str">
        <f>_xlfn.XLOOKUP(C714,Customer_Dim!A:A,Customer_Dim!B:B,"Not Found")</f>
        <v>Sarah Rodgers</v>
      </c>
      <c r="K714">
        <f>Table511[[#This Row],[Total_Amount]]/(L714*(1-Table511[[#This Row],[Discount]]))</f>
        <v>1.0000000000000002</v>
      </c>
      <c r="L714" s="5">
        <v>651.30999999999995</v>
      </c>
      <c r="M714">
        <v>0.24</v>
      </c>
      <c r="N714" t="s">
        <v>1351</v>
      </c>
      <c r="O714" s="5">
        <v>494.99560000000002</v>
      </c>
    </row>
    <row r="715" spans="1:15">
      <c r="A715" t="s">
        <v>2064</v>
      </c>
      <c r="B715" s="7">
        <v>45333</v>
      </c>
      <c r="C715" t="s">
        <v>79</v>
      </c>
      <c r="D715" t="s">
        <v>1076</v>
      </c>
      <c r="E715" t="s">
        <v>1301</v>
      </c>
      <c r="F715" t="str">
        <f>[1]Raw_Customer_Dim!$A$2</f>
        <v>CUST1000</v>
      </c>
      <c r="G715" t="str">
        <f>_xlfn.XLOOKUP(E715,Store_Dim!A:A,Store_Dim!B:B,"Not Found")</f>
        <v>Benson-Elliott</v>
      </c>
      <c r="H715" t="str">
        <f>_xlfn.XLOOKUP(D715,Product_Dim!A:A,Product_Dim!C:C,"Not Found")</f>
        <v>Not Found</v>
      </c>
      <c r="I715" t="str">
        <f>_xlfn.XLOOKUP(E715,Store_Dim!A:A,Store_Dim!C:C,"Not Found")</f>
        <v>East</v>
      </c>
      <c r="J715" t="str">
        <f>_xlfn.XLOOKUP(C715,Customer_Dim!A:A,Customer_Dim!B:B,"Not Found")</f>
        <v>Heather Collins</v>
      </c>
      <c r="K715">
        <f>Table511[[#This Row],[Total_Amount]]/(L715*(1-Table511[[#This Row],[Discount]]))</f>
        <v>2</v>
      </c>
      <c r="L715" s="5">
        <v>635.14</v>
      </c>
      <c r="M715">
        <v>0.1</v>
      </c>
      <c r="N715" t="s">
        <v>1354</v>
      </c>
      <c r="O715" s="5">
        <v>1143.252</v>
      </c>
    </row>
    <row r="716" spans="1:15">
      <c r="A716" t="s">
        <v>2065</v>
      </c>
      <c r="B716" s="7">
        <v>45752</v>
      </c>
      <c r="C716" t="s">
        <v>823</v>
      </c>
      <c r="D716" t="s">
        <v>1269</v>
      </c>
      <c r="E716" t="s">
        <v>1324</v>
      </c>
      <c r="F716" t="str">
        <f>[1]Raw_Customer_Dim!$A$2</f>
        <v>CUST1000</v>
      </c>
      <c r="G716" t="str">
        <f>_xlfn.XLOOKUP(E716,Store_Dim!A:A,Store_Dim!B:B,"Not Found")</f>
        <v>Mcdonald Inc</v>
      </c>
      <c r="H716" t="str">
        <f>_xlfn.XLOOKUP(D716,Product_Dim!A:A,Product_Dim!C:C,"Not Found")</f>
        <v>Electronics</v>
      </c>
      <c r="I716" t="str">
        <f>_xlfn.XLOOKUP(E716,Store_Dim!A:A,Store_Dim!C:C,"Not Found")</f>
        <v>South</v>
      </c>
      <c r="J716" t="str">
        <f>_xlfn.XLOOKUP(C716,Customer_Dim!A:A,Customer_Dim!B:B,"Not Found")</f>
        <v>Shelley Ponce</v>
      </c>
      <c r="K716">
        <f>Table511[[#This Row],[Total_Amount]]/(L716*(1-Table511[[#This Row],[Discount]]))</f>
        <v>4</v>
      </c>
      <c r="L716" s="5">
        <v>912.61</v>
      </c>
      <c r="M716">
        <v>0.14000000000000001</v>
      </c>
      <c r="N716" t="s">
        <v>1349</v>
      </c>
      <c r="O716" s="5">
        <v>3139.3784000000001</v>
      </c>
    </row>
    <row r="717" spans="1:15">
      <c r="A717" t="s">
        <v>2066</v>
      </c>
      <c r="B717" s="7">
        <v>45795</v>
      </c>
      <c r="C717" t="s">
        <v>612</v>
      </c>
      <c r="D717" t="s">
        <v>1167</v>
      </c>
      <c r="E717" t="s">
        <v>1304</v>
      </c>
      <c r="F717" t="str">
        <f>[1]Raw_Customer_Dim!$A$2</f>
        <v>CUST1000</v>
      </c>
      <c r="G717" t="str">
        <f>_xlfn.XLOOKUP(E717,Store_Dim!A:A,Store_Dim!B:B,"Not Found")</f>
        <v>Martinez-Mullins</v>
      </c>
      <c r="H717" t="str">
        <f>_xlfn.XLOOKUP(D717,Product_Dim!A:A,Product_Dim!C:C,"Not Found")</f>
        <v>Beauty</v>
      </c>
      <c r="I717" t="str">
        <f>_xlfn.XLOOKUP(E717,Store_Dim!A:A,Store_Dim!C:C,"Not Found")</f>
        <v>South</v>
      </c>
      <c r="J717" t="str">
        <f>_xlfn.XLOOKUP(C717,Customer_Dim!A:A,Customer_Dim!B:B,"Not Found")</f>
        <v>Sarah Lane</v>
      </c>
      <c r="K717">
        <f>Table511[[#This Row],[Total_Amount]]/(L717*(1-Table511[[#This Row],[Discount]]))</f>
        <v>3</v>
      </c>
      <c r="L717" s="5">
        <v>79.77</v>
      </c>
      <c r="M717">
        <v>0.09</v>
      </c>
      <c r="N717" t="s">
        <v>1349</v>
      </c>
      <c r="O717" s="5">
        <v>217.77209999999999</v>
      </c>
    </row>
    <row r="718" spans="1:15">
      <c r="A718" t="s">
        <v>2067</v>
      </c>
      <c r="B718" s="7">
        <v>45755</v>
      </c>
      <c r="C718" t="s">
        <v>618</v>
      </c>
      <c r="D718" t="s">
        <v>1261</v>
      </c>
      <c r="E718" t="s">
        <v>1326</v>
      </c>
      <c r="F718" t="str">
        <f>[1]Raw_Customer_Dim!$A$2</f>
        <v>CUST1000</v>
      </c>
      <c r="G718" t="str">
        <f>_xlfn.XLOOKUP(E718,Store_Dim!A:A,Store_Dim!B:B,"Not Found")</f>
        <v>Shelton PLC</v>
      </c>
      <c r="H718" t="str">
        <f>_xlfn.XLOOKUP(D718,Product_Dim!A:A,Product_Dim!C:C,"Not Found")</f>
        <v>Beauty</v>
      </c>
      <c r="I718" t="str">
        <f>_xlfn.XLOOKUP(E718,Store_Dim!A:A,Store_Dim!C:C,"Not Found")</f>
        <v>North</v>
      </c>
      <c r="J718" t="str">
        <f>_xlfn.XLOOKUP(C718,Customer_Dim!A:A,Customer_Dim!B:B,"Not Found")</f>
        <v>Jeffrey Gomez</v>
      </c>
      <c r="K718">
        <f>Table511[[#This Row],[Total_Amount]]/(L718*(1-Table511[[#This Row],[Discount]]))</f>
        <v>4</v>
      </c>
      <c r="L718" s="5">
        <v>603.52</v>
      </c>
      <c r="M718">
        <v>0.25</v>
      </c>
      <c r="N718" t="s">
        <v>1349</v>
      </c>
      <c r="O718" s="5">
        <v>1810.56</v>
      </c>
    </row>
    <row r="719" spans="1:15">
      <c r="A719" t="s">
        <v>2068</v>
      </c>
      <c r="B719" s="7">
        <v>45625</v>
      </c>
      <c r="C719" t="s">
        <v>206</v>
      </c>
      <c r="D719" t="s">
        <v>1227</v>
      </c>
      <c r="E719" t="s">
        <v>1319</v>
      </c>
      <c r="F719" t="str">
        <f>[1]Raw_Customer_Dim!$A$2</f>
        <v>CUST1000</v>
      </c>
      <c r="G719" t="str">
        <f>_xlfn.XLOOKUP(E719,Store_Dim!A:A,Store_Dim!B:B,"Not Found")</f>
        <v>Thomas, Bridges and Harris</v>
      </c>
      <c r="H719" t="str">
        <f>_xlfn.XLOOKUP(D719,Product_Dim!A:A,Product_Dim!C:C,"Not Found")</f>
        <v>Electronics</v>
      </c>
      <c r="I719" t="str">
        <f>_xlfn.XLOOKUP(E719,Store_Dim!A:A,Store_Dim!C:C,"Not Found")</f>
        <v>North</v>
      </c>
      <c r="J719" t="str">
        <f>_xlfn.XLOOKUP(C719,Customer_Dim!A:A,Customer_Dim!B:B,"Not Found")</f>
        <v>Katherine Young</v>
      </c>
      <c r="K719">
        <f>Table511[[#This Row],[Total_Amount]]/(L719*(1-Table511[[#This Row],[Discount]]))</f>
        <v>4</v>
      </c>
      <c r="L719" s="5">
        <v>453.12</v>
      </c>
      <c r="M719">
        <v>0.23</v>
      </c>
      <c r="N719" t="s">
        <v>1354</v>
      </c>
      <c r="O719" s="5">
        <v>1395.6096</v>
      </c>
    </row>
    <row r="720" spans="1:15">
      <c r="A720" t="s">
        <v>2069</v>
      </c>
      <c r="B720" s="7">
        <v>45656</v>
      </c>
      <c r="C720" t="s">
        <v>1055</v>
      </c>
      <c r="D720" t="s">
        <v>1139</v>
      </c>
      <c r="E720" t="s">
        <v>1311</v>
      </c>
      <c r="F720" t="str">
        <f>[1]Raw_Customer_Dim!$A$2</f>
        <v>CUST1000</v>
      </c>
      <c r="G720" t="str">
        <f>_xlfn.XLOOKUP(E720,Store_Dim!A:A,Store_Dim!B:B,"Not Found")</f>
        <v>Moore, Padilla and Butler</v>
      </c>
      <c r="H720" t="str">
        <f>_xlfn.XLOOKUP(D720,Product_Dim!A:A,Product_Dim!C:C,"Not Found")</f>
        <v>Home</v>
      </c>
      <c r="I720" t="str">
        <f>_xlfn.XLOOKUP(E720,Store_Dim!A:A,Store_Dim!C:C,"Not Found")</f>
        <v>South</v>
      </c>
      <c r="J720" t="str">
        <f>_xlfn.XLOOKUP(C720,Customer_Dim!A:A,Customer_Dim!B:B,"Not Found")</f>
        <v>Sarah Marsh</v>
      </c>
      <c r="K720">
        <f>Table511[[#This Row],[Total_Amount]]/(L720*(1-Table511[[#This Row],[Discount]]))</f>
        <v>2</v>
      </c>
      <c r="L720" s="5">
        <v>974.35</v>
      </c>
      <c r="M720">
        <v>0.15</v>
      </c>
      <c r="N720" t="s">
        <v>1349</v>
      </c>
      <c r="O720" s="5">
        <v>1656.395</v>
      </c>
    </row>
    <row r="721" spans="1:15">
      <c r="A721" t="s">
        <v>2070</v>
      </c>
      <c r="B721" s="7">
        <v>45824</v>
      </c>
      <c r="C721" t="s">
        <v>1014</v>
      </c>
      <c r="D721" t="s">
        <v>1263</v>
      </c>
      <c r="E721" t="s">
        <v>1332</v>
      </c>
      <c r="F721" t="str">
        <f>[1]Raw_Customer_Dim!$A$2</f>
        <v>CUST1000</v>
      </c>
      <c r="G721" t="str">
        <f>_xlfn.XLOOKUP(E721,Store_Dim!A:A,Store_Dim!B:B,"Not Found")</f>
        <v>Holloway Ltd</v>
      </c>
      <c r="H721" t="str">
        <f>_xlfn.XLOOKUP(D721,Product_Dim!A:A,Product_Dim!C:C,"Not Found")</f>
        <v>Sports</v>
      </c>
      <c r="I721" t="str">
        <f>_xlfn.XLOOKUP(E721,Store_Dim!A:A,Store_Dim!C:C,"Not Found")</f>
        <v>North</v>
      </c>
      <c r="J721" t="str">
        <f>_xlfn.XLOOKUP(C721,Customer_Dim!A:A,Customer_Dim!B:B,"Not Found")</f>
        <v>Elizabeth Foster</v>
      </c>
      <c r="K721">
        <f>Table511[[#This Row],[Total_Amount]]/(L721*(1-Table511[[#This Row],[Discount]]))</f>
        <v>4</v>
      </c>
      <c r="L721" s="5">
        <v>52.35</v>
      </c>
      <c r="M721">
        <v>0.23</v>
      </c>
      <c r="N721" t="s">
        <v>1354</v>
      </c>
      <c r="O721" s="5">
        <v>161.238</v>
      </c>
    </row>
    <row r="722" spans="1:15">
      <c r="A722" t="s">
        <v>2071</v>
      </c>
      <c r="B722" s="7">
        <v>45824</v>
      </c>
      <c r="C722" t="s">
        <v>803</v>
      </c>
      <c r="D722" t="s">
        <v>1203</v>
      </c>
      <c r="E722" t="s">
        <v>1332</v>
      </c>
      <c r="F722" t="str">
        <f>[1]Raw_Customer_Dim!$A$2</f>
        <v>CUST1000</v>
      </c>
      <c r="G722" t="str">
        <f>_xlfn.XLOOKUP(E722,Store_Dim!A:A,Store_Dim!B:B,"Not Found")</f>
        <v>Holloway Ltd</v>
      </c>
      <c r="H722" t="str">
        <f>_xlfn.XLOOKUP(D722,Product_Dim!A:A,Product_Dim!C:C,"Not Found")</f>
        <v>Sports</v>
      </c>
      <c r="I722" t="str">
        <f>_xlfn.XLOOKUP(E722,Store_Dim!A:A,Store_Dim!C:C,"Not Found")</f>
        <v>North</v>
      </c>
      <c r="J722" t="str">
        <f>_xlfn.XLOOKUP(C722,Customer_Dim!A:A,Customer_Dim!B:B,"Not Found")</f>
        <v>James Holloway Jr.</v>
      </c>
      <c r="K722">
        <f>Table511[[#This Row],[Total_Amount]]/(L722*(1-Table511[[#This Row],[Discount]]))</f>
        <v>3</v>
      </c>
      <c r="L722" s="5">
        <v>681.58</v>
      </c>
      <c r="M722">
        <v>0.23</v>
      </c>
      <c r="N722" t="s">
        <v>1349</v>
      </c>
      <c r="O722" s="5">
        <v>1574.4498000000001</v>
      </c>
    </row>
    <row r="723" spans="1:15">
      <c r="A723" t="s">
        <v>2072</v>
      </c>
      <c r="B723" s="7">
        <v>45384</v>
      </c>
      <c r="C723" t="s">
        <v>415</v>
      </c>
      <c r="D723" t="s">
        <v>1239</v>
      </c>
      <c r="E723" t="s">
        <v>1326</v>
      </c>
      <c r="F723" t="str">
        <f>[1]Raw_Customer_Dim!$A$2</f>
        <v>CUST1000</v>
      </c>
      <c r="G723" t="str">
        <f>_xlfn.XLOOKUP(E723,Store_Dim!A:A,Store_Dim!B:B,"Not Found")</f>
        <v>Shelton PLC</v>
      </c>
      <c r="H723" t="str">
        <f>_xlfn.XLOOKUP(D723,Product_Dim!A:A,Product_Dim!C:C,"Not Found")</f>
        <v>Beauty</v>
      </c>
      <c r="I723" t="str">
        <f>_xlfn.XLOOKUP(E723,Store_Dim!A:A,Store_Dim!C:C,"Not Found")</f>
        <v>North</v>
      </c>
      <c r="J723" t="str">
        <f>_xlfn.XLOOKUP(C723,Customer_Dim!A:A,Customer_Dim!B:B,"Not Found")</f>
        <v>Curtis Lam</v>
      </c>
      <c r="K723">
        <f>Table511[[#This Row],[Total_Amount]]/(L723*(1-Table511[[#This Row],[Discount]]))</f>
        <v>3</v>
      </c>
      <c r="L723" s="5">
        <v>71.23</v>
      </c>
      <c r="M723">
        <v>0.03</v>
      </c>
      <c r="N723" t="s">
        <v>1349</v>
      </c>
      <c r="O723" s="5">
        <v>207.27930000000001</v>
      </c>
    </row>
    <row r="724" spans="1:15">
      <c r="A724" t="s">
        <v>2073</v>
      </c>
      <c r="B724" s="7">
        <v>45379</v>
      </c>
      <c r="C724" t="s">
        <v>545</v>
      </c>
      <c r="D724" t="s">
        <v>1103</v>
      </c>
      <c r="E724" t="s">
        <v>1324</v>
      </c>
      <c r="F724" t="str">
        <f>[1]Raw_Customer_Dim!$A$2</f>
        <v>CUST1000</v>
      </c>
      <c r="G724" t="str">
        <f>_xlfn.XLOOKUP(E724,Store_Dim!A:A,Store_Dim!B:B,"Not Found")</f>
        <v>Mcdonald Inc</v>
      </c>
      <c r="H724" t="str">
        <f>_xlfn.XLOOKUP(D724,Product_Dim!A:A,Product_Dim!C:C,"Not Found")</f>
        <v>Electronics</v>
      </c>
      <c r="I724" t="str">
        <f>_xlfn.XLOOKUP(E724,Store_Dim!A:A,Store_Dim!C:C,"Not Found")</f>
        <v>South</v>
      </c>
      <c r="J724" t="str">
        <f>_xlfn.XLOOKUP(C724,Customer_Dim!A:A,Customer_Dim!B:B,"Not Found")</f>
        <v>Mr. William Horton</v>
      </c>
      <c r="K724">
        <f>Table511[[#This Row],[Total_Amount]]/(L724*(1-Table511[[#This Row],[Discount]]))</f>
        <v>1</v>
      </c>
      <c r="L724" s="5">
        <v>31.36</v>
      </c>
      <c r="M724">
        <v>0.21</v>
      </c>
      <c r="N724" t="s">
        <v>1354</v>
      </c>
      <c r="O724" s="5">
        <v>24.7744</v>
      </c>
    </row>
    <row r="725" spans="1:15">
      <c r="A725" t="s">
        <v>2074</v>
      </c>
      <c r="B725" s="7">
        <v>45674</v>
      </c>
      <c r="C725" t="s">
        <v>746</v>
      </c>
      <c r="D725" t="s">
        <v>1155</v>
      </c>
      <c r="E725" t="s">
        <v>1322</v>
      </c>
      <c r="F725" t="str">
        <f>[1]Raw_Customer_Dim!$A$2</f>
        <v>CUST1000</v>
      </c>
      <c r="G725" t="str">
        <f>_xlfn.XLOOKUP(E725,Store_Dim!A:A,Store_Dim!B:B,"Not Found")</f>
        <v>Gardner, Humphrey and Contreras</v>
      </c>
      <c r="H725" t="str">
        <f>_xlfn.XLOOKUP(D725,Product_Dim!A:A,Product_Dim!C:C,"Not Found")</f>
        <v>Sports</v>
      </c>
      <c r="I725" t="str">
        <f>_xlfn.XLOOKUP(E725,Store_Dim!A:A,Store_Dim!C:C,"Not Found")</f>
        <v>East</v>
      </c>
      <c r="J725" t="str">
        <f>_xlfn.XLOOKUP(C725,Customer_Dim!A:A,Customer_Dim!B:B,"Not Found")</f>
        <v>Angela Williams</v>
      </c>
      <c r="K725">
        <f>Table511[[#This Row],[Total_Amount]]/(L725*(1-Table511[[#This Row],[Discount]]))</f>
        <v>2</v>
      </c>
      <c r="L725" s="5">
        <v>555.54999999999995</v>
      </c>
      <c r="M725">
        <v>0.14000000000000001</v>
      </c>
      <c r="N725" t="s">
        <v>1349</v>
      </c>
      <c r="O725" s="5">
        <v>955.54599999999994</v>
      </c>
    </row>
    <row r="726" spans="1:15">
      <c r="A726" t="s">
        <v>2075</v>
      </c>
      <c r="B726" s="7">
        <v>45760</v>
      </c>
      <c r="C726" t="s">
        <v>565</v>
      </c>
      <c r="D726" t="s">
        <v>1205</v>
      </c>
      <c r="E726" t="s">
        <v>1329</v>
      </c>
      <c r="F726" t="str">
        <f>[1]Raw_Customer_Dim!$A$2</f>
        <v>CUST1000</v>
      </c>
      <c r="G726" t="str">
        <f>_xlfn.XLOOKUP(E726,Store_Dim!A:A,Store_Dim!B:B,"Not Found")</f>
        <v>Frederick-Wright</v>
      </c>
      <c r="H726" t="str">
        <f>_xlfn.XLOOKUP(D726,Product_Dim!A:A,Product_Dim!C:C,"Not Found")</f>
        <v>Beauty</v>
      </c>
      <c r="I726" t="str">
        <f>_xlfn.XLOOKUP(E726,Store_Dim!A:A,Store_Dim!C:C,"Not Found")</f>
        <v>West</v>
      </c>
      <c r="J726" t="str">
        <f>_xlfn.XLOOKUP(C726,Customer_Dim!A:A,Customer_Dim!B:B,"Not Found")</f>
        <v>Tyler Garner</v>
      </c>
      <c r="K726">
        <f>Table511[[#This Row],[Total_Amount]]/(L726*(1-Table511[[#This Row],[Discount]]))</f>
        <v>4</v>
      </c>
      <c r="L726" s="5">
        <v>805.99</v>
      </c>
      <c r="M726">
        <v>0.06</v>
      </c>
      <c r="N726" t="s">
        <v>1349</v>
      </c>
      <c r="O726" s="5">
        <v>3030.5223999999998</v>
      </c>
    </row>
    <row r="727" spans="1:15">
      <c r="A727" t="s">
        <v>2076</v>
      </c>
      <c r="B727" s="7">
        <v>45474</v>
      </c>
      <c r="C727" t="s">
        <v>839</v>
      </c>
      <c r="D727" t="s">
        <v>1215</v>
      </c>
      <c r="E727" t="s">
        <v>1282</v>
      </c>
      <c r="F727" t="str">
        <f>[1]Raw_Customer_Dim!$A$2</f>
        <v>CUST1000</v>
      </c>
      <c r="G727" t="str">
        <f>_xlfn.XLOOKUP(E727,Store_Dim!A:A,Store_Dim!B:B,"Not Found")</f>
        <v>Martinez, Adkins and Johnson</v>
      </c>
      <c r="H727" t="str">
        <f>_xlfn.XLOOKUP(D727,Product_Dim!A:A,Product_Dim!C:C,"Not Found")</f>
        <v>Beauty</v>
      </c>
      <c r="I727" t="str">
        <f>_xlfn.XLOOKUP(E727,Store_Dim!A:A,Store_Dim!C:C,"Not Found")</f>
        <v>North</v>
      </c>
      <c r="J727" t="str">
        <f>_xlfn.XLOOKUP(C727,Customer_Dim!A:A,Customer_Dim!B:B,"Not Found")</f>
        <v>Timothy Valenzuela</v>
      </c>
      <c r="K727">
        <f>Table511[[#This Row],[Total_Amount]]/(L727*(1-Table511[[#This Row],[Discount]]))</f>
        <v>1</v>
      </c>
      <c r="L727" s="5">
        <v>506.55</v>
      </c>
      <c r="M727">
        <v>0.28000000000000003</v>
      </c>
      <c r="N727" t="s">
        <v>1349</v>
      </c>
      <c r="O727" s="5">
        <v>364.71600000000001</v>
      </c>
    </row>
    <row r="728" spans="1:15">
      <c r="A728" t="s">
        <v>2077</v>
      </c>
      <c r="B728" s="7">
        <v>45640</v>
      </c>
      <c r="C728" t="s">
        <v>321</v>
      </c>
      <c r="D728" t="s">
        <v>1155</v>
      </c>
      <c r="E728" t="s">
        <v>1317</v>
      </c>
      <c r="F728" t="str">
        <f>[1]Raw_Customer_Dim!$A$2</f>
        <v>CUST1000</v>
      </c>
      <c r="G728" t="str">
        <f>_xlfn.XLOOKUP(E728,Store_Dim!A:A,Store_Dim!B:B,"Not Found")</f>
        <v>Aguirre-Keller</v>
      </c>
      <c r="H728" t="str">
        <f>_xlfn.XLOOKUP(D728,Product_Dim!A:A,Product_Dim!C:C,"Not Found")</f>
        <v>Sports</v>
      </c>
      <c r="I728" t="str">
        <f>_xlfn.XLOOKUP(E728,Store_Dim!A:A,Store_Dim!C:C,"Not Found")</f>
        <v>South</v>
      </c>
      <c r="J728" t="str">
        <f>_xlfn.XLOOKUP(C728,Customer_Dim!A:A,Customer_Dim!B:B,"Not Found")</f>
        <v>Jamie Reyes</v>
      </c>
      <c r="K728">
        <f>Table511[[#This Row],[Total_Amount]]/(L728*(1-Table511[[#This Row],[Discount]]))</f>
        <v>3.0000000000000004</v>
      </c>
      <c r="L728" s="5">
        <v>28.69</v>
      </c>
      <c r="M728">
        <v>0.02</v>
      </c>
      <c r="N728" t="s">
        <v>1349</v>
      </c>
      <c r="O728" s="5">
        <v>84.348600000000005</v>
      </c>
    </row>
    <row r="729" spans="1:15">
      <c r="A729" t="s">
        <v>2078</v>
      </c>
      <c r="B729" s="7">
        <v>45253</v>
      </c>
      <c r="C729" t="s">
        <v>837</v>
      </c>
      <c r="D729" t="s">
        <v>1225</v>
      </c>
      <c r="E729" t="s">
        <v>1294</v>
      </c>
      <c r="F729" t="str">
        <f>[1]Raw_Customer_Dim!$A$2</f>
        <v>CUST1000</v>
      </c>
      <c r="G729" t="str">
        <f>_xlfn.XLOOKUP(E729,Store_Dim!A:A,Store_Dim!B:B,"Not Found")</f>
        <v>Alexander Group</v>
      </c>
      <c r="H729" t="str">
        <f>_xlfn.XLOOKUP(D729,Product_Dim!A:A,Product_Dim!C:C,"Not Found")</f>
        <v>Electronics</v>
      </c>
      <c r="I729" t="str">
        <f>_xlfn.XLOOKUP(E729,Store_Dim!A:A,Store_Dim!C:C,"Not Found")</f>
        <v>South</v>
      </c>
      <c r="J729" t="str">
        <f>_xlfn.XLOOKUP(C729,Customer_Dim!A:A,Customer_Dim!B:B,"Not Found")</f>
        <v>Timothy Gardner</v>
      </c>
      <c r="K729">
        <f>Table511[[#This Row],[Total_Amount]]/(L729*(1-Table511[[#This Row],[Discount]]))</f>
        <v>1</v>
      </c>
      <c r="L729" s="5">
        <v>106.07</v>
      </c>
      <c r="M729">
        <v>0.23</v>
      </c>
      <c r="N729" t="s">
        <v>1354</v>
      </c>
      <c r="O729" s="5">
        <v>81.673900000000003</v>
      </c>
    </row>
    <row r="730" spans="1:15">
      <c r="A730" t="s">
        <v>2079</v>
      </c>
      <c r="B730" s="7">
        <v>45225</v>
      </c>
      <c r="C730" t="s">
        <v>583</v>
      </c>
      <c r="D730" t="s">
        <v>1255</v>
      </c>
      <c r="E730" t="s">
        <v>1277</v>
      </c>
      <c r="F730" t="str">
        <f>[1]Raw_Customer_Dim!$A$2</f>
        <v>CUST1000</v>
      </c>
      <c r="G730" t="str">
        <f>_xlfn.XLOOKUP(E730,Store_Dim!A:A,Store_Dim!B:B,"Not Found")</f>
        <v>Rivera-Warner</v>
      </c>
      <c r="H730" t="str">
        <f>_xlfn.XLOOKUP(D730,Product_Dim!A:A,Product_Dim!C:C,"Not Found")</f>
        <v>Clothing</v>
      </c>
      <c r="I730" t="str">
        <f>_xlfn.XLOOKUP(E730,Store_Dim!A:A,Store_Dim!C:C,"Not Found")</f>
        <v>East</v>
      </c>
      <c r="J730" t="str">
        <f>_xlfn.XLOOKUP(C730,Customer_Dim!A:A,Customer_Dim!B:B,"Not Found")</f>
        <v>Russell Lamb</v>
      </c>
      <c r="K730">
        <f>Table511[[#This Row],[Total_Amount]]/(L730*(1-Table511[[#This Row],[Discount]]))</f>
        <v>4.0000000000000009</v>
      </c>
      <c r="L730" s="5">
        <v>289.77</v>
      </c>
      <c r="M730">
        <v>0.06</v>
      </c>
      <c r="N730" t="s">
        <v>1351</v>
      </c>
      <c r="O730" s="5">
        <v>1089.5352</v>
      </c>
    </row>
    <row r="731" spans="1:15">
      <c r="A731" t="s">
        <v>2080</v>
      </c>
      <c r="B731" s="7">
        <v>45263</v>
      </c>
      <c r="C731" t="s">
        <v>373</v>
      </c>
      <c r="D731" t="s">
        <v>1239</v>
      </c>
      <c r="E731" t="s">
        <v>1335</v>
      </c>
      <c r="F731" t="str">
        <f>[1]Raw_Customer_Dim!$A$2</f>
        <v>CUST1000</v>
      </c>
      <c r="G731" t="str">
        <f>_xlfn.XLOOKUP(E731,Store_Dim!A:A,Store_Dim!B:B,"Not Found")</f>
        <v>Guerrero-Schmitt</v>
      </c>
      <c r="H731" t="str">
        <f>_xlfn.XLOOKUP(D731,Product_Dim!A:A,Product_Dim!C:C,"Not Found")</f>
        <v>Beauty</v>
      </c>
      <c r="I731" t="str">
        <f>_xlfn.XLOOKUP(E731,Store_Dim!A:A,Store_Dim!C:C,"Not Found")</f>
        <v>East</v>
      </c>
      <c r="J731" t="str">
        <f>_xlfn.XLOOKUP(C731,Customer_Dim!A:A,Customer_Dim!B:B,"Not Found")</f>
        <v>Maria Sanchez</v>
      </c>
      <c r="K731">
        <f>Table511[[#This Row],[Total_Amount]]/(L731*(1-Table511[[#This Row],[Discount]]))</f>
        <v>2</v>
      </c>
      <c r="L731" s="5">
        <v>354.26</v>
      </c>
      <c r="M731">
        <v>0.01</v>
      </c>
      <c r="N731" t="s">
        <v>1354</v>
      </c>
      <c r="O731" s="5">
        <v>701.4348</v>
      </c>
    </row>
    <row r="732" spans="1:15">
      <c r="A732" t="s">
        <v>2081</v>
      </c>
      <c r="B732" s="7">
        <v>45554</v>
      </c>
      <c r="C732" t="s">
        <v>833</v>
      </c>
      <c r="D732" t="s">
        <v>1209</v>
      </c>
      <c r="E732" t="s">
        <v>1324</v>
      </c>
      <c r="F732" t="str">
        <f>[1]Raw_Customer_Dim!$A$2</f>
        <v>CUST1000</v>
      </c>
      <c r="G732" t="str">
        <f>_xlfn.XLOOKUP(E732,Store_Dim!A:A,Store_Dim!B:B,"Not Found")</f>
        <v>Mcdonald Inc</v>
      </c>
      <c r="H732" t="str">
        <f>_xlfn.XLOOKUP(D732,Product_Dim!A:A,Product_Dim!C:C,"Not Found")</f>
        <v>Home</v>
      </c>
      <c r="I732" t="str">
        <f>_xlfn.XLOOKUP(E732,Store_Dim!A:A,Store_Dim!C:C,"Not Found")</f>
        <v>South</v>
      </c>
      <c r="J732" t="str">
        <f>_xlfn.XLOOKUP(C732,Customer_Dim!A:A,Customer_Dim!B:B,"Not Found")</f>
        <v>Tammy Brennan</v>
      </c>
      <c r="K732">
        <f>Table511[[#This Row],[Total_Amount]]/(L732*(1-Table511[[#This Row],[Discount]]))</f>
        <v>1</v>
      </c>
      <c r="L732" s="5">
        <v>522.72</v>
      </c>
      <c r="M732">
        <v>0.25</v>
      </c>
      <c r="N732" t="s">
        <v>1351</v>
      </c>
      <c r="O732" s="5">
        <v>392.04</v>
      </c>
    </row>
    <row r="733" spans="1:15">
      <c r="A733" t="s">
        <v>2082</v>
      </c>
      <c r="B733" s="7">
        <v>45569</v>
      </c>
      <c r="C733" t="s">
        <v>159</v>
      </c>
      <c r="D733" t="s">
        <v>1080</v>
      </c>
      <c r="E733" t="s">
        <v>1311</v>
      </c>
      <c r="F733" t="str">
        <f>[1]Raw_Customer_Dim!$A$2</f>
        <v>CUST1000</v>
      </c>
      <c r="G733" t="str">
        <f>_xlfn.XLOOKUP(E733,Store_Dim!A:A,Store_Dim!B:B,"Not Found")</f>
        <v>Moore, Padilla and Butler</v>
      </c>
      <c r="H733" t="str">
        <f>_xlfn.XLOOKUP(D733,Product_Dim!A:A,Product_Dim!C:C,"Not Found")</f>
        <v>Clothing</v>
      </c>
      <c r="I733" t="str">
        <f>_xlfn.XLOOKUP(E733,Store_Dim!A:A,Store_Dim!C:C,"Not Found")</f>
        <v>South</v>
      </c>
      <c r="J733" t="str">
        <f>_xlfn.XLOOKUP(C733,Customer_Dim!A:A,Customer_Dim!B:B,"Not Found")</f>
        <v>Jay Patel</v>
      </c>
      <c r="K733">
        <f>Table511[[#This Row],[Total_Amount]]/(L733*(1-Table511[[#This Row],[Discount]]))</f>
        <v>3</v>
      </c>
      <c r="L733" s="5">
        <v>966.02</v>
      </c>
      <c r="M733">
        <v>0.03</v>
      </c>
      <c r="N733" t="s">
        <v>1354</v>
      </c>
      <c r="O733" s="5">
        <v>2811.1181999999999</v>
      </c>
    </row>
    <row r="734" spans="1:15">
      <c r="A734" t="s">
        <v>2083</v>
      </c>
      <c r="B734" s="7">
        <v>45217</v>
      </c>
      <c r="C734" t="s">
        <v>511</v>
      </c>
      <c r="D734" t="s">
        <v>1173</v>
      </c>
      <c r="E734" t="s">
        <v>1332</v>
      </c>
      <c r="F734" t="str">
        <f>[1]Raw_Customer_Dim!$A$2</f>
        <v>CUST1000</v>
      </c>
      <c r="G734" t="str">
        <f>_xlfn.XLOOKUP(E734,Store_Dim!A:A,Store_Dim!B:B,"Not Found")</f>
        <v>Holloway Ltd</v>
      </c>
      <c r="H734" t="str">
        <f>_xlfn.XLOOKUP(D734,Product_Dim!A:A,Product_Dim!C:C,"Not Found")</f>
        <v>Sports</v>
      </c>
      <c r="I734" t="str">
        <f>_xlfn.XLOOKUP(E734,Store_Dim!A:A,Store_Dim!C:C,"Not Found")</f>
        <v>North</v>
      </c>
      <c r="J734" t="str">
        <f>_xlfn.XLOOKUP(C734,Customer_Dim!A:A,Customer_Dim!B:B,"Not Found")</f>
        <v>Anthony Morgan</v>
      </c>
      <c r="K734">
        <f>Table511[[#This Row],[Total_Amount]]/(L734*(1-Table511[[#This Row],[Discount]]))</f>
        <v>1</v>
      </c>
      <c r="L734" s="5">
        <v>498.61</v>
      </c>
      <c r="M734">
        <v>0.04</v>
      </c>
      <c r="N734" t="s">
        <v>1351</v>
      </c>
      <c r="O734" s="5">
        <v>478.66559999999998</v>
      </c>
    </row>
    <row r="735" spans="1:15">
      <c r="A735" t="s">
        <v>2084</v>
      </c>
      <c r="B735" s="7">
        <v>45783</v>
      </c>
      <c r="C735" t="s">
        <v>724</v>
      </c>
      <c r="D735" t="s">
        <v>1157</v>
      </c>
      <c r="E735" t="s">
        <v>1301</v>
      </c>
      <c r="F735" t="str">
        <f>[1]Raw_Customer_Dim!$A$2</f>
        <v>CUST1000</v>
      </c>
      <c r="G735" t="str">
        <f>_xlfn.XLOOKUP(E735,Store_Dim!A:A,Store_Dim!B:B,"Not Found")</f>
        <v>Benson-Elliott</v>
      </c>
      <c r="H735" t="str">
        <f>_xlfn.XLOOKUP(D735,Product_Dim!A:A,Product_Dim!C:C,"Not Found")</f>
        <v>Electronics</v>
      </c>
      <c r="I735" t="str">
        <f>_xlfn.XLOOKUP(E735,Store_Dim!A:A,Store_Dim!C:C,"Not Found")</f>
        <v>East</v>
      </c>
      <c r="J735" t="str">
        <f>_xlfn.XLOOKUP(C735,Customer_Dim!A:A,Customer_Dim!B:B,"Not Found")</f>
        <v>Pamela Mcguire</v>
      </c>
      <c r="K735">
        <f>Table511[[#This Row],[Total_Amount]]/(L735*(1-Table511[[#This Row],[Discount]]))</f>
        <v>4</v>
      </c>
      <c r="L735" s="5">
        <v>758.27</v>
      </c>
      <c r="M735">
        <v>0.05</v>
      </c>
      <c r="N735" t="s">
        <v>1351</v>
      </c>
      <c r="O735" s="5">
        <v>2881.4259999999999</v>
      </c>
    </row>
    <row r="736" spans="1:15">
      <c r="A736" t="s">
        <v>2085</v>
      </c>
      <c r="B736" s="7">
        <v>45371</v>
      </c>
      <c r="C736" t="s">
        <v>458</v>
      </c>
      <c r="D736" t="s">
        <v>1076</v>
      </c>
      <c r="E736" t="s">
        <v>1286</v>
      </c>
      <c r="F736" t="str">
        <f>[1]Raw_Customer_Dim!$A$2</f>
        <v>CUST1000</v>
      </c>
      <c r="G736" t="str">
        <f>_xlfn.XLOOKUP(E736,Store_Dim!A:A,Store_Dim!B:B,"Not Found")</f>
        <v>Black-Horn</v>
      </c>
      <c r="H736" t="str">
        <f>_xlfn.XLOOKUP(D736,Product_Dim!A:A,Product_Dim!C:C,"Not Found")</f>
        <v>Not Found</v>
      </c>
      <c r="I736" t="str">
        <f>_xlfn.XLOOKUP(E736,Store_Dim!A:A,Store_Dim!C:C,"Not Found")</f>
        <v>South</v>
      </c>
      <c r="J736" t="str">
        <f>_xlfn.XLOOKUP(C736,Customer_Dim!A:A,Customer_Dim!B:B,"Not Found")</f>
        <v>Wanda Snyder</v>
      </c>
      <c r="K736">
        <f>Table511[[#This Row],[Total_Amount]]/(L736*(1-Table511[[#This Row],[Discount]]))</f>
        <v>2</v>
      </c>
      <c r="L736" s="5">
        <v>371.03</v>
      </c>
      <c r="M736">
        <v>0.23</v>
      </c>
      <c r="N736" t="s">
        <v>1351</v>
      </c>
      <c r="O736" s="5">
        <v>571.38619999999992</v>
      </c>
    </row>
    <row r="737" spans="1:15">
      <c r="A737" t="s">
        <v>2086</v>
      </c>
      <c r="B737" s="7">
        <v>45453</v>
      </c>
      <c r="C737" t="s">
        <v>773</v>
      </c>
      <c r="D737" t="s">
        <v>1255</v>
      </c>
      <c r="E737" t="s">
        <v>1332</v>
      </c>
      <c r="F737" t="str">
        <f>[1]Raw_Customer_Dim!$A$2</f>
        <v>CUST1000</v>
      </c>
      <c r="G737" t="str">
        <f>_xlfn.XLOOKUP(E737,Store_Dim!A:A,Store_Dim!B:B,"Not Found")</f>
        <v>Holloway Ltd</v>
      </c>
      <c r="H737" t="str">
        <f>_xlfn.XLOOKUP(D737,Product_Dim!A:A,Product_Dim!C:C,"Not Found")</f>
        <v>Clothing</v>
      </c>
      <c r="I737" t="str">
        <f>_xlfn.XLOOKUP(E737,Store_Dim!A:A,Store_Dim!C:C,"Not Found")</f>
        <v>North</v>
      </c>
      <c r="J737" t="str">
        <f>_xlfn.XLOOKUP(C737,Customer_Dim!A:A,Customer_Dim!B:B,"Not Found")</f>
        <v>Carlos Flores</v>
      </c>
      <c r="K737">
        <f>Table511[[#This Row],[Total_Amount]]/(L737*(1-Table511[[#This Row],[Discount]]))</f>
        <v>1.0000000000000002</v>
      </c>
      <c r="L737" s="5">
        <v>230.32</v>
      </c>
      <c r="M737">
        <v>0.05</v>
      </c>
      <c r="N737" t="s">
        <v>1354</v>
      </c>
      <c r="O737" s="5">
        <v>218.804</v>
      </c>
    </row>
    <row r="738" spans="1:15">
      <c r="A738" t="s">
        <v>2087</v>
      </c>
      <c r="B738" s="7">
        <v>45526</v>
      </c>
      <c r="C738" t="s">
        <v>748</v>
      </c>
      <c r="D738" t="s">
        <v>1195</v>
      </c>
      <c r="E738" t="s">
        <v>1301</v>
      </c>
      <c r="F738" t="str">
        <f>[1]Raw_Customer_Dim!$A$2</f>
        <v>CUST1000</v>
      </c>
      <c r="G738" t="str">
        <f>_xlfn.XLOOKUP(E738,Store_Dim!A:A,Store_Dim!B:B,"Not Found")</f>
        <v>Benson-Elliott</v>
      </c>
      <c r="H738" t="str">
        <f>_xlfn.XLOOKUP(D738,Product_Dim!A:A,Product_Dim!C:C,"Not Found")</f>
        <v>Sports</v>
      </c>
      <c r="I738" t="str">
        <f>_xlfn.XLOOKUP(E738,Store_Dim!A:A,Store_Dim!C:C,"Not Found")</f>
        <v>East</v>
      </c>
      <c r="J738" t="str">
        <f>_xlfn.XLOOKUP(C738,Customer_Dim!A:A,Customer_Dim!B:B,"Not Found")</f>
        <v>Michelle Cunningham</v>
      </c>
      <c r="K738">
        <f>Table511[[#This Row],[Total_Amount]]/(L738*(1-Table511[[#This Row],[Discount]]))</f>
        <v>2</v>
      </c>
      <c r="L738" s="5">
        <v>985.43</v>
      </c>
      <c r="M738">
        <v>0.28000000000000003</v>
      </c>
      <c r="N738" t="s">
        <v>1354</v>
      </c>
      <c r="O738" s="5">
        <v>1419.0192</v>
      </c>
    </row>
    <row r="739" spans="1:15">
      <c r="A739" t="s">
        <v>2088</v>
      </c>
      <c r="B739" s="7">
        <v>45756</v>
      </c>
      <c r="C739" t="s">
        <v>907</v>
      </c>
      <c r="D739" t="s">
        <v>1090</v>
      </c>
      <c r="E739" t="s">
        <v>1294</v>
      </c>
      <c r="F739" t="str">
        <f>[1]Raw_Customer_Dim!$A$2</f>
        <v>CUST1000</v>
      </c>
      <c r="G739" t="str">
        <f>_xlfn.XLOOKUP(E739,Store_Dim!A:A,Store_Dim!B:B,"Not Found")</f>
        <v>Alexander Group</v>
      </c>
      <c r="H739" t="str">
        <f>_xlfn.XLOOKUP(D739,Product_Dim!A:A,Product_Dim!C:C,"Not Found")</f>
        <v>Sports</v>
      </c>
      <c r="I739" t="str">
        <f>_xlfn.XLOOKUP(E739,Store_Dim!A:A,Store_Dim!C:C,"Not Found")</f>
        <v>South</v>
      </c>
      <c r="J739" t="str">
        <f>_xlfn.XLOOKUP(C739,Customer_Dim!A:A,Customer_Dim!B:B,"Not Found")</f>
        <v>Brittany Edwards DDS</v>
      </c>
      <c r="K739">
        <f>Table511[[#This Row],[Total_Amount]]/(L739*(1-Table511[[#This Row],[Discount]]))</f>
        <v>2</v>
      </c>
      <c r="L739" s="5">
        <v>492.5</v>
      </c>
      <c r="M739">
        <v>0.3</v>
      </c>
      <c r="N739" t="s">
        <v>1351</v>
      </c>
      <c r="O739" s="5">
        <v>689.5</v>
      </c>
    </row>
    <row r="740" spans="1:15">
      <c r="A740" t="s">
        <v>2089</v>
      </c>
      <c r="B740" s="7">
        <v>45657</v>
      </c>
      <c r="C740" t="s">
        <v>791</v>
      </c>
      <c r="D740" t="s">
        <v>1165</v>
      </c>
      <c r="E740" t="s">
        <v>1317</v>
      </c>
      <c r="F740" t="str">
        <f>[1]Raw_Customer_Dim!$A$2</f>
        <v>CUST1000</v>
      </c>
      <c r="G740" t="str">
        <f>_xlfn.XLOOKUP(E740,Store_Dim!A:A,Store_Dim!B:B,"Not Found")</f>
        <v>Aguirre-Keller</v>
      </c>
      <c r="H740" t="str">
        <f>_xlfn.XLOOKUP(D740,Product_Dim!A:A,Product_Dim!C:C,"Not Found")</f>
        <v>Clothing</v>
      </c>
      <c r="I740" t="str">
        <f>_xlfn.XLOOKUP(E740,Store_Dim!A:A,Store_Dim!C:C,"Not Found")</f>
        <v>South</v>
      </c>
      <c r="J740" t="str">
        <f>_xlfn.XLOOKUP(C740,Customer_Dim!A:A,Customer_Dim!B:B,"Not Found")</f>
        <v>Chloe Aguilar</v>
      </c>
      <c r="K740">
        <f>Table511[[#This Row],[Total_Amount]]/(L740*(1-Table511[[#This Row],[Discount]]))</f>
        <v>2</v>
      </c>
      <c r="L740" s="5">
        <v>213.69</v>
      </c>
      <c r="M740">
        <v>0.28000000000000003</v>
      </c>
      <c r="N740" t="s">
        <v>1351</v>
      </c>
      <c r="O740" s="5">
        <v>307.71359999999999</v>
      </c>
    </row>
    <row r="741" spans="1:15">
      <c r="A741" t="s">
        <v>2090</v>
      </c>
      <c r="B741" s="7">
        <v>45716</v>
      </c>
      <c r="C741" t="s">
        <v>178</v>
      </c>
      <c r="D741" t="s">
        <v>1113</v>
      </c>
      <c r="E741" t="s">
        <v>1307</v>
      </c>
      <c r="F741" t="str">
        <f>[1]Raw_Customer_Dim!$A$2</f>
        <v>CUST1000</v>
      </c>
      <c r="G741" t="str">
        <f>_xlfn.XLOOKUP(E741,Store_Dim!A:A,Store_Dim!B:B,"Not Found")</f>
        <v>Bean, Jones and Park</v>
      </c>
      <c r="H741" t="str">
        <f>_xlfn.XLOOKUP(D741,Product_Dim!A:A,Product_Dim!C:C,"Not Found")</f>
        <v>Sports</v>
      </c>
      <c r="I741" t="str">
        <f>_xlfn.XLOOKUP(E741,Store_Dim!A:A,Store_Dim!C:C,"Not Found")</f>
        <v>West</v>
      </c>
      <c r="J741" t="str">
        <f>_xlfn.XLOOKUP(C741,Customer_Dim!A:A,Customer_Dim!B:B,"Not Found")</f>
        <v>Michael Thomas</v>
      </c>
      <c r="K741">
        <f>Table511[[#This Row],[Total_Amount]]/(L741*(1-Table511[[#This Row],[Discount]]))</f>
        <v>4</v>
      </c>
      <c r="L741" s="5">
        <v>618.83000000000004</v>
      </c>
      <c r="M741">
        <v>0.08</v>
      </c>
      <c r="N741" t="s">
        <v>1351</v>
      </c>
      <c r="O741" s="5">
        <v>2277.2944000000002</v>
      </c>
    </row>
    <row r="742" spans="1:15">
      <c r="A742" t="s">
        <v>2091</v>
      </c>
      <c r="B742" s="7">
        <v>45313</v>
      </c>
      <c r="C742" t="s">
        <v>244</v>
      </c>
      <c r="D742" t="s">
        <v>1191</v>
      </c>
      <c r="E742" t="s">
        <v>1317</v>
      </c>
      <c r="F742" t="str">
        <f>[1]Raw_Customer_Dim!$A$2</f>
        <v>CUST1000</v>
      </c>
      <c r="G742" t="str">
        <f>_xlfn.XLOOKUP(E742,Store_Dim!A:A,Store_Dim!B:B,"Not Found")</f>
        <v>Aguirre-Keller</v>
      </c>
      <c r="H742" t="str">
        <f>_xlfn.XLOOKUP(D742,Product_Dim!A:A,Product_Dim!C:C,"Not Found")</f>
        <v>Beauty</v>
      </c>
      <c r="I742" t="str">
        <f>_xlfn.XLOOKUP(E742,Store_Dim!A:A,Store_Dim!C:C,"Not Found")</f>
        <v>South</v>
      </c>
      <c r="J742" t="str">
        <f>_xlfn.XLOOKUP(C742,Customer_Dim!A:A,Customer_Dim!B:B,"Not Found")</f>
        <v>Christy Vasquez</v>
      </c>
      <c r="K742">
        <f>Table511[[#This Row],[Total_Amount]]/(L742*(1-Table511[[#This Row],[Discount]]))</f>
        <v>2.0000000000000004</v>
      </c>
      <c r="L742" s="5">
        <v>81.16</v>
      </c>
      <c r="M742">
        <v>0.16</v>
      </c>
      <c r="N742" t="s">
        <v>1351</v>
      </c>
      <c r="O742" s="5">
        <v>136.34880000000001</v>
      </c>
    </row>
    <row r="743" spans="1:15">
      <c r="A743" t="s">
        <v>2092</v>
      </c>
      <c r="B743" s="7">
        <v>45372</v>
      </c>
      <c r="C743" t="s">
        <v>18</v>
      </c>
      <c r="D743" t="s">
        <v>1245</v>
      </c>
      <c r="E743" t="s">
        <v>1311</v>
      </c>
      <c r="F743" t="str">
        <f>[1]Raw_Customer_Dim!$A$2</f>
        <v>CUST1000</v>
      </c>
      <c r="G743" t="str">
        <f>_xlfn.XLOOKUP(E743,Store_Dim!A:A,Store_Dim!B:B,"Not Found")</f>
        <v>Moore, Padilla and Butler</v>
      </c>
      <c r="H743" t="str">
        <f>_xlfn.XLOOKUP(D743,Product_Dim!A:A,Product_Dim!C:C,"Not Found")</f>
        <v>Home</v>
      </c>
      <c r="I743" t="str">
        <f>_xlfn.XLOOKUP(E743,Store_Dim!A:A,Store_Dim!C:C,"Not Found")</f>
        <v>South</v>
      </c>
      <c r="J743" t="str">
        <f>_xlfn.XLOOKUP(C743,Customer_Dim!A:A,Customer_Dim!B:B,"Not Found")</f>
        <v>dr. Benjamin Price</v>
      </c>
      <c r="K743">
        <f>Table511[[#This Row],[Total_Amount]]/(L743*(1-Table511[[#This Row],[Discount]]))</f>
        <v>1</v>
      </c>
      <c r="L743" s="5">
        <v>431.69</v>
      </c>
      <c r="M743">
        <v>0.09</v>
      </c>
      <c r="N743" t="s">
        <v>1349</v>
      </c>
      <c r="O743" s="5">
        <v>392.83789999999999</v>
      </c>
    </row>
    <row r="744" spans="1:15">
      <c r="A744" t="s">
        <v>2093</v>
      </c>
      <c r="B744" s="7">
        <v>45648</v>
      </c>
      <c r="C744" t="s">
        <v>873</v>
      </c>
      <c r="D744" t="s">
        <v>1109</v>
      </c>
      <c r="E744" t="s">
        <v>1298</v>
      </c>
      <c r="F744" t="str">
        <f>[1]Raw_Customer_Dim!$A$2</f>
        <v>CUST1000</v>
      </c>
      <c r="G744" t="str">
        <f>_xlfn.XLOOKUP(E744,Store_Dim!A:A,Store_Dim!B:B,"Not Found")</f>
        <v>Gray Ltd</v>
      </c>
      <c r="H744" t="str">
        <f>_xlfn.XLOOKUP(D744,Product_Dim!A:A,Product_Dim!C:C,"Not Found")</f>
        <v>Clothing</v>
      </c>
      <c r="I744" t="str">
        <f>_xlfn.XLOOKUP(E744,Store_Dim!A:A,Store_Dim!C:C,"Not Found")</f>
        <v>North</v>
      </c>
      <c r="J744" t="str">
        <f>_xlfn.XLOOKUP(C744,Customer_Dim!A:A,Customer_Dim!B:B,"Not Found")</f>
        <v>Eric Wolfe</v>
      </c>
      <c r="K744">
        <f>Table511[[#This Row],[Total_Amount]]/(L744*(1-Table511[[#This Row],[Discount]]))</f>
        <v>3</v>
      </c>
      <c r="L744" s="5">
        <v>438.65</v>
      </c>
      <c r="M744">
        <v>0.28999999999999998</v>
      </c>
      <c r="N744" t="s">
        <v>1351</v>
      </c>
      <c r="O744" s="5">
        <v>934.32449999999983</v>
      </c>
    </row>
    <row r="745" spans="1:15">
      <c r="A745" t="s">
        <v>2094</v>
      </c>
      <c r="B745" s="7">
        <v>45384</v>
      </c>
      <c r="C745" t="s">
        <v>405</v>
      </c>
      <c r="D745" t="s">
        <v>1231</v>
      </c>
      <c r="E745" t="s">
        <v>1291</v>
      </c>
      <c r="F745" t="str">
        <f>[1]Raw_Customer_Dim!$A$2</f>
        <v>CUST1000</v>
      </c>
      <c r="G745" t="str">
        <f>_xlfn.XLOOKUP(E745,Store_Dim!A:A,Store_Dim!B:B,"Not Found")</f>
        <v>Johnson-Wright</v>
      </c>
      <c r="H745" t="str">
        <f>_xlfn.XLOOKUP(D745,Product_Dim!A:A,Product_Dim!C:C,"Not Found")</f>
        <v>Home</v>
      </c>
      <c r="I745" t="str">
        <f>_xlfn.XLOOKUP(E745,Store_Dim!A:A,Store_Dim!C:C,"Not Found")</f>
        <v>North</v>
      </c>
      <c r="J745" t="str">
        <f>_xlfn.XLOOKUP(C745,Customer_Dim!A:A,Customer_Dim!B:B,"Not Found")</f>
        <v>Thomas Rhodes</v>
      </c>
      <c r="K745">
        <f>Table511[[#This Row],[Total_Amount]]/(L745*(1-Table511[[#This Row],[Discount]]))</f>
        <v>2.9999999999999996</v>
      </c>
      <c r="L745" s="5">
        <v>339.41</v>
      </c>
      <c r="M745">
        <v>0.26</v>
      </c>
      <c r="N745" t="s">
        <v>1349</v>
      </c>
      <c r="O745" s="5">
        <v>753.49019999999996</v>
      </c>
    </row>
    <row r="746" spans="1:15">
      <c r="A746" t="s">
        <v>2095</v>
      </c>
      <c r="B746" s="7">
        <v>45687</v>
      </c>
      <c r="C746" t="s">
        <v>1002</v>
      </c>
      <c r="D746" t="s">
        <v>1231</v>
      </c>
      <c r="E746" t="s">
        <v>1311</v>
      </c>
      <c r="F746" t="str">
        <f>[1]Raw_Customer_Dim!$A$2</f>
        <v>CUST1000</v>
      </c>
      <c r="G746" t="str">
        <f>_xlfn.XLOOKUP(E746,Store_Dim!A:A,Store_Dim!B:B,"Not Found")</f>
        <v>Moore, Padilla and Butler</v>
      </c>
      <c r="H746" t="str">
        <f>_xlfn.XLOOKUP(D746,Product_Dim!A:A,Product_Dim!C:C,"Not Found")</f>
        <v>Home</v>
      </c>
      <c r="I746" t="str">
        <f>_xlfn.XLOOKUP(E746,Store_Dim!A:A,Store_Dim!C:C,"Not Found")</f>
        <v>South</v>
      </c>
      <c r="J746" t="str">
        <f>_xlfn.XLOOKUP(C746,Customer_Dim!A:A,Customer_Dim!B:B,"Not Found")</f>
        <v>Manuel Fisher</v>
      </c>
      <c r="K746">
        <f>Table511[[#This Row],[Total_Amount]]/(L746*(1-Table511[[#This Row],[Discount]]))</f>
        <v>3.9999999999999991</v>
      </c>
      <c r="L746" s="5">
        <v>848.47</v>
      </c>
      <c r="M746">
        <v>0.21</v>
      </c>
      <c r="N746" t="s">
        <v>1354</v>
      </c>
      <c r="O746" s="5">
        <v>2681.1651999999999</v>
      </c>
    </row>
    <row r="747" spans="1:15">
      <c r="A747" t="s">
        <v>2096</v>
      </c>
      <c r="B747" s="7">
        <v>45747</v>
      </c>
      <c r="C747" t="s">
        <v>446</v>
      </c>
      <c r="D747" t="s">
        <v>1207</v>
      </c>
      <c r="E747" t="s">
        <v>1307</v>
      </c>
      <c r="F747" t="str">
        <f>[1]Raw_Customer_Dim!$A$2</f>
        <v>CUST1000</v>
      </c>
      <c r="G747" t="str">
        <f>_xlfn.XLOOKUP(E747,Store_Dim!A:A,Store_Dim!B:B,"Not Found")</f>
        <v>Bean, Jones and Park</v>
      </c>
      <c r="H747" t="str">
        <f>_xlfn.XLOOKUP(D747,Product_Dim!A:A,Product_Dim!C:C,"Not Found")</f>
        <v>Electronics</v>
      </c>
      <c r="I747" t="str">
        <f>_xlfn.XLOOKUP(E747,Store_Dim!A:A,Store_Dim!C:C,"Not Found")</f>
        <v>West</v>
      </c>
      <c r="J747" t="str">
        <f>_xlfn.XLOOKUP(C747,Customer_Dim!A:A,Customer_Dim!B:B,"Not Found")</f>
        <v>Jacob Wood</v>
      </c>
      <c r="K747">
        <f>Table511[[#This Row],[Total_Amount]]/(L747*(1-Table511[[#This Row],[Discount]]))</f>
        <v>1</v>
      </c>
      <c r="L747" s="5">
        <v>664.87</v>
      </c>
      <c r="M747">
        <v>0.08</v>
      </c>
      <c r="N747" t="s">
        <v>1351</v>
      </c>
      <c r="O747" s="5">
        <v>611.68040000000008</v>
      </c>
    </row>
    <row r="748" spans="1:15">
      <c r="A748" t="s">
        <v>2097</v>
      </c>
      <c r="B748" s="7">
        <v>45687</v>
      </c>
      <c r="C748" t="s">
        <v>256</v>
      </c>
      <c r="D748" t="s">
        <v>1121</v>
      </c>
      <c r="E748" t="s">
        <v>1304</v>
      </c>
      <c r="F748" t="str">
        <f>[1]Raw_Customer_Dim!$A$2</f>
        <v>CUST1000</v>
      </c>
      <c r="G748" t="str">
        <f>_xlfn.XLOOKUP(E748,Store_Dim!A:A,Store_Dim!B:B,"Not Found")</f>
        <v>Martinez-Mullins</v>
      </c>
      <c r="H748" t="str">
        <f>_xlfn.XLOOKUP(D748,Product_Dim!A:A,Product_Dim!C:C,"Not Found")</f>
        <v>Sports</v>
      </c>
      <c r="I748" t="str">
        <f>_xlfn.XLOOKUP(E748,Store_Dim!A:A,Store_Dim!C:C,"Not Found")</f>
        <v>South</v>
      </c>
      <c r="J748" t="str">
        <f>_xlfn.XLOOKUP(C748,Customer_Dim!A:A,Customer_Dim!B:B,"Not Found")</f>
        <v>Sheila Wilson</v>
      </c>
      <c r="K748">
        <f>Table511[[#This Row],[Total_Amount]]/(L748*(1-Table511[[#This Row],[Discount]]))</f>
        <v>1</v>
      </c>
      <c r="L748" s="5">
        <v>412.11</v>
      </c>
      <c r="M748">
        <v>0.23</v>
      </c>
      <c r="N748" t="s">
        <v>1351</v>
      </c>
      <c r="O748" s="5">
        <v>317.32470000000001</v>
      </c>
    </row>
    <row r="749" spans="1:15">
      <c r="A749" t="s">
        <v>2098</v>
      </c>
      <c r="B749" s="7">
        <v>45916</v>
      </c>
      <c r="C749" t="s">
        <v>304</v>
      </c>
      <c r="D749" t="s">
        <v>1261</v>
      </c>
      <c r="E749" t="s">
        <v>1282</v>
      </c>
      <c r="F749" t="str">
        <f>[1]Raw_Customer_Dim!$A$2</f>
        <v>CUST1000</v>
      </c>
      <c r="G749" t="str">
        <f>_xlfn.XLOOKUP(E749,Store_Dim!A:A,Store_Dim!B:B,"Not Found")</f>
        <v>Martinez, Adkins and Johnson</v>
      </c>
      <c r="H749" t="str">
        <f>_xlfn.XLOOKUP(D749,Product_Dim!A:A,Product_Dim!C:C,"Not Found")</f>
        <v>Beauty</v>
      </c>
      <c r="I749" t="str">
        <f>_xlfn.XLOOKUP(E749,Store_Dim!A:A,Store_Dim!C:C,"Not Found")</f>
        <v>North</v>
      </c>
      <c r="J749" t="str">
        <f>_xlfn.XLOOKUP(C749,Customer_Dim!A:A,Customer_Dim!B:B,"Not Found")</f>
        <v>Michael Chang</v>
      </c>
      <c r="K749">
        <f>Table511[[#This Row],[Total_Amount]]/(L749*(1-Table511[[#This Row],[Discount]]))</f>
        <v>1</v>
      </c>
      <c r="L749" s="5">
        <v>126.09</v>
      </c>
      <c r="M749">
        <v>0.05</v>
      </c>
      <c r="N749" t="s">
        <v>1354</v>
      </c>
      <c r="O749" s="5">
        <v>119.7855</v>
      </c>
    </row>
    <row r="750" spans="1:15">
      <c r="A750" t="s">
        <v>2099</v>
      </c>
      <c r="B750" s="7">
        <v>45917</v>
      </c>
      <c r="C750" t="s">
        <v>458</v>
      </c>
      <c r="D750" t="s">
        <v>1207</v>
      </c>
      <c r="E750" t="s">
        <v>1314</v>
      </c>
      <c r="F750" t="str">
        <f>[1]Raw_Customer_Dim!$A$2</f>
        <v>CUST1000</v>
      </c>
      <c r="G750" t="str">
        <f>_xlfn.XLOOKUP(E750,Store_Dim!A:A,Store_Dim!B:B,"Not Found")</f>
        <v>Hill, Wagner and Ballard</v>
      </c>
      <c r="H750" t="str">
        <f>_xlfn.XLOOKUP(D750,Product_Dim!A:A,Product_Dim!C:C,"Not Found")</f>
        <v>Electronics</v>
      </c>
      <c r="I750" t="str">
        <f>_xlfn.XLOOKUP(E750,Store_Dim!A:A,Store_Dim!C:C,"Not Found")</f>
        <v>East</v>
      </c>
      <c r="J750" t="str">
        <f>_xlfn.XLOOKUP(C750,Customer_Dim!A:A,Customer_Dim!B:B,"Not Found")</f>
        <v>Wanda Snyder</v>
      </c>
      <c r="K750">
        <f>Table511[[#This Row],[Total_Amount]]/(L750*(1-Table511[[#This Row],[Discount]]))</f>
        <v>4</v>
      </c>
      <c r="L750" s="5">
        <v>602.39</v>
      </c>
      <c r="M750">
        <v>0.19</v>
      </c>
      <c r="N750" t="s">
        <v>1354</v>
      </c>
      <c r="O750" s="5">
        <v>1951.7436</v>
      </c>
    </row>
    <row r="751" spans="1:15">
      <c r="A751" t="s">
        <v>2100</v>
      </c>
      <c r="B751" s="7">
        <v>45941</v>
      </c>
      <c r="C751" t="s">
        <v>714</v>
      </c>
      <c r="D751" t="s">
        <v>1237</v>
      </c>
      <c r="E751" t="s">
        <v>1291</v>
      </c>
      <c r="F751" t="str">
        <f>[1]Raw_Customer_Dim!$A$2</f>
        <v>CUST1000</v>
      </c>
      <c r="G751" t="str">
        <f>_xlfn.XLOOKUP(E751,Store_Dim!A:A,Store_Dim!B:B,"Not Found")</f>
        <v>Johnson-Wright</v>
      </c>
      <c r="H751" t="str">
        <f>_xlfn.XLOOKUP(D751,Product_Dim!A:A,Product_Dim!C:C,"Not Found")</f>
        <v>Sports</v>
      </c>
      <c r="I751" t="str">
        <f>_xlfn.XLOOKUP(E751,Store_Dim!A:A,Store_Dim!C:C,"Not Found")</f>
        <v>North</v>
      </c>
      <c r="J751" t="str">
        <f>_xlfn.XLOOKUP(C751,Customer_Dim!A:A,Customer_Dim!B:B,"Not Found")</f>
        <v>Andrew Smith</v>
      </c>
      <c r="K751">
        <f>Table511[[#This Row],[Total_Amount]]/(L751*(1-Table511[[#This Row],[Discount]]))</f>
        <v>3</v>
      </c>
      <c r="L751" s="5">
        <v>447.69</v>
      </c>
      <c r="M751">
        <v>0.02</v>
      </c>
      <c r="N751" t="s">
        <v>1354</v>
      </c>
      <c r="O751" s="5">
        <v>1316.2085999999999</v>
      </c>
    </row>
    <row r="752" spans="1:15">
      <c r="A752" t="s">
        <v>2101</v>
      </c>
      <c r="B752" s="7">
        <v>45778</v>
      </c>
      <c r="C752" t="s">
        <v>559</v>
      </c>
      <c r="D752" t="s">
        <v>1141</v>
      </c>
      <c r="E752" t="s">
        <v>1291</v>
      </c>
      <c r="F752" t="str">
        <f>[1]Raw_Customer_Dim!$A$2</f>
        <v>CUST1000</v>
      </c>
      <c r="G752" t="str">
        <f>_xlfn.XLOOKUP(E752,Store_Dim!A:A,Store_Dim!B:B,"Not Found")</f>
        <v>Johnson-Wright</v>
      </c>
      <c r="H752" t="str">
        <f>_xlfn.XLOOKUP(D752,Product_Dim!A:A,Product_Dim!C:C,"Not Found")</f>
        <v>Electronics</v>
      </c>
      <c r="I752" t="str">
        <f>_xlfn.XLOOKUP(E752,Store_Dim!A:A,Store_Dim!C:C,"Not Found")</f>
        <v>North</v>
      </c>
      <c r="J752" t="str">
        <f>_xlfn.XLOOKUP(C752,Customer_Dim!A:A,Customer_Dim!B:B,"Not Found")</f>
        <v>Nicholas Webb</v>
      </c>
      <c r="K752">
        <f>Table511[[#This Row],[Total_Amount]]/(L752*(1-Table511[[#This Row],[Discount]]))</f>
        <v>3</v>
      </c>
      <c r="L752" s="5">
        <v>35.159999999999997</v>
      </c>
      <c r="M752">
        <v>0.04</v>
      </c>
      <c r="N752" t="s">
        <v>1354</v>
      </c>
      <c r="O752" s="5">
        <v>101.2608</v>
      </c>
    </row>
    <row r="753" spans="1:15">
      <c r="A753" t="s">
        <v>2102</v>
      </c>
      <c r="B753" s="7">
        <v>45740</v>
      </c>
      <c r="C753" t="s">
        <v>724</v>
      </c>
      <c r="D753" t="s">
        <v>1217</v>
      </c>
      <c r="E753" t="s">
        <v>1317</v>
      </c>
      <c r="F753" t="str">
        <f>[1]Raw_Customer_Dim!$A$2</f>
        <v>CUST1000</v>
      </c>
      <c r="G753" t="str">
        <f>_xlfn.XLOOKUP(E753,Store_Dim!A:A,Store_Dim!B:B,"Not Found")</f>
        <v>Aguirre-Keller</v>
      </c>
      <c r="H753" t="str">
        <f>_xlfn.XLOOKUP(D753,Product_Dim!A:A,Product_Dim!C:C,"Not Found")</f>
        <v>Sports</v>
      </c>
      <c r="I753" t="str">
        <f>_xlfn.XLOOKUP(E753,Store_Dim!A:A,Store_Dim!C:C,"Not Found")</f>
        <v>South</v>
      </c>
      <c r="J753" t="str">
        <f>_xlfn.XLOOKUP(C753,Customer_Dim!A:A,Customer_Dim!B:B,"Not Found")</f>
        <v>Pamela Mcguire</v>
      </c>
      <c r="K753">
        <f>Table511[[#This Row],[Total_Amount]]/(L753*(1-Table511[[#This Row],[Discount]]))</f>
        <v>2</v>
      </c>
      <c r="L753" s="5">
        <v>838.59</v>
      </c>
      <c r="M753">
        <v>0.18</v>
      </c>
      <c r="N753" t="s">
        <v>1354</v>
      </c>
      <c r="O753" s="5">
        <v>1375.2876000000001</v>
      </c>
    </row>
    <row r="754" spans="1:15">
      <c r="A754" t="s">
        <v>2103</v>
      </c>
      <c r="B754" s="7">
        <v>45598</v>
      </c>
      <c r="C754" t="s">
        <v>234</v>
      </c>
      <c r="D754" t="s">
        <v>1191</v>
      </c>
      <c r="E754" t="s">
        <v>1301</v>
      </c>
      <c r="F754" t="str">
        <f>[1]Raw_Customer_Dim!$A$2</f>
        <v>CUST1000</v>
      </c>
      <c r="G754" t="str">
        <f>_xlfn.XLOOKUP(E754,Store_Dim!A:A,Store_Dim!B:B,"Not Found")</f>
        <v>Benson-Elliott</v>
      </c>
      <c r="H754" t="str">
        <f>_xlfn.XLOOKUP(D754,Product_Dim!A:A,Product_Dim!C:C,"Not Found")</f>
        <v>Beauty</v>
      </c>
      <c r="I754" t="str">
        <f>_xlfn.XLOOKUP(E754,Store_Dim!A:A,Store_Dim!C:C,"Not Found")</f>
        <v>East</v>
      </c>
      <c r="J754" t="str">
        <f>_xlfn.XLOOKUP(C754,Customer_Dim!A:A,Customer_Dim!B:B,"Not Found")</f>
        <v>Jamie Yoder</v>
      </c>
      <c r="K754">
        <f>Table511[[#This Row],[Total_Amount]]/(L754*(1-Table511[[#This Row],[Discount]]))</f>
        <v>4</v>
      </c>
      <c r="L754" s="5">
        <v>867.94</v>
      </c>
      <c r="M754">
        <v>0.26</v>
      </c>
      <c r="N754" t="s">
        <v>1351</v>
      </c>
      <c r="O754" s="5">
        <v>2569.1024000000002</v>
      </c>
    </row>
    <row r="755" spans="1:15">
      <c r="A755" t="s">
        <v>2104</v>
      </c>
      <c r="B755" s="7">
        <v>45591</v>
      </c>
      <c r="C755" t="s">
        <v>454</v>
      </c>
      <c r="D755" t="s">
        <v>1151</v>
      </c>
      <c r="E755" t="s">
        <v>1332</v>
      </c>
      <c r="F755" t="str">
        <f>[1]Raw_Customer_Dim!$A$2</f>
        <v>CUST1000</v>
      </c>
      <c r="G755" t="str">
        <f>_xlfn.XLOOKUP(E755,Store_Dim!A:A,Store_Dim!B:B,"Not Found")</f>
        <v>Holloway Ltd</v>
      </c>
      <c r="H755" t="str">
        <f>_xlfn.XLOOKUP(D755,Product_Dim!A:A,Product_Dim!C:C,"Not Found")</f>
        <v>Electronics</v>
      </c>
      <c r="I755" t="str">
        <f>_xlfn.XLOOKUP(E755,Store_Dim!A:A,Store_Dim!C:C,"Not Found")</f>
        <v>North</v>
      </c>
      <c r="J755" t="str">
        <f>_xlfn.XLOOKUP(C755,Customer_Dim!A:A,Customer_Dim!B:B,"Not Found")</f>
        <v>Megan Greer</v>
      </c>
      <c r="K755">
        <f>Table511[[#This Row],[Total_Amount]]/(L755*(1-Table511[[#This Row],[Discount]]))</f>
        <v>1.0000000000000002</v>
      </c>
      <c r="L755" s="5">
        <v>623.88</v>
      </c>
      <c r="M755">
        <v>0.25</v>
      </c>
      <c r="N755" t="s">
        <v>1349</v>
      </c>
      <c r="O755" s="5">
        <v>467.91</v>
      </c>
    </row>
    <row r="756" spans="1:15">
      <c r="A756" t="s">
        <v>2105</v>
      </c>
      <c r="B756" s="7">
        <v>45546</v>
      </c>
      <c r="C756" t="s">
        <v>415</v>
      </c>
      <c r="D756" t="s">
        <v>1157</v>
      </c>
      <c r="E756" t="s">
        <v>1324</v>
      </c>
      <c r="F756" t="str">
        <f>[1]Raw_Customer_Dim!$A$2</f>
        <v>CUST1000</v>
      </c>
      <c r="G756" t="str">
        <f>_xlfn.XLOOKUP(E756,Store_Dim!A:A,Store_Dim!B:B,"Not Found")</f>
        <v>Mcdonald Inc</v>
      </c>
      <c r="H756" t="str">
        <f>_xlfn.XLOOKUP(D756,Product_Dim!A:A,Product_Dim!C:C,"Not Found")</f>
        <v>Electronics</v>
      </c>
      <c r="I756" t="str">
        <f>_xlfn.XLOOKUP(E756,Store_Dim!A:A,Store_Dim!C:C,"Not Found")</f>
        <v>South</v>
      </c>
      <c r="J756" t="str">
        <f>_xlfn.XLOOKUP(C756,Customer_Dim!A:A,Customer_Dim!B:B,"Not Found")</f>
        <v>Curtis Lam</v>
      </c>
      <c r="K756">
        <f>Table511[[#This Row],[Total_Amount]]/(L756*(1-Table511[[#This Row],[Discount]]))</f>
        <v>2</v>
      </c>
      <c r="L756" s="5">
        <v>567.95000000000005</v>
      </c>
      <c r="M756">
        <v>0.12</v>
      </c>
      <c r="N756" t="s">
        <v>1351</v>
      </c>
      <c r="O756" s="5">
        <v>999.5920000000001</v>
      </c>
    </row>
    <row r="757" spans="1:15">
      <c r="A757" t="s">
        <v>2106</v>
      </c>
      <c r="B757" s="7">
        <v>45483</v>
      </c>
      <c r="C757" t="s">
        <v>710</v>
      </c>
      <c r="D757" t="s">
        <v>1135</v>
      </c>
      <c r="E757" t="s">
        <v>1335</v>
      </c>
      <c r="F757" t="str">
        <f>[1]Raw_Customer_Dim!$A$2</f>
        <v>CUST1000</v>
      </c>
      <c r="G757" t="str">
        <f>_xlfn.XLOOKUP(E757,Store_Dim!A:A,Store_Dim!B:B,"Not Found")</f>
        <v>Guerrero-Schmitt</v>
      </c>
      <c r="H757" t="str">
        <f>_xlfn.XLOOKUP(D757,Product_Dim!A:A,Product_Dim!C:C,"Not Found")</f>
        <v>Sports</v>
      </c>
      <c r="I757" t="str">
        <f>_xlfn.XLOOKUP(E757,Store_Dim!A:A,Store_Dim!C:C,"Not Found")</f>
        <v>East</v>
      </c>
      <c r="J757" t="str">
        <f>_xlfn.XLOOKUP(C757,Customer_Dim!A:A,Customer_Dim!B:B,"Not Found")</f>
        <v>Kristy Dunlap</v>
      </c>
      <c r="K757">
        <f>Table511[[#This Row],[Total_Amount]]/(L757*(1-Table511[[#This Row],[Discount]]))</f>
        <v>1.9999999999999996</v>
      </c>
      <c r="L757" s="5">
        <v>671.69</v>
      </c>
      <c r="M757">
        <v>0.19</v>
      </c>
      <c r="N757" t="s">
        <v>1349</v>
      </c>
      <c r="O757" s="5">
        <v>1088.1378</v>
      </c>
    </row>
    <row r="758" spans="1:15">
      <c r="A758" t="s">
        <v>2107</v>
      </c>
      <c r="B758" s="7">
        <v>45786</v>
      </c>
      <c r="C758" t="s">
        <v>474</v>
      </c>
      <c r="D758" t="s">
        <v>1082</v>
      </c>
      <c r="E758" t="s">
        <v>1304</v>
      </c>
      <c r="F758" t="str">
        <f>[1]Raw_Customer_Dim!$A$2</f>
        <v>CUST1000</v>
      </c>
      <c r="G758" t="str">
        <f>_xlfn.XLOOKUP(E758,Store_Dim!A:A,Store_Dim!B:B,"Not Found")</f>
        <v>Martinez-Mullins</v>
      </c>
      <c r="H758" t="str">
        <f>_xlfn.XLOOKUP(D758,Product_Dim!A:A,Product_Dim!C:C,"Not Found")</f>
        <v>Beauty</v>
      </c>
      <c r="I758" t="str">
        <f>_xlfn.XLOOKUP(E758,Store_Dim!A:A,Store_Dim!C:C,"Not Found")</f>
        <v>South</v>
      </c>
      <c r="J758" t="str">
        <f>_xlfn.XLOOKUP(C758,Customer_Dim!A:A,Customer_Dim!B:B,"Not Found")</f>
        <v>Ronald Jones</v>
      </c>
      <c r="K758">
        <f>Table511[[#This Row],[Total_Amount]]/(L758*(1-Table511[[#This Row],[Discount]]))</f>
        <v>2</v>
      </c>
      <c r="L758" s="5">
        <v>257.95999999999998</v>
      </c>
      <c r="M758">
        <v>0.21</v>
      </c>
      <c r="N758" t="s">
        <v>1351</v>
      </c>
      <c r="O758" s="5">
        <v>407.57679999999999</v>
      </c>
    </row>
    <row r="759" spans="1:15">
      <c r="A759" t="s">
        <v>2108</v>
      </c>
      <c r="B759" s="7">
        <v>45475</v>
      </c>
      <c r="C759" t="s">
        <v>470</v>
      </c>
      <c r="D759" t="s">
        <v>1269</v>
      </c>
      <c r="E759" t="s">
        <v>1338</v>
      </c>
      <c r="F759" t="str">
        <f>[1]Raw_Customer_Dim!$A$2</f>
        <v>CUST1000</v>
      </c>
      <c r="G759" t="str">
        <f>_xlfn.XLOOKUP(E759,Store_Dim!A:A,Store_Dim!B:B,"Not Found")</f>
        <v>Mann-Austin</v>
      </c>
      <c r="H759" t="str">
        <f>_xlfn.XLOOKUP(D759,Product_Dim!A:A,Product_Dim!C:C,"Not Found")</f>
        <v>Electronics</v>
      </c>
      <c r="I759" t="str">
        <f>_xlfn.XLOOKUP(E759,Store_Dim!A:A,Store_Dim!C:C,"Not Found")</f>
        <v>East</v>
      </c>
      <c r="J759" t="str">
        <f>_xlfn.XLOOKUP(C759,Customer_Dim!A:A,Customer_Dim!B:B,"Not Found")</f>
        <v>Tiffany Herrera</v>
      </c>
      <c r="K759">
        <f>Table511[[#This Row],[Total_Amount]]/(L759*(1-Table511[[#This Row],[Discount]]))</f>
        <v>4</v>
      </c>
      <c r="L759" s="5">
        <v>281.48</v>
      </c>
      <c r="M759">
        <v>0.27</v>
      </c>
      <c r="N759" t="s">
        <v>1351</v>
      </c>
      <c r="O759" s="5">
        <v>821.92160000000001</v>
      </c>
    </row>
    <row r="760" spans="1:15">
      <c r="A760" t="s">
        <v>2109</v>
      </c>
      <c r="B760" s="7">
        <v>45470</v>
      </c>
      <c r="C760" t="s">
        <v>696</v>
      </c>
      <c r="D760" t="s">
        <v>1113</v>
      </c>
      <c r="E760" t="s">
        <v>1317</v>
      </c>
      <c r="F760" t="str">
        <f>[1]Raw_Customer_Dim!$A$2</f>
        <v>CUST1000</v>
      </c>
      <c r="G760" t="str">
        <f>_xlfn.XLOOKUP(E760,Store_Dim!A:A,Store_Dim!B:B,"Not Found")</f>
        <v>Aguirre-Keller</v>
      </c>
      <c r="H760" t="str">
        <f>_xlfn.XLOOKUP(D760,Product_Dim!A:A,Product_Dim!C:C,"Not Found")</f>
        <v>Sports</v>
      </c>
      <c r="I760" t="str">
        <f>_xlfn.XLOOKUP(E760,Store_Dim!A:A,Store_Dim!C:C,"Not Found")</f>
        <v>South</v>
      </c>
      <c r="J760" t="str">
        <f>_xlfn.XLOOKUP(C760,Customer_Dim!A:A,Customer_Dim!B:B,"Not Found")</f>
        <v>Robert House</v>
      </c>
      <c r="K760">
        <f>Table511[[#This Row],[Total_Amount]]/(L760*(1-Table511[[#This Row],[Discount]]))</f>
        <v>1.0000000000000002</v>
      </c>
      <c r="L760" s="5">
        <v>202.13</v>
      </c>
      <c r="M760">
        <v>0.13</v>
      </c>
      <c r="N760" t="s">
        <v>1354</v>
      </c>
      <c r="O760" s="5">
        <v>175.85310000000001</v>
      </c>
    </row>
    <row r="761" spans="1:15">
      <c r="A761" t="s">
        <v>2110</v>
      </c>
      <c r="B761" s="7">
        <v>45243</v>
      </c>
      <c r="C761" t="s">
        <v>606</v>
      </c>
      <c r="D761" t="s">
        <v>1221</v>
      </c>
      <c r="E761" t="s">
        <v>1298</v>
      </c>
      <c r="F761" t="str">
        <f>[1]Raw_Customer_Dim!$A$2</f>
        <v>CUST1000</v>
      </c>
      <c r="G761" t="str">
        <f>_xlfn.XLOOKUP(E761,Store_Dim!A:A,Store_Dim!B:B,"Not Found")</f>
        <v>Gray Ltd</v>
      </c>
      <c r="H761" t="str">
        <f>_xlfn.XLOOKUP(D761,Product_Dim!A:A,Product_Dim!C:C,"Not Found")</f>
        <v>Electronics</v>
      </c>
      <c r="I761" t="str">
        <f>_xlfn.XLOOKUP(E761,Store_Dim!A:A,Store_Dim!C:C,"Not Found")</f>
        <v>North</v>
      </c>
      <c r="J761" t="str">
        <f>_xlfn.XLOOKUP(C761,Customer_Dim!A:A,Customer_Dim!B:B,"Not Found")</f>
        <v>Daisy Johnson DDS</v>
      </c>
      <c r="K761">
        <f>Table511[[#This Row],[Total_Amount]]/(L761*(1-Table511[[#This Row],[Discount]]))</f>
        <v>0.99999999999999989</v>
      </c>
      <c r="L761" s="5">
        <v>370.66</v>
      </c>
      <c r="M761">
        <v>0.01</v>
      </c>
      <c r="N761" t="s">
        <v>1351</v>
      </c>
      <c r="O761" s="5">
        <v>366.95339999999999</v>
      </c>
    </row>
    <row r="762" spans="1:15">
      <c r="A762" t="s">
        <v>2111</v>
      </c>
      <c r="B762" s="7">
        <v>45341</v>
      </c>
      <c r="C762" t="s">
        <v>27</v>
      </c>
      <c r="D762" t="s">
        <v>1195</v>
      </c>
      <c r="E762" t="s">
        <v>1319</v>
      </c>
      <c r="F762" t="str">
        <f>[1]Raw_Customer_Dim!$A$2</f>
        <v>CUST1000</v>
      </c>
      <c r="G762" t="str">
        <f>_xlfn.XLOOKUP(E762,Store_Dim!A:A,Store_Dim!B:B,"Not Found")</f>
        <v>Thomas, Bridges and Harris</v>
      </c>
      <c r="H762" t="str">
        <f>_xlfn.XLOOKUP(D762,Product_Dim!A:A,Product_Dim!C:C,"Not Found")</f>
        <v>Sports</v>
      </c>
      <c r="I762" t="str">
        <f>_xlfn.XLOOKUP(E762,Store_Dim!A:A,Store_Dim!C:C,"Not Found")</f>
        <v>North</v>
      </c>
      <c r="J762" t="str">
        <f>_xlfn.XLOOKUP(C762,Customer_Dim!A:A,Customer_Dim!B:B,"Not Found")</f>
        <v>Christine Vaughn</v>
      </c>
      <c r="K762">
        <f>Table511[[#This Row],[Total_Amount]]/(L762*(1-Table511[[#This Row],[Discount]]))</f>
        <v>4</v>
      </c>
      <c r="L762" s="5">
        <v>731.53</v>
      </c>
      <c r="M762">
        <v>0.12</v>
      </c>
      <c r="N762" t="s">
        <v>1349</v>
      </c>
      <c r="O762" s="5">
        <v>2574.9856</v>
      </c>
    </row>
    <row r="763" spans="1:15">
      <c r="A763" t="s">
        <v>2112</v>
      </c>
      <c r="B763" s="7">
        <v>45371</v>
      </c>
      <c r="C763" t="s">
        <v>391</v>
      </c>
      <c r="D763" t="s">
        <v>1229</v>
      </c>
      <c r="E763" t="s">
        <v>1282</v>
      </c>
      <c r="F763" t="str">
        <f>[1]Raw_Customer_Dim!$A$2</f>
        <v>CUST1000</v>
      </c>
      <c r="G763" t="str">
        <f>_xlfn.XLOOKUP(E763,Store_Dim!A:A,Store_Dim!B:B,"Not Found")</f>
        <v>Martinez, Adkins and Johnson</v>
      </c>
      <c r="H763" t="str">
        <f>_xlfn.XLOOKUP(D763,Product_Dim!A:A,Product_Dim!C:C,"Not Found")</f>
        <v>Home</v>
      </c>
      <c r="I763" t="str">
        <f>_xlfn.XLOOKUP(E763,Store_Dim!A:A,Store_Dim!C:C,"Not Found")</f>
        <v>North</v>
      </c>
      <c r="J763" t="str">
        <f>_xlfn.XLOOKUP(C763,Customer_Dim!A:A,Customer_Dim!B:B,"Not Found")</f>
        <v>Jason Wheeler</v>
      </c>
      <c r="K763">
        <f>Table511[[#This Row],[Total_Amount]]/(L763*(1-Table511[[#This Row],[Discount]]))</f>
        <v>3.0000000000000004</v>
      </c>
      <c r="L763" s="5">
        <v>468.25</v>
      </c>
      <c r="M763">
        <v>7.0000000000000007E-2</v>
      </c>
      <c r="N763" t="s">
        <v>1351</v>
      </c>
      <c r="O763" s="5">
        <v>1306.4175</v>
      </c>
    </row>
    <row r="764" spans="1:15">
      <c r="A764" t="s">
        <v>2113</v>
      </c>
      <c r="B764" s="7">
        <v>45360</v>
      </c>
      <c r="C764" t="s">
        <v>13</v>
      </c>
      <c r="D764" t="s">
        <v>1207</v>
      </c>
      <c r="E764" t="s">
        <v>1277</v>
      </c>
      <c r="F764" t="str">
        <f>[1]Raw_Customer_Dim!$A$2</f>
        <v>CUST1000</v>
      </c>
      <c r="G764" t="str">
        <f>_xlfn.XLOOKUP(E764,Store_Dim!A:A,Store_Dim!B:B,"Not Found")</f>
        <v>Rivera-Warner</v>
      </c>
      <c r="H764" t="str">
        <f>_xlfn.XLOOKUP(D764,Product_Dim!A:A,Product_Dim!C:C,"Not Found")</f>
        <v>Electronics</v>
      </c>
      <c r="I764" t="str">
        <f>_xlfn.XLOOKUP(E764,Store_Dim!A:A,Store_Dim!C:C,"Not Found")</f>
        <v>East</v>
      </c>
      <c r="J764" t="str">
        <f>_xlfn.XLOOKUP(C764,Customer_Dim!A:A,Customer_Dim!B:B,"Not Found")</f>
        <v>Eugene Nelson</v>
      </c>
      <c r="K764">
        <f>Table511[[#This Row],[Total_Amount]]/(L764*(1-Table511[[#This Row],[Discount]]))</f>
        <v>1</v>
      </c>
      <c r="L764" s="5">
        <v>928.72</v>
      </c>
      <c r="M764">
        <v>0.1</v>
      </c>
      <c r="N764" t="s">
        <v>1354</v>
      </c>
      <c r="O764" s="5">
        <v>835.84800000000007</v>
      </c>
    </row>
    <row r="765" spans="1:15">
      <c r="A765" t="s">
        <v>2114</v>
      </c>
      <c r="B765" s="7">
        <v>45499</v>
      </c>
      <c r="C765" t="s">
        <v>261</v>
      </c>
      <c r="D765" t="s">
        <v>1078</v>
      </c>
      <c r="E765" t="s">
        <v>1335</v>
      </c>
      <c r="F765" t="str">
        <f>[1]Raw_Customer_Dim!$A$2</f>
        <v>CUST1000</v>
      </c>
      <c r="G765" t="str">
        <f>_xlfn.XLOOKUP(E765,Store_Dim!A:A,Store_Dim!B:B,"Not Found")</f>
        <v>Guerrero-Schmitt</v>
      </c>
      <c r="H765" t="str">
        <f>_xlfn.XLOOKUP(D765,Product_Dim!A:A,Product_Dim!C:C,"Not Found")</f>
        <v>Clothing</v>
      </c>
      <c r="I765" t="str">
        <f>_xlfn.XLOOKUP(E765,Store_Dim!A:A,Store_Dim!C:C,"Not Found")</f>
        <v>East</v>
      </c>
      <c r="J765" t="str">
        <f>_xlfn.XLOOKUP(C765,Customer_Dim!A:A,Customer_Dim!B:B,"Not Found")</f>
        <v>Colleen Maynard</v>
      </c>
      <c r="K765">
        <f>Table511[[#This Row],[Total_Amount]]/(L765*(1-Table511[[#This Row],[Discount]]))</f>
        <v>3</v>
      </c>
      <c r="L765" s="5">
        <v>217.22</v>
      </c>
      <c r="M765">
        <v>0.06</v>
      </c>
      <c r="N765" t="s">
        <v>1351</v>
      </c>
      <c r="O765" s="5">
        <v>612.56039999999996</v>
      </c>
    </row>
    <row r="766" spans="1:15">
      <c r="A766" t="s">
        <v>2115</v>
      </c>
      <c r="B766" s="7">
        <v>45745</v>
      </c>
      <c r="C766" t="s">
        <v>873</v>
      </c>
      <c r="D766" t="s">
        <v>1121</v>
      </c>
      <c r="E766" t="s">
        <v>1291</v>
      </c>
      <c r="F766" t="str">
        <f>[1]Raw_Customer_Dim!$A$2</f>
        <v>CUST1000</v>
      </c>
      <c r="G766" t="str">
        <f>_xlfn.XLOOKUP(E766,Store_Dim!A:A,Store_Dim!B:B,"Not Found")</f>
        <v>Johnson-Wright</v>
      </c>
      <c r="H766" t="str">
        <f>_xlfn.XLOOKUP(D766,Product_Dim!A:A,Product_Dim!C:C,"Not Found")</f>
        <v>Sports</v>
      </c>
      <c r="I766" t="str">
        <f>_xlfn.XLOOKUP(E766,Store_Dim!A:A,Store_Dim!C:C,"Not Found")</f>
        <v>North</v>
      </c>
      <c r="J766" t="str">
        <f>_xlfn.XLOOKUP(C766,Customer_Dim!A:A,Customer_Dim!B:B,"Not Found")</f>
        <v>Eric Wolfe</v>
      </c>
      <c r="K766">
        <f>Table511[[#This Row],[Total_Amount]]/(L766*(1-Table511[[#This Row],[Discount]]))</f>
        <v>1.0000000000000002</v>
      </c>
      <c r="L766" s="5">
        <v>387.99</v>
      </c>
      <c r="M766">
        <v>0.3</v>
      </c>
      <c r="N766" t="s">
        <v>1349</v>
      </c>
      <c r="O766" s="5">
        <v>271.59300000000002</v>
      </c>
    </row>
    <row r="767" spans="1:15">
      <c r="A767" t="s">
        <v>2116</v>
      </c>
      <c r="B767" s="7">
        <v>45718</v>
      </c>
      <c r="C767" t="s">
        <v>1014</v>
      </c>
      <c r="D767" t="s">
        <v>1109</v>
      </c>
      <c r="E767" t="s">
        <v>1301</v>
      </c>
      <c r="F767" t="str">
        <f>[1]Raw_Customer_Dim!$A$2</f>
        <v>CUST1000</v>
      </c>
      <c r="G767" t="str">
        <f>_xlfn.XLOOKUP(E767,Store_Dim!A:A,Store_Dim!B:B,"Not Found")</f>
        <v>Benson-Elliott</v>
      </c>
      <c r="H767" t="str">
        <f>_xlfn.XLOOKUP(D767,Product_Dim!A:A,Product_Dim!C:C,"Not Found")</f>
        <v>Clothing</v>
      </c>
      <c r="I767" t="str">
        <f>_xlfn.XLOOKUP(E767,Store_Dim!A:A,Store_Dim!C:C,"Not Found")</f>
        <v>East</v>
      </c>
      <c r="J767" t="str">
        <f>_xlfn.XLOOKUP(C767,Customer_Dim!A:A,Customer_Dim!B:B,"Not Found")</f>
        <v>Elizabeth Foster</v>
      </c>
      <c r="K767">
        <f>Table511[[#This Row],[Total_Amount]]/(L767*(1-Table511[[#This Row],[Discount]]))</f>
        <v>4</v>
      </c>
      <c r="L767" s="5">
        <v>186.24</v>
      </c>
      <c r="M767">
        <v>0.23</v>
      </c>
      <c r="N767" t="s">
        <v>1349</v>
      </c>
      <c r="O767" s="5">
        <v>573.61920000000009</v>
      </c>
    </row>
    <row r="768" spans="1:15">
      <c r="A768" t="s">
        <v>2117</v>
      </c>
      <c r="B768" s="7">
        <v>45454</v>
      </c>
      <c r="C768" t="s">
        <v>656</v>
      </c>
      <c r="D768" t="s">
        <v>1153</v>
      </c>
      <c r="E768" t="s">
        <v>1307</v>
      </c>
      <c r="F768" t="str">
        <f>[1]Raw_Customer_Dim!$A$2</f>
        <v>CUST1000</v>
      </c>
      <c r="G768" t="str">
        <f>_xlfn.XLOOKUP(E768,Store_Dim!A:A,Store_Dim!B:B,"Not Found")</f>
        <v>Bean, Jones and Park</v>
      </c>
      <c r="H768" t="str">
        <f>_xlfn.XLOOKUP(D768,Product_Dim!A:A,Product_Dim!C:C,"Not Found")</f>
        <v>Electronics</v>
      </c>
      <c r="I768" t="str">
        <f>_xlfn.XLOOKUP(E768,Store_Dim!A:A,Store_Dim!C:C,"Not Found")</f>
        <v>West</v>
      </c>
      <c r="J768" t="str">
        <f>_xlfn.XLOOKUP(C768,Customer_Dim!A:A,Customer_Dim!B:B,"Not Found")</f>
        <v>Jared Moran</v>
      </c>
      <c r="K768">
        <f>Table511[[#This Row],[Total_Amount]]/(L768*(1-Table511[[#This Row],[Discount]]))</f>
        <v>4</v>
      </c>
      <c r="L768" s="5">
        <v>609.05999999999995</v>
      </c>
      <c r="M768">
        <v>0.22</v>
      </c>
      <c r="N768" t="s">
        <v>1354</v>
      </c>
      <c r="O768" s="5">
        <v>1900.2672</v>
      </c>
    </row>
    <row r="769" spans="1:15">
      <c r="A769" t="s">
        <v>2118</v>
      </c>
      <c r="B769" s="7">
        <v>45434</v>
      </c>
      <c r="C769" t="s">
        <v>937</v>
      </c>
      <c r="D769" t="s">
        <v>1139</v>
      </c>
      <c r="E769" t="s">
        <v>1317</v>
      </c>
      <c r="F769" t="str">
        <f>[1]Raw_Customer_Dim!$A$2</f>
        <v>CUST1000</v>
      </c>
      <c r="G769" t="str">
        <f>_xlfn.XLOOKUP(E769,Store_Dim!A:A,Store_Dim!B:B,"Not Found")</f>
        <v>Aguirre-Keller</v>
      </c>
      <c r="H769" t="str">
        <f>_xlfn.XLOOKUP(D769,Product_Dim!A:A,Product_Dim!C:C,"Not Found")</f>
        <v>Home</v>
      </c>
      <c r="I769" t="str">
        <f>_xlfn.XLOOKUP(E769,Store_Dim!A:A,Store_Dim!C:C,"Not Found")</f>
        <v>South</v>
      </c>
      <c r="J769" t="str">
        <f>_xlfn.XLOOKUP(C769,Customer_Dim!A:A,Customer_Dim!B:B,"Not Found")</f>
        <v>Melinda Rivera</v>
      </c>
      <c r="K769">
        <f>Table511[[#This Row],[Total_Amount]]/(L769*(1-Table511[[#This Row],[Discount]]))</f>
        <v>1</v>
      </c>
      <c r="L769" s="5">
        <v>827.91</v>
      </c>
      <c r="M769">
        <v>0.21</v>
      </c>
      <c r="N769" t="s">
        <v>1351</v>
      </c>
      <c r="O769" s="5">
        <v>654.0489</v>
      </c>
    </row>
    <row r="770" spans="1:15">
      <c r="A770" t="s">
        <v>2119</v>
      </c>
      <c r="B770" s="7">
        <v>45486</v>
      </c>
      <c r="C770" t="s">
        <v>413</v>
      </c>
      <c r="D770" t="s">
        <v>1239</v>
      </c>
      <c r="E770" t="s">
        <v>1277</v>
      </c>
      <c r="F770" t="str">
        <f>[1]Raw_Customer_Dim!$A$2</f>
        <v>CUST1000</v>
      </c>
      <c r="G770" t="str">
        <f>_xlfn.XLOOKUP(E770,Store_Dim!A:A,Store_Dim!B:B,"Not Found")</f>
        <v>Rivera-Warner</v>
      </c>
      <c r="H770" t="str">
        <f>_xlfn.XLOOKUP(D770,Product_Dim!A:A,Product_Dim!C:C,"Not Found")</f>
        <v>Beauty</v>
      </c>
      <c r="I770" t="str">
        <f>_xlfn.XLOOKUP(E770,Store_Dim!A:A,Store_Dim!C:C,"Not Found")</f>
        <v>East</v>
      </c>
      <c r="J770" t="str">
        <f>_xlfn.XLOOKUP(C770,Customer_Dim!A:A,Customer_Dim!B:B,"Not Found")</f>
        <v>John Bradford</v>
      </c>
      <c r="K770">
        <f>Table511[[#This Row],[Total_Amount]]/(L770*(1-Table511[[#This Row],[Discount]]))</f>
        <v>1</v>
      </c>
      <c r="L770" s="5">
        <v>303.79000000000002</v>
      </c>
      <c r="M770">
        <v>0.24</v>
      </c>
      <c r="N770" t="s">
        <v>1351</v>
      </c>
      <c r="O770" s="5">
        <v>230.88040000000001</v>
      </c>
    </row>
    <row r="771" spans="1:15">
      <c r="A771" t="s">
        <v>2120</v>
      </c>
      <c r="B771" s="7">
        <v>45902</v>
      </c>
      <c r="C771" t="s">
        <v>267</v>
      </c>
      <c r="D771" t="s">
        <v>1147</v>
      </c>
      <c r="E771" t="s">
        <v>1301</v>
      </c>
      <c r="F771" t="str">
        <f>[1]Raw_Customer_Dim!$A$2</f>
        <v>CUST1000</v>
      </c>
      <c r="G771" t="str">
        <f>_xlfn.XLOOKUP(E771,Store_Dim!A:A,Store_Dim!B:B,"Not Found")</f>
        <v>Benson-Elliott</v>
      </c>
      <c r="H771" t="str">
        <f>_xlfn.XLOOKUP(D771,Product_Dim!A:A,Product_Dim!C:C,"Not Found")</f>
        <v>Clothing</v>
      </c>
      <c r="I771" t="str">
        <f>_xlfn.XLOOKUP(E771,Store_Dim!A:A,Store_Dim!C:C,"Not Found")</f>
        <v>East</v>
      </c>
      <c r="J771" t="str">
        <f>_xlfn.XLOOKUP(C771,Customer_Dim!A:A,Customer_Dim!B:B,"Not Found")</f>
        <v>Christopher Lester</v>
      </c>
      <c r="K771">
        <f>Table511[[#This Row],[Total_Amount]]/(L771*(1-Table511[[#This Row],[Discount]]))</f>
        <v>2</v>
      </c>
      <c r="L771" s="5">
        <v>365.91</v>
      </c>
      <c r="M771">
        <v>0.14000000000000001</v>
      </c>
      <c r="N771" t="s">
        <v>1354</v>
      </c>
      <c r="O771" s="5">
        <v>629.36520000000007</v>
      </c>
    </row>
    <row r="772" spans="1:15">
      <c r="A772" t="s">
        <v>2121</v>
      </c>
      <c r="B772" s="7">
        <v>45762</v>
      </c>
      <c r="C772" t="s">
        <v>188</v>
      </c>
      <c r="D772" t="s">
        <v>1123</v>
      </c>
      <c r="E772" t="s">
        <v>1332</v>
      </c>
      <c r="F772" t="str">
        <f>[1]Raw_Customer_Dim!$A$2</f>
        <v>CUST1000</v>
      </c>
      <c r="G772" t="str">
        <f>_xlfn.XLOOKUP(E772,Store_Dim!A:A,Store_Dim!B:B,"Not Found")</f>
        <v>Holloway Ltd</v>
      </c>
      <c r="H772" t="str">
        <f>_xlfn.XLOOKUP(D772,Product_Dim!A:A,Product_Dim!C:C,"Not Found")</f>
        <v>Clothing</v>
      </c>
      <c r="I772" t="str">
        <f>_xlfn.XLOOKUP(E772,Store_Dim!A:A,Store_Dim!C:C,"Not Found")</f>
        <v>North</v>
      </c>
      <c r="J772" t="str">
        <f>_xlfn.XLOOKUP(C772,Customer_Dim!A:A,Customer_Dim!B:B,"Not Found")</f>
        <v>Roy Cole</v>
      </c>
      <c r="K772">
        <f>Table511[[#This Row],[Total_Amount]]/(L772*(1-Table511[[#This Row],[Discount]]))</f>
        <v>3</v>
      </c>
      <c r="L772" s="5">
        <v>852.72</v>
      </c>
      <c r="M772">
        <v>0.16</v>
      </c>
      <c r="N772" t="s">
        <v>1349</v>
      </c>
      <c r="O772" s="5">
        <v>2148.8544000000002</v>
      </c>
    </row>
    <row r="773" spans="1:15">
      <c r="A773" t="s">
        <v>2122</v>
      </c>
      <c r="B773" s="7">
        <v>45752</v>
      </c>
      <c r="C773" t="s">
        <v>557</v>
      </c>
      <c r="D773" t="s">
        <v>1093</v>
      </c>
      <c r="E773" t="s">
        <v>1294</v>
      </c>
      <c r="F773" t="str">
        <f>[1]Raw_Customer_Dim!$A$2</f>
        <v>CUST1000</v>
      </c>
      <c r="G773" t="str">
        <f>_xlfn.XLOOKUP(E773,Store_Dim!A:A,Store_Dim!B:B,"Not Found")</f>
        <v>Alexander Group</v>
      </c>
      <c r="H773" t="str">
        <f>_xlfn.XLOOKUP(D773,Product_Dim!A:A,Product_Dim!C:C,"Not Found")</f>
        <v>Home</v>
      </c>
      <c r="I773" t="str">
        <f>_xlfn.XLOOKUP(E773,Store_Dim!A:A,Store_Dim!C:C,"Not Found")</f>
        <v>South</v>
      </c>
      <c r="J773" t="str">
        <f>_xlfn.XLOOKUP(C773,Customer_Dim!A:A,Customer_Dim!B:B,"Not Found")</f>
        <v>Douglas Rhodes</v>
      </c>
      <c r="K773">
        <f>Table511[[#This Row],[Total_Amount]]/(L773*(1-Table511[[#This Row],[Discount]]))</f>
        <v>1</v>
      </c>
      <c r="L773" s="5">
        <v>768.25</v>
      </c>
      <c r="M773">
        <v>0.18</v>
      </c>
      <c r="N773" t="s">
        <v>1349</v>
      </c>
      <c r="O773" s="5">
        <v>629.96500000000003</v>
      </c>
    </row>
    <row r="774" spans="1:15">
      <c r="A774" t="s">
        <v>2123</v>
      </c>
      <c r="B774" s="7">
        <v>45254</v>
      </c>
      <c r="C774" t="s">
        <v>764</v>
      </c>
      <c r="D774" t="s">
        <v>1257</v>
      </c>
      <c r="E774" t="s">
        <v>1338</v>
      </c>
      <c r="F774" t="str">
        <f>[1]Raw_Customer_Dim!$A$2</f>
        <v>CUST1000</v>
      </c>
      <c r="G774" t="str">
        <f>_xlfn.XLOOKUP(E774,Store_Dim!A:A,Store_Dim!B:B,"Not Found")</f>
        <v>Mann-Austin</v>
      </c>
      <c r="H774" t="str">
        <f>_xlfn.XLOOKUP(D774,Product_Dim!A:A,Product_Dim!C:C,"Not Found")</f>
        <v>Home</v>
      </c>
      <c r="I774" t="str">
        <f>_xlfn.XLOOKUP(E774,Store_Dim!A:A,Store_Dim!C:C,"Not Found")</f>
        <v>East</v>
      </c>
      <c r="J774" t="str">
        <f>_xlfn.XLOOKUP(C774,Customer_Dim!A:A,Customer_Dim!B:B,"Not Found")</f>
        <v>Charles Miller</v>
      </c>
      <c r="K774">
        <f>Table511[[#This Row],[Total_Amount]]/(L774*(1-Table511[[#This Row],[Discount]]))</f>
        <v>2</v>
      </c>
      <c r="L774" s="5">
        <v>318.62</v>
      </c>
      <c r="M774">
        <v>0.02</v>
      </c>
      <c r="N774" t="s">
        <v>1354</v>
      </c>
      <c r="O774" s="5">
        <v>624.49519999999995</v>
      </c>
    </row>
    <row r="775" spans="1:15">
      <c r="A775" t="s">
        <v>2124</v>
      </c>
      <c r="B775" s="7">
        <v>45683</v>
      </c>
      <c r="C775" t="s">
        <v>140</v>
      </c>
      <c r="D775" t="s">
        <v>1225</v>
      </c>
      <c r="E775" t="s">
        <v>1286</v>
      </c>
      <c r="F775" t="str">
        <f>[1]Raw_Customer_Dim!$A$2</f>
        <v>CUST1000</v>
      </c>
      <c r="G775" t="str">
        <f>_xlfn.XLOOKUP(E775,Store_Dim!A:A,Store_Dim!B:B,"Not Found")</f>
        <v>Black-Horn</v>
      </c>
      <c r="H775" t="str">
        <f>_xlfn.XLOOKUP(D775,Product_Dim!A:A,Product_Dim!C:C,"Not Found")</f>
        <v>Electronics</v>
      </c>
      <c r="I775" t="str">
        <f>_xlfn.XLOOKUP(E775,Store_Dim!A:A,Store_Dim!C:C,"Not Found")</f>
        <v>South</v>
      </c>
      <c r="J775" t="str">
        <f>_xlfn.XLOOKUP(C775,Customer_Dim!A:A,Customer_Dim!B:B,"Not Found")</f>
        <v>Timothy Weaver</v>
      </c>
      <c r="K775">
        <f>Table511[[#This Row],[Total_Amount]]/(L775*(1-Table511[[#This Row],[Discount]]))</f>
        <v>4</v>
      </c>
      <c r="L775" s="5">
        <v>402.11</v>
      </c>
      <c r="M775">
        <v>0.14000000000000001</v>
      </c>
      <c r="N775" t="s">
        <v>1351</v>
      </c>
      <c r="O775" s="5">
        <v>1383.2583999999999</v>
      </c>
    </row>
    <row r="776" spans="1:15">
      <c r="A776" t="s">
        <v>2125</v>
      </c>
      <c r="B776" s="7">
        <v>45804</v>
      </c>
      <c r="C776" t="s">
        <v>879</v>
      </c>
      <c r="D776" t="s">
        <v>1241</v>
      </c>
      <c r="E776" t="s">
        <v>1332</v>
      </c>
      <c r="F776" t="str">
        <f>[1]Raw_Customer_Dim!$A$2</f>
        <v>CUST1000</v>
      </c>
      <c r="G776" t="str">
        <f>_xlfn.XLOOKUP(E776,Store_Dim!A:A,Store_Dim!B:B,"Not Found")</f>
        <v>Holloway Ltd</v>
      </c>
      <c r="H776" t="str">
        <f>_xlfn.XLOOKUP(D776,Product_Dim!A:A,Product_Dim!C:C,"Not Found")</f>
        <v>Home</v>
      </c>
      <c r="I776" t="str">
        <f>_xlfn.XLOOKUP(E776,Store_Dim!A:A,Store_Dim!C:C,"Not Found")</f>
        <v>North</v>
      </c>
      <c r="J776" t="str">
        <f>_xlfn.XLOOKUP(C776,Customer_Dim!A:A,Customer_Dim!B:B,"Not Found")</f>
        <v>Isabel Foster</v>
      </c>
      <c r="K776">
        <f>Table511[[#This Row],[Total_Amount]]/(L776*(1-Table511[[#This Row],[Discount]]))</f>
        <v>3</v>
      </c>
      <c r="L776" s="5">
        <v>846.31</v>
      </c>
      <c r="M776">
        <v>0.18</v>
      </c>
      <c r="N776" t="s">
        <v>1354</v>
      </c>
      <c r="O776" s="5">
        <v>2081.9225999999999</v>
      </c>
    </row>
    <row r="777" spans="1:15">
      <c r="A777" t="s">
        <v>2126</v>
      </c>
      <c r="B777" s="7">
        <v>45821</v>
      </c>
      <c r="C777" t="s">
        <v>397</v>
      </c>
      <c r="D777" t="s">
        <v>1261</v>
      </c>
      <c r="E777" t="s">
        <v>1324</v>
      </c>
      <c r="F777" t="str">
        <f>[1]Raw_Customer_Dim!$A$2</f>
        <v>CUST1000</v>
      </c>
      <c r="G777" t="str">
        <f>_xlfn.XLOOKUP(E777,Store_Dim!A:A,Store_Dim!B:B,"Not Found")</f>
        <v>Mcdonald Inc</v>
      </c>
      <c r="H777" t="str">
        <f>_xlfn.XLOOKUP(D777,Product_Dim!A:A,Product_Dim!C:C,"Not Found")</f>
        <v>Beauty</v>
      </c>
      <c r="I777" t="str">
        <f>_xlfn.XLOOKUP(E777,Store_Dim!A:A,Store_Dim!C:C,"Not Found")</f>
        <v>South</v>
      </c>
      <c r="J777" t="str">
        <f>_xlfn.XLOOKUP(C777,Customer_Dim!A:A,Customer_Dim!B:B,"Not Found")</f>
        <v>Daniel Contreras</v>
      </c>
      <c r="K777">
        <f>Table511[[#This Row],[Total_Amount]]/(L777*(1-Table511[[#This Row],[Discount]]))</f>
        <v>1</v>
      </c>
      <c r="L777" s="5">
        <v>269.94</v>
      </c>
      <c r="M777">
        <v>7.0000000000000007E-2</v>
      </c>
      <c r="N777" t="s">
        <v>1354</v>
      </c>
      <c r="O777" s="5">
        <v>251.04419999999999</v>
      </c>
    </row>
    <row r="778" spans="1:15">
      <c r="A778" t="s">
        <v>2127</v>
      </c>
      <c r="B778" s="7">
        <v>45472</v>
      </c>
      <c r="C778" t="s">
        <v>545</v>
      </c>
      <c r="D778" t="s">
        <v>1113</v>
      </c>
      <c r="E778" t="s">
        <v>1294</v>
      </c>
      <c r="F778" t="str">
        <f>[1]Raw_Customer_Dim!$A$2</f>
        <v>CUST1000</v>
      </c>
      <c r="G778" t="str">
        <f>_xlfn.XLOOKUP(E778,Store_Dim!A:A,Store_Dim!B:B,"Not Found")</f>
        <v>Alexander Group</v>
      </c>
      <c r="H778" t="str">
        <f>_xlfn.XLOOKUP(D778,Product_Dim!A:A,Product_Dim!C:C,"Not Found")</f>
        <v>Sports</v>
      </c>
      <c r="I778" t="str">
        <f>_xlfn.XLOOKUP(E778,Store_Dim!A:A,Store_Dim!C:C,"Not Found")</f>
        <v>South</v>
      </c>
      <c r="J778" t="str">
        <f>_xlfn.XLOOKUP(C778,Customer_Dim!A:A,Customer_Dim!B:B,"Not Found")</f>
        <v>Mr. William Horton</v>
      </c>
      <c r="K778">
        <f>Table511[[#This Row],[Total_Amount]]/(L778*(1-Table511[[#This Row],[Discount]]))</f>
        <v>3</v>
      </c>
      <c r="L778" s="5">
        <v>909.25</v>
      </c>
      <c r="M778">
        <v>0.28999999999999998</v>
      </c>
      <c r="N778" t="s">
        <v>1354</v>
      </c>
      <c r="O778" s="5">
        <v>1936.7025000000001</v>
      </c>
    </row>
    <row r="779" spans="1:15">
      <c r="A779" t="s">
        <v>2128</v>
      </c>
      <c r="B779" s="7">
        <v>45331</v>
      </c>
      <c r="C779" t="s">
        <v>789</v>
      </c>
      <c r="D779" t="s">
        <v>1255</v>
      </c>
      <c r="E779" t="s">
        <v>1319</v>
      </c>
      <c r="F779" t="str">
        <f>[1]Raw_Customer_Dim!$A$2</f>
        <v>CUST1000</v>
      </c>
      <c r="G779" t="str">
        <f>_xlfn.XLOOKUP(E779,Store_Dim!A:A,Store_Dim!B:B,"Not Found")</f>
        <v>Thomas, Bridges and Harris</v>
      </c>
      <c r="H779" t="str">
        <f>_xlfn.XLOOKUP(D779,Product_Dim!A:A,Product_Dim!C:C,"Not Found")</f>
        <v>Clothing</v>
      </c>
      <c r="I779" t="str">
        <f>_xlfn.XLOOKUP(E779,Store_Dim!A:A,Store_Dim!C:C,"Not Found")</f>
        <v>North</v>
      </c>
      <c r="J779" t="str">
        <f>_xlfn.XLOOKUP(C779,Customer_Dim!A:A,Customer_Dim!B:B,"Not Found")</f>
        <v>Elizabeth Smith</v>
      </c>
      <c r="K779">
        <f>Table511[[#This Row],[Total_Amount]]/(L779*(1-Table511[[#This Row],[Discount]]))</f>
        <v>2</v>
      </c>
      <c r="L779" s="5">
        <v>229.81</v>
      </c>
      <c r="M779">
        <v>0.21</v>
      </c>
      <c r="N779" t="s">
        <v>1354</v>
      </c>
      <c r="O779" s="5">
        <v>363.09980000000002</v>
      </c>
    </row>
    <row r="780" spans="1:15">
      <c r="A780" t="s">
        <v>2129</v>
      </c>
      <c r="B780" s="7">
        <v>45451</v>
      </c>
      <c r="C780" t="s">
        <v>111</v>
      </c>
      <c r="D780" t="s">
        <v>1229</v>
      </c>
      <c r="E780" t="s">
        <v>1326</v>
      </c>
      <c r="F780" t="str">
        <f>[1]Raw_Customer_Dim!$A$2</f>
        <v>CUST1000</v>
      </c>
      <c r="G780" t="str">
        <f>_xlfn.XLOOKUP(E780,Store_Dim!A:A,Store_Dim!B:B,"Not Found")</f>
        <v>Shelton PLC</v>
      </c>
      <c r="H780" t="str">
        <f>_xlfn.XLOOKUP(D780,Product_Dim!A:A,Product_Dim!C:C,"Not Found")</f>
        <v>Home</v>
      </c>
      <c r="I780" t="str">
        <f>_xlfn.XLOOKUP(E780,Store_Dim!A:A,Store_Dim!C:C,"Not Found")</f>
        <v>North</v>
      </c>
      <c r="J780" t="str">
        <f>_xlfn.XLOOKUP(C780,Customer_Dim!A:A,Customer_Dim!B:B,"Not Found")</f>
        <v>Christopher Carter</v>
      </c>
      <c r="K780">
        <f>Table511[[#This Row],[Total_Amount]]/(L780*(1-Table511[[#This Row],[Discount]]))</f>
        <v>3.0000000000000004</v>
      </c>
      <c r="L780" s="5">
        <v>442.36</v>
      </c>
      <c r="M780">
        <v>0.06</v>
      </c>
      <c r="N780" t="s">
        <v>1351</v>
      </c>
      <c r="O780" s="5">
        <v>1247.4552000000001</v>
      </c>
    </row>
    <row r="781" spans="1:15">
      <c r="A781" t="s">
        <v>2130</v>
      </c>
      <c r="B781" s="7">
        <v>45386</v>
      </c>
      <c r="C781" t="s">
        <v>541</v>
      </c>
      <c r="D781" t="s">
        <v>1245</v>
      </c>
      <c r="E781" t="s">
        <v>1291</v>
      </c>
      <c r="F781" t="str">
        <f>[1]Raw_Customer_Dim!$A$2</f>
        <v>CUST1000</v>
      </c>
      <c r="G781" t="str">
        <f>_xlfn.XLOOKUP(E781,Store_Dim!A:A,Store_Dim!B:B,"Not Found")</f>
        <v>Johnson-Wright</v>
      </c>
      <c r="H781" t="str">
        <f>_xlfn.XLOOKUP(D781,Product_Dim!A:A,Product_Dim!C:C,"Not Found")</f>
        <v>Home</v>
      </c>
      <c r="I781" t="str">
        <f>_xlfn.XLOOKUP(E781,Store_Dim!A:A,Store_Dim!C:C,"Not Found")</f>
        <v>North</v>
      </c>
      <c r="J781" t="str">
        <f>_xlfn.XLOOKUP(C781,Customer_Dim!A:A,Customer_Dim!B:B,"Not Found")</f>
        <v>Maria Hill</v>
      </c>
      <c r="K781">
        <f>Table511[[#This Row],[Total_Amount]]/(L781*(1-Table511[[#This Row],[Discount]]))</f>
        <v>3</v>
      </c>
      <c r="L781" s="5">
        <v>413.74</v>
      </c>
      <c r="M781">
        <v>0.01</v>
      </c>
      <c r="N781" t="s">
        <v>1349</v>
      </c>
      <c r="O781" s="5">
        <v>1228.8078</v>
      </c>
    </row>
    <row r="782" spans="1:15">
      <c r="A782" t="s">
        <v>2131</v>
      </c>
      <c r="B782" s="7">
        <v>45477</v>
      </c>
      <c r="C782" t="s">
        <v>1053</v>
      </c>
      <c r="D782" t="s">
        <v>1251</v>
      </c>
      <c r="E782" t="s">
        <v>1324</v>
      </c>
      <c r="F782" t="str">
        <f>[1]Raw_Customer_Dim!$A$2</f>
        <v>CUST1000</v>
      </c>
      <c r="G782" t="str">
        <f>_xlfn.XLOOKUP(E782,Store_Dim!A:A,Store_Dim!B:B,"Not Found")</f>
        <v>Mcdonald Inc</v>
      </c>
      <c r="H782" t="str">
        <f>_xlfn.XLOOKUP(D782,Product_Dim!A:A,Product_Dim!C:C,"Not Found")</f>
        <v>Beauty</v>
      </c>
      <c r="I782" t="str">
        <f>_xlfn.XLOOKUP(E782,Store_Dim!A:A,Store_Dim!C:C,"Not Found")</f>
        <v>South</v>
      </c>
      <c r="J782" t="str">
        <f>_xlfn.XLOOKUP(C782,Customer_Dim!A:A,Customer_Dim!B:B,"Not Found")</f>
        <v>Christopher Ford</v>
      </c>
      <c r="K782">
        <f>Table511[[#This Row],[Total_Amount]]/(L782*(1-Table511[[#This Row],[Discount]]))</f>
        <v>3.9999999999999991</v>
      </c>
      <c r="L782" s="5">
        <v>79.75</v>
      </c>
      <c r="M782">
        <v>0.18</v>
      </c>
      <c r="N782" t="s">
        <v>1351</v>
      </c>
      <c r="O782" s="5">
        <v>261.58</v>
      </c>
    </row>
    <row r="783" spans="1:15">
      <c r="A783" t="s">
        <v>2132</v>
      </c>
      <c r="B783" s="7">
        <v>45433</v>
      </c>
      <c r="C783" t="s">
        <v>1051</v>
      </c>
      <c r="D783" t="s">
        <v>1153</v>
      </c>
      <c r="E783" t="s">
        <v>1319</v>
      </c>
      <c r="F783" t="str">
        <f>[1]Raw_Customer_Dim!$A$2</f>
        <v>CUST1000</v>
      </c>
      <c r="G783" t="str">
        <f>_xlfn.XLOOKUP(E783,Store_Dim!A:A,Store_Dim!B:B,"Not Found")</f>
        <v>Thomas, Bridges and Harris</v>
      </c>
      <c r="H783" t="str">
        <f>_xlfn.XLOOKUP(D783,Product_Dim!A:A,Product_Dim!C:C,"Not Found")</f>
        <v>Electronics</v>
      </c>
      <c r="I783" t="str">
        <f>_xlfn.XLOOKUP(E783,Store_Dim!A:A,Store_Dim!C:C,"Not Found")</f>
        <v>North</v>
      </c>
      <c r="J783" t="str">
        <f>_xlfn.XLOOKUP(C783,Customer_Dim!A:A,Customer_Dim!B:B,"Not Found")</f>
        <v>James Berger</v>
      </c>
      <c r="K783">
        <f>Table511[[#This Row],[Total_Amount]]/(L783*(1-Table511[[#This Row],[Discount]]))</f>
        <v>4</v>
      </c>
      <c r="L783" s="5">
        <v>95.06</v>
      </c>
      <c r="M783">
        <v>0.03</v>
      </c>
      <c r="N783" t="s">
        <v>1349</v>
      </c>
      <c r="O783" s="5">
        <v>368.83280000000002</v>
      </c>
    </row>
    <row r="784" spans="1:15">
      <c r="A784" t="s">
        <v>2133</v>
      </c>
      <c r="B784" s="7">
        <v>45759</v>
      </c>
      <c r="C784" t="s">
        <v>895</v>
      </c>
      <c r="D784" t="s">
        <v>1269</v>
      </c>
      <c r="E784" t="s">
        <v>1304</v>
      </c>
      <c r="F784" t="str">
        <f>[1]Raw_Customer_Dim!$A$2</f>
        <v>CUST1000</v>
      </c>
      <c r="G784" t="str">
        <f>_xlfn.XLOOKUP(E784,Store_Dim!A:A,Store_Dim!B:B,"Not Found")</f>
        <v>Martinez-Mullins</v>
      </c>
      <c r="H784" t="str">
        <f>_xlfn.XLOOKUP(D784,Product_Dim!A:A,Product_Dim!C:C,"Not Found")</f>
        <v>Electronics</v>
      </c>
      <c r="I784" t="str">
        <f>_xlfn.XLOOKUP(E784,Store_Dim!A:A,Store_Dim!C:C,"Not Found")</f>
        <v>South</v>
      </c>
      <c r="J784" t="str">
        <f>_xlfn.XLOOKUP(C784,Customer_Dim!A:A,Customer_Dim!B:B,"Not Found")</f>
        <v>Jennifer Myers</v>
      </c>
      <c r="K784">
        <f>Table511[[#This Row],[Total_Amount]]/(L784*(1-Table511[[#This Row],[Discount]]))</f>
        <v>4.0000000000000009</v>
      </c>
      <c r="L784" s="5">
        <v>107.08</v>
      </c>
      <c r="M784">
        <v>0.27</v>
      </c>
      <c r="N784" t="s">
        <v>1354</v>
      </c>
      <c r="O784" s="5">
        <v>312.67360000000002</v>
      </c>
    </row>
    <row r="785" spans="1:15">
      <c r="A785" t="s">
        <v>2134</v>
      </c>
      <c r="B785" s="7">
        <v>45794</v>
      </c>
      <c r="C785" t="s">
        <v>1010</v>
      </c>
      <c r="D785" t="s">
        <v>1271</v>
      </c>
      <c r="E785" t="s">
        <v>1335</v>
      </c>
      <c r="F785" t="str">
        <f>[1]Raw_Customer_Dim!$A$2</f>
        <v>CUST1000</v>
      </c>
      <c r="G785" t="str">
        <f>_xlfn.XLOOKUP(E785,Store_Dim!A:A,Store_Dim!B:B,"Not Found")</f>
        <v>Guerrero-Schmitt</v>
      </c>
      <c r="H785" t="str">
        <f>_xlfn.XLOOKUP(D785,Product_Dim!A:A,Product_Dim!C:C,"Not Found")</f>
        <v>Home</v>
      </c>
      <c r="I785" t="str">
        <f>_xlfn.XLOOKUP(E785,Store_Dim!A:A,Store_Dim!C:C,"Not Found")</f>
        <v>East</v>
      </c>
      <c r="J785" t="str">
        <f>_xlfn.XLOOKUP(C785,Customer_Dim!A:A,Customer_Dim!B:B,"Not Found")</f>
        <v>Joshua Howard</v>
      </c>
      <c r="K785">
        <f>Table511[[#This Row],[Total_Amount]]/(L785*(1-Table511[[#This Row],[Discount]]))</f>
        <v>1</v>
      </c>
      <c r="L785" s="5">
        <v>873.18</v>
      </c>
      <c r="M785">
        <v>0.03</v>
      </c>
      <c r="N785" t="s">
        <v>1354</v>
      </c>
      <c r="O785" s="5">
        <v>846.98459999999989</v>
      </c>
    </row>
    <row r="786" spans="1:15">
      <c r="A786" t="s">
        <v>2135</v>
      </c>
      <c r="B786" s="7">
        <v>45764</v>
      </c>
      <c r="C786" t="s">
        <v>817</v>
      </c>
      <c r="D786" t="s">
        <v>1213</v>
      </c>
      <c r="E786" t="s">
        <v>1335</v>
      </c>
      <c r="F786" t="str">
        <f>[1]Raw_Customer_Dim!$A$2</f>
        <v>CUST1000</v>
      </c>
      <c r="G786" t="str">
        <f>_xlfn.XLOOKUP(E786,Store_Dim!A:A,Store_Dim!B:B,"Not Found")</f>
        <v>Guerrero-Schmitt</v>
      </c>
      <c r="H786" t="str">
        <f>_xlfn.XLOOKUP(D786,Product_Dim!A:A,Product_Dim!C:C,"Not Found")</f>
        <v>Home</v>
      </c>
      <c r="I786" t="str">
        <f>_xlfn.XLOOKUP(E786,Store_Dim!A:A,Store_Dim!C:C,"Not Found")</f>
        <v>East</v>
      </c>
      <c r="J786" t="str">
        <f>_xlfn.XLOOKUP(C786,Customer_Dim!A:A,Customer_Dim!B:B,"Not Found")</f>
        <v>Charles Conley</v>
      </c>
      <c r="K786">
        <f>Table511[[#This Row],[Total_Amount]]/(L786*(1-Table511[[#This Row],[Discount]]))</f>
        <v>1</v>
      </c>
      <c r="L786" s="5">
        <v>914.75</v>
      </c>
      <c r="M786">
        <v>0.1</v>
      </c>
      <c r="N786" t="s">
        <v>1354</v>
      </c>
      <c r="O786" s="5">
        <v>823.27499999999998</v>
      </c>
    </row>
    <row r="787" spans="1:15">
      <c r="A787" t="s">
        <v>2136</v>
      </c>
      <c r="B787" s="7">
        <v>45279</v>
      </c>
      <c r="C787" t="s">
        <v>140</v>
      </c>
      <c r="D787" t="s">
        <v>1219</v>
      </c>
      <c r="E787" t="s">
        <v>1322</v>
      </c>
      <c r="F787" t="str">
        <f>[1]Raw_Customer_Dim!$A$2</f>
        <v>CUST1000</v>
      </c>
      <c r="G787" t="str">
        <f>_xlfn.XLOOKUP(E787,Store_Dim!A:A,Store_Dim!B:B,"Not Found")</f>
        <v>Gardner, Humphrey and Contreras</v>
      </c>
      <c r="H787" t="str">
        <f>_xlfn.XLOOKUP(D787,Product_Dim!A:A,Product_Dim!C:C,"Not Found")</f>
        <v>Sports</v>
      </c>
      <c r="I787" t="str">
        <f>_xlfn.XLOOKUP(E787,Store_Dim!A:A,Store_Dim!C:C,"Not Found")</f>
        <v>East</v>
      </c>
      <c r="J787" t="str">
        <f>_xlfn.XLOOKUP(C787,Customer_Dim!A:A,Customer_Dim!B:B,"Not Found")</f>
        <v>Timothy Weaver</v>
      </c>
      <c r="K787">
        <f>Table511[[#This Row],[Total_Amount]]/(L787*(1-Table511[[#This Row],[Discount]]))</f>
        <v>4</v>
      </c>
      <c r="L787" s="5">
        <v>457.33</v>
      </c>
      <c r="M787">
        <v>0.1</v>
      </c>
      <c r="N787" t="s">
        <v>1349</v>
      </c>
      <c r="O787" s="5">
        <v>1646.3879999999999</v>
      </c>
    </row>
    <row r="788" spans="1:15">
      <c r="A788" t="s">
        <v>2137</v>
      </c>
      <c r="B788" s="7">
        <v>45602</v>
      </c>
      <c r="C788" t="s">
        <v>648</v>
      </c>
      <c r="D788" t="s">
        <v>1271</v>
      </c>
      <c r="E788" t="s">
        <v>1291</v>
      </c>
      <c r="F788" t="str">
        <f>[1]Raw_Customer_Dim!$A$2</f>
        <v>CUST1000</v>
      </c>
      <c r="G788" t="str">
        <f>_xlfn.XLOOKUP(E788,Store_Dim!A:A,Store_Dim!B:B,"Not Found")</f>
        <v>Johnson-Wright</v>
      </c>
      <c r="H788" t="str">
        <f>_xlfn.XLOOKUP(D788,Product_Dim!A:A,Product_Dim!C:C,"Not Found")</f>
        <v>Home</v>
      </c>
      <c r="I788" t="str">
        <f>_xlfn.XLOOKUP(E788,Store_Dim!A:A,Store_Dim!C:C,"Not Found")</f>
        <v>North</v>
      </c>
      <c r="J788" t="str">
        <f>_xlfn.XLOOKUP(C788,Customer_Dim!A:A,Customer_Dim!B:B,"Not Found")</f>
        <v>Ricardo Jones</v>
      </c>
      <c r="K788">
        <f>Table511[[#This Row],[Total_Amount]]/(L788*(1-Table511[[#This Row],[Discount]]))</f>
        <v>3</v>
      </c>
      <c r="L788" s="5">
        <v>761.88</v>
      </c>
      <c r="M788">
        <v>0.23</v>
      </c>
      <c r="N788" t="s">
        <v>1351</v>
      </c>
      <c r="O788" s="5">
        <v>1759.9428</v>
      </c>
    </row>
    <row r="789" spans="1:15">
      <c r="A789" t="s">
        <v>2138</v>
      </c>
      <c r="B789" s="7">
        <v>45793</v>
      </c>
      <c r="C789" t="s">
        <v>415</v>
      </c>
      <c r="D789" t="s">
        <v>1147</v>
      </c>
      <c r="E789" t="s">
        <v>1338</v>
      </c>
      <c r="F789" t="str">
        <f>[1]Raw_Customer_Dim!$A$2</f>
        <v>CUST1000</v>
      </c>
      <c r="G789" t="str">
        <f>_xlfn.XLOOKUP(E789,Store_Dim!A:A,Store_Dim!B:B,"Not Found")</f>
        <v>Mann-Austin</v>
      </c>
      <c r="H789" t="str">
        <f>_xlfn.XLOOKUP(D789,Product_Dim!A:A,Product_Dim!C:C,"Not Found")</f>
        <v>Clothing</v>
      </c>
      <c r="I789" t="str">
        <f>_xlfn.XLOOKUP(E789,Store_Dim!A:A,Store_Dim!C:C,"Not Found")</f>
        <v>East</v>
      </c>
      <c r="J789" t="str">
        <f>_xlfn.XLOOKUP(C789,Customer_Dim!A:A,Customer_Dim!B:B,"Not Found")</f>
        <v>Curtis Lam</v>
      </c>
      <c r="K789">
        <f>Table511[[#This Row],[Total_Amount]]/(L789*(1-Table511[[#This Row],[Discount]]))</f>
        <v>4</v>
      </c>
      <c r="L789" s="5">
        <v>122.87</v>
      </c>
      <c r="M789">
        <v>0.13</v>
      </c>
      <c r="N789" t="s">
        <v>1349</v>
      </c>
      <c r="O789" s="5">
        <v>427.58760000000001</v>
      </c>
    </row>
    <row r="790" spans="1:15">
      <c r="A790" t="s">
        <v>2139</v>
      </c>
      <c r="B790" s="7">
        <v>45778</v>
      </c>
      <c r="C790" t="s">
        <v>1012</v>
      </c>
      <c r="D790" t="s">
        <v>1219</v>
      </c>
      <c r="E790" t="s">
        <v>1294</v>
      </c>
      <c r="F790" t="str">
        <f>[1]Raw_Customer_Dim!$A$2</f>
        <v>CUST1000</v>
      </c>
      <c r="G790" t="str">
        <f>_xlfn.XLOOKUP(E790,Store_Dim!A:A,Store_Dim!B:B,"Not Found")</f>
        <v>Alexander Group</v>
      </c>
      <c r="H790" t="str">
        <f>_xlfn.XLOOKUP(D790,Product_Dim!A:A,Product_Dim!C:C,"Not Found")</f>
        <v>Sports</v>
      </c>
      <c r="I790" t="str">
        <f>_xlfn.XLOOKUP(E790,Store_Dim!A:A,Store_Dim!C:C,"Not Found")</f>
        <v>South</v>
      </c>
      <c r="J790" t="str">
        <f>_xlfn.XLOOKUP(C790,Customer_Dim!A:A,Customer_Dim!B:B,"Not Found")</f>
        <v>Barbara Berry</v>
      </c>
      <c r="K790">
        <f>Table511[[#This Row],[Total_Amount]]/(L790*(1-Table511[[#This Row],[Discount]]))</f>
        <v>4</v>
      </c>
      <c r="L790" s="5">
        <v>753</v>
      </c>
      <c r="M790">
        <v>0.28000000000000003</v>
      </c>
      <c r="N790" t="s">
        <v>1354</v>
      </c>
      <c r="O790" s="5">
        <v>2168.64</v>
      </c>
    </row>
    <row r="791" spans="1:15">
      <c r="A791" t="s">
        <v>2140</v>
      </c>
      <c r="B791" s="7">
        <v>45325</v>
      </c>
      <c r="C791" t="s">
        <v>803</v>
      </c>
      <c r="D791" t="s">
        <v>1080</v>
      </c>
      <c r="E791" t="s">
        <v>1298</v>
      </c>
      <c r="F791" t="str">
        <f>[1]Raw_Customer_Dim!$A$2</f>
        <v>CUST1000</v>
      </c>
      <c r="G791" t="str">
        <f>_xlfn.XLOOKUP(E791,Store_Dim!A:A,Store_Dim!B:B,"Not Found")</f>
        <v>Gray Ltd</v>
      </c>
      <c r="H791" t="str">
        <f>_xlfn.XLOOKUP(D791,Product_Dim!A:A,Product_Dim!C:C,"Not Found")</f>
        <v>Clothing</v>
      </c>
      <c r="I791" t="str">
        <f>_xlfn.XLOOKUP(E791,Store_Dim!A:A,Store_Dim!C:C,"Not Found")</f>
        <v>North</v>
      </c>
      <c r="J791" t="str">
        <f>_xlfn.XLOOKUP(C791,Customer_Dim!A:A,Customer_Dim!B:B,"Not Found")</f>
        <v>James Holloway Jr.</v>
      </c>
      <c r="K791">
        <f>Table511[[#This Row],[Total_Amount]]/(L791*(1-Table511[[#This Row],[Discount]]))</f>
        <v>2</v>
      </c>
      <c r="L791" s="5">
        <v>788.05</v>
      </c>
      <c r="M791">
        <v>0.21</v>
      </c>
      <c r="N791" t="s">
        <v>1349</v>
      </c>
      <c r="O791" s="5">
        <v>1245.1189999999999</v>
      </c>
    </row>
    <row r="792" spans="1:15">
      <c r="A792" t="s">
        <v>2141</v>
      </c>
      <c r="B792" s="7">
        <v>45875</v>
      </c>
      <c r="C792" t="s">
        <v>986</v>
      </c>
      <c r="D792" t="s">
        <v>1237</v>
      </c>
      <c r="E792" t="s">
        <v>1314</v>
      </c>
      <c r="F792" t="str">
        <f>[1]Raw_Customer_Dim!$A$2</f>
        <v>CUST1000</v>
      </c>
      <c r="G792" t="str">
        <f>_xlfn.XLOOKUP(E792,Store_Dim!A:A,Store_Dim!B:B,"Not Found")</f>
        <v>Hill, Wagner and Ballard</v>
      </c>
      <c r="H792" t="str">
        <f>_xlfn.XLOOKUP(D792,Product_Dim!A:A,Product_Dim!C:C,"Not Found")</f>
        <v>Sports</v>
      </c>
      <c r="I792" t="str">
        <f>_xlfn.XLOOKUP(E792,Store_Dim!A:A,Store_Dim!C:C,"Not Found")</f>
        <v>East</v>
      </c>
      <c r="J792" t="str">
        <f>_xlfn.XLOOKUP(C792,Customer_Dim!A:A,Customer_Dim!B:B,"Not Found")</f>
        <v>Beth Martin</v>
      </c>
      <c r="K792">
        <f>Table511[[#This Row],[Total_Amount]]/(L792*(1-Table511[[#This Row],[Discount]]))</f>
        <v>2.0000000000000004</v>
      </c>
      <c r="L792" s="5">
        <v>807.1</v>
      </c>
      <c r="M792">
        <v>0.28999999999999998</v>
      </c>
      <c r="N792" t="s">
        <v>1349</v>
      </c>
      <c r="O792" s="5">
        <v>1146.0820000000001</v>
      </c>
    </row>
    <row r="793" spans="1:15">
      <c r="A793" t="s">
        <v>2142</v>
      </c>
      <c r="B793" s="7">
        <v>45320</v>
      </c>
      <c r="C793" t="s">
        <v>329</v>
      </c>
      <c r="D793" t="s">
        <v>1087</v>
      </c>
      <c r="E793" t="s">
        <v>1282</v>
      </c>
      <c r="F793" t="str">
        <f>[1]Raw_Customer_Dim!$A$2</f>
        <v>CUST1000</v>
      </c>
      <c r="G793" t="str">
        <f>_xlfn.XLOOKUP(E793,Store_Dim!A:A,Store_Dim!B:B,"Not Found")</f>
        <v>Martinez, Adkins and Johnson</v>
      </c>
      <c r="H793" t="str">
        <f>_xlfn.XLOOKUP(D793,Product_Dim!A:A,Product_Dim!C:C,"Not Found")</f>
        <v>Electronics</v>
      </c>
      <c r="I793" t="str">
        <f>_xlfn.XLOOKUP(E793,Store_Dim!A:A,Store_Dim!C:C,"Not Found")</f>
        <v>North</v>
      </c>
      <c r="J793" t="str">
        <f>_xlfn.XLOOKUP(C793,Customer_Dim!A:A,Customer_Dim!B:B,"Not Found")</f>
        <v>Morgan Bowen</v>
      </c>
      <c r="K793">
        <f>Table511[[#This Row],[Total_Amount]]/(L793*(1-Table511[[#This Row],[Discount]]))</f>
        <v>2</v>
      </c>
      <c r="L793" s="5">
        <v>443.09</v>
      </c>
      <c r="M793">
        <v>0.02</v>
      </c>
      <c r="N793" t="s">
        <v>1351</v>
      </c>
      <c r="O793" s="5">
        <v>868.45639999999992</v>
      </c>
    </row>
    <row r="794" spans="1:15">
      <c r="A794" t="s">
        <v>2143</v>
      </c>
      <c r="B794" s="7">
        <v>45870</v>
      </c>
      <c r="C794" t="s">
        <v>998</v>
      </c>
      <c r="D794" t="s">
        <v>1111</v>
      </c>
      <c r="E794" t="s">
        <v>1326</v>
      </c>
      <c r="F794" t="str">
        <f>[1]Raw_Customer_Dim!$A$2</f>
        <v>CUST1000</v>
      </c>
      <c r="G794" t="str">
        <f>_xlfn.XLOOKUP(E794,Store_Dim!A:A,Store_Dim!B:B,"Not Found")</f>
        <v>Shelton PLC</v>
      </c>
      <c r="H794" t="str">
        <f>_xlfn.XLOOKUP(D794,Product_Dim!A:A,Product_Dim!C:C,"Not Found")</f>
        <v>Sports</v>
      </c>
      <c r="I794" t="str">
        <f>_xlfn.XLOOKUP(E794,Store_Dim!A:A,Store_Dim!C:C,"Not Found")</f>
        <v>North</v>
      </c>
      <c r="J794" t="str">
        <f>_xlfn.XLOOKUP(C794,Customer_Dim!A:A,Customer_Dim!B:B,"Not Found")</f>
        <v>Gregory Curtis</v>
      </c>
      <c r="K794">
        <f>Table511[[#This Row],[Total_Amount]]/(L794*(1-Table511[[#This Row],[Discount]]))</f>
        <v>1.0000000000000002</v>
      </c>
      <c r="L794" s="5">
        <v>512.16</v>
      </c>
      <c r="M794">
        <v>0.02</v>
      </c>
      <c r="N794" t="s">
        <v>1354</v>
      </c>
      <c r="O794" s="5">
        <v>501.91680000000002</v>
      </c>
    </row>
    <row r="795" spans="1:15">
      <c r="A795" t="s">
        <v>2144</v>
      </c>
      <c r="B795" s="7">
        <v>45577</v>
      </c>
      <c r="C795" t="s">
        <v>478</v>
      </c>
      <c r="D795" t="s">
        <v>1155</v>
      </c>
      <c r="E795" t="s">
        <v>1335</v>
      </c>
      <c r="F795" t="str">
        <f>[1]Raw_Customer_Dim!$A$2</f>
        <v>CUST1000</v>
      </c>
      <c r="G795" t="str">
        <f>_xlfn.XLOOKUP(E795,Store_Dim!A:A,Store_Dim!B:B,"Not Found")</f>
        <v>Guerrero-Schmitt</v>
      </c>
      <c r="H795" t="str">
        <f>_xlfn.XLOOKUP(D795,Product_Dim!A:A,Product_Dim!C:C,"Not Found")</f>
        <v>Sports</v>
      </c>
      <c r="I795" t="str">
        <f>_xlfn.XLOOKUP(E795,Store_Dim!A:A,Store_Dim!C:C,"Not Found")</f>
        <v>East</v>
      </c>
      <c r="J795" t="str">
        <f>_xlfn.XLOOKUP(C795,Customer_Dim!A:A,Customer_Dim!B:B,"Not Found")</f>
        <v>John Perez</v>
      </c>
      <c r="K795">
        <f>Table511[[#This Row],[Total_Amount]]/(L795*(1-Table511[[#This Row],[Discount]]))</f>
        <v>2</v>
      </c>
      <c r="L795" s="5">
        <v>602.54999999999995</v>
      </c>
      <c r="M795">
        <v>0.23</v>
      </c>
      <c r="N795" t="s">
        <v>1354</v>
      </c>
      <c r="O795" s="5">
        <v>927.92699999999991</v>
      </c>
    </row>
    <row r="796" spans="1:15">
      <c r="A796" t="s">
        <v>2145</v>
      </c>
      <c r="B796" s="7">
        <v>45745</v>
      </c>
      <c r="C796" t="s">
        <v>389</v>
      </c>
      <c r="D796" t="s">
        <v>1157</v>
      </c>
      <c r="E796" t="s">
        <v>1277</v>
      </c>
      <c r="F796" t="str">
        <f>[1]Raw_Customer_Dim!$A$2</f>
        <v>CUST1000</v>
      </c>
      <c r="G796" t="str">
        <f>_xlfn.XLOOKUP(E796,Store_Dim!A:A,Store_Dim!B:B,"Not Found")</f>
        <v>Rivera-Warner</v>
      </c>
      <c r="H796" t="str">
        <f>_xlfn.XLOOKUP(D796,Product_Dim!A:A,Product_Dim!C:C,"Not Found")</f>
        <v>Electronics</v>
      </c>
      <c r="I796" t="str">
        <f>_xlfn.XLOOKUP(E796,Store_Dim!A:A,Store_Dim!C:C,"Not Found")</f>
        <v>East</v>
      </c>
      <c r="J796" t="str">
        <f>_xlfn.XLOOKUP(C796,Customer_Dim!A:A,Customer_Dim!B:B,"Not Found")</f>
        <v>Daniel Rivas</v>
      </c>
      <c r="K796">
        <f>Table511[[#This Row],[Total_Amount]]/(L796*(1-Table511[[#This Row],[Discount]]))</f>
        <v>3</v>
      </c>
      <c r="L796" s="5">
        <v>846.19</v>
      </c>
      <c r="M796">
        <v>0.09</v>
      </c>
      <c r="N796" t="s">
        <v>1354</v>
      </c>
      <c r="O796" s="5">
        <v>2310.0987</v>
      </c>
    </row>
    <row r="797" spans="1:15">
      <c r="A797" t="s">
        <v>2146</v>
      </c>
      <c r="B797" s="7">
        <v>45772</v>
      </c>
      <c r="C797" t="s">
        <v>716</v>
      </c>
      <c r="D797" t="s">
        <v>1211</v>
      </c>
      <c r="E797" t="s">
        <v>1307</v>
      </c>
      <c r="F797" t="str">
        <f>[1]Raw_Customer_Dim!$A$2</f>
        <v>CUST1000</v>
      </c>
      <c r="G797" t="str">
        <f>_xlfn.XLOOKUP(E797,Store_Dim!A:A,Store_Dim!B:B,"Not Found")</f>
        <v>Bean, Jones and Park</v>
      </c>
      <c r="H797" t="str">
        <f>_xlfn.XLOOKUP(D797,Product_Dim!A:A,Product_Dim!C:C,"Not Found")</f>
        <v>Clothing</v>
      </c>
      <c r="I797" t="str">
        <f>_xlfn.XLOOKUP(E797,Store_Dim!A:A,Store_Dim!C:C,"Not Found")</f>
        <v>West</v>
      </c>
      <c r="J797" t="str">
        <f>_xlfn.XLOOKUP(C797,Customer_Dim!A:A,Customer_Dim!B:B,"Not Found")</f>
        <v>Robert King</v>
      </c>
      <c r="K797">
        <f>Table511[[#This Row],[Total_Amount]]/(L797*(1-Table511[[#This Row],[Discount]]))</f>
        <v>1</v>
      </c>
      <c r="L797" s="5">
        <v>506.73</v>
      </c>
      <c r="M797">
        <v>0.28999999999999998</v>
      </c>
      <c r="N797" t="s">
        <v>1349</v>
      </c>
      <c r="O797" s="5">
        <v>359.7783</v>
      </c>
    </row>
    <row r="798" spans="1:15">
      <c r="A798" t="s">
        <v>2147</v>
      </c>
      <c r="B798" s="7">
        <v>45299</v>
      </c>
      <c r="C798" t="s">
        <v>147</v>
      </c>
      <c r="D798" t="s">
        <v>1175</v>
      </c>
      <c r="E798" t="s">
        <v>1329</v>
      </c>
      <c r="F798" t="str">
        <f>[1]Raw_Customer_Dim!$A$2</f>
        <v>CUST1000</v>
      </c>
      <c r="G798" t="str">
        <f>_xlfn.XLOOKUP(E798,Store_Dim!A:A,Store_Dim!B:B,"Not Found")</f>
        <v>Frederick-Wright</v>
      </c>
      <c r="H798" t="str">
        <f>_xlfn.XLOOKUP(D798,Product_Dim!A:A,Product_Dim!C:C,"Not Found")</f>
        <v>Electronics</v>
      </c>
      <c r="I798" t="str">
        <f>_xlfn.XLOOKUP(E798,Store_Dim!A:A,Store_Dim!C:C,"Not Found")</f>
        <v>West</v>
      </c>
      <c r="J798" t="str">
        <f>_xlfn.XLOOKUP(C798,Customer_Dim!A:A,Customer_Dim!B:B,"Not Found")</f>
        <v>Debra Liu</v>
      </c>
      <c r="K798">
        <f>Table511[[#This Row],[Total_Amount]]/(L798*(1-Table511[[#This Row],[Discount]]))</f>
        <v>1</v>
      </c>
      <c r="L798" s="5">
        <v>408.66</v>
      </c>
      <c r="M798">
        <v>0.13</v>
      </c>
      <c r="N798" t="s">
        <v>1354</v>
      </c>
      <c r="O798" s="5">
        <v>355.5342</v>
      </c>
    </row>
    <row r="799" spans="1:15">
      <c r="A799" t="s">
        <v>2148</v>
      </c>
      <c r="B799" s="7">
        <v>45447</v>
      </c>
      <c r="C799" t="s">
        <v>279</v>
      </c>
      <c r="D799" t="s">
        <v>1087</v>
      </c>
      <c r="E799" t="s">
        <v>1332</v>
      </c>
      <c r="F799" t="str">
        <f>[1]Raw_Customer_Dim!$A$2</f>
        <v>CUST1000</v>
      </c>
      <c r="G799" t="str">
        <f>_xlfn.XLOOKUP(E799,Store_Dim!A:A,Store_Dim!B:B,"Not Found")</f>
        <v>Holloway Ltd</v>
      </c>
      <c r="H799" t="str">
        <f>_xlfn.XLOOKUP(D799,Product_Dim!A:A,Product_Dim!C:C,"Not Found")</f>
        <v>Electronics</v>
      </c>
      <c r="I799" t="str">
        <f>_xlfn.XLOOKUP(E799,Store_Dim!A:A,Store_Dim!C:C,"Not Found")</f>
        <v>North</v>
      </c>
      <c r="J799" t="str">
        <f>_xlfn.XLOOKUP(C799,Customer_Dim!A:A,Customer_Dim!B:B,"Not Found")</f>
        <v>Ashley Griffin</v>
      </c>
      <c r="K799">
        <f>Table511[[#This Row],[Total_Amount]]/(L799*(1-Table511[[#This Row],[Discount]]))</f>
        <v>2.9999999999999996</v>
      </c>
      <c r="L799" s="5">
        <v>170.48</v>
      </c>
      <c r="M799">
        <v>0.06</v>
      </c>
      <c r="N799" t="s">
        <v>1354</v>
      </c>
      <c r="O799" s="5">
        <v>480.75359999999989</v>
      </c>
    </row>
    <row r="800" spans="1:15">
      <c r="A800" t="s">
        <v>2149</v>
      </c>
      <c r="B800" s="7">
        <v>45717</v>
      </c>
      <c r="C800" t="s">
        <v>252</v>
      </c>
      <c r="D800" t="s">
        <v>1109</v>
      </c>
      <c r="E800" t="s">
        <v>1311</v>
      </c>
      <c r="F800" t="str">
        <f>[1]Raw_Customer_Dim!$A$2</f>
        <v>CUST1000</v>
      </c>
      <c r="G800" t="str">
        <f>_xlfn.XLOOKUP(E800,Store_Dim!A:A,Store_Dim!B:B,"Not Found")</f>
        <v>Moore, Padilla and Butler</v>
      </c>
      <c r="H800" t="str">
        <f>_xlfn.XLOOKUP(D800,Product_Dim!A:A,Product_Dim!C:C,"Not Found")</f>
        <v>Clothing</v>
      </c>
      <c r="I800" t="str">
        <f>_xlfn.XLOOKUP(E800,Store_Dim!A:A,Store_Dim!C:C,"Not Found")</f>
        <v>South</v>
      </c>
      <c r="J800" t="str">
        <f>_xlfn.XLOOKUP(C800,Customer_Dim!A:A,Customer_Dim!B:B,"Not Found")</f>
        <v>David Cobb</v>
      </c>
      <c r="K800">
        <f>Table511[[#This Row],[Total_Amount]]/(L800*(1-Table511[[#This Row],[Discount]]))</f>
        <v>1.0000000000000002</v>
      </c>
      <c r="L800" s="5">
        <v>423.48</v>
      </c>
      <c r="M800">
        <v>0.18</v>
      </c>
      <c r="N800" t="s">
        <v>1351</v>
      </c>
      <c r="O800" s="5">
        <v>347.25360000000012</v>
      </c>
    </row>
    <row r="801" spans="1:15">
      <c r="A801" t="s">
        <v>2150</v>
      </c>
      <c r="B801" s="7">
        <v>45213</v>
      </c>
      <c r="C801" t="s">
        <v>533</v>
      </c>
      <c r="D801" t="s">
        <v>1257</v>
      </c>
      <c r="E801" t="s">
        <v>1317</v>
      </c>
      <c r="F801" t="str">
        <f>[1]Raw_Customer_Dim!$A$2</f>
        <v>CUST1000</v>
      </c>
      <c r="G801" t="str">
        <f>_xlfn.XLOOKUP(E801,Store_Dim!A:A,Store_Dim!B:B,"Not Found")</f>
        <v>Aguirre-Keller</v>
      </c>
      <c r="H801" t="str">
        <f>_xlfn.XLOOKUP(D801,Product_Dim!A:A,Product_Dim!C:C,"Not Found")</f>
        <v>Home</v>
      </c>
      <c r="I801" t="str">
        <f>_xlfn.XLOOKUP(E801,Store_Dim!A:A,Store_Dim!C:C,"Not Found")</f>
        <v>South</v>
      </c>
      <c r="J801" t="str">
        <f>_xlfn.XLOOKUP(C801,Customer_Dim!A:A,Customer_Dim!B:B,"Not Found")</f>
        <v>Jon Ortiz</v>
      </c>
      <c r="K801">
        <f>Table511[[#This Row],[Total_Amount]]/(L801*(1-Table511[[#This Row],[Discount]]))</f>
        <v>4</v>
      </c>
      <c r="L801" s="5">
        <v>23.57</v>
      </c>
      <c r="M801">
        <v>0.1</v>
      </c>
      <c r="N801" t="s">
        <v>1349</v>
      </c>
      <c r="O801" s="5">
        <v>84.852000000000004</v>
      </c>
    </row>
    <row r="802" spans="1:15">
      <c r="A802" t="s">
        <v>2151</v>
      </c>
      <c r="B802" s="7">
        <v>45837</v>
      </c>
      <c r="C802" t="s">
        <v>825</v>
      </c>
      <c r="D802" t="s">
        <v>1157</v>
      </c>
      <c r="E802" t="s">
        <v>1335</v>
      </c>
      <c r="F802" t="str">
        <f>[1]Raw_Customer_Dim!$A$2</f>
        <v>CUST1000</v>
      </c>
      <c r="G802" t="str">
        <f>_xlfn.XLOOKUP(E802,Store_Dim!A:A,Store_Dim!B:B,"Not Found")</f>
        <v>Guerrero-Schmitt</v>
      </c>
      <c r="H802" t="str">
        <f>_xlfn.XLOOKUP(D802,Product_Dim!A:A,Product_Dim!C:C,"Not Found")</f>
        <v>Electronics</v>
      </c>
      <c r="I802" t="str">
        <f>_xlfn.XLOOKUP(E802,Store_Dim!A:A,Store_Dim!C:C,"Not Found")</f>
        <v>East</v>
      </c>
      <c r="J802" t="str">
        <f>_xlfn.XLOOKUP(C802,Customer_Dim!A:A,Customer_Dim!B:B,"Not Found")</f>
        <v>Erika Padilla</v>
      </c>
      <c r="K802">
        <f>Table511[[#This Row],[Total_Amount]]/(L802*(1-Table511[[#This Row],[Discount]]))</f>
        <v>2</v>
      </c>
      <c r="L802" s="5">
        <v>953.26</v>
      </c>
      <c r="M802">
        <v>0.1</v>
      </c>
      <c r="N802" t="s">
        <v>1354</v>
      </c>
      <c r="O802" s="5">
        <v>1715.8679999999999</v>
      </c>
    </row>
    <row r="803" spans="1:15">
      <c r="A803" t="s">
        <v>2152</v>
      </c>
      <c r="B803" s="7">
        <v>45277</v>
      </c>
      <c r="C803" t="s">
        <v>758</v>
      </c>
      <c r="D803" t="s">
        <v>1219</v>
      </c>
      <c r="E803" t="s">
        <v>1304</v>
      </c>
      <c r="F803" t="str">
        <f>[1]Raw_Customer_Dim!$A$2</f>
        <v>CUST1000</v>
      </c>
      <c r="G803" t="str">
        <f>_xlfn.XLOOKUP(E803,Store_Dim!A:A,Store_Dim!B:B,"Not Found")</f>
        <v>Martinez-Mullins</v>
      </c>
      <c r="H803" t="str">
        <f>_xlfn.XLOOKUP(D803,Product_Dim!A:A,Product_Dim!C:C,"Not Found")</f>
        <v>Sports</v>
      </c>
      <c r="I803" t="str">
        <f>_xlfn.XLOOKUP(E803,Store_Dim!A:A,Store_Dim!C:C,"Not Found")</f>
        <v>South</v>
      </c>
      <c r="J803" t="str">
        <f>_xlfn.XLOOKUP(C803,Customer_Dim!A:A,Customer_Dim!B:B,"Not Found")</f>
        <v>Justin Mason DDS</v>
      </c>
      <c r="K803">
        <f>Table511[[#This Row],[Total_Amount]]/(L803*(1-Table511[[#This Row],[Discount]]))</f>
        <v>3.0000000000000004</v>
      </c>
      <c r="L803" s="5">
        <v>405.13</v>
      </c>
      <c r="M803">
        <v>0.14000000000000001</v>
      </c>
      <c r="N803" t="s">
        <v>1354</v>
      </c>
      <c r="O803" s="5">
        <v>1045.2354</v>
      </c>
    </row>
    <row r="804" spans="1:15">
      <c r="A804" t="s">
        <v>2153</v>
      </c>
      <c r="B804" s="7">
        <v>45248</v>
      </c>
      <c r="C804" t="s">
        <v>742</v>
      </c>
      <c r="D804" t="s">
        <v>1074</v>
      </c>
      <c r="E804" t="s">
        <v>1294</v>
      </c>
      <c r="F804" t="str">
        <f>[1]Raw_Customer_Dim!$A$2</f>
        <v>CUST1000</v>
      </c>
      <c r="G804" t="str">
        <f>_xlfn.XLOOKUP(E804,Store_Dim!A:A,Store_Dim!B:B,"Not Found")</f>
        <v>Alexander Group</v>
      </c>
      <c r="H804" t="str">
        <f>_xlfn.XLOOKUP(D804,Product_Dim!A:A,Product_Dim!C:C,"Not Found")</f>
        <v>Clothing</v>
      </c>
      <c r="I804" t="str">
        <f>_xlfn.XLOOKUP(E804,Store_Dim!A:A,Store_Dim!C:C,"Not Found")</f>
        <v>South</v>
      </c>
      <c r="J804" t="str">
        <f>_xlfn.XLOOKUP(C804,Customer_Dim!A:A,Customer_Dim!B:B,"Not Found")</f>
        <v>Mrs. Susan Buckley</v>
      </c>
      <c r="K804">
        <f>Table511[[#This Row],[Total_Amount]]/(L804*(1-Table511[[#This Row],[Discount]]))</f>
        <v>2</v>
      </c>
      <c r="L804" s="5">
        <v>333.83</v>
      </c>
      <c r="M804">
        <v>0.26</v>
      </c>
      <c r="N804" t="s">
        <v>1351</v>
      </c>
      <c r="O804" s="5">
        <v>494.0684</v>
      </c>
    </row>
    <row r="805" spans="1:15">
      <c r="A805" t="s">
        <v>2154</v>
      </c>
      <c r="B805" s="7">
        <v>45741</v>
      </c>
      <c r="C805" t="s">
        <v>730</v>
      </c>
      <c r="D805" t="s">
        <v>1255</v>
      </c>
      <c r="E805" t="s">
        <v>1291</v>
      </c>
      <c r="F805" t="str">
        <f>[1]Raw_Customer_Dim!$A$2</f>
        <v>CUST1000</v>
      </c>
      <c r="G805" t="str">
        <f>_xlfn.XLOOKUP(E805,Store_Dim!A:A,Store_Dim!B:B,"Not Found")</f>
        <v>Johnson-Wright</v>
      </c>
      <c r="H805" t="str">
        <f>_xlfn.XLOOKUP(D805,Product_Dim!A:A,Product_Dim!C:C,"Not Found")</f>
        <v>Clothing</v>
      </c>
      <c r="I805" t="str">
        <f>_xlfn.XLOOKUP(E805,Store_Dim!A:A,Store_Dim!C:C,"Not Found")</f>
        <v>North</v>
      </c>
      <c r="J805" t="str">
        <f>_xlfn.XLOOKUP(C805,Customer_Dim!A:A,Customer_Dim!B:B,"Not Found")</f>
        <v>Teresa Johnson</v>
      </c>
      <c r="K805">
        <f>Table511[[#This Row],[Total_Amount]]/(L805*(1-Table511[[#This Row],[Discount]]))</f>
        <v>2</v>
      </c>
      <c r="L805" s="5">
        <v>727.18</v>
      </c>
      <c r="M805">
        <v>0.22</v>
      </c>
      <c r="N805" t="s">
        <v>1351</v>
      </c>
      <c r="O805" s="5">
        <v>1134.4007999999999</v>
      </c>
    </row>
    <row r="806" spans="1:15">
      <c r="A806" t="s">
        <v>2155</v>
      </c>
      <c r="B806" s="7">
        <v>45778</v>
      </c>
      <c r="C806" t="s">
        <v>676</v>
      </c>
      <c r="D806" t="s">
        <v>1080</v>
      </c>
      <c r="E806" t="s">
        <v>1314</v>
      </c>
      <c r="F806" t="str">
        <f>[1]Raw_Customer_Dim!$A$2</f>
        <v>CUST1000</v>
      </c>
      <c r="G806" t="str">
        <f>_xlfn.XLOOKUP(E806,Store_Dim!A:A,Store_Dim!B:B,"Not Found")</f>
        <v>Hill, Wagner and Ballard</v>
      </c>
      <c r="H806" t="str">
        <f>_xlfn.XLOOKUP(D806,Product_Dim!A:A,Product_Dim!C:C,"Not Found")</f>
        <v>Clothing</v>
      </c>
      <c r="I806" t="str">
        <f>_xlfn.XLOOKUP(E806,Store_Dim!A:A,Store_Dim!C:C,"Not Found")</f>
        <v>East</v>
      </c>
      <c r="J806" t="str">
        <f>_xlfn.XLOOKUP(C806,Customer_Dim!A:A,Customer_Dim!B:B,"Not Found")</f>
        <v>Angela Robinson</v>
      </c>
      <c r="K806">
        <f>Table511[[#This Row],[Total_Amount]]/(L806*(1-Table511[[#This Row],[Discount]]))</f>
        <v>2</v>
      </c>
      <c r="L806" s="5">
        <v>516.02</v>
      </c>
      <c r="M806">
        <v>0.19</v>
      </c>
      <c r="N806" t="s">
        <v>1354</v>
      </c>
      <c r="O806" s="5">
        <v>835.95240000000001</v>
      </c>
    </row>
    <row r="807" spans="1:15">
      <c r="A807" t="s">
        <v>2156</v>
      </c>
      <c r="B807" s="7">
        <v>45361</v>
      </c>
      <c r="C807" t="s">
        <v>652</v>
      </c>
      <c r="D807" t="s">
        <v>1157</v>
      </c>
      <c r="E807" t="s">
        <v>1317</v>
      </c>
      <c r="F807" t="str">
        <f>[1]Raw_Customer_Dim!$A$2</f>
        <v>CUST1000</v>
      </c>
      <c r="G807" t="str">
        <f>_xlfn.XLOOKUP(E807,Store_Dim!A:A,Store_Dim!B:B,"Not Found")</f>
        <v>Aguirre-Keller</v>
      </c>
      <c r="H807" t="str">
        <f>_xlfn.XLOOKUP(D807,Product_Dim!A:A,Product_Dim!C:C,"Not Found")</f>
        <v>Electronics</v>
      </c>
      <c r="I807" t="str">
        <f>_xlfn.XLOOKUP(E807,Store_Dim!A:A,Store_Dim!C:C,"Not Found")</f>
        <v>South</v>
      </c>
      <c r="J807" t="str">
        <f>_xlfn.XLOOKUP(C807,Customer_Dim!A:A,Customer_Dim!B:B,"Not Found")</f>
        <v>Lisa Chandler</v>
      </c>
      <c r="K807">
        <f>Table511[[#This Row],[Total_Amount]]/(L807*(1-Table511[[#This Row],[Discount]]))</f>
        <v>2</v>
      </c>
      <c r="L807" s="5">
        <v>705.61</v>
      </c>
      <c r="M807">
        <v>0.28000000000000003</v>
      </c>
      <c r="N807" t="s">
        <v>1349</v>
      </c>
      <c r="O807" s="5">
        <v>1016.0784</v>
      </c>
    </row>
    <row r="808" spans="1:15">
      <c r="A808" t="s">
        <v>2157</v>
      </c>
      <c r="B808" s="7">
        <v>45414</v>
      </c>
      <c r="C808" t="s">
        <v>614</v>
      </c>
      <c r="D808" t="s">
        <v>1241</v>
      </c>
      <c r="E808" t="s">
        <v>1307</v>
      </c>
      <c r="F808" t="str">
        <f>[1]Raw_Customer_Dim!$A$2</f>
        <v>CUST1000</v>
      </c>
      <c r="G808" t="str">
        <f>_xlfn.XLOOKUP(E808,Store_Dim!A:A,Store_Dim!B:B,"Not Found")</f>
        <v>Bean, Jones and Park</v>
      </c>
      <c r="H808" t="str">
        <f>_xlfn.XLOOKUP(D808,Product_Dim!A:A,Product_Dim!C:C,"Not Found")</f>
        <v>Home</v>
      </c>
      <c r="I808" t="str">
        <f>_xlfn.XLOOKUP(E808,Store_Dim!A:A,Store_Dim!C:C,"Not Found")</f>
        <v>West</v>
      </c>
      <c r="J808" t="str">
        <f>_xlfn.XLOOKUP(C808,Customer_Dim!A:A,Customer_Dim!B:B,"Not Found")</f>
        <v>Shannon Miller</v>
      </c>
      <c r="K808">
        <f>Table511[[#This Row],[Total_Amount]]/(L808*(1-Table511[[#This Row],[Discount]]))</f>
        <v>2.9999999999999996</v>
      </c>
      <c r="L808" s="5">
        <v>654.47</v>
      </c>
      <c r="M808">
        <v>0.18</v>
      </c>
      <c r="N808" t="s">
        <v>1354</v>
      </c>
      <c r="O808" s="5">
        <v>1609.9962</v>
      </c>
    </row>
    <row r="809" spans="1:15">
      <c r="A809" t="s">
        <v>2158</v>
      </c>
      <c r="B809" s="7">
        <v>45734</v>
      </c>
      <c r="C809" t="s">
        <v>403</v>
      </c>
      <c r="D809" t="s">
        <v>1249</v>
      </c>
      <c r="E809" t="s">
        <v>1326</v>
      </c>
      <c r="F809" t="str">
        <f>[1]Raw_Customer_Dim!$A$2</f>
        <v>CUST1000</v>
      </c>
      <c r="G809" t="str">
        <f>_xlfn.XLOOKUP(E809,Store_Dim!A:A,Store_Dim!B:B,"Not Found")</f>
        <v>Shelton PLC</v>
      </c>
      <c r="H809" t="str">
        <f>_xlfn.XLOOKUP(D809,Product_Dim!A:A,Product_Dim!C:C,"Not Found")</f>
        <v>Sports</v>
      </c>
      <c r="I809" t="str">
        <f>_xlfn.XLOOKUP(E809,Store_Dim!A:A,Store_Dim!C:C,"Not Found")</f>
        <v>North</v>
      </c>
      <c r="J809" t="str">
        <f>_xlfn.XLOOKUP(C809,Customer_Dim!A:A,Customer_Dim!B:B,"Not Found")</f>
        <v>Amy Wilson</v>
      </c>
      <c r="K809">
        <f>Table511[[#This Row],[Total_Amount]]/(L809*(1-Table511[[#This Row],[Discount]]))</f>
        <v>2.0000000000000004</v>
      </c>
      <c r="L809" s="5">
        <v>315.27</v>
      </c>
      <c r="M809">
        <v>0.23</v>
      </c>
      <c r="N809" t="s">
        <v>1349</v>
      </c>
      <c r="O809" s="5">
        <v>485.51580000000001</v>
      </c>
    </row>
    <row r="810" spans="1:15">
      <c r="A810" t="s">
        <v>2159</v>
      </c>
      <c r="B810" s="7">
        <v>45623</v>
      </c>
      <c r="C810" t="s">
        <v>507</v>
      </c>
      <c r="D810" t="s">
        <v>1129</v>
      </c>
      <c r="E810" t="s">
        <v>1286</v>
      </c>
      <c r="F810" t="str">
        <f>[1]Raw_Customer_Dim!$A$2</f>
        <v>CUST1000</v>
      </c>
      <c r="G810" t="str">
        <f>_xlfn.XLOOKUP(E810,Store_Dim!A:A,Store_Dim!B:B,"Not Found")</f>
        <v>Black-Horn</v>
      </c>
      <c r="H810" t="str">
        <f>_xlfn.XLOOKUP(D810,Product_Dim!A:A,Product_Dim!C:C,"Not Found")</f>
        <v>Sports</v>
      </c>
      <c r="I810" t="str">
        <f>_xlfn.XLOOKUP(E810,Store_Dim!A:A,Store_Dim!C:C,"Not Found")</f>
        <v>South</v>
      </c>
      <c r="J810" t="str">
        <f>_xlfn.XLOOKUP(C810,Customer_Dim!A:A,Customer_Dim!B:B,"Not Found")</f>
        <v>Alejandro Doyle</v>
      </c>
      <c r="K810">
        <f>Table511[[#This Row],[Total_Amount]]/(L810*(1-Table511[[#This Row],[Discount]]))</f>
        <v>1</v>
      </c>
      <c r="L810" s="5">
        <v>974.47</v>
      </c>
      <c r="M810">
        <v>0.05</v>
      </c>
      <c r="N810" t="s">
        <v>1349</v>
      </c>
      <c r="O810" s="5">
        <v>925.74649999999997</v>
      </c>
    </row>
    <row r="811" spans="1:15">
      <c r="A811" t="s">
        <v>2160</v>
      </c>
      <c r="B811" s="7">
        <v>45340</v>
      </c>
      <c r="C811" t="s">
        <v>182</v>
      </c>
      <c r="D811" t="s">
        <v>1074</v>
      </c>
      <c r="E811" t="s">
        <v>1294</v>
      </c>
      <c r="F811" t="str">
        <f>[1]Raw_Customer_Dim!$A$2</f>
        <v>CUST1000</v>
      </c>
      <c r="G811" t="str">
        <f>_xlfn.XLOOKUP(E811,Store_Dim!A:A,Store_Dim!B:B,"Not Found")</f>
        <v>Alexander Group</v>
      </c>
      <c r="H811" t="str">
        <f>_xlfn.XLOOKUP(D811,Product_Dim!A:A,Product_Dim!C:C,"Not Found")</f>
        <v>Clothing</v>
      </c>
      <c r="I811" t="str">
        <f>_xlfn.XLOOKUP(E811,Store_Dim!A:A,Store_Dim!C:C,"Not Found")</f>
        <v>South</v>
      </c>
      <c r="J811" t="str">
        <f>_xlfn.XLOOKUP(C811,Customer_Dim!A:A,Customer_Dim!B:B,"Not Found")</f>
        <v>Amber Mcclain</v>
      </c>
      <c r="K811">
        <f>Table511[[#This Row],[Total_Amount]]/(L811*(1-Table511[[#This Row],[Discount]]))</f>
        <v>2.0000000000000004</v>
      </c>
      <c r="L811" s="5">
        <v>803.3</v>
      </c>
      <c r="M811">
        <v>0.17</v>
      </c>
      <c r="N811" t="s">
        <v>1349</v>
      </c>
      <c r="O811" s="5">
        <v>1333.4780000000001</v>
      </c>
    </row>
    <row r="812" spans="1:15">
      <c r="A812" t="s">
        <v>2161</v>
      </c>
      <c r="B812" s="7">
        <v>45447</v>
      </c>
      <c r="C812" t="s">
        <v>50</v>
      </c>
      <c r="D812" t="s">
        <v>1074</v>
      </c>
      <c r="E812" t="s">
        <v>1314</v>
      </c>
      <c r="F812" t="str">
        <f>[1]Raw_Customer_Dim!$A$2</f>
        <v>CUST1000</v>
      </c>
      <c r="G812" t="str">
        <f>_xlfn.XLOOKUP(E812,Store_Dim!A:A,Store_Dim!B:B,"Not Found")</f>
        <v>Hill, Wagner and Ballard</v>
      </c>
      <c r="H812" t="str">
        <f>_xlfn.XLOOKUP(D812,Product_Dim!A:A,Product_Dim!C:C,"Not Found")</f>
        <v>Clothing</v>
      </c>
      <c r="I812" t="str">
        <f>_xlfn.XLOOKUP(E812,Store_Dim!A:A,Store_Dim!C:C,"Not Found")</f>
        <v>East</v>
      </c>
      <c r="J812" t="str">
        <f>_xlfn.XLOOKUP(C812,Customer_Dim!A:A,Customer_Dim!B:B,"Not Found")</f>
        <v>Nathan Hernandez</v>
      </c>
      <c r="K812">
        <f>Table511[[#This Row],[Total_Amount]]/(L812*(1-Table511[[#This Row],[Discount]]))</f>
        <v>4</v>
      </c>
      <c r="L812" s="5">
        <v>863.87</v>
      </c>
      <c r="M812">
        <v>0.21</v>
      </c>
      <c r="N812" t="s">
        <v>1354</v>
      </c>
      <c r="O812" s="5">
        <v>2729.8292000000001</v>
      </c>
    </row>
    <row r="813" spans="1:15">
      <c r="A813" t="s">
        <v>2162</v>
      </c>
      <c r="B813" s="7">
        <v>45513</v>
      </c>
      <c r="C813" t="s">
        <v>1000</v>
      </c>
      <c r="D813" t="s">
        <v>1233</v>
      </c>
      <c r="E813" t="s">
        <v>1335</v>
      </c>
      <c r="F813" t="str">
        <f>[1]Raw_Customer_Dim!$A$2</f>
        <v>CUST1000</v>
      </c>
      <c r="G813" t="str">
        <f>_xlfn.XLOOKUP(E813,Store_Dim!A:A,Store_Dim!B:B,"Not Found")</f>
        <v>Guerrero-Schmitt</v>
      </c>
      <c r="H813" t="str">
        <f>_xlfn.XLOOKUP(D813,Product_Dim!A:A,Product_Dim!C:C,"Not Found")</f>
        <v>Home</v>
      </c>
      <c r="I813" t="str">
        <f>_xlfn.XLOOKUP(E813,Store_Dim!A:A,Store_Dim!C:C,"Not Found")</f>
        <v>East</v>
      </c>
      <c r="J813" t="str">
        <f>_xlfn.XLOOKUP(C813,Customer_Dim!A:A,Customer_Dim!B:B,"Not Found")</f>
        <v>James Foster</v>
      </c>
      <c r="K813">
        <f>Table511[[#This Row],[Total_Amount]]/(L813*(1-Table511[[#This Row],[Discount]]))</f>
        <v>1</v>
      </c>
      <c r="L813" s="5">
        <v>450.11</v>
      </c>
      <c r="M813">
        <v>0.17</v>
      </c>
      <c r="N813" t="s">
        <v>1349</v>
      </c>
      <c r="O813" s="5">
        <v>373.59129999999999</v>
      </c>
    </row>
    <row r="814" spans="1:15">
      <c r="A814" t="s">
        <v>2163</v>
      </c>
      <c r="B814" s="7">
        <v>45486</v>
      </c>
      <c r="C814" t="s">
        <v>523</v>
      </c>
      <c r="D814" t="s">
        <v>1209</v>
      </c>
      <c r="E814" t="s">
        <v>1322</v>
      </c>
      <c r="F814" t="str">
        <f>[1]Raw_Customer_Dim!$A$2</f>
        <v>CUST1000</v>
      </c>
      <c r="G814" t="str">
        <f>_xlfn.XLOOKUP(E814,Store_Dim!A:A,Store_Dim!B:B,"Not Found")</f>
        <v>Gardner, Humphrey and Contreras</v>
      </c>
      <c r="H814" t="str">
        <f>_xlfn.XLOOKUP(D814,Product_Dim!A:A,Product_Dim!C:C,"Not Found")</f>
        <v>Home</v>
      </c>
      <c r="I814" t="str">
        <f>_xlfn.XLOOKUP(E814,Store_Dim!A:A,Store_Dim!C:C,"Not Found")</f>
        <v>East</v>
      </c>
      <c r="J814" t="str">
        <f>_xlfn.XLOOKUP(C814,Customer_Dim!A:A,Customer_Dim!B:B,"Not Found")</f>
        <v>Timothy Sanders</v>
      </c>
      <c r="K814">
        <f>Table511[[#This Row],[Total_Amount]]/(L814*(1-Table511[[#This Row],[Discount]]))</f>
        <v>1</v>
      </c>
      <c r="L814" s="5">
        <v>289.82</v>
      </c>
      <c r="M814">
        <v>0.18</v>
      </c>
      <c r="N814" t="s">
        <v>1354</v>
      </c>
      <c r="O814" s="5">
        <v>237.6524</v>
      </c>
    </row>
    <row r="815" spans="1:15">
      <c r="A815" t="s">
        <v>2164</v>
      </c>
      <c r="B815" s="7">
        <v>45890</v>
      </c>
      <c r="C815" t="s">
        <v>732</v>
      </c>
      <c r="D815" t="s">
        <v>1181</v>
      </c>
      <c r="E815" t="s">
        <v>1314</v>
      </c>
      <c r="F815" t="str">
        <f>[1]Raw_Customer_Dim!$A$2</f>
        <v>CUST1000</v>
      </c>
      <c r="G815" t="str">
        <f>_xlfn.XLOOKUP(E815,Store_Dim!A:A,Store_Dim!B:B,"Not Found")</f>
        <v>Hill, Wagner and Ballard</v>
      </c>
      <c r="H815" t="str">
        <f>_xlfn.XLOOKUP(D815,Product_Dim!A:A,Product_Dim!C:C,"Not Found")</f>
        <v>Sports</v>
      </c>
      <c r="I815" t="str">
        <f>_xlfn.XLOOKUP(E815,Store_Dim!A:A,Store_Dim!C:C,"Not Found")</f>
        <v>East</v>
      </c>
      <c r="J815" t="str">
        <f>_xlfn.XLOOKUP(C815,Customer_Dim!A:A,Customer_Dim!B:B,"Not Found")</f>
        <v>Mr. Christopher Sims</v>
      </c>
      <c r="K815">
        <f>Table511[[#This Row],[Total_Amount]]/(L815*(1-Table511[[#This Row],[Discount]]))</f>
        <v>4</v>
      </c>
      <c r="L815" s="5">
        <v>250.64</v>
      </c>
      <c r="M815">
        <v>0.1</v>
      </c>
      <c r="N815" t="s">
        <v>1351</v>
      </c>
      <c r="O815" s="5">
        <v>902.30399999999997</v>
      </c>
    </row>
    <row r="816" spans="1:15">
      <c r="A816" t="s">
        <v>2165</v>
      </c>
      <c r="B816" s="7">
        <v>45876</v>
      </c>
      <c r="C816" t="s">
        <v>638</v>
      </c>
      <c r="D816" t="s">
        <v>1211</v>
      </c>
      <c r="E816" t="s">
        <v>1338</v>
      </c>
      <c r="F816" t="str">
        <f>[1]Raw_Customer_Dim!$A$2</f>
        <v>CUST1000</v>
      </c>
      <c r="G816" t="str">
        <f>_xlfn.XLOOKUP(E816,Store_Dim!A:A,Store_Dim!B:B,"Not Found")</f>
        <v>Mann-Austin</v>
      </c>
      <c r="H816" t="str">
        <f>_xlfn.XLOOKUP(D816,Product_Dim!A:A,Product_Dim!C:C,"Not Found")</f>
        <v>Clothing</v>
      </c>
      <c r="I816" t="str">
        <f>_xlfn.XLOOKUP(E816,Store_Dim!A:A,Store_Dim!C:C,"Not Found")</f>
        <v>East</v>
      </c>
      <c r="J816" t="str">
        <f>_xlfn.XLOOKUP(C816,Customer_Dim!A:A,Customer_Dim!B:B,"Not Found")</f>
        <v>Cynthia Roberts</v>
      </c>
      <c r="K816">
        <f>Table511[[#This Row],[Total_Amount]]/(L816*(1-Table511[[#This Row],[Discount]]))</f>
        <v>4</v>
      </c>
      <c r="L816" s="5">
        <v>373.49</v>
      </c>
      <c r="M816">
        <v>0.16</v>
      </c>
      <c r="N816" t="s">
        <v>1354</v>
      </c>
      <c r="O816" s="5">
        <v>1254.9264000000001</v>
      </c>
    </row>
    <row r="817" spans="1:15">
      <c r="A817" t="s">
        <v>2166</v>
      </c>
      <c r="B817" s="7">
        <v>45398</v>
      </c>
      <c r="C817" t="s">
        <v>180</v>
      </c>
      <c r="D817" t="s">
        <v>1076</v>
      </c>
      <c r="E817" t="s">
        <v>1311</v>
      </c>
      <c r="F817" t="str">
        <f>[1]Raw_Customer_Dim!$A$2</f>
        <v>CUST1000</v>
      </c>
      <c r="G817" t="str">
        <f>_xlfn.XLOOKUP(E817,Store_Dim!A:A,Store_Dim!B:B,"Not Found")</f>
        <v>Moore, Padilla and Butler</v>
      </c>
      <c r="H817" t="str">
        <f>_xlfn.XLOOKUP(D817,Product_Dim!A:A,Product_Dim!C:C,"Not Found")</f>
        <v>Not Found</v>
      </c>
      <c r="I817" t="str">
        <f>_xlfn.XLOOKUP(E817,Store_Dim!A:A,Store_Dim!C:C,"Not Found")</f>
        <v>South</v>
      </c>
      <c r="J817" t="str">
        <f>_xlfn.XLOOKUP(C817,Customer_Dim!A:A,Customer_Dim!B:B,"Not Found")</f>
        <v>Cody Diaz</v>
      </c>
      <c r="K817">
        <f>Table511[[#This Row],[Total_Amount]]/(L817*(1-Table511[[#This Row],[Discount]]))</f>
        <v>3.9999999999999991</v>
      </c>
      <c r="L817" s="5">
        <v>348.91</v>
      </c>
      <c r="M817">
        <v>0.18</v>
      </c>
      <c r="N817" t="s">
        <v>1351</v>
      </c>
      <c r="O817" s="5">
        <v>1144.4248</v>
      </c>
    </row>
    <row r="818" spans="1:15">
      <c r="A818" t="s">
        <v>2167</v>
      </c>
      <c r="B818" s="7">
        <v>45390</v>
      </c>
      <c r="C818" t="s">
        <v>279</v>
      </c>
      <c r="D818" t="s">
        <v>1261</v>
      </c>
      <c r="E818" t="s">
        <v>1332</v>
      </c>
      <c r="F818" t="str">
        <f>[1]Raw_Customer_Dim!$A$2</f>
        <v>CUST1000</v>
      </c>
      <c r="G818" t="str">
        <f>_xlfn.XLOOKUP(E818,Store_Dim!A:A,Store_Dim!B:B,"Not Found")</f>
        <v>Holloway Ltd</v>
      </c>
      <c r="H818" t="str">
        <f>_xlfn.XLOOKUP(D818,Product_Dim!A:A,Product_Dim!C:C,"Not Found")</f>
        <v>Beauty</v>
      </c>
      <c r="I818" t="str">
        <f>_xlfn.XLOOKUP(E818,Store_Dim!A:A,Store_Dim!C:C,"Not Found")</f>
        <v>North</v>
      </c>
      <c r="J818" t="str">
        <f>_xlfn.XLOOKUP(C818,Customer_Dim!A:A,Customer_Dim!B:B,"Not Found")</f>
        <v>Ashley Griffin</v>
      </c>
      <c r="K818">
        <f>Table511[[#This Row],[Total_Amount]]/(L818*(1-Table511[[#This Row],[Discount]]))</f>
        <v>4</v>
      </c>
      <c r="L818" s="5">
        <v>212.96</v>
      </c>
      <c r="M818">
        <v>0.17</v>
      </c>
      <c r="N818" t="s">
        <v>1349</v>
      </c>
      <c r="O818" s="5">
        <v>707.02719999999999</v>
      </c>
    </row>
    <row r="819" spans="1:15">
      <c r="A819" t="s">
        <v>2168</v>
      </c>
      <c r="B819" s="7">
        <v>45406</v>
      </c>
      <c r="C819" t="s">
        <v>442</v>
      </c>
      <c r="D819" t="s">
        <v>1127</v>
      </c>
      <c r="E819" t="s">
        <v>1338</v>
      </c>
      <c r="F819" t="str">
        <f>[1]Raw_Customer_Dim!$A$2</f>
        <v>CUST1000</v>
      </c>
      <c r="G819" t="str">
        <f>_xlfn.XLOOKUP(E819,Store_Dim!A:A,Store_Dim!B:B,"Not Found")</f>
        <v>Mann-Austin</v>
      </c>
      <c r="H819" t="str">
        <f>_xlfn.XLOOKUP(D819,Product_Dim!A:A,Product_Dim!C:C,"Not Found")</f>
        <v>Home</v>
      </c>
      <c r="I819" t="str">
        <f>_xlfn.XLOOKUP(E819,Store_Dim!A:A,Store_Dim!C:C,"Not Found")</f>
        <v>East</v>
      </c>
      <c r="J819" t="str">
        <f>_xlfn.XLOOKUP(C819,Customer_Dim!A:A,Customer_Dim!B:B,"Not Found")</f>
        <v>Christopher Stewart</v>
      </c>
      <c r="K819">
        <f>Table511[[#This Row],[Total_Amount]]/(L819*(1-Table511[[#This Row],[Discount]]))</f>
        <v>3</v>
      </c>
      <c r="L819" s="5">
        <v>871.34</v>
      </c>
      <c r="M819">
        <v>0.11</v>
      </c>
      <c r="N819" t="s">
        <v>1354</v>
      </c>
      <c r="O819" s="5">
        <v>2326.4778000000001</v>
      </c>
    </row>
    <row r="820" spans="1:15">
      <c r="A820" t="s">
        <v>2169</v>
      </c>
      <c r="B820" s="7">
        <v>45844</v>
      </c>
      <c r="C820" t="s">
        <v>258</v>
      </c>
      <c r="D820" t="s">
        <v>1261</v>
      </c>
      <c r="E820" t="s">
        <v>1277</v>
      </c>
      <c r="F820" t="str">
        <f>[1]Raw_Customer_Dim!$A$2</f>
        <v>CUST1000</v>
      </c>
      <c r="G820" t="str">
        <f>_xlfn.XLOOKUP(E820,Store_Dim!A:A,Store_Dim!B:B,"Not Found")</f>
        <v>Rivera-Warner</v>
      </c>
      <c r="H820" t="str">
        <f>_xlfn.XLOOKUP(D820,Product_Dim!A:A,Product_Dim!C:C,"Not Found")</f>
        <v>Beauty</v>
      </c>
      <c r="I820" t="str">
        <f>_xlfn.XLOOKUP(E820,Store_Dim!A:A,Store_Dim!C:C,"Not Found")</f>
        <v>East</v>
      </c>
      <c r="J820" t="str">
        <f>_xlfn.XLOOKUP(C820,Customer_Dim!A:A,Customer_Dim!B:B,"Not Found")</f>
        <v>Diane Watson</v>
      </c>
      <c r="K820">
        <f>Table511[[#This Row],[Total_Amount]]/(L820*(1-Table511[[#This Row],[Discount]]))</f>
        <v>2</v>
      </c>
      <c r="L820" s="5">
        <v>698.94</v>
      </c>
      <c r="M820">
        <v>0.06</v>
      </c>
      <c r="N820" t="s">
        <v>1349</v>
      </c>
      <c r="O820" s="5">
        <v>1314.0072</v>
      </c>
    </row>
    <row r="821" spans="1:15">
      <c r="A821" t="s">
        <v>2170</v>
      </c>
      <c r="B821" s="7">
        <v>45697</v>
      </c>
      <c r="C821" t="s">
        <v>696</v>
      </c>
      <c r="D821" t="s">
        <v>1221</v>
      </c>
      <c r="E821" t="s">
        <v>1277</v>
      </c>
      <c r="F821" t="str">
        <f>[1]Raw_Customer_Dim!$A$2</f>
        <v>CUST1000</v>
      </c>
      <c r="G821" t="str">
        <f>_xlfn.XLOOKUP(E821,Store_Dim!A:A,Store_Dim!B:B,"Not Found")</f>
        <v>Rivera-Warner</v>
      </c>
      <c r="H821" t="str">
        <f>_xlfn.XLOOKUP(D821,Product_Dim!A:A,Product_Dim!C:C,"Not Found")</f>
        <v>Electronics</v>
      </c>
      <c r="I821" t="str">
        <f>_xlfn.XLOOKUP(E821,Store_Dim!A:A,Store_Dim!C:C,"Not Found")</f>
        <v>East</v>
      </c>
      <c r="J821" t="str">
        <f>_xlfn.XLOOKUP(C821,Customer_Dim!A:A,Customer_Dim!B:B,"Not Found")</f>
        <v>Robert House</v>
      </c>
      <c r="K821">
        <f>Table511[[#This Row],[Total_Amount]]/(L821*(1-Table511[[#This Row],[Discount]]))</f>
        <v>1</v>
      </c>
      <c r="L821" s="5">
        <v>719.94</v>
      </c>
      <c r="M821">
        <v>0.23</v>
      </c>
      <c r="N821" t="s">
        <v>1354</v>
      </c>
      <c r="O821" s="5">
        <v>554.35380000000009</v>
      </c>
    </row>
    <row r="822" spans="1:15">
      <c r="A822" t="s">
        <v>2171</v>
      </c>
      <c r="B822" s="7">
        <v>45607</v>
      </c>
      <c r="C822" t="s">
        <v>30</v>
      </c>
      <c r="D822" t="s">
        <v>1129</v>
      </c>
      <c r="E822" t="s">
        <v>1294</v>
      </c>
      <c r="F822" t="str">
        <f>[1]Raw_Customer_Dim!$A$2</f>
        <v>CUST1000</v>
      </c>
      <c r="G822" t="str">
        <f>_xlfn.XLOOKUP(E822,Store_Dim!A:A,Store_Dim!B:B,"Not Found")</f>
        <v>Alexander Group</v>
      </c>
      <c r="H822" t="str">
        <f>_xlfn.XLOOKUP(D822,Product_Dim!A:A,Product_Dim!C:C,"Not Found")</f>
        <v>Sports</v>
      </c>
      <c r="I822" t="str">
        <f>_xlfn.XLOOKUP(E822,Store_Dim!A:A,Store_Dim!C:C,"Not Found")</f>
        <v>South</v>
      </c>
      <c r="J822" t="str">
        <f>_xlfn.XLOOKUP(C822,Customer_Dim!A:A,Customer_Dim!B:B,"Not Found")</f>
        <v>Amber Jackson</v>
      </c>
      <c r="K822">
        <f>Table511[[#This Row],[Total_Amount]]/(L822*(1-Table511[[#This Row],[Discount]]))</f>
        <v>2.0000000000000004</v>
      </c>
      <c r="L822" s="5">
        <v>278.16000000000003</v>
      </c>
      <c r="M822">
        <v>0.22</v>
      </c>
      <c r="N822" t="s">
        <v>1351</v>
      </c>
      <c r="O822" s="5">
        <v>433.92960000000011</v>
      </c>
    </row>
    <row r="823" spans="1:15">
      <c r="A823" t="s">
        <v>2172</v>
      </c>
      <c r="B823" s="7">
        <v>45307</v>
      </c>
      <c r="C823" t="s">
        <v>150</v>
      </c>
      <c r="D823" t="s">
        <v>1171</v>
      </c>
      <c r="E823" t="s">
        <v>1298</v>
      </c>
      <c r="F823" t="str">
        <f>[1]Raw_Customer_Dim!$A$2</f>
        <v>CUST1000</v>
      </c>
      <c r="G823" t="str">
        <f>_xlfn.XLOOKUP(E823,Store_Dim!A:A,Store_Dim!B:B,"Not Found")</f>
        <v>Gray Ltd</v>
      </c>
      <c r="H823" t="str">
        <f>_xlfn.XLOOKUP(D823,Product_Dim!A:A,Product_Dim!C:C,"Not Found")</f>
        <v>Beauty</v>
      </c>
      <c r="I823" t="str">
        <f>_xlfn.XLOOKUP(E823,Store_Dim!A:A,Store_Dim!C:C,"Not Found")</f>
        <v>North</v>
      </c>
      <c r="J823" t="str">
        <f>_xlfn.XLOOKUP(C823,Customer_Dim!A:A,Customer_Dim!B:B,"Not Found")</f>
        <v>Sharon Brown</v>
      </c>
      <c r="K823">
        <f>Table511[[#This Row],[Total_Amount]]/(L823*(1-Table511[[#This Row],[Discount]]))</f>
        <v>1</v>
      </c>
      <c r="L823" s="5">
        <v>678.9</v>
      </c>
      <c r="M823">
        <v>0.17</v>
      </c>
      <c r="N823" t="s">
        <v>1349</v>
      </c>
      <c r="O823" s="5">
        <v>563.48699999999997</v>
      </c>
    </row>
    <row r="824" spans="1:15">
      <c r="A824" t="s">
        <v>2173</v>
      </c>
      <c r="B824" s="7">
        <v>45520</v>
      </c>
      <c r="C824" t="s">
        <v>56</v>
      </c>
      <c r="D824" t="s">
        <v>1123</v>
      </c>
      <c r="E824" t="s">
        <v>1326</v>
      </c>
      <c r="F824" t="str">
        <f>[1]Raw_Customer_Dim!$A$2</f>
        <v>CUST1000</v>
      </c>
      <c r="G824" t="str">
        <f>_xlfn.XLOOKUP(E824,Store_Dim!A:A,Store_Dim!B:B,"Not Found")</f>
        <v>Shelton PLC</v>
      </c>
      <c r="H824" t="str">
        <f>_xlfn.XLOOKUP(D824,Product_Dim!A:A,Product_Dim!C:C,"Not Found")</f>
        <v>Clothing</v>
      </c>
      <c r="I824" t="str">
        <f>_xlfn.XLOOKUP(E824,Store_Dim!A:A,Store_Dim!C:C,"Not Found")</f>
        <v>North</v>
      </c>
      <c r="J824" t="str">
        <f>_xlfn.XLOOKUP(C824,Customer_Dim!A:A,Customer_Dim!B:B,"Not Found")</f>
        <v>Laura Alvarez</v>
      </c>
      <c r="K824">
        <f>Table511[[#This Row],[Total_Amount]]/(L824*(1-Table511[[#This Row],[Discount]]))</f>
        <v>4</v>
      </c>
      <c r="L824" s="5">
        <v>94.13</v>
      </c>
      <c r="M824">
        <v>0.15</v>
      </c>
      <c r="N824" t="s">
        <v>1349</v>
      </c>
      <c r="O824" s="5">
        <v>320.04199999999997</v>
      </c>
    </row>
    <row r="825" spans="1:15">
      <c r="A825" t="s">
        <v>2174</v>
      </c>
      <c r="B825" s="7">
        <v>45933</v>
      </c>
      <c r="C825" t="s">
        <v>945</v>
      </c>
      <c r="D825" t="s">
        <v>1161</v>
      </c>
      <c r="E825" t="s">
        <v>1282</v>
      </c>
      <c r="F825" t="str">
        <f>[1]Raw_Customer_Dim!$A$2</f>
        <v>CUST1000</v>
      </c>
      <c r="G825" t="str">
        <f>_xlfn.XLOOKUP(E825,Store_Dim!A:A,Store_Dim!B:B,"Not Found")</f>
        <v>Martinez, Adkins and Johnson</v>
      </c>
      <c r="H825" t="str">
        <f>_xlfn.XLOOKUP(D825,Product_Dim!A:A,Product_Dim!C:C,"Not Found")</f>
        <v>Sports</v>
      </c>
      <c r="I825" t="str">
        <f>_xlfn.XLOOKUP(E825,Store_Dim!A:A,Store_Dim!C:C,"Not Found")</f>
        <v>North</v>
      </c>
      <c r="J825" t="str">
        <f>_xlfn.XLOOKUP(C825,Customer_Dim!A:A,Customer_Dim!B:B,"Not Found")</f>
        <v>Dalton Walters</v>
      </c>
      <c r="K825">
        <f>Table511[[#This Row],[Total_Amount]]/(L825*(1-Table511[[#This Row],[Discount]]))</f>
        <v>4</v>
      </c>
      <c r="L825" s="5">
        <v>415.02</v>
      </c>
      <c r="M825">
        <v>0.01</v>
      </c>
      <c r="N825" t="s">
        <v>1351</v>
      </c>
      <c r="O825" s="5">
        <v>1643.4792</v>
      </c>
    </row>
    <row r="826" spans="1:15">
      <c r="A826" t="s">
        <v>2175</v>
      </c>
      <c r="B826" s="7">
        <v>45841</v>
      </c>
      <c r="C826" t="s">
        <v>145</v>
      </c>
      <c r="D826" t="s">
        <v>1095</v>
      </c>
      <c r="E826" t="s">
        <v>1294</v>
      </c>
      <c r="F826" t="str">
        <f>[1]Raw_Customer_Dim!$A$2</f>
        <v>CUST1000</v>
      </c>
      <c r="G826" t="str">
        <f>_xlfn.XLOOKUP(E826,Store_Dim!A:A,Store_Dim!B:B,"Not Found")</f>
        <v>Alexander Group</v>
      </c>
      <c r="H826" t="str">
        <f>_xlfn.XLOOKUP(D826,Product_Dim!A:A,Product_Dim!C:C,"Not Found")</f>
        <v>Electronics</v>
      </c>
      <c r="I826" t="str">
        <f>_xlfn.XLOOKUP(E826,Store_Dim!A:A,Store_Dim!C:C,"Not Found")</f>
        <v>South</v>
      </c>
      <c r="J826" t="str">
        <f>_xlfn.XLOOKUP(C826,Customer_Dim!A:A,Customer_Dim!B:B,"Not Found")</f>
        <v>Sarah Rodgers</v>
      </c>
      <c r="K826">
        <f>Table511[[#This Row],[Total_Amount]]/(L826*(1-Table511[[#This Row],[Discount]]))</f>
        <v>4</v>
      </c>
      <c r="L826" s="5">
        <v>780.07</v>
      </c>
      <c r="M826">
        <v>0.03</v>
      </c>
      <c r="N826" t="s">
        <v>1349</v>
      </c>
      <c r="O826" s="5">
        <v>3026.6716000000001</v>
      </c>
    </row>
    <row r="827" spans="1:15">
      <c r="A827" t="s">
        <v>2176</v>
      </c>
      <c r="B827" s="7">
        <v>45877</v>
      </c>
      <c r="C827" t="s">
        <v>919</v>
      </c>
      <c r="D827" t="s">
        <v>1147</v>
      </c>
      <c r="E827" t="s">
        <v>1326</v>
      </c>
      <c r="F827" t="str">
        <f>[1]Raw_Customer_Dim!$A$2</f>
        <v>CUST1000</v>
      </c>
      <c r="G827" t="str">
        <f>_xlfn.XLOOKUP(E827,Store_Dim!A:A,Store_Dim!B:B,"Not Found")</f>
        <v>Shelton PLC</v>
      </c>
      <c r="H827" t="str">
        <f>_xlfn.XLOOKUP(D827,Product_Dim!A:A,Product_Dim!C:C,"Not Found")</f>
        <v>Clothing</v>
      </c>
      <c r="I827" t="str">
        <f>_xlfn.XLOOKUP(E827,Store_Dim!A:A,Store_Dim!C:C,"Not Found")</f>
        <v>North</v>
      </c>
      <c r="J827" t="str">
        <f>_xlfn.XLOOKUP(C827,Customer_Dim!A:A,Customer_Dim!B:B,"Not Found")</f>
        <v>Samuel Mullins</v>
      </c>
      <c r="K827">
        <f>Table511[[#This Row],[Total_Amount]]/(L827*(1-Table511[[#This Row],[Discount]]))</f>
        <v>4</v>
      </c>
      <c r="L827" s="5">
        <v>184.57</v>
      </c>
      <c r="M827">
        <v>0.28000000000000003</v>
      </c>
      <c r="N827" t="s">
        <v>1349</v>
      </c>
      <c r="O827" s="5">
        <v>531.5616</v>
      </c>
    </row>
    <row r="828" spans="1:15">
      <c r="A828" t="s">
        <v>2177</v>
      </c>
      <c r="B828" s="7">
        <v>45532</v>
      </c>
      <c r="C828" t="s">
        <v>638</v>
      </c>
      <c r="D828" t="s">
        <v>1203</v>
      </c>
      <c r="E828" t="s">
        <v>1294</v>
      </c>
      <c r="F828" t="str">
        <f>[1]Raw_Customer_Dim!$A$2</f>
        <v>CUST1000</v>
      </c>
      <c r="G828" t="str">
        <f>_xlfn.XLOOKUP(E828,Store_Dim!A:A,Store_Dim!B:B,"Not Found")</f>
        <v>Alexander Group</v>
      </c>
      <c r="H828" t="str">
        <f>_xlfn.XLOOKUP(D828,Product_Dim!A:A,Product_Dim!C:C,"Not Found")</f>
        <v>Sports</v>
      </c>
      <c r="I828" t="str">
        <f>_xlfn.XLOOKUP(E828,Store_Dim!A:A,Store_Dim!C:C,"Not Found")</f>
        <v>South</v>
      </c>
      <c r="J828" t="str">
        <f>_xlfn.XLOOKUP(C828,Customer_Dim!A:A,Customer_Dim!B:B,"Not Found")</f>
        <v>Cynthia Roberts</v>
      </c>
      <c r="K828">
        <f>Table511[[#This Row],[Total_Amount]]/(L828*(1-Table511[[#This Row],[Discount]]))</f>
        <v>4</v>
      </c>
      <c r="L828" s="5">
        <v>277.58</v>
      </c>
      <c r="M828">
        <v>0.22</v>
      </c>
      <c r="N828" t="s">
        <v>1351</v>
      </c>
      <c r="O828" s="5">
        <v>866.04959999999994</v>
      </c>
    </row>
    <row r="829" spans="1:15">
      <c r="A829" t="s">
        <v>2178</v>
      </c>
      <c r="B829" s="7">
        <v>45734</v>
      </c>
      <c r="C829" t="s">
        <v>267</v>
      </c>
      <c r="D829" t="s">
        <v>1135</v>
      </c>
      <c r="E829" t="s">
        <v>1291</v>
      </c>
      <c r="F829" t="str">
        <f>[1]Raw_Customer_Dim!$A$2</f>
        <v>CUST1000</v>
      </c>
      <c r="G829" t="str">
        <f>_xlfn.XLOOKUP(E829,Store_Dim!A:A,Store_Dim!B:B,"Not Found")</f>
        <v>Johnson-Wright</v>
      </c>
      <c r="H829" t="str">
        <f>_xlfn.XLOOKUP(D829,Product_Dim!A:A,Product_Dim!C:C,"Not Found")</f>
        <v>Sports</v>
      </c>
      <c r="I829" t="str">
        <f>_xlfn.XLOOKUP(E829,Store_Dim!A:A,Store_Dim!C:C,"Not Found")</f>
        <v>North</v>
      </c>
      <c r="J829" t="str">
        <f>_xlfn.XLOOKUP(C829,Customer_Dim!A:A,Customer_Dim!B:B,"Not Found")</f>
        <v>Christopher Lester</v>
      </c>
      <c r="K829">
        <f>Table511[[#This Row],[Total_Amount]]/(L829*(1-Table511[[#This Row],[Discount]]))</f>
        <v>1</v>
      </c>
      <c r="L829" s="5">
        <v>36.799999999999997</v>
      </c>
      <c r="M829">
        <v>0.18</v>
      </c>
      <c r="N829" t="s">
        <v>1349</v>
      </c>
      <c r="O829" s="5">
        <v>30.175999999999998</v>
      </c>
    </row>
    <row r="830" spans="1:15">
      <c r="A830" t="s">
        <v>2179</v>
      </c>
      <c r="B830" s="7">
        <v>45809</v>
      </c>
      <c r="C830" t="s">
        <v>775</v>
      </c>
      <c r="D830" t="s">
        <v>1249</v>
      </c>
      <c r="E830" t="s">
        <v>1301</v>
      </c>
      <c r="F830" t="str">
        <f>[1]Raw_Customer_Dim!$A$2</f>
        <v>CUST1000</v>
      </c>
      <c r="G830" t="str">
        <f>_xlfn.XLOOKUP(E830,Store_Dim!A:A,Store_Dim!B:B,"Not Found")</f>
        <v>Benson-Elliott</v>
      </c>
      <c r="H830" t="str">
        <f>_xlfn.XLOOKUP(D830,Product_Dim!A:A,Product_Dim!C:C,"Not Found")</f>
        <v>Sports</v>
      </c>
      <c r="I830" t="str">
        <f>_xlfn.XLOOKUP(E830,Store_Dim!A:A,Store_Dim!C:C,"Not Found")</f>
        <v>East</v>
      </c>
      <c r="J830" t="str">
        <f>_xlfn.XLOOKUP(C830,Customer_Dim!A:A,Customer_Dim!B:B,"Not Found")</f>
        <v>Steve Hunt</v>
      </c>
      <c r="K830">
        <f>Table511[[#This Row],[Total_Amount]]/(L830*(1-Table511[[#This Row],[Discount]]))</f>
        <v>1</v>
      </c>
      <c r="L830" s="5">
        <v>539.37</v>
      </c>
      <c r="M830">
        <v>0.14000000000000001</v>
      </c>
      <c r="N830" t="s">
        <v>1349</v>
      </c>
      <c r="O830" s="5">
        <v>463.85820000000001</v>
      </c>
    </row>
    <row r="831" spans="1:15">
      <c r="A831" t="s">
        <v>2180</v>
      </c>
      <c r="B831" s="7">
        <v>45760</v>
      </c>
      <c r="C831" t="s">
        <v>234</v>
      </c>
      <c r="D831" t="s">
        <v>1113</v>
      </c>
      <c r="E831" t="s">
        <v>1335</v>
      </c>
      <c r="F831" t="str">
        <f>[1]Raw_Customer_Dim!$A$2</f>
        <v>CUST1000</v>
      </c>
      <c r="G831" t="str">
        <f>_xlfn.XLOOKUP(E831,Store_Dim!A:A,Store_Dim!B:B,"Not Found")</f>
        <v>Guerrero-Schmitt</v>
      </c>
      <c r="H831" t="str">
        <f>_xlfn.XLOOKUP(D831,Product_Dim!A:A,Product_Dim!C:C,"Not Found")</f>
        <v>Sports</v>
      </c>
      <c r="I831" t="str">
        <f>_xlfn.XLOOKUP(E831,Store_Dim!A:A,Store_Dim!C:C,"Not Found")</f>
        <v>East</v>
      </c>
      <c r="J831" t="str">
        <f>_xlfn.XLOOKUP(C831,Customer_Dim!A:A,Customer_Dim!B:B,"Not Found")</f>
        <v>Jamie Yoder</v>
      </c>
      <c r="K831">
        <f>Table511[[#This Row],[Total_Amount]]/(L831*(1-Table511[[#This Row],[Discount]]))</f>
        <v>1.0000000000000002</v>
      </c>
      <c r="L831" s="5">
        <v>27.83</v>
      </c>
      <c r="M831">
        <v>0.3</v>
      </c>
      <c r="N831" t="s">
        <v>1351</v>
      </c>
      <c r="O831" s="5">
        <v>19.481000000000002</v>
      </c>
    </row>
    <row r="832" spans="1:15">
      <c r="A832" t="s">
        <v>2181</v>
      </c>
      <c r="B832" s="7">
        <v>45456</v>
      </c>
      <c r="C832" t="s">
        <v>630</v>
      </c>
      <c r="D832" t="s">
        <v>1213</v>
      </c>
      <c r="E832" t="s">
        <v>1294</v>
      </c>
      <c r="F832" t="str">
        <f>[1]Raw_Customer_Dim!$A$2</f>
        <v>CUST1000</v>
      </c>
      <c r="G832" t="str">
        <f>_xlfn.XLOOKUP(E832,Store_Dim!A:A,Store_Dim!B:B,"Not Found")</f>
        <v>Alexander Group</v>
      </c>
      <c r="H832" t="str">
        <f>_xlfn.XLOOKUP(D832,Product_Dim!A:A,Product_Dim!C:C,"Not Found")</f>
        <v>Home</v>
      </c>
      <c r="I832" t="str">
        <f>_xlfn.XLOOKUP(E832,Store_Dim!A:A,Store_Dim!C:C,"Not Found")</f>
        <v>South</v>
      </c>
      <c r="J832" t="str">
        <f>_xlfn.XLOOKUP(C832,Customer_Dim!A:A,Customer_Dim!B:B,"Not Found")</f>
        <v>Bryan Garcia</v>
      </c>
      <c r="K832">
        <f>Table511[[#This Row],[Total_Amount]]/(L832*(1-Table511[[#This Row],[Discount]]))</f>
        <v>3.0000000000000004</v>
      </c>
      <c r="L832" s="5">
        <v>698.72</v>
      </c>
      <c r="M832">
        <v>0.28000000000000003</v>
      </c>
      <c r="N832" t="s">
        <v>1354</v>
      </c>
      <c r="O832" s="5">
        <v>1509.2352000000001</v>
      </c>
    </row>
    <row r="833" spans="1:15">
      <c r="A833" t="s">
        <v>2182</v>
      </c>
      <c r="B833" s="7">
        <v>45698</v>
      </c>
      <c r="C833" t="s">
        <v>47</v>
      </c>
      <c r="D833" t="s">
        <v>1225</v>
      </c>
      <c r="E833" t="s">
        <v>1322</v>
      </c>
      <c r="F833" t="str">
        <f>[1]Raw_Customer_Dim!$A$2</f>
        <v>CUST1000</v>
      </c>
      <c r="G833" t="str">
        <f>_xlfn.XLOOKUP(E833,Store_Dim!A:A,Store_Dim!B:B,"Not Found")</f>
        <v>Gardner, Humphrey and Contreras</v>
      </c>
      <c r="H833" t="str">
        <f>_xlfn.XLOOKUP(D833,Product_Dim!A:A,Product_Dim!C:C,"Not Found")</f>
        <v>Electronics</v>
      </c>
      <c r="I833" t="str">
        <f>_xlfn.XLOOKUP(E833,Store_Dim!A:A,Store_Dim!C:C,"Not Found")</f>
        <v>East</v>
      </c>
      <c r="J833" t="str">
        <f>_xlfn.XLOOKUP(C833,Customer_Dim!A:A,Customer_Dim!B:B,"Not Found")</f>
        <v>Kenneth Lambert</v>
      </c>
      <c r="K833">
        <f>Table511[[#This Row],[Total_Amount]]/(L833*(1-Table511[[#This Row],[Discount]]))</f>
        <v>4</v>
      </c>
      <c r="L833" s="5">
        <v>528.23</v>
      </c>
      <c r="M833">
        <v>0.15</v>
      </c>
      <c r="N833" t="s">
        <v>1354</v>
      </c>
      <c r="O833" s="5">
        <v>1795.982</v>
      </c>
    </row>
    <row r="834" spans="1:15">
      <c r="A834" t="s">
        <v>2183</v>
      </c>
      <c r="B834" s="7">
        <v>45548</v>
      </c>
      <c r="C834" t="s">
        <v>1045</v>
      </c>
      <c r="D834" t="s">
        <v>1165</v>
      </c>
      <c r="E834" t="s">
        <v>1329</v>
      </c>
      <c r="F834" t="str">
        <f>[1]Raw_Customer_Dim!$A$2</f>
        <v>CUST1000</v>
      </c>
      <c r="G834" t="str">
        <f>_xlfn.XLOOKUP(E834,Store_Dim!A:A,Store_Dim!B:B,"Not Found")</f>
        <v>Frederick-Wright</v>
      </c>
      <c r="H834" t="str">
        <f>_xlfn.XLOOKUP(D834,Product_Dim!A:A,Product_Dim!C:C,"Not Found")</f>
        <v>Clothing</v>
      </c>
      <c r="I834" t="str">
        <f>_xlfn.XLOOKUP(E834,Store_Dim!A:A,Store_Dim!C:C,"Not Found")</f>
        <v>West</v>
      </c>
      <c r="J834" t="str">
        <f>_xlfn.XLOOKUP(C834,Customer_Dim!A:A,Customer_Dim!B:B,"Not Found")</f>
        <v>Darrell Miller</v>
      </c>
      <c r="K834">
        <f>Table511[[#This Row],[Total_Amount]]/(L834*(1-Table511[[#This Row],[Discount]]))</f>
        <v>2</v>
      </c>
      <c r="L834" s="5">
        <v>780.9</v>
      </c>
      <c r="M834">
        <v>0.24</v>
      </c>
      <c r="N834" t="s">
        <v>1351</v>
      </c>
      <c r="O834" s="5">
        <v>1186.9680000000001</v>
      </c>
    </row>
    <row r="835" spans="1:15">
      <c r="A835" t="s">
        <v>2184</v>
      </c>
      <c r="B835" s="7">
        <v>45236</v>
      </c>
      <c r="C835" t="s">
        <v>422</v>
      </c>
      <c r="D835" t="s">
        <v>1115</v>
      </c>
      <c r="E835" t="s">
        <v>1324</v>
      </c>
      <c r="F835" t="str">
        <f>[1]Raw_Customer_Dim!$A$2</f>
        <v>CUST1000</v>
      </c>
      <c r="G835" t="str">
        <f>_xlfn.XLOOKUP(E835,Store_Dim!A:A,Store_Dim!B:B,"Not Found")</f>
        <v>Mcdonald Inc</v>
      </c>
      <c r="H835" t="str">
        <f>_xlfn.XLOOKUP(D835,Product_Dim!A:A,Product_Dim!C:C,"Not Found")</f>
        <v>Home</v>
      </c>
      <c r="I835" t="str">
        <f>_xlfn.XLOOKUP(E835,Store_Dim!A:A,Store_Dim!C:C,"Not Found")</f>
        <v>South</v>
      </c>
      <c r="J835" t="str">
        <f>_xlfn.XLOOKUP(C835,Customer_Dim!A:A,Customer_Dim!B:B,"Not Found")</f>
        <v>Wesley Thompson</v>
      </c>
      <c r="K835">
        <f>Table511[[#This Row],[Total_Amount]]/(L835*(1-Table511[[#This Row],[Discount]]))</f>
        <v>1</v>
      </c>
      <c r="L835" s="5">
        <v>977.97</v>
      </c>
      <c r="M835">
        <v>0.06</v>
      </c>
      <c r="N835" t="s">
        <v>1354</v>
      </c>
      <c r="O835" s="5">
        <v>919.29179999999997</v>
      </c>
    </row>
    <row r="836" spans="1:15">
      <c r="A836" t="s">
        <v>2185</v>
      </c>
      <c r="B836" s="7">
        <v>45310</v>
      </c>
      <c r="C836" t="s">
        <v>801</v>
      </c>
      <c r="D836" t="s">
        <v>1239</v>
      </c>
      <c r="E836" t="s">
        <v>1319</v>
      </c>
      <c r="F836" t="str">
        <f>[1]Raw_Customer_Dim!$A$2</f>
        <v>CUST1000</v>
      </c>
      <c r="G836" t="str">
        <f>_xlfn.XLOOKUP(E836,Store_Dim!A:A,Store_Dim!B:B,"Not Found")</f>
        <v>Thomas, Bridges and Harris</v>
      </c>
      <c r="H836" t="str">
        <f>_xlfn.XLOOKUP(D836,Product_Dim!A:A,Product_Dim!C:C,"Not Found")</f>
        <v>Beauty</v>
      </c>
      <c r="I836" t="str">
        <f>_xlfn.XLOOKUP(E836,Store_Dim!A:A,Store_Dim!C:C,"Not Found")</f>
        <v>North</v>
      </c>
      <c r="J836" t="str">
        <f>_xlfn.XLOOKUP(C836,Customer_Dim!A:A,Customer_Dim!B:B,"Not Found")</f>
        <v>Gregory Allen</v>
      </c>
      <c r="K836">
        <f>Table511[[#This Row],[Total_Amount]]/(L836*(1-Table511[[#This Row],[Discount]]))</f>
        <v>4</v>
      </c>
      <c r="L836" s="5">
        <v>354.65</v>
      </c>
      <c r="M836">
        <v>0.19</v>
      </c>
      <c r="N836" t="s">
        <v>1349</v>
      </c>
      <c r="O836" s="5">
        <v>1149.066</v>
      </c>
    </row>
    <row r="837" spans="1:15">
      <c r="A837" t="s">
        <v>2186</v>
      </c>
      <c r="B837" s="7">
        <v>45376</v>
      </c>
      <c r="C837" t="s">
        <v>630</v>
      </c>
      <c r="D837" t="s">
        <v>1209</v>
      </c>
      <c r="E837" t="s">
        <v>1338</v>
      </c>
      <c r="F837" t="str">
        <f>[1]Raw_Customer_Dim!$A$2</f>
        <v>CUST1000</v>
      </c>
      <c r="G837" t="str">
        <f>_xlfn.XLOOKUP(E837,Store_Dim!A:A,Store_Dim!B:B,"Not Found")</f>
        <v>Mann-Austin</v>
      </c>
      <c r="H837" t="str">
        <f>_xlfn.XLOOKUP(D837,Product_Dim!A:A,Product_Dim!C:C,"Not Found")</f>
        <v>Home</v>
      </c>
      <c r="I837" t="str">
        <f>_xlfn.XLOOKUP(E837,Store_Dim!A:A,Store_Dim!C:C,"Not Found")</f>
        <v>East</v>
      </c>
      <c r="J837" t="str">
        <f>_xlfn.XLOOKUP(C837,Customer_Dim!A:A,Customer_Dim!B:B,"Not Found")</f>
        <v>Bryan Garcia</v>
      </c>
      <c r="K837">
        <f>Table511[[#This Row],[Total_Amount]]/(L837*(1-Table511[[#This Row],[Discount]]))</f>
        <v>1</v>
      </c>
      <c r="L837" s="5">
        <v>671.62</v>
      </c>
      <c r="M837">
        <v>0.09</v>
      </c>
      <c r="N837" t="s">
        <v>1354</v>
      </c>
      <c r="O837" s="5">
        <v>611.17420000000004</v>
      </c>
    </row>
    <row r="838" spans="1:15">
      <c r="A838" t="s">
        <v>2187</v>
      </c>
      <c r="B838" s="7">
        <v>45914</v>
      </c>
      <c r="C838" t="s">
        <v>698</v>
      </c>
      <c r="D838" t="s">
        <v>1237</v>
      </c>
      <c r="E838" t="s">
        <v>1291</v>
      </c>
      <c r="F838" t="str">
        <f>[1]Raw_Customer_Dim!$A$2</f>
        <v>CUST1000</v>
      </c>
      <c r="G838" t="str">
        <f>_xlfn.XLOOKUP(E838,Store_Dim!A:A,Store_Dim!B:B,"Not Found")</f>
        <v>Johnson-Wright</v>
      </c>
      <c r="H838" t="str">
        <f>_xlfn.XLOOKUP(D838,Product_Dim!A:A,Product_Dim!C:C,"Not Found")</f>
        <v>Sports</v>
      </c>
      <c r="I838" t="str">
        <f>_xlfn.XLOOKUP(E838,Store_Dim!A:A,Store_Dim!C:C,"Not Found")</f>
        <v>North</v>
      </c>
      <c r="J838" t="str">
        <f>_xlfn.XLOOKUP(C838,Customer_Dim!A:A,Customer_Dim!B:B,"Not Found")</f>
        <v>Tiffany Williams</v>
      </c>
      <c r="K838">
        <f>Table511[[#This Row],[Total_Amount]]/(L838*(1-Table511[[#This Row],[Discount]]))</f>
        <v>1</v>
      </c>
      <c r="L838" s="5">
        <v>867.32</v>
      </c>
      <c r="M838">
        <v>0.28999999999999998</v>
      </c>
      <c r="N838" t="s">
        <v>1351</v>
      </c>
      <c r="O838" s="5">
        <v>615.79719999999998</v>
      </c>
    </row>
    <row r="839" spans="1:15">
      <c r="A839" t="s">
        <v>2188</v>
      </c>
      <c r="B839" s="7">
        <v>45336</v>
      </c>
      <c r="C839" t="s">
        <v>216</v>
      </c>
      <c r="D839" t="s">
        <v>1093</v>
      </c>
      <c r="E839" t="s">
        <v>1319</v>
      </c>
      <c r="F839" t="str">
        <f>[1]Raw_Customer_Dim!$A$2</f>
        <v>CUST1000</v>
      </c>
      <c r="G839" t="str">
        <f>_xlfn.XLOOKUP(E839,Store_Dim!A:A,Store_Dim!B:B,"Not Found")</f>
        <v>Thomas, Bridges and Harris</v>
      </c>
      <c r="H839" t="str">
        <f>_xlfn.XLOOKUP(D839,Product_Dim!A:A,Product_Dim!C:C,"Not Found")</f>
        <v>Home</v>
      </c>
      <c r="I839" t="str">
        <f>_xlfn.XLOOKUP(E839,Store_Dim!A:A,Store_Dim!C:C,"Not Found")</f>
        <v>North</v>
      </c>
      <c r="J839" t="str">
        <f>_xlfn.XLOOKUP(C839,Customer_Dim!A:A,Customer_Dim!B:B,"Not Found")</f>
        <v>Krystal Ford</v>
      </c>
      <c r="K839">
        <f>Table511[[#This Row],[Total_Amount]]/(L839*(1-Table511[[#This Row],[Discount]]))</f>
        <v>3.0000000000000004</v>
      </c>
      <c r="L839" s="5">
        <v>240.27</v>
      </c>
      <c r="M839">
        <v>0.15</v>
      </c>
      <c r="N839" t="s">
        <v>1351</v>
      </c>
      <c r="O839" s="5">
        <v>612.68850000000009</v>
      </c>
    </row>
    <row r="840" spans="1:15">
      <c r="A840" t="s">
        <v>2189</v>
      </c>
      <c r="B840" s="7">
        <v>45728</v>
      </c>
      <c r="C840" t="s">
        <v>202</v>
      </c>
      <c r="D840" t="s">
        <v>1129</v>
      </c>
      <c r="E840" t="s">
        <v>1329</v>
      </c>
      <c r="F840" t="str">
        <f>[1]Raw_Customer_Dim!$A$2</f>
        <v>CUST1000</v>
      </c>
      <c r="G840" t="str">
        <f>_xlfn.XLOOKUP(E840,Store_Dim!A:A,Store_Dim!B:B,"Not Found")</f>
        <v>Frederick-Wright</v>
      </c>
      <c r="H840" t="str">
        <f>_xlfn.XLOOKUP(D840,Product_Dim!A:A,Product_Dim!C:C,"Not Found")</f>
        <v>Sports</v>
      </c>
      <c r="I840" t="str">
        <f>_xlfn.XLOOKUP(E840,Store_Dim!A:A,Store_Dim!C:C,"Not Found")</f>
        <v>West</v>
      </c>
      <c r="J840" t="str">
        <f>_xlfn.XLOOKUP(C840,Customer_Dim!A:A,Customer_Dim!B:B,"Not Found")</f>
        <v>Rhonda Morales</v>
      </c>
      <c r="K840">
        <f>Table511[[#This Row],[Total_Amount]]/(L840*(1-Table511[[#This Row],[Discount]]))</f>
        <v>2</v>
      </c>
      <c r="L840" s="5">
        <v>619.12</v>
      </c>
      <c r="M840">
        <v>0.28000000000000003</v>
      </c>
      <c r="N840" t="s">
        <v>1354</v>
      </c>
      <c r="O840" s="5">
        <v>891.53279999999995</v>
      </c>
    </row>
    <row r="841" spans="1:15">
      <c r="A841" t="s">
        <v>2190</v>
      </c>
      <c r="B841" s="7">
        <v>45755</v>
      </c>
      <c r="C841" t="s">
        <v>488</v>
      </c>
      <c r="D841" t="s">
        <v>1247</v>
      </c>
      <c r="E841" t="s">
        <v>1277</v>
      </c>
      <c r="F841" t="str">
        <f>[1]Raw_Customer_Dim!$A$2</f>
        <v>CUST1000</v>
      </c>
      <c r="G841" t="str">
        <f>_xlfn.XLOOKUP(E841,Store_Dim!A:A,Store_Dim!B:B,"Not Found")</f>
        <v>Rivera-Warner</v>
      </c>
      <c r="H841" t="str">
        <f>_xlfn.XLOOKUP(D841,Product_Dim!A:A,Product_Dim!C:C,"Not Found")</f>
        <v>Home</v>
      </c>
      <c r="I841" t="str">
        <f>_xlfn.XLOOKUP(E841,Store_Dim!A:A,Store_Dim!C:C,"Not Found")</f>
        <v>East</v>
      </c>
      <c r="J841" t="str">
        <f>_xlfn.XLOOKUP(C841,Customer_Dim!A:A,Customer_Dim!B:B,"Not Found")</f>
        <v>Stuart Johnson</v>
      </c>
      <c r="K841">
        <f>Table511[[#This Row],[Total_Amount]]/(L841*(1-Table511[[#This Row],[Discount]]))</f>
        <v>2.9999999999999996</v>
      </c>
      <c r="L841" s="5">
        <v>693.42</v>
      </c>
      <c r="M841">
        <v>0.08</v>
      </c>
      <c r="N841" t="s">
        <v>1351</v>
      </c>
      <c r="O841" s="5">
        <v>1913.8391999999999</v>
      </c>
    </row>
    <row r="842" spans="1:15">
      <c r="A842" t="s">
        <v>2191</v>
      </c>
      <c r="B842" s="7">
        <v>45695</v>
      </c>
      <c r="C842" t="s">
        <v>275</v>
      </c>
      <c r="D842" t="s">
        <v>1169</v>
      </c>
      <c r="E842" t="s">
        <v>1314</v>
      </c>
      <c r="F842" t="str">
        <f>[1]Raw_Customer_Dim!$A$2</f>
        <v>CUST1000</v>
      </c>
      <c r="G842" t="str">
        <f>_xlfn.XLOOKUP(E842,Store_Dim!A:A,Store_Dim!B:B,"Not Found")</f>
        <v>Hill, Wagner and Ballard</v>
      </c>
      <c r="H842" t="str">
        <f>_xlfn.XLOOKUP(D842,Product_Dim!A:A,Product_Dim!C:C,"Not Found")</f>
        <v>Electronics</v>
      </c>
      <c r="I842" t="str">
        <f>_xlfn.XLOOKUP(E842,Store_Dim!A:A,Store_Dim!C:C,"Not Found")</f>
        <v>East</v>
      </c>
      <c r="J842" t="str">
        <f>_xlfn.XLOOKUP(C842,Customer_Dim!A:A,Customer_Dim!B:B,"Not Found")</f>
        <v>Travis Holland</v>
      </c>
      <c r="K842">
        <f>Table511[[#This Row],[Total_Amount]]/(L842*(1-Table511[[#This Row],[Discount]]))</f>
        <v>4</v>
      </c>
      <c r="L842" s="5">
        <v>751.63</v>
      </c>
      <c r="M842">
        <v>0.28000000000000003</v>
      </c>
      <c r="N842" t="s">
        <v>1354</v>
      </c>
      <c r="O842" s="5">
        <v>2164.6943999999999</v>
      </c>
    </row>
    <row r="843" spans="1:15">
      <c r="A843" t="s">
        <v>2192</v>
      </c>
      <c r="B843" s="7">
        <v>45380</v>
      </c>
      <c r="C843" t="s">
        <v>279</v>
      </c>
      <c r="D843" t="s">
        <v>1135</v>
      </c>
      <c r="E843" t="s">
        <v>1326</v>
      </c>
      <c r="F843" t="str">
        <f>[1]Raw_Customer_Dim!$A$2</f>
        <v>CUST1000</v>
      </c>
      <c r="G843" t="str">
        <f>_xlfn.XLOOKUP(E843,Store_Dim!A:A,Store_Dim!B:B,"Not Found")</f>
        <v>Shelton PLC</v>
      </c>
      <c r="H843" t="str">
        <f>_xlfn.XLOOKUP(D843,Product_Dim!A:A,Product_Dim!C:C,"Not Found")</f>
        <v>Sports</v>
      </c>
      <c r="I843" t="str">
        <f>_xlfn.XLOOKUP(E843,Store_Dim!A:A,Store_Dim!C:C,"Not Found")</f>
        <v>North</v>
      </c>
      <c r="J843" t="str">
        <f>_xlfn.XLOOKUP(C843,Customer_Dim!A:A,Customer_Dim!B:B,"Not Found")</f>
        <v>Ashley Griffin</v>
      </c>
      <c r="K843">
        <f>Table511[[#This Row],[Total_Amount]]/(L843*(1-Table511[[#This Row],[Discount]]))</f>
        <v>2.9999999999999996</v>
      </c>
      <c r="L843" s="5">
        <v>108.14</v>
      </c>
      <c r="M843">
        <v>0.19</v>
      </c>
      <c r="N843" t="s">
        <v>1354</v>
      </c>
      <c r="O843" s="5">
        <v>262.78019999999998</v>
      </c>
    </row>
    <row r="844" spans="1:15">
      <c r="A844" t="s">
        <v>2193</v>
      </c>
      <c r="B844" s="7">
        <v>45446</v>
      </c>
      <c r="C844" t="s">
        <v>575</v>
      </c>
      <c r="D844" t="s">
        <v>1127</v>
      </c>
      <c r="E844" t="s">
        <v>1294</v>
      </c>
      <c r="F844" t="str">
        <f>[1]Raw_Customer_Dim!$A$2</f>
        <v>CUST1000</v>
      </c>
      <c r="G844" t="str">
        <f>_xlfn.XLOOKUP(E844,Store_Dim!A:A,Store_Dim!B:B,"Not Found")</f>
        <v>Alexander Group</v>
      </c>
      <c r="H844" t="str">
        <f>_xlfn.XLOOKUP(D844,Product_Dim!A:A,Product_Dim!C:C,"Not Found")</f>
        <v>Home</v>
      </c>
      <c r="I844" t="str">
        <f>_xlfn.XLOOKUP(E844,Store_Dim!A:A,Store_Dim!C:C,"Not Found")</f>
        <v>South</v>
      </c>
      <c r="J844" t="str">
        <f>_xlfn.XLOOKUP(C844,Customer_Dim!A:A,Customer_Dim!B:B,"Not Found")</f>
        <v>Kristen Fischer</v>
      </c>
      <c r="K844">
        <f>Table511[[#This Row],[Total_Amount]]/(L844*(1-Table511[[#This Row],[Discount]]))</f>
        <v>1</v>
      </c>
      <c r="L844" s="5">
        <v>964.11</v>
      </c>
      <c r="M844">
        <v>0.17</v>
      </c>
      <c r="N844" t="s">
        <v>1354</v>
      </c>
      <c r="O844" s="5">
        <v>800.21129999999994</v>
      </c>
    </row>
    <row r="845" spans="1:15">
      <c r="A845" t="s">
        <v>2194</v>
      </c>
      <c r="B845" s="7">
        <v>45525</v>
      </c>
      <c r="C845" t="s">
        <v>323</v>
      </c>
      <c r="D845" t="s">
        <v>1111</v>
      </c>
      <c r="E845" t="s">
        <v>1277</v>
      </c>
      <c r="F845" t="str">
        <f>[1]Raw_Customer_Dim!$A$2</f>
        <v>CUST1000</v>
      </c>
      <c r="G845" t="str">
        <f>_xlfn.XLOOKUP(E845,Store_Dim!A:A,Store_Dim!B:B,"Not Found")</f>
        <v>Rivera-Warner</v>
      </c>
      <c r="H845" t="str">
        <f>_xlfn.XLOOKUP(D845,Product_Dim!A:A,Product_Dim!C:C,"Not Found")</f>
        <v>Sports</v>
      </c>
      <c r="I845" t="str">
        <f>_xlfn.XLOOKUP(E845,Store_Dim!A:A,Store_Dim!C:C,"Not Found")</f>
        <v>East</v>
      </c>
      <c r="J845" t="str">
        <f>_xlfn.XLOOKUP(C845,Customer_Dim!A:A,Customer_Dim!B:B,"Not Found")</f>
        <v>Joseph Richards</v>
      </c>
      <c r="K845">
        <f>Table511[[#This Row],[Total_Amount]]/(L845*(1-Table511[[#This Row],[Discount]]))</f>
        <v>1</v>
      </c>
      <c r="L845" s="5">
        <v>346.2</v>
      </c>
      <c r="M845">
        <v>0.28999999999999998</v>
      </c>
      <c r="N845" t="s">
        <v>1349</v>
      </c>
      <c r="O845" s="5">
        <v>245.80199999999999</v>
      </c>
    </row>
    <row r="846" spans="1:15">
      <c r="A846" t="s">
        <v>2195</v>
      </c>
      <c r="B846" s="7">
        <v>45527</v>
      </c>
      <c r="C846" t="s">
        <v>977</v>
      </c>
      <c r="D846" t="s">
        <v>1159</v>
      </c>
      <c r="E846" t="s">
        <v>1326</v>
      </c>
      <c r="F846" t="str">
        <f>[1]Raw_Customer_Dim!$A$2</f>
        <v>CUST1000</v>
      </c>
      <c r="G846" t="str">
        <f>_xlfn.XLOOKUP(E846,Store_Dim!A:A,Store_Dim!B:B,"Not Found")</f>
        <v>Shelton PLC</v>
      </c>
      <c r="H846" t="str">
        <f>_xlfn.XLOOKUP(D846,Product_Dim!A:A,Product_Dim!C:C,"Not Found")</f>
        <v>Electronics</v>
      </c>
      <c r="I846" t="str">
        <f>_xlfn.XLOOKUP(E846,Store_Dim!A:A,Store_Dim!C:C,"Not Found")</f>
        <v>North</v>
      </c>
      <c r="J846" t="str">
        <f>_xlfn.XLOOKUP(C846,Customer_Dim!A:A,Customer_Dim!B:B,"Not Found")</f>
        <v>Christina Robertson</v>
      </c>
      <c r="K846">
        <f>Table511[[#This Row],[Total_Amount]]/(L846*(1-Table511[[#This Row],[Discount]]))</f>
        <v>3.0000000000000004</v>
      </c>
      <c r="L846" s="5">
        <v>791.75</v>
      </c>
      <c r="M846">
        <v>0.28999999999999998</v>
      </c>
      <c r="N846" t="s">
        <v>1349</v>
      </c>
      <c r="O846" s="5">
        <v>1686.4275</v>
      </c>
    </row>
    <row r="847" spans="1:15">
      <c r="A847" t="s">
        <v>2196</v>
      </c>
      <c r="B847" s="7">
        <v>45265</v>
      </c>
      <c r="C847" t="s">
        <v>702</v>
      </c>
      <c r="D847" t="s">
        <v>1151</v>
      </c>
      <c r="E847" t="s">
        <v>1322</v>
      </c>
      <c r="F847" t="str">
        <f>[1]Raw_Customer_Dim!$A$2</f>
        <v>CUST1000</v>
      </c>
      <c r="G847" t="str">
        <f>_xlfn.XLOOKUP(E847,Store_Dim!A:A,Store_Dim!B:B,"Not Found")</f>
        <v>Gardner, Humphrey and Contreras</v>
      </c>
      <c r="H847" t="str">
        <f>_xlfn.XLOOKUP(D847,Product_Dim!A:A,Product_Dim!C:C,"Not Found")</f>
        <v>Electronics</v>
      </c>
      <c r="I847" t="str">
        <f>_xlfn.XLOOKUP(E847,Store_Dim!A:A,Store_Dim!C:C,"Not Found")</f>
        <v>East</v>
      </c>
      <c r="J847" t="str">
        <f>_xlfn.XLOOKUP(C847,Customer_Dim!A:A,Customer_Dim!B:B,"Not Found")</f>
        <v>Casey Simpson</v>
      </c>
      <c r="K847">
        <f>Table511[[#This Row],[Total_Amount]]/(L847*(1-Table511[[#This Row],[Discount]]))</f>
        <v>1</v>
      </c>
      <c r="L847" s="5">
        <v>529.84</v>
      </c>
      <c r="M847">
        <v>0.13</v>
      </c>
      <c r="N847" t="s">
        <v>1351</v>
      </c>
      <c r="O847" s="5">
        <v>460.96080000000001</v>
      </c>
    </row>
    <row r="848" spans="1:15">
      <c r="A848" t="s">
        <v>2197</v>
      </c>
      <c r="B848" s="7">
        <v>45936</v>
      </c>
      <c r="C848" t="s">
        <v>1004</v>
      </c>
      <c r="D848" t="s">
        <v>1181</v>
      </c>
      <c r="E848" t="s">
        <v>1291</v>
      </c>
      <c r="F848" t="str">
        <f>[1]Raw_Customer_Dim!$A$2</f>
        <v>CUST1000</v>
      </c>
      <c r="G848" t="str">
        <f>_xlfn.XLOOKUP(E848,Store_Dim!A:A,Store_Dim!B:B,"Not Found")</f>
        <v>Johnson-Wright</v>
      </c>
      <c r="H848" t="str">
        <f>_xlfn.XLOOKUP(D848,Product_Dim!A:A,Product_Dim!C:C,"Not Found")</f>
        <v>Sports</v>
      </c>
      <c r="I848" t="str">
        <f>_xlfn.XLOOKUP(E848,Store_Dim!A:A,Store_Dim!C:C,"Not Found")</f>
        <v>North</v>
      </c>
      <c r="J848" t="str">
        <f>_xlfn.XLOOKUP(C848,Customer_Dim!A:A,Customer_Dim!B:B,"Not Found")</f>
        <v>Debra Mccullough</v>
      </c>
      <c r="K848">
        <f>Table511[[#This Row],[Total_Amount]]/(L848*(1-Table511[[#This Row],[Discount]]))</f>
        <v>3</v>
      </c>
      <c r="L848" s="5">
        <v>582.57000000000005</v>
      </c>
      <c r="M848">
        <v>0.11</v>
      </c>
      <c r="N848" t="s">
        <v>1351</v>
      </c>
      <c r="O848" s="5">
        <v>1555.4619</v>
      </c>
    </row>
    <row r="849" spans="1:15">
      <c r="A849" t="s">
        <v>2198</v>
      </c>
      <c r="B849" s="7">
        <v>45242</v>
      </c>
      <c r="C849" t="s">
        <v>484</v>
      </c>
      <c r="D849" t="s">
        <v>1263</v>
      </c>
      <c r="E849" t="s">
        <v>1332</v>
      </c>
      <c r="F849" t="str">
        <f>[1]Raw_Customer_Dim!$A$2</f>
        <v>CUST1000</v>
      </c>
      <c r="G849" t="str">
        <f>_xlfn.XLOOKUP(E849,Store_Dim!A:A,Store_Dim!B:B,"Not Found")</f>
        <v>Holloway Ltd</v>
      </c>
      <c r="H849" t="str">
        <f>_xlfn.XLOOKUP(D849,Product_Dim!A:A,Product_Dim!C:C,"Not Found")</f>
        <v>Sports</v>
      </c>
      <c r="I849" t="str">
        <f>_xlfn.XLOOKUP(E849,Store_Dim!A:A,Store_Dim!C:C,"Not Found")</f>
        <v>North</v>
      </c>
      <c r="J849" t="str">
        <f>_xlfn.XLOOKUP(C849,Customer_Dim!A:A,Customer_Dim!B:B,"Not Found")</f>
        <v>Rodney Huffman</v>
      </c>
      <c r="K849">
        <f>Table511[[#This Row],[Total_Amount]]/(L849*(1-Table511[[#This Row],[Discount]]))</f>
        <v>0.99999999999999989</v>
      </c>
      <c r="L849" s="5">
        <v>219.81</v>
      </c>
      <c r="M849">
        <v>0.22</v>
      </c>
      <c r="N849" t="s">
        <v>1354</v>
      </c>
      <c r="O849" s="5">
        <v>171.45179999999999</v>
      </c>
    </row>
    <row r="850" spans="1:15">
      <c r="A850" t="s">
        <v>2199</v>
      </c>
      <c r="B850" s="7">
        <v>45437</v>
      </c>
      <c r="C850" t="s">
        <v>1055</v>
      </c>
      <c r="D850" t="s">
        <v>1213</v>
      </c>
      <c r="E850" t="s">
        <v>1335</v>
      </c>
      <c r="F850" t="str">
        <f>[1]Raw_Customer_Dim!$A$2</f>
        <v>CUST1000</v>
      </c>
      <c r="G850" t="str">
        <f>_xlfn.XLOOKUP(E850,Store_Dim!A:A,Store_Dim!B:B,"Not Found")</f>
        <v>Guerrero-Schmitt</v>
      </c>
      <c r="H850" t="str">
        <f>_xlfn.XLOOKUP(D850,Product_Dim!A:A,Product_Dim!C:C,"Not Found")</f>
        <v>Home</v>
      </c>
      <c r="I850" t="str">
        <f>_xlfn.XLOOKUP(E850,Store_Dim!A:A,Store_Dim!C:C,"Not Found")</f>
        <v>East</v>
      </c>
      <c r="J850" t="str">
        <f>_xlfn.XLOOKUP(C850,Customer_Dim!A:A,Customer_Dim!B:B,"Not Found")</f>
        <v>Sarah Marsh</v>
      </c>
      <c r="K850">
        <f>Table511[[#This Row],[Total_Amount]]/(L850*(1-Table511[[#This Row],[Discount]]))</f>
        <v>4</v>
      </c>
      <c r="L850" s="5">
        <v>883.31</v>
      </c>
      <c r="M850">
        <v>0.27</v>
      </c>
      <c r="N850" t="s">
        <v>1349</v>
      </c>
      <c r="O850" s="5">
        <v>2579.2651999999998</v>
      </c>
    </row>
    <row r="851" spans="1:15">
      <c r="A851" t="s">
        <v>2200</v>
      </c>
      <c r="B851" s="7">
        <v>45627</v>
      </c>
      <c r="C851" t="s">
        <v>531</v>
      </c>
      <c r="D851" t="s">
        <v>1107</v>
      </c>
      <c r="E851" t="s">
        <v>1324</v>
      </c>
      <c r="F851" t="str">
        <f>[1]Raw_Customer_Dim!$A$2</f>
        <v>CUST1000</v>
      </c>
      <c r="G851" t="str">
        <f>_xlfn.XLOOKUP(E851,Store_Dim!A:A,Store_Dim!B:B,"Not Found")</f>
        <v>Mcdonald Inc</v>
      </c>
      <c r="H851" t="str">
        <f>_xlfn.XLOOKUP(D851,Product_Dim!A:A,Product_Dim!C:C,"Not Found")</f>
        <v>Sports</v>
      </c>
      <c r="I851" t="str">
        <f>_xlfn.XLOOKUP(E851,Store_Dim!A:A,Store_Dim!C:C,"Not Found")</f>
        <v>South</v>
      </c>
      <c r="J851" t="str">
        <f>_xlfn.XLOOKUP(C851,Customer_Dim!A:A,Customer_Dim!B:B,"Not Found")</f>
        <v>Nathaniel Hill</v>
      </c>
      <c r="K851">
        <f>Table511[[#This Row],[Total_Amount]]/(L851*(1-Table511[[#This Row],[Discount]]))</f>
        <v>4</v>
      </c>
      <c r="L851" s="5">
        <v>329.06</v>
      </c>
      <c r="M851">
        <v>0.04</v>
      </c>
      <c r="N851" t="s">
        <v>1354</v>
      </c>
      <c r="O851" s="5">
        <v>1263.5904</v>
      </c>
    </row>
    <row r="852" spans="1:15">
      <c r="A852" t="s">
        <v>2201</v>
      </c>
      <c r="B852" s="7">
        <v>45678</v>
      </c>
      <c r="C852" t="s">
        <v>269</v>
      </c>
      <c r="D852" t="s">
        <v>1209</v>
      </c>
      <c r="E852" t="s">
        <v>1317</v>
      </c>
      <c r="F852" t="str">
        <f>[1]Raw_Customer_Dim!$A$2</f>
        <v>CUST1000</v>
      </c>
      <c r="G852" t="str">
        <f>_xlfn.XLOOKUP(E852,Store_Dim!A:A,Store_Dim!B:B,"Not Found")</f>
        <v>Aguirre-Keller</v>
      </c>
      <c r="H852" t="str">
        <f>_xlfn.XLOOKUP(D852,Product_Dim!A:A,Product_Dim!C:C,"Not Found")</f>
        <v>Home</v>
      </c>
      <c r="I852" t="str">
        <f>_xlfn.XLOOKUP(E852,Store_Dim!A:A,Store_Dim!C:C,"Not Found")</f>
        <v>South</v>
      </c>
      <c r="J852" t="str">
        <f>_xlfn.XLOOKUP(C852,Customer_Dim!A:A,Customer_Dim!B:B,"Not Found")</f>
        <v>Lance Baker</v>
      </c>
      <c r="K852">
        <f>Table511[[#This Row],[Total_Amount]]/(L852*(1-Table511[[#This Row],[Discount]]))</f>
        <v>1</v>
      </c>
      <c r="L852" s="5">
        <v>935.78</v>
      </c>
      <c r="M852">
        <v>0.03</v>
      </c>
      <c r="N852" t="s">
        <v>1351</v>
      </c>
      <c r="O852" s="5">
        <v>907.70659999999998</v>
      </c>
    </row>
    <row r="853" spans="1:15">
      <c r="A853" t="s">
        <v>2202</v>
      </c>
      <c r="B853" s="7">
        <v>45484</v>
      </c>
      <c r="C853" t="s">
        <v>704</v>
      </c>
      <c r="D853" t="s">
        <v>1193</v>
      </c>
      <c r="E853" t="s">
        <v>1314</v>
      </c>
      <c r="F853" t="str">
        <f>[1]Raw_Customer_Dim!$A$2</f>
        <v>CUST1000</v>
      </c>
      <c r="G853" t="str">
        <f>_xlfn.XLOOKUP(E853,Store_Dim!A:A,Store_Dim!B:B,"Not Found")</f>
        <v>Hill, Wagner and Ballard</v>
      </c>
      <c r="H853" t="str">
        <f>_xlfn.XLOOKUP(D853,Product_Dim!A:A,Product_Dim!C:C,"Not Found")</f>
        <v>Beauty</v>
      </c>
      <c r="I853" t="str">
        <f>_xlfn.XLOOKUP(E853,Store_Dim!A:A,Store_Dim!C:C,"Not Found")</f>
        <v>East</v>
      </c>
      <c r="J853" t="str">
        <f>_xlfn.XLOOKUP(C853,Customer_Dim!A:A,Customer_Dim!B:B,"Not Found")</f>
        <v>Jessica Gonzalez</v>
      </c>
      <c r="K853">
        <f>Table511[[#This Row],[Total_Amount]]/(L853*(1-Table511[[#This Row],[Discount]]))</f>
        <v>4</v>
      </c>
      <c r="L853" s="5">
        <v>597.79999999999995</v>
      </c>
      <c r="M853">
        <v>0.2</v>
      </c>
      <c r="N853" t="s">
        <v>1349</v>
      </c>
      <c r="O853" s="5">
        <v>1912.96</v>
      </c>
    </row>
    <row r="854" spans="1:15">
      <c r="A854" t="s">
        <v>2203</v>
      </c>
      <c r="B854" s="7">
        <v>45700</v>
      </c>
      <c r="C854" t="s">
        <v>581</v>
      </c>
      <c r="D854" t="s">
        <v>1099</v>
      </c>
      <c r="E854" t="s">
        <v>1335</v>
      </c>
      <c r="F854" t="str">
        <f>[1]Raw_Customer_Dim!$A$2</f>
        <v>CUST1000</v>
      </c>
      <c r="G854" t="str">
        <f>_xlfn.XLOOKUP(E854,Store_Dim!A:A,Store_Dim!B:B,"Not Found")</f>
        <v>Guerrero-Schmitt</v>
      </c>
      <c r="H854" t="str">
        <f>_xlfn.XLOOKUP(D854,Product_Dim!A:A,Product_Dim!C:C,"Not Found")</f>
        <v>Electronics</v>
      </c>
      <c r="I854" t="str">
        <f>_xlfn.XLOOKUP(E854,Store_Dim!A:A,Store_Dim!C:C,"Not Found")</f>
        <v>East</v>
      </c>
      <c r="J854" t="str">
        <f>_xlfn.XLOOKUP(C854,Customer_Dim!A:A,Customer_Dim!B:B,"Not Found")</f>
        <v>Beth Allen</v>
      </c>
      <c r="K854">
        <f>Table511[[#This Row],[Total_Amount]]/(L854*(1-Table511[[#This Row],[Discount]]))</f>
        <v>4</v>
      </c>
      <c r="L854" s="5">
        <v>266.98</v>
      </c>
      <c r="M854">
        <v>0.16</v>
      </c>
      <c r="N854" t="s">
        <v>1349</v>
      </c>
      <c r="O854" s="5">
        <v>897.05280000000005</v>
      </c>
    </row>
    <row r="855" spans="1:15">
      <c r="A855" t="s">
        <v>2204</v>
      </c>
      <c r="B855" s="7">
        <v>45873</v>
      </c>
      <c r="C855" t="s">
        <v>877</v>
      </c>
      <c r="D855" t="s">
        <v>1213</v>
      </c>
      <c r="E855" t="s">
        <v>1326</v>
      </c>
      <c r="F855" t="str">
        <f>[1]Raw_Customer_Dim!$A$2</f>
        <v>CUST1000</v>
      </c>
      <c r="G855" t="str">
        <f>_xlfn.XLOOKUP(E855,Store_Dim!A:A,Store_Dim!B:B,"Not Found")</f>
        <v>Shelton PLC</v>
      </c>
      <c r="H855" t="str">
        <f>_xlfn.XLOOKUP(D855,Product_Dim!A:A,Product_Dim!C:C,"Not Found")</f>
        <v>Home</v>
      </c>
      <c r="I855" t="str">
        <f>_xlfn.XLOOKUP(E855,Store_Dim!A:A,Store_Dim!C:C,"Not Found")</f>
        <v>North</v>
      </c>
      <c r="J855" t="str">
        <f>_xlfn.XLOOKUP(C855,Customer_Dim!A:A,Customer_Dim!B:B,"Not Found")</f>
        <v>Joseph Mendoza</v>
      </c>
      <c r="K855">
        <f>Table511[[#This Row],[Total_Amount]]/(L855*(1-Table511[[#This Row],[Discount]]))</f>
        <v>3.0000000000000004</v>
      </c>
      <c r="L855" s="5">
        <v>360.18</v>
      </c>
      <c r="M855">
        <v>0.03</v>
      </c>
      <c r="N855" t="s">
        <v>1349</v>
      </c>
      <c r="O855" s="5">
        <v>1048.1238000000001</v>
      </c>
    </row>
    <row r="856" spans="1:15">
      <c r="A856" t="s">
        <v>2205</v>
      </c>
      <c r="B856" s="7">
        <v>45860</v>
      </c>
      <c r="C856" t="s">
        <v>789</v>
      </c>
      <c r="D856" t="s">
        <v>1185</v>
      </c>
      <c r="E856" t="s">
        <v>1277</v>
      </c>
      <c r="F856" t="str">
        <f>[1]Raw_Customer_Dim!$A$2</f>
        <v>CUST1000</v>
      </c>
      <c r="G856" t="str">
        <f>_xlfn.XLOOKUP(E856,Store_Dim!A:A,Store_Dim!B:B,"Not Found")</f>
        <v>Rivera-Warner</v>
      </c>
      <c r="H856" t="str">
        <f>_xlfn.XLOOKUP(D856,Product_Dim!A:A,Product_Dim!C:C,"Not Found")</f>
        <v>Home</v>
      </c>
      <c r="I856" t="str">
        <f>_xlfn.XLOOKUP(E856,Store_Dim!A:A,Store_Dim!C:C,"Not Found")</f>
        <v>East</v>
      </c>
      <c r="J856" t="str">
        <f>_xlfn.XLOOKUP(C856,Customer_Dim!A:A,Customer_Dim!B:B,"Not Found")</f>
        <v>Elizabeth Smith</v>
      </c>
      <c r="K856">
        <f>Table511[[#This Row],[Total_Amount]]/(L856*(1-Table511[[#This Row],[Discount]]))</f>
        <v>3.0000000000000004</v>
      </c>
      <c r="L856" s="5">
        <v>247.41</v>
      </c>
      <c r="M856">
        <v>0.05</v>
      </c>
      <c r="N856" t="s">
        <v>1354</v>
      </c>
      <c r="O856" s="5">
        <v>705.11850000000004</v>
      </c>
    </row>
    <row r="857" spans="1:15">
      <c r="A857" t="s">
        <v>2206</v>
      </c>
      <c r="B857" s="7">
        <v>45235</v>
      </c>
      <c r="C857" t="s">
        <v>208</v>
      </c>
      <c r="D857" t="s">
        <v>1163</v>
      </c>
      <c r="E857" t="s">
        <v>1326</v>
      </c>
      <c r="F857" t="str">
        <f>[1]Raw_Customer_Dim!$A$2</f>
        <v>CUST1000</v>
      </c>
      <c r="G857" t="str">
        <f>_xlfn.XLOOKUP(E857,Store_Dim!A:A,Store_Dim!B:B,"Not Found")</f>
        <v>Shelton PLC</v>
      </c>
      <c r="H857" t="str">
        <f>_xlfn.XLOOKUP(D857,Product_Dim!A:A,Product_Dim!C:C,"Not Found")</f>
        <v>Sports</v>
      </c>
      <c r="I857" t="str">
        <f>_xlfn.XLOOKUP(E857,Store_Dim!A:A,Store_Dim!C:C,"Not Found")</f>
        <v>North</v>
      </c>
      <c r="J857" t="str">
        <f>_xlfn.XLOOKUP(C857,Customer_Dim!A:A,Customer_Dim!B:B,"Not Found")</f>
        <v>Cody Blake</v>
      </c>
      <c r="K857">
        <f>Table511[[#This Row],[Total_Amount]]/(L857*(1-Table511[[#This Row],[Discount]]))</f>
        <v>3</v>
      </c>
      <c r="L857" s="5">
        <v>674.66</v>
      </c>
      <c r="M857">
        <v>0.23</v>
      </c>
      <c r="N857" t="s">
        <v>1349</v>
      </c>
      <c r="O857" s="5">
        <v>1558.4646</v>
      </c>
    </row>
    <row r="858" spans="1:15">
      <c r="A858" t="s">
        <v>2207</v>
      </c>
      <c r="B858" s="7">
        <v>45874</v>
      </c>
      <c r="C858" t="s">
        <v>893</v>
      </c>
      <c r="D858" t="s">
        <v>1157</v>
      </c>
      <c r="E858" t="s">
        <v>1294</v>
      </c>
      <c r="F858" t="str">
        <f>[1]Raw_Customer_Dim!$A$2</f>
        <v>CUST1000</v>
      </c>
      <c r="G858" t="str">
        <f>_xlfn.XLOOKUP(E858,Store_Dim!A:A,Store_Dim!B:B,"Not Found")</f>
        <v>Alexander Group</v>
      </c>
      <c r="H858" t="str">
        <f>_xlfn.XLOOKUP(D858,Product_Dim!A:A,Product_Dim!C:C,"Not Found")</f>
        <v>Electronics</v>
      </c>
      <c r="I858" t="str">
        <f>_xlfn.XLOOKUP(E858,Store_Dim!A:A,Store_Dim!C:C,"Not Found")</f>
        <v>South</v>
      </c>
      <c r="J858" t="str">
        <f>_xlfn.XLOOKUP(C858,Customer_Dim!A:A,Customer_Dim!B:B,"Not Found")</f>
        <v>Tyler Cook</v>
      </c>
      <c r="K858">
        <f>Table511[[#This Row],[Total_Amount]]/(L858*(1-Table511[[#This Row],[Discount]]))</f>
        <v>1</v>
      </c>
      <c r="L858" s="5">
        <v>913.98</v>
      </c>
      <c r="M858">
        <v>0.27</v>
      </c>
      <c r="N858" t="s">
        <v>1351</v>
      </c>
      <c r="O858" s="5">
        <v>667.20539999999994</v>
      </c>
    </row>
    <row r="859" spans="1:15">
      <c r="A859" t="s">
        <v>2208</v>
      </c>
      <c r="B859" s="7">
        <v>45769</v>
      </c>
      <c r="C859" t="s">
        <v>692</v>
      </c>
      <c r="D859" t="s">
        <v>1259</v>
      </c>
      <c r="E859" t="s">
        <v>1314</v>
      </c>
      <c r="F859" t="str">
        <f>[1]Raw_Customer_Dim!$A$2</f>
        <v>CUST1000</v>
      </c>
      <c r="G859" t="str">
        <f>_xlfn.XLOOKUP(E859,Store_Dim!A:A,Store_Dim!B:B,"Not Found")</f>
        <v>Hill, Wagner and Ballard</v>
      </c>
      <c r="H859" t="str">
        <f>_xlfn.XLOOKUP(D859,Product_Dim!A:A,Product_Dim!C:C,"Not Found")</f>
        <v>Electronics</v>
      </c>
      <c r="I859" t="str">
        <f>_xlfn.XLOOKUP(E859,Store_Dim!A:A,Store_Dim!C:C,"Not Found")</f>
        <v>East</v>
      </c>
      <c r="J859" t="str">
        <f>_xlfn.XLOOKUP(C859,Customer_Dim!A:A,Customer_Dim!B:B,"Not Found")</f>
        <v>Elizabeth Johnson</v>
      </c>
      <c r="K859">
        <f>Table511[[#This Row],[Total_Amount]]/(L859*(1-Table511[[#This Row],[Discount]]))</f>
        <v>4</v>
      </c>
      <c r="L859" s="5">
        <v>370.5</v>
      </c>
      <c r="M859">
        <v>0.13</v>
      </c>
      <c r="N859" t="s">
        <v>1351</v>
      </c>
      <c r="O859" s="5">
        <v>1289.3399999999999</v>
      </c>
    </row>
    <row r="860" spans="1:15">
      <c r="A860" t="s">
        <v>2209</v>
      </c>
      <c r="B860" s="7">
        <v>45619</v>
      </c>
      <c r="C860" t="s">
        <v>779</v>
      </c>
      <c r="D860" t="s">
        <v>1217</v>
      </c>
      <c r="E860" t="s">
        <v>1322</v>
      </c>
      <c r="F860" t="str">
        <f>[1]Raw_Customer_Dim!$A$2</f>
        <v>CUST1000</v>
      </c>
      <c r="G860" t="str">
        <f>_xlfn.XLOOKUP(E860,Store_Dim!A:A,Store_Dim!B:B,"Not Found")</f>
        <v>Gardner, Humphrey and Contreras</v>
      </c>
      <c r="H860" t="str">
        <f>_xlfn.XLOOKUP(D860,Product_Dim!A:A,Product_Dim!C:C,"Not Found")</f>
        <v>Sports</v>
      </c>
      <c r="I860" t="str">
        <f>_xlfn.XLOOKUP(E860,Store_Dim!A:A,Store_Dim!C:C,"Not Found")</f>
        <v>East</v>
      </c>
      <c r="J860" t="str">
        <f>_xlfn.XLOOKUP(C860,Customer_Dim!A:A,Customer_Dim!B:B,"Not Found")</f>
        <v>Ashley Anderson</v>
      </c>
      <c r="K860">
        <f>Table511[[#This Row],[Total_Amount]]/(L860*(1-Table511[[#This Row],[Discount]]))</f>
        <v>1</v>
      </c>
      <c r="L860" s="5">
        <v>735.1</v>
      </c>
      <c r="M860">
        <v>0.1</v>
      </c>
      <c r="N860" t="s">
        <v>1351</v>
      </c>
      <c r="O860" s="5">
        <v>661.59</v>
      </c>
    </row>
    <row r="861" spans="1:15">
      <c r="A861" t="s">
        <v>2210</v>
      </c>
      <c r="B861" s="7">
        <v>45614</v>
      </c>
      <c r="C861" t="s">
        <v>331</v>
      </c>
      <c r="D861" t="s">
        <v>1231</v>
      </c>
      <c r="E861" t="s">
        <v>1286</v>
      </c>
      <c r="F861" t="str">
        <f>[1]Raw_Customer_Dim!$A$2</f>
        <v>CUST1000</v>
      </c>
      <c r="G861" t="str">
        <f>_xlfn.XLOOKUP(E861,Store_Dim!A:A,Store_Dim!B:B,"Not Found")</f>
        <v>Black-Horn</v>
      </c>
      <c r="H861" t="str">
        <f>_xlfn.XLOOKUP(D861,Product_Dim!A:A,Product_Dim!C:C,"Not Found")</f>
        <v>Home</v>
      </c>
      <c r="I861" t="str">
        <f>_xlfn.XLOOKUP(E861,Store_Dim!A:A,Store_Dim!C:C,"Not Found")</f>
        <v>South</v>
      </c>
      <c r="J861" t="str">
        <f>_xlfn.XLOOKUP(C861,Customer_Dim!A:A,Customer_Dim!B:B,"Not Found")</f>
        <v>Matthew Hanna</v>
      </c>
      <c r="K861">
        <f>Table511[[#This Row],[Total_Amount]]/(L861*(1-Table511[[#This Row],[Discount]]))</f>
        <v>3</v>
      </c>
      <c r="L861" s="5">
        <v>448.55</v>
      </c>
      <c r="M861">
        <v>0.05</v>
      </c>
      <c r="N861" t="s">
        <v>1349</v>
      </c>
      <c r="O861" s="5">
        <v>1278.3675000000001</v>
      </c>
    </row>
    <row r="862" spans="1:15">
      <c r="A862" t="s">
        <v>2211</v>
      </c>
      <c r="B862" s="7">
        <v>45691</v>
      </c>
      <c r="C862" t="s">
        <v>164</v>
      </c>
      <c r="D862" t="s">
        <v>1241</v>
      </c>
      <c r="E862" t="s">
        <v>1322</v>
      </c>
      <c r="F862" t="str">
        <f>[1]Raw_Customer_Dim!$A$2</f>
        <v>CUST1000</v>
      </c>
      <c r="G862" t="str">
        <f>_xlfn.XLOOKUP(E862,Store_Dim!A:A,Store_Dim!B:B,"Not Found")</f>
        <v>Gardner, Humphrey and Contreras</v>
      </c>
      <c r="H862" t="str">
        <f>_xlfn.XLOOKUP(D862,Product_Dim!A:A,Product_Dim!C:C,"Not Found")</f>
        <v>Home</v>
      </c>
      <c r="I862" t="str">
        <f>_xlfn.XLOOKUP(E862,Store_Dim!A:A,Store_Dim!C:C,"Not Found")</f>
        <v>East</v>
      </c>
      <c r="J862" t="str">
        <f>_xlfn.XLOOKUP(C862,Customer_Dim!A:A,Customer_Dim!B:B,"Not Found")</f>
        <v>Alyssa Vargas</v>
      </c>
      <c r="K862">
        <f>Table511[[#This Row],[Total_Amount]]/(L862*(1-Table511[[#This Row],[Discount]]))</f>
        <v>3</v>
      </c>
      <c r="L862" s="5">
        <v>904.96</v>
      </c>
      <c r="M862">
        <v>7.0000000000000007E-2</v>
      </c>
      <c r="N862" t="s">
        <v>1354</v>
      </c>
      <c r="O862" s="5">
        <v>2524.8384000000001</v>
      </c>
    </row>
    <row r="863" spans="1:15">
      <c r="A863" t="s">
        <v>2212</v>
      </c>
      <c r="B863" s="7">
        <v>45608</v>
      </c>
      <c r="C863" t="s">
        <v>823</v>
      </c>
      <c r="D863" t="s">
        <v>1209</v>
      </c>
      <c r="E863" t="s">
        <v>1322</v>
      </c>
      <c r="F863" t="str">
        <f>[1]Raw_Customer_Dim!$A$2</f>
        <v>CUST1000</v>
      </c>
      <c r="G863" t="str">
        <f>_xlfn.XLOOKUP(E863,Store_Dim!A:A,Store_Dim!B:B,"Not Found")</f>
        <v>Gardner, Humphrey and Contreras</v>
      </c>
      <c r="H863" t="str">
        <f>_xlfn.XLOOKUP(D863,Product_Dim!A:A,Product_Dim!C:C,"Not Found")</f>
        <v>Home</v>
      </c>
      <c r="I863" t="str">
        <f>_xlfn.XLOOKUP(E863,Store_Dim!A:A,Store_Dim!C:C,"Not Found")</f>
        <v>East</v>
      </c>
      <c r="J863" t="str">
        <f>_xlfn.XLOOKUP(C863,Customer_Dim!A:A,Customer_Dim!B:B,"Not Found")</f>
        <v>Shelley Ponce</v>
      </c>
      <c r="K863">
        <f>Table511[[#This Row],[Total_Amount]]/(L863*(1-Table511[[#This Row],[Discount]]))</f>
        <v>4</v>
      </c>
      <c r="L863" s="5">
        <v>408.72</v>
      </c>
      <c r="M863">
        <v>0.16</v>
      </c>
      <c r="N863" t="s">
        <v>1354</v>
      </c>
      <c r="O863" s="5">
        <v>1373.2991999999999</v>
      </c>
    </row>
    <row r="864" spans="1:15">
      <c r="A864" t="s">
        <v>2213</v>
      </c>
      <c r="B864" s="7">
        <v>45412</v>
      </c>
      <c r="C864" t="s">
        <v>628</v>
      </c>
      <c r="D864" t="s">
        <v>1215</v>
      </c>
      <c r="E864" t="s">
        <v>1291</v>
      </c>
      <c r="F864" t="str">
        <f>[1]Raw_Customer_Dim!$A$2</f>
        <v>CUST1000</v>
      </c>
      <c r="G864" t="str">
        <f>_xlfn.XLOOKUP(E864,Store_Dim!A:A,Store_Dim!B:B,"Not Found")</f>
        <v>Johnson-Wright</v>
      </c>
      <c r="H864" t="str">
        <f>_xlfn.XLOOKUP(D864,Product_Dim!A:A,Product_Dim!C:C,"Not Found")</f>
        <v>Beauty</v>
      </c>
      <c r="I864" t="str">
        <f>_xlfn.XLOOKUP(E864,Store_Dim!A:A,Store_Dim!C:C,"Not Found")</f>
        <v>North</v>
      </c>
      <c r="J864" t="str">
        <f>_xlfn.XLOOKUP(C864,Customer_Dim!A:A,Customer_Dim!B:B,"Not Found")</f>
        <v>Kristi Lopez</v>
      </c>
      <c r="K864">
        <f>Table511[[#This Row],[Total_Amount]]/(L864*(1-Table511[[#This Row],[Discount]]))</f>
        <v>4</v>
      </c>
      <c r="L864" s="5">
        <v>770.65</v>
      </c>
      <c r="M864">
        <v>0.27</v>
      </c>
      <c r="N864" t="s">
        <v>1349</v>
      </c>
      <c r="O864" s="5">
        <v>2250.2979999999998</v>
      </c>
    </row>
    <row r="865" spans="1:15">
      <c r="A865" t="s">
        <v>2214</v>
      </c>
      <c r="B865" s="7">
        <v>45767</v>
      </c>
      <c r="C865" t="s">
        <v>468</v>
      </c>
      <c r="D865" t="s">
        <v>1133</v>
      </c>
      <c r="E865" t="s">
        <v>1301</v>
      </c>
      <c r="F865" t="str">
        <f>[1]Raw_Customer_Dim!$A$2</f>
        <v>CUST1000</v>
      </c>
      <c r="G865" t="str">
        <f>_xlfn.XLOOKUP(E865,Store_Dim!A:A,Store_Dim!B:B,"Not Found")</f>
        <v>Benson-Elliott</v>
      </c>
      <c r="H865" t="str">
        <f>_xlfn.XLOOKUP(D865,Product_Dim!A:A,Product_Dim!C:C,"Not Found")</f>
        <v>Home</v>
      </c>
      <c r="I865" t="str">
        <f>_xlfn.XLOOKUP(E865,Store_Dim!A:A,Store_Dim!C:C,"Not Found")</f>
        <v>East</v>
      </c>
      <c r="J865" t="str">
        <f>_xlfn.XLOOKUP(C865,Customer_Dim!A:A,Customer_Dim!B:B,"Not Found")</f>
        <v>Sarah Brady</v>
      </c>
      <c r="K865">
        <f>Table511[[#This Row],[Total_Amount]]/(L865*(1-Table511[[#This Row],[Discount]]))</f>
        <v>1</v>
      </c>
      <c r="L865" s="5">
        <v>649.22</v>
      </c>
      <c r="M865">
        <v>0.03</v>
      </c>
      <c r="N865" t="s">
        <v>1354</v>
      </c>
      <c r="O865" s="5">
        <v>629.74340000000007</v>
      </c>
    </row>
    <row r="866" spans="1:15">
      <c r="A866" t="s">
        <v>2215</v>
      </c>
      <c r="B866" s="7">
        <v>45428</v>
      </c>
      <c r="C866" t="s">
        <v>760</v>
      </c>
      <c r="D866" t="s">
        <v>1139</v>
      </c>
      <c r="E866" t="s">
        <v>1314</v>
      </c>
      <c r="F866" t="str">
        <f>[1]Raw_Customer_Dim!$A$2</f>
        <v>CUST1000</v>
      </c>
      <c r="G866" t="str">
        <f>_xlfn.XLOOKUP(E866,Store_Dim!A:A,Store_Dim!B:B,"Not Found")</f>
        <v>Hill, Wagner and Ballard</v>
      </c>
      <c r="H866" t="str">
        <f>_xlfn.XLOOKUP(D866,Product_Dim!A:A,Product_Dim!C:C,"Not Found")</f>
        <v>Home</v>
      </c>
      <c r="I866" t="str">
        <f>_xlfn.XLOOKUP(E866,Store_Dim!A:A,Store_Dim!C:C,"Not Found")</f>
        <v>East</v>
      </c>
      <c r="J866" t="str">
        <f>_xlfn.XLOOKUP(C866,Customer_Dim!A:A,Customer_Dim!B:B,"Not Found")</f>
        <v>Sherry Cabrera</v>
      </c>
      <c r="K866">
        <f>Table511[[#This Row],[Total_Amount]]/(L866*(1-Table511[[#This Row],[Discount]]))</f>
        <v>2</v>
      </c>
      <c r="L866" s="5">
        <v>379.78</v>
      </c>
      <c r="M866">
        <v>0.2</v>
      </c>
      <c r="N866" t="s">
        <v>1349</v>
      </c>
      <c r="O866" s="5">
        <v>607.64800000000002</v>
      </c>
    </row>
    <row r="867" spans="1:15">
      <c r="A867" t="s">
        <v>2216</v>
      </c>
      <c r="B867" s="7">
        <v>45770</v>
      </c>
      <c r="C867" t="s">
        <v>559</v>
      </c>
      <c r="D867" t="s">
        <v>1159</v>
      </c>
      <c r="E867" t="s">
        <v>1307</v>
      </c>
      <c r="F867" t="str">
        <f>[1]Raw_Customer_Dim!$A$2</f>
        <v>CUST1000</v>
      </c>
      <c r="G867" t="str">
        <f>_xlfn.XLOOKUP(E867,Store_Dim!A:A,Store_Dim!B:B,"Not Found")</f>
        <v>Bean, Jones and Park</v>
      </c>
      <c r="H867" t="str">
        <f>_xlfn.XLOOKUP(D867,Product_Dim!A:A,Product_Dim!C:C,"Not Found")</f>
        <v>Electronics</v>
      </c>
      <c r="I867" t="str">
        <f>_xlfn.XLOOKUP(E867,Store_Dim!A:A,Store_Dim!C:C,"Not Found")</f>
        <v>West</v>
      </c>
      <c r="J867" t="str">
        <f>_xlfn.XLOOKUP(C867,Customer_Dim!A:A,Customer_Dim!B:B,"Not Found")</f>
        <v>Nicholas Webb</v>
      </c>
      <c r="K867">
        <f>Table511[[#This Row],[Total_Amount]]/(L867*(1-Table511[[#This Row],[Discount]]))</f>
        <v>3</v>
      </c>
      <c r="L867" s="5">
        <v>924.15</v>
      </c>
      <c r="M867">
        <v>0.1</v>
      </c>
      <c r="N867" t="s">
        <v>1351</v>
      </c>
      <c r="O867" s="5">
        <v>2495.2049999999999</v>
      </c>
    </row>
    <row r="868" spans="1:15">
      <c r="A868" t="s">
        <v>2217</v>
      </c>
      <c r="B868" s="7">
        <v>45571</v>
      </c>
      <c r="C868" t="s">
        <v>1000</v>
      </c>
      <c r="D868" t="s">
        <v>1163</v>
      </c>
      <c r="E868" t="s">
        <v>1332</v>
      </c>
      <c r="F868" t="str">
        <f>[1]Raw_Customer_Dim!$A$2</f>
        <v>CUST1000</v>
      </c>
      <c r="G868" t="str">
        <f>_xlfn.XLOOKUP(E868,Store_Dim!A:A,Store_Dim!B:B,"Not Found")</f>
        <v>Holloway Ltd</v>
      </c>
      <c r="H868" t="str">
        <f>_xlfn.XLOOKUP(D868,Product_Dim!A:A,Product_Dim!C:C,"Not Found")</f>
        <v>Sports</v>
      </c>
      <c r="I868" t="str">
        <f>_xlfn.XLOOKUP(E868,Store_Dim!A:A,Store_Dim!C:C,"Not Found")</f>
        <v>North</v>
      </c>
      <c r="J868" t="str">
        <f>_xlfn.XLOOKUP(C868,Customer_Dim!A:A,Customer_Dim!B:B,"Not Found")</f>
        <v>James Foster</v>
      </c>
      <c r="K868">
        <f>Table511[[#This Row],[Total_Amount]]/(L868*(1-Table511[[#This Row],[Discount]]))</f>
        <v>3.0000000000000009</v>
      </c>
      <c r="L868" s="5">
        <v>144.66999999999999</v>
      </c>
      <c r="M868">
        <v>0.28999999999999998</v>
      </c>
      <c r="N868" t="s">
        <v>1354</v>
      </c>
      <c r="O868" s="5">
        <v>308.14710000000002</v>
      </c>
    </row>
    <row r="869" spans="1:15">
      <c r="A869" t="s">
        <v>2218</v>
      </c>
      <c r="B869" s="7">
        <v>45700</v>
      </c>
      <c r="C869" t="s">
        <v>302</v>
      </c>
      <c r="D869" t="s">
        <v>1139</v>
      </c>
      <c r="E869" t="s">
        <v>1326</v>
      </c>
      <c r="F869" t="str">
        <f>[1]Raw_Customer_Dim!$A$2</f>
        <v>CUST1000</v>
      </c>
      <c r="G869" t="str">
        <f>_xlfn.XLOOKUP(E869,Store_Dim!A:A,Store_Dim!B:B,"Not Found")</f>
        <v>Shelton PLC</v>
      </c>
      <c r="H869" t="str">
        <f>_xlfn.XLOOKUP(D869,Product_Dim!A:A,Product_Dim!C:C,"Not Found")</f>
        <v>Home</v>
      </c>
      <c r="I869" t="str">
        <f>_xlfn.XLOOKUP(E869,Store_Dim!A:A,Store_Dim!C:C,"Not Found")</f>
        <v>North</v>
      </c>
      <c r="J869" t="str">
        <f>_xlfn.XLOOKUP(C869,Customer_Dim!A:A,Customer_Dim!B:B,"Not Found")</f>
        <v>Joel Robinson</v>
      </c>
      <c r="K869">
        <f>Table511[[#This Row],[Total_Amount]]/(L869*(1-Table511[[#This Row],[Discount]]))</f>
        <v>2</v>
      </c>
      <c r="L869" s="5">
        <v>667.17</v>
      </c>
      <c r="M869">
        <v>0.1</v>
      </c>
      <c r="N869" t="s">
        <v>1351</v>
      </c>
      <c r="O869" s="5">
        <v>1200.9059999999999</v>
      </c>
    </row>
    <row r="870" spans="1:15">
      <c r="A870" t="s">
        <v>2219</v>
      </c>
      <c r="B870" s="7">
        <v>45382</v>
      </c>
      <c r="C870" t="s">
        <v>867</v>
      </c>
      <c r="D870" t="s">
        <v>1205</v>
      </c>
      <c r="E870" t="s">
        <v>1291</v>
      </c>
      <c r="F870" t="str">
        <f>[1]Raw_Customer_Dim!$A$2</f>
        <v>CUST1000</v>
      </c>
      <c r="G870" t="str">
        <f>_xlfn.XLOOKUP(E870,Store_Dim!A:A,Store_Dim!B:B,"Not Found")</f>
        <v>Johnson-Wright</v>
      </c>
      <c r="H870" t="str">
        <f>_xlfn.XLOOKUP(D870,Product_Dim!A:A,Product_Dim!C:C,"Not Found")</f>
        <v>Beauty</v>
      </c>
      <c r="I870" t="str">
        <f>_xlfn.XLOOKUP(E870,Store_Dim!A:A,Store_Dim!C:C,"Not Found")</f>
        <v>North</v>
      </c>
      <c r="J870" t="str">
        <f>_xlfn.XLOOKUP(C870,Customer_Dim!A:A,Customer_Dim!B:B,"Not Found")</f>
        <v>Cassandra Perez</v>
      </c>
      <c r="K870">
        <f>Table511[[#This Row],[Total_Amount]]/(L870*(1-Table511[[#This Row],[Discount]]))</f>
        <v>1</v>
      </c>
      <c r="L870" s="5">
        <v>984.6</v>
      </c>
      <c r="M870">
        <v>0.22</v>
      </c>
      <c r="N870" t="s">
        <v>1349</v>
      </c>
      <c r="O870" s="5">
        <v>767.98800000000006</v>
      </c>
    </row>
    <row r="871" spans="1:15">
      <c r="A871" t="s">
        <v>2220</v>
      </c>
      <c r="B871" s="7">
        <v>45260</v>
      </c>
      <c r="C871" t="s">
        <v>622</v>
      </c>
      <c r="D871" t="s">
        <v>1099</v>
      </c>
      <c r="E871" t="s">
        <v>1307</v>
      </c>
      <c r="F871" t="str">
        <f>[1]Raw_Customer_Dim!$A$2</f>
        <v>CUST1000</v>
      </c>
      <c r="G871" t="str">
        <f>_xlfn.XLOOKUP(E871,Store_Dim!A:A,Store_Dim!B:B,"Not Found")</f>
        <v>Bean, Jones and Park</v>
      </c>
      <c r="H871" t="str">
        <f>_xlfn.XLOOKUP(D871,Product_Dim!A:A,Product_Dim!C:C,"Not Found")</f>
        <v>Electronics</v>
      </c>
      <c r="I871" t="str">
        <f>_xlfn.XLOOKUP(E871,Store_Dim!A:A,Store_Dim!C:C,"Not Found")</f>
        <v>West</v>
      </c>
      <c r="J871" t="str">
        <f>_xlfn.XLOOKUP(C871,Customer_Dim!A:A,Customer_Dim!B:B,"Not Found")</f>
        <v>Aaron Luna</v>
      </c>
      <c r="K871">
        <f>Table511[[#This Row],[Total_Amount]]/(L871*(1-Table511[[#This Row],[Discount]]))</f>
        <v>1</v>
      </c>
      <c r="L871" s="5">
        <v>139.29</v>
      </c>
      <c r="M871">
        <v>0</v>
      </c>
      <c r="N871" t="s">
        <v>1349</v>
      </c>
      <c r="O871" s="5">
        <v>139.29</v>
      </c>
    </row>
    <row r="872" spans="1:15">
      <c r="A872" t="s">
        <v>2221</v>
      </c>
      <c r="B872" s="7">
        <v>45702</v>
      </c>
      <c r="C872" t="s">
        <v>102</v>
      </c>
      <c r="D872" t="s">
        <v>1105</v>
      </c>
      <c r="E872" t="s">
        <v>1307</v>
      </c>
      <c r="F872" t="str">
        <f>[1]Raw_Customer_Dim!$A$2</f>
        <v>CUST1000</v>
      </c>
      <c r="G872" t="str">
        <f>_xlfn.XLOOKUP(E872,Store_Dim!A:A,Store_Dim!B:B,"Not Found")</f>
        <v>Bean, Jones and Park</v>
      </c>
      <c r="H872" t="str">
        <f>_xlfn.XLOOKUP(D872,Product_Dim!A:A,Product_Dim!C:C,"Not Found")</f>
        <v>Not Found</v>
      </c>
      <c r="I872" t="str">
        <f>_xlfn.XLOOKUP(E872,Store_Dim!A:A,Store_Dim!C:C,"Not Found")</f>
        <v>West</v>
      </c>
      <c r="J872" t="str">
        <f>_xlfn.XLOOKUP(C872,Customer_Dim!A:A,Customer_Dim!B:B,"Not Found")</f>
        <v>Robert Jones DDS</v>
      </c>
      <c r="K872">
        <f>Table511[[#This Row],[Total_Amount]]/(L872*(1-Table511[[#This Row],[Discount]]))</f>
        <v>3</v>
      </c>
      <c r="L872" s="5">
        <v>459.57</v>
      </c>
      <c r="M872">
        <v>0.1</v>
      </c>
      <c r="N872" t="s">
        <v>1354</v>
      </c>
      <c r="O872" s="5">
        <v>1240.8389999999999</v>
      </c>
    </row>
    <row r="873" spans="1:15">
      <c r="A873" t="s">
        <v>2222</v>
      </c>
      <c r="B873" s="7">
        <v>45302</v>
      </c>
      <c r="C873" t="s">
        <v>180</v>
      </c>
      <c r="D873" t="s">
        <v>1153</v>
      </c>
      <c r="E873" t="s">
        <v>1326</v>
      </c>
      <c r="F873" t="str">
        <f>[1]Raw_Customer_Dim!$A$2</f>
        <v>CUST1000</v>
      </c>
      <c r="G873" t="str">
        <f>_xlfn.XLOOKUP(E873,Store_Dim!A:A,Store_Dim!B:B,"Not Found")</f>
        <v>Shelton PLC</v>
      </c>
      <c r="H873" t="str">
        <f>_xlfn.XLOOKUP(D873,Product_Dim!A:A,Product_Dim!C:C,"Not Found")</f>
        <v>Electronics</v>
      </c>
      <c r="I873" t="str">
        <f>_xlfn.XLOOKUP(E873,Store_Dim!A:A,Store_Dim!C:C,"Not Found")</f>
        <v>North</v>
      </c>
      <c r="J873" t="str">
        <f>_xlfn.XLOOKUP(C873,Customer_Dim!A:A,Customer_Dim!B:B,"Not Found")</f>
        <v>Cody Diaz</v>
      </c>
      <c r="K873">
        <f>Table511[[#This Row],[Total_Amount]]/(L873*(1-Table511[[#This Row],[Discount]]))</f>
        <v>1</v>
      </c>
      <c r="L873" s="5">
        <v>517.82000000000005</v>
      </c>
      <c r="M873">
        <v>0.28999999999999998</v>
      </c>
      <c r="N873" t="s">
        <v>1349</v>
      </c>
      <c r="O873" s="5">
        <v>367.65219999999999</v>
      </c>
    </row>
    <row r="874" spans="1:15">
      <c r="A874" t="s">
        <v>2223</v>
      </c>
      <c r="B874" s="7">
        <v>45653</v>
      </c>
      <c r="C874" t="s">
        <v>821</v>
      </c>
      <c r="D874" t="s">
        <v>1225</v>
      </c>
      <c r="E874" t="s">
        <v>1301</v>
      </c>
      <c r="F874" t="str">
        <f>[1]Raw_Customer_Dim!$A$2</f>
        <v>CUST1000</v>
      </c>
      <c r="G874" t="str">
        <f>_xlfn.XLOOKUP(E874,Store_Dim!A:A,Store_Dim!B:B,"Not Found")</f>
        <v>Benson-Elliott</v>
      </c>
      <c r="H874" t="str">
        <f>_xlfn.XLOOKUP(D874,Product_Dim!A:A,Product_Dim!C:C,"Not Found")</f>
        <v>Electronics</v>
      </c>
      <c r="I874" t="str">
        <f>_xlfn.XLOOKUP(E874,Store_Dim!A:A,Store_Dim!C:C,"Not Found")</f>
        <v>East</v>
      </c>
      <c r="J874" t="str">
        <f>_xlfn.XLOOKUP(C874,Customer_Dim!A:A,Customer_Dim!B:B,"Not Found")</f>
        <v>Tanya Lopez</v>
      </c>
      <c r="K874">
        <f>Table511[[#This Row],[Total_Amount]]/(L874*(1-Table511[[#This Row],[Discount]]))</f>
        <v>4</v>
      </c>
      <c r="L874" s="5">
        <v>282.45</v>
      </c>
      <c r="M874">
        <v>0.28999999999999998</v>
      </c>
      <c r="N874" t="s">
        <v>1354</v>
      </c>
      <c r="O874" s="5">
        <v>802.1579999999999</v>
      </c>
    </row>
    <row r="875" spans="1:15">
      <c r="A875" t="s">
        <v>2224</v>
      </c>
      <c r="B875" s="7">
        <v>45250</v>
      </c>
      <c r="C875" t="s">
        <v>973</v>
      </c>
      <c r="D875" t="s">
        <v>1247</v>
      </c>
      <c r="E875" t="s">
        <v>1304</v>
      </c>
      <c r="F875" t="str">
        <f>[1]Raw_Customer_Dim!$A$2</f>
        <v>CUST1000</v>
      </c>
      <c r="G875" t="str">
        <f>_xlfn.XLOOKUP(E875,Store_Dim!A:A,Store_Dim!B:B,"Not Found")</f>
        <v>Martinez-Mullins</v>
      </c>
      <c r="H875" t="str">
        <f>_xlfn.XLOOKUP(D875,Product_Dim!A:A,Product_Dim!C:C,"Not Found")</f>
        <v>Home</v>
      </c>
      <c r="I875" t="str">
        <f>_xlfn.XLOOKUP(E875,Store_Dim!A:A,Store_Dim!C:C,"Not Found")</f>
        <v>South</v>
      </c>
      <c r="J875" t="str">
        <f>_xlfn.XLOOKUP(C875,Customer_Dim!A:A,Customer_Dim!B:B,"Not Found")</f>
        <v>Tyler Weber</v>
      </c>
      <c r="K875">
        <f>Table511[[#This Row],[Total_Amount]]/(L875*(1-Table511[[#This Row],[Discount]]))</f>
        <v>2</v>
      </c>
      <c r="L875" s="5">
        <v>386.46</v>
      </c>
      <c r="M875">
        <v>0.23</v>
      </c>
      <c r="N875" t="s">
        <v>1354</v>
      </c>
      <c r="O875" s="5">
        <v>595.14840000000004</v>
      </c>
    </row>
    <row r="876" spans="1:15">
      <c r="A876" t="s">
        <v>2225</v>
      </c>
      <c r="B876" s="7">
        <v>45661</v>
      </c>
      <c r="C876" t="s">
        <v>452</v>
      </c>
      <c r="D876" t="s">
        <v>1111</v>
      </c>
      <c r="E876" t="s">
        <v>1291</v>
      </c>
      <c r="F876" t="str">
        <f>[1]Raw_Customer_Dim!$A$2</f>
        <v>CUST1000</v>
      </c>
      <c r="G876" t="str">
        <f>_xlfn.XLOOKUP(E876,Store_Dim!A:A,Store_Dim!B:B,"Not Found")</f>
        <v>Johnson-Wright</v>
      </c>
      <c r="H876" t="str">
        <f>_xlfn.XLOOKUP(D876,Product_Dim!A:A,Product_Dim!C:C,"Not Found")</f>
        <v>Sports</v>
      </c>
      <c r="I876" t="str">
        <f>_xlfn.XLOOKUP(E876,Store_Dim!A:A,Store_Dim!C:C,"Not Found")</f>
        <v>North</v>
      </c>
      <c r="J876" t="str">
        <f>_xlfn.XLOOKUP(C876,Customer_Dim!A:A,Customer_Dim!B:B,"Not Found")</f>
        <v>Anthony Garcia</v>
      </c>
      <c r="K876">
        <f>Table511[[#This Row],[Total_Amount]]/(L876*(1-Table511[[#This Row],[Discount]]))</f>
        <v>1</v>
      </c>
      <c r="L876" s="5">
        <v>270.45</v>
      </c>
      <c r="M876">
        <v>0.15</v>
      </c>
      <c r="N876" t="s">
        <v>1354</v>
      </c>
      <c r="O876" s="5">
        <v>229.88249999999999</v>
      </c>
    </row>
    <row r="877" spans="1:15">
      <c r="A877" t="s">
        <v>2226</v>
      </c>
      <c r="B877" s="7">
        <v>45493</v>
      </c>
      <c r="C877" t="s">
        <v>120</v>
      </c>
      <c r="D877" t="s">
        <v>1225</v>
      </c>
      <c r="E877" t="s">
        <v>1314</v>
      </c>
      <c r="F877" t="str">
        <f>[1]Raw_Customer_Dim!$A$2</f>
        <v>CUST1000</v>
      </c>
      <c r="G877" t="str">
        <f>_xlfn.XLOOKUP(E877,Store_Dim!A:A,Store_Dim!B:B,"Not Found")</f>
        <v>Hill, Wagner and Ballard</v>
      </c>
      <c r="H877" t="str">
        <f>_xlfn.XLOOKUP(D877,Product_Dim!A:A,Product_Dim!C:C,"Not Found")</f>
        <v>Electronics</v>
      </c>
      <c r="I877" t="str">
        <f>_xlfn.XLOOKUP(E877,Store_Dim!A:A,Store_Dim!C:C,"Not Found")</f>
        <v>East</v>
      </c>
      <c r="J877" t="str">
        <f>_xlfn.XLOOKUP(C877,Customer_Dim!A:A,Customer_Dim!B:B,"Not Found")</f>
        <v>James Gibbs</v>
      </c>
      <c r="K877">
        <f>Table511[[#This Row],[Total_Amount]]/(L877*(1-Table511[[#This Row],[Discount]]))</f>
        <v>3.9999999999999996</v>
      </c>
      <c r="L877" s="5">
        <v>762.94</v>
      </c>
      <c r="M877">
        <v>0.09</v>
      </c>
      <c r="N877" t="s">
        <v>1354</v>
      </c>
      <c r="O877" s="5">
        <v>2777.1016</v>
      </c>
    </row>
    <row r="878" spans="1:15">
      <c r="A878" t="s">
        <v>2227</v>
      </c>
      <c r="B878" s="7">
        <v>45242</v>
      </c>
      <c r="C878" t="s">
        <v>1049</v>
      </c>
      <c r="D878" t="s">
        <v>1155</v>
      </c>
      <c r="E878" t="s">
        <v>1322</v>
      </c>
      <c r="F878" t="str">
        <f>[1]Raw_Customer_Dim!$A$2</f>
        <v>CUST1000</v>
      </c>
      <c r="G878" t="str">
        <f>_xlfn.XLOOKUP(E878,Store_Dim!A:A,Store_Dim!B:B,"Not Found")</f>
        <v>Gardner, Humphrey and Contreras</v>
      </c>
      <c r="H878" t="str">
        <f>_xlfn.XLOOKUP(D878,Product_Dim!A:A,Product_Dim!C:C,"Not Found")</f>
        <v>Sports</v>
      </c>
      <c r="I878" t="str">
        <f>_xlfn.XLOOKUP(E878,Store_Dim!A:A,Store_Dim!C:C,"Not Found")</f>
        <v>East</v>
      </c>
      <c r="J878" t="str">
        <f>_xlfn.XLOOKUP(C878,Customer_Dim!A:A,Customer_Dim!B:B,"Not Found")</f>
        <v>Justin Lopez</v>
      </c>
      <c r="K878">
        <f>Table511[[#This Row],[Total_Amount]]/(L878*(1-Table511[[#This Row],[Discount]]))</f>
        <v>1</v>
      </c>
      <c r="L878" s="5">
        <v>409.03</v>
      </c>
      <c r="M878">
        <v>0.25</v>
      </c>
      <c r="N878" t="s">
        <v>1354</v>
      </c>
      <c r="O878" s="5">
        <v>306.77249999999998</v>
      </c>
    </row>
    <row r="879" spans="1:15">
      <c r="A879" t="s">
        <v>2228</v>
      </c>
      <c r="B879" s="7">
        <v>45411</v>
      </c>
      <c r="C879" t="s">
        <v>500</v>
      </c>
      <c r="D879" t="s">
        <v>1265</v>
      </c>
      <c r="E879" t="s">
        <v>1335</v>
      </c>
      <c r="F879" t="str">
        <f>[1]Raw_Customer_Dim!$A$2</f>
        <v>CUST1000</v>
      </c>
      <c r="G879" t="str">
        <f>_xlfn.XLOOKUP(E879,Store_Dim!A:A,Store_Dim!B:B,"Not Found")</f>
        <v>Guerrero-Schmitt</v>
      </c>
      <c r="H879" t="str">
        <f>_xlfn.XLOOKUP(D879,Product_Dim!A:A,Product_Dim!C:C,"Not Found")</f>
        <v>Clothing</v>
      </c>
      <c r="I879" t="str">
        <f>_xlfn.XLOOKUP(E879,Store_Dim!A:A,Store_Dim!C:C,"Not Found")</f>
        <v>East</v>
      </c>
      <c r="J879" t="str">
        <f>_xlfn.XLOOKUP(C879,Customer_Dim!A:A,Customer_Dim!B:B,"Not Found")</f>
        <v>Jordan Wells</v>
      </c>
      <c r="K879">
        <f>Table511[[#This Row],[Total_Amount]]/(L879*(1-Table511[[#This Row],[Discount]]))</f>
        <v>2</v>
      </c>
      <c r="L879" s="5">
        <v>891.13</v>
      </c>
      <c r="M879">
        <v>0.13</v>
      </c>
      <c r="N879" t="s">
        <v>1349</v>
      </c>
      <c r="O879" s="5">
        <v>1550.5662</v>
      </c>
    </row>
    <row r="880" spans="1:15">
      <c r="A880" t="s">
        <v>2229</v>
      </c>
      <c r="B880" s="7">
        <v>45593</v>
      </c>
      <c r="C880" t="s">
        <v>99</v>
      </c>
      <c r="D880" t="s">
        <v>1257</v>
      </c>
      <c r="E880" t="s">
        <v>1329</v>
      </c>
      <c r="F880" t="str">
        <f>[1]Raw_Customer_Dim!$A$2</f>
        <v>CUST1000</v>
      </c>
      <c r="G880" t="str">
        <f>_xlfn.XLOOKUP(E880,Store_Dim!A:A,Store_Dim!B:B,"Not Found")</f>
        <v>Frederick-Wright</v>
      </c>
      <c r="H880" t="str">
        <f>_xlfn.XLOOKUP(D880,Product_Dim!A:A,Product_Dim!C:C,"Not Found")</f>
        <v>Home</v>
      </c>
      <c r="I880" t="str">
        <f>_xlfn.XLOOKUP(E880,Store_Dim!A:A,Store_Dim!C:C,"Not Found")</f>
        <v>West</v>
      </c>
      <c r="J880" t="str">
        <f>_xlfn.XLOOKUP(C880,Customer_Dim!A:A,Customer_Dim!B:B,"Not Found")</f>
        <v>Mike Jennings</v>
      </c>
      <c r="K880">
        <f>Table511[[#This Row],[Total_Amount]]/(L880*(1-Table511[[#This Row],[Discount]]))</f>
        <v>1</v>
      </c>
      <c r="L880" s="5">
        <v>553.38</v>
      </c>
      <c r="M880">
        <v>0.21</v>
      </c>
      <c r="N880" t="s">
        <v>1351</v>
      </c>
      <c r="O880" s="5">
        <v>437.17020000000002</v>
      </c>
    </row>
    <row r="881" spans="1:15">
      <c r="A881" t="s">
        <v>2230</v>
      </c>
      <c r="B881" s="7">
        <v>45281</v>
      </c>
      <c r="C881" t="s">
        <v>381</v>
      </c>
      <c r="D881" t="s">
        <v>1243</v>
      </c>
      <c r="E881" t="s">
        <v>1322</v>
      </c>
      <c r="F881" t="str">
        <f>[1]Raw_Customer_Dim!$A$2</f>
        <v>CUST1000</v>
      </c>
      <c r="G881" t="str">
        <f>_xlfn.XLOOKUP(E881,Store_Dim!A:A,Store_Dim!B:B,"Not Found")</f>
        <v>Gardner, Humphrey and Contreras</v>
      </c>
      <c r="H881" t="str">
        <f>_xlfn.XLOOKUP(D881,Product_Dim!A:A,Product_Dim!C:C,"Not Found")</f>
        <v>Clothing</v>
      </c>
      <c r="I881" t="str">
        <f>_xlfn.XLOOKUP(E881,Store_Dim!A:A,Store_Dim!C:C,"Not Found")</f>
        <v>East</v>
      </c>
      <c r="J881" t="str">
        <f>_xlfn.XLOOKUP(C881,Customer_Dim!A:A,Customer_Dim!B:B,"Not Found")</f>
        <v>John Lawson</v>
      </c>
      <c r="K881">
        <f>Table511[[#This Row],[Total_Amount]]/(L881*(1-Table511[[#This Row],[Discount]]))</f>
        <v>2.0000000000000004</v>
      </c>
      <c r="L881" s="5">
        <v>652.29999999999995</v>
      </c>
      <c r="M881">
        <v>0.16</v>
      </c>
      <c r="N881" t="s">
        <v>1354</v>
      </c>
      <c r="O881" s="5">
        <v>1095.864</v>
      </c>
    </row>
    <row r="882" spans="1:15">
      <c r="A882" t="s">
        <v>2231</v>
      </c>
      <c r="B882" s="7">
        <v>45575</v>
      </c>
      <c r="C882" t="s">
        <v>304</v>
      </c>
      <c r="D882" t="s">
        <v>1157</v>
      </c>
      <c r="E882" t="s">
        <v>1311</v>
      </c>
      <c r="F882" t="str">
        <f>[1]Raw_Customer_Dim!$A$2</f>
        <v>CUST1000</v>
      </c>
      <c r="G882" t="str">
        <f>_xlfn.XLOOKUP(E882,Store_Dim!A:A,Store_Dim!B:B,"Not Found")</f>
        <v>Moore, Padilla and Butler</v>
      </c>
      <c r="H882" t="str">
        <f>_xlfn.XLOOKUP(D882,Product_Dim!A:A,Product_Dim!C:C,"Not Found")</f>
        <v>Electronics</v>
      </c>
      <c r="I882" t="str">
        <f>_xlfn.XLOOKUP(E882,Store_Dim!A:A,Store_Dim!C:C,"Not Found")</f>
        <v>South</v>
      </c>
      <c r="J882" t="str">
        <f>_xlfn.XLOOKUP(C882,Customer_Dim!A:A,Customer_Dim!B:B,"Not Found")</f>
        <v>Michael Chang</v>
      </c>
      <c r="K882">
        <f>Table511[[#This Row],[Total_Amount]]/(L882*(1-Table511[[#This Row],[Discount]]))</f>
        <v>4</v>
      </c>
      <c r="L882" s="5">
        <v>194.36</v>
      </c>
      <c r="M882">
        <v>0.18</v>
      </c>
      <c r="N882" t="s">
        <v>1354</v>
      </c>
      <c r="O882" s="5">
        <v>637.50080000000014</v>
      </c>
    </row>
    <row r="883" spans="1:15">
      <c r="A883" t="s">
        <v>2232</v>
      </c>
      <c r="B883" s="7">
        <v>45660</v>
      </c>
      <c r="C883" t="s">
        <v>367</v>
      </c>
      <c r="D883" t="s">
        <v>1257</v>
      </c>
      <c r="E883" t="s">
        <v>1282</v>
      </c>
      <c r="F883" t="str">
        <f>[1]Raw_Customer_Dim!$A$2</f>
        <v>CUST1000</v>
      </c>
      <c r="G883" t="str">
        <f>_xlfn.XLOOKUP(E883,Store_Dim!A:A,Store_Dim!B:B,"Not Found")</f>
        <v>Martinez, Adkins and Johnson</v>
      </c>
      <c r="H883" t="str">
        <f>_xlfn.XLOOKUP(D883,Product_Dim!A:A,Product_Dim!C:C,"Not Found")</f>
        <v>Home</v>
      </c>
      <c r="I883" t="str">
        <f>_xlfn.XLOOKUP(E883,Store_Dim!A:A,Store_Dim!C:C,"Not Found")</f>
        <v>North</v>
      </c>
      <c r="J883" t="str">
        <f>_xlfn.XLOOKUP(C883,Customer_Dim!A:A,Customer_Dim!B:B,"Not Found")</f>
        <v>Joseph Faulkner</v>
      </c>
      <c r="K883">
        <f>Table511[[#This Row],[Total_Amount]]/(L883*(1-Table511[[#This Row],[Discount]]))</f>
        <v>3</v>
      </c>
      <c r="L883" s="5">
        <v>476.37</v>
      </c>
      <c r="M883">
        <v>0.21</v>
      </c>
      <c r="N883" t="s">
        <v>1354</v>
      </c>
      <c r="O883" s="5">
        <v>1128.9969000000001</v>
      </c>
    </row>
    <row r="884" spans="1:15">
      <c r="A884" t="s">
        <v>2233</v>
      </c>
      <c r="B884" s="7">
        <v>45360</v>
      </c>
      <c r="C884" t="s">
        <v>793</v>
      </c>
      <c r="D884" t="s">
        <v>1153</v>
      </c>
      <c r="E884" t="s">
        <v>1298</v>
      </c>
      <c r="F884" t="str">
        <f>[1]Raw_Customer_Dim!$A$2</f>
        <v>CUST1000</v>
      </c>
      <c r="G884" t="str">
        <f>_xlfn.XLOOKUP(E884,Store_Dim!A:A,Store_Dim!B:B,"Not Found")</f>
        <v>Gray Ltd</v>
      </c>
      <c r="H884" t="str">
        <f>_xlfn.XLOOKUP(D884,Product_Dim!A:A,Product_Dim!C:C,"Not Found")</f>
        <v>Electronics</v>
      </c>
      <c r="I884" t="str">
        <f>_xlfn.XLOOKUP(E884,Store_Dim!A:A,Store_Dim!C:C,"Not Found")</f>
        <v>North</v>
      </c>
      <c r="J884" t="str">
        <f>_xlfn.XLOOKUP(C884,Customer_Dim!A:A,Customer_Dim!B:B,"Not Found")</f>
        <v>Brandon Mcbride</v>
      </c>
      <c r="K884">
        <f>Table511[[#This Row],[Total_Amount]]/(L884*(1-Table511[[#This Row],[Discount]]))</f>
        <v>3.0000000000000004</v>
      </c>
      <c r="L884" s="5">
        <v>174.57</v>
      </c>
      <c r="M884">
        <v>0</v>
      </c>
      <c r="N884" t="s">
        <v>1351</v>
      </c>
      <c r="O884" s="5">
        <v>523.71</v>
      </c>
    </row>
    <row r="885" spans="1:15">
      <c r="A885" t="s">
        <v>2234</v>
      </c>
      <c r="B885" s="7">
        <v>45526</v>
      </c>
      <c r="C885" t="s">
        <v>298</v>
      </c>
      <c r="D885" t="s">
        <v>1243</v>
      </c>
      <c r="E885" t="s">
        <v>1277</v>
      </c>
      <c r="F885" t="str">
        <f>[1]Raw_Customer_Dim!$A$2</f>
        <v>CUST1000</v>
      </c>
      <c r="G885" t="str">
        <f>_xlfn.XLOOKUP(E885,Store_Dim!A:A,Store_Dim!B:B,"Not Found")</f>
        <v>Rivera-Warner</v>
      </c>
      <c r="H885" t="str">
        <f>_xlfn.XLOOKUP(D885,Product_Dim!A:A,Product_Dim!C:C,"Not Found")</f>
        <v>Clothing</v>
      </c>
      <c r="I885" t="str">
        <f>_xlfn.XLOOKUP(E885,Store_Dim!A:A,Store_Dim!C:C,"Not Found")</f>
        <v>East</v>
      </c>
      <c r="J885" t="str">
        <f>_xlfn.XLOOKUP(C885,Customer_Dim!A:A,Customer_Dim!B:B,"Not Found")</f>
        <v>Michael Jones</v>
      </c>
      <c r="K885">
        <f>Table511[[#This Row],[Total_Amount]]/(L885*(1-Table511[[#This Row],[Discount]]))</f>
        <v>3.0000000000000004</v>
      </c>
      <c r="L885" s="5">
        <v>762</v>
      </c>
      <c r="M885">
        <v>0.02</v>
      </c>
      <c r="N885" t="s">
        <v>1351</v>
      </c>
      <c r="O885" s="5">
        <v>2240.2800000000002</v>
      </c>
    </row>
    <row r="886" spans="1:15">
      <c r="A886" t="s">
        <v>2235</v>
      </c>
      <c r="B886" s="7">
        <v>45395</v>
      </c>
      <c r="C886" t="s">
        <v>913</v>
      </c>
      <c r="D886" t="s">
        <v>1217</v>
      </c>
      <c r="E886" t="s">
        <v>1338</v>
      </c>
      <c r="F886" t="str">
        <f>[1]Raw_Customer_Dim!$A$2</f>
        <v>CUST1000</v>
      </c>
      <c r="G886" t="str">
        <f>_xlfn.XLOOKUP(E886,Store_Dim!A:A,Store_Dim!B:B,"Not Found")</f>
        <v>Mann-Austin</v>
      </c>
      <c r="H886" t="str">
        <f>_xlfn.XLOOKUP(D886,Product_Dim!A:A,Product_Dim!C:C,"Not Found")</f>
        <v>Sports</v>
      </c>
      <c r="I886" t="str">
        <f>_xlfn.XLOOKUP(E886,Store_Dim!A:A,Store_Dim!C:C,"Not Found")</f>
        <v>East</v>
      </c>
      <c r="J886" t="str">
        <f>_xlfn.XLOOKUP(C886,Customer_Dim!A:A,Customer_Dim!B:B,"Not Found")</f>
        <v>Bryce Hawkins</v>
      </c>
      <c r="K886">
        <f>Table511[[#This Row],[Total_Amount]]/(L886*(1-Table511[[#This Row],[Discount]]))</f>
        <v>1</v>
      </c>
      <c r="L886" s="5">
        <v>44.08</v>
      </c>
      <c r="M886">
        <v>0.05</v>
      </c>
      <c r="N886" t="s">
        <v>1349</v>
      </c>
      <c r="O886" s="5">
        <v>41.875999999999998</v>
      </c>
    </row>
    <row r="887" spans="1:15">
      <c r="A887" t="s">
        <v>2236</v>
      </c>
      <c r="B887" s="7">
        <v>45466</v>
      </c>
      <c r="C887" t="s">
        <v>1051</v>
      </c>
      <c r="D887" t="s">
        <v>1191</v>
      </c>
      <c r="E887" t="s">
        <v>1322</v>
      </c>
      <c r="F887" t="str">
        <f>[1]Raw_Customer_Dim!$A$2</f>
        <v>CUST1000</v>
      </c>
      <c r="G887" t="str">
        <f>_xlfn.XLOOKUP(E887,Store_Dim!A:A,Store_Dim!B:B,"Not Found")</f>
        <v>Gardner, Humphrey and Contreras</v>
      </c>
      <c r="H887" t="str">
        <f>_xlfn.XLOOKUP(D887,Product_Dim!A:A,Product_Dim!C:C,"Not Found")</f>
        <v>Beauty</v>
      </c>
      <c r="I887" t="str">
        <f>_xlfn.XLOOKUP(E887,Store_Dim!A:A,Store_Dim!C:C,"Not Found")</f>
        <v>East</v>
      </c>
      <c r="J887" t="str">
        <f>_xlfn.XLOOKUP(C887,Customer_Dim!A:A,Customer_Dim!B:B,"Not Found")</f>
        <v>James Berger</v>
      </c>
      <c r="K887">
        <f>Table511[[#This Row],[Total_Amount]]/(L887*(1-Table511[[#This Row],[Discount]]))</f>
        <v>1</v>
      </c>
      <c r="L887" s="5">
        <v>992.37</v>
      </c>
      <c r="M887">
        <v>0.24</v>
      </c>
      <c r="N887" t="s">
        <v>1354</v>
      </c>
      <c r="O887" s="5">
        <v>754.20119999999997</v>
      </c>
    </row>
    <row r="888" spans="1:15">
      <c r="A888" t="s">
        <v>2237</v>
      </c>
      <c r="B888" s="7">
        <v>45876</v>
      </c>
      <c r="C888" t="s">
        <v>464</v>
      </c>
      <c r="D888" t="s">
        <v>1135</v>
      </c>
      <c r="E888" t="s">
        <v>1314</v>
      </c>
      <c r="F888" t="str">
        <f>[1]Raw_Customer_Dim!$A$2</f>
        <v>CUST1000</v>
      </c>
      <c r="G888" t="str">
        <f>_xlfn.XLOOKUP(E888,Store_Dim!A:A,Store_Dim!B:B,"Not Found")</f>
        <v>Hill, Wagner and Ballard</v>
      </c>
      <c r="H888" t="str">
        <f>_xlfn.XLOOKUP(D888,Product_Dim!A:A,Product_Dim!C:C,"Not Found")</f>
        <v>Sports</v>
      </c>
      <c r="I888" t="str">
        <f>_xlfn.XLOOKUP(E888,Store_Dim!A:A,Store_Dim!C:C,"Not Found")</f>
        <v>East</v>
      </c>
      <c r="J888" t="str">
        <f>_xlfn.XLOOKUP(C888,Customer_Dim!A:A,Customer_Dim!B:B,"Not Found")</f>
        <v>Mary Boyd</v>
      </c>
      <c r="K888">
        <f>Table511[[#This Row],[Total_Amount]]/(L888*(1-Table511[[#This Row],[Discount]]))</f>
        <v>2.9999999999999996</v>
      </c>
      <c r="L888" s="5">
        <v>465.4</v>
      </c>
      <c r="M888">
        <v>0.28999999999999998</v>
      </c>
      <c r="N888" t="s">
        <v>1354</v>
      </c>
      <c r="O888" s="5">
        <v>991.30199999999979</v>
      </c>
    </row>
    <row r="889" spans="1:15">
      <c r="A889" t="s">
        <v>2238</v>
      </c>
      <c r="B889" s="7">
        <v>45724</v>
      </c>
      <c r="C889" t="s">
        <v>738</v>
      </c>
      <c r="D889" t="s">
        <v>1105</v>
      </c>
      <c r="E889" t="s">
        <v>1314</v>
      </c>
      <c r="F889" t="str">
        <f>[1]Raw_Customer_Dim!$A$2</f>
        <v>CUST1000</v>
      </c>
      <c r="G889" t="str">
        <f>_xlfn.XLOOKUP(E889,Store_Dim!A:A,Store_Dim!B:B,"Not Found")</f>
        <v>Hill, Wagner and Ballard</v>
      </c>
      <c r="H889" t="str">
        <f>_xlfn.XLOOKUP(D889,Product_Dim!A:A,Product_Dim!C:C,"Not Found")</f>
        <v>Not Found</v>
      </c>
      <c r="I889" t="str">
        <f>_xlfn.XLOOKUP(E889,Store_Dim!A:A,Store_Dim!C:C,"Not Found")</f>
        <v>East</v>
      </c>
      <c r="J889" t="str">
        <f>_xlfn.XLOOKUP(C889,Customer_Dim!A:A,Customer_Dim!B:B,"Not Found")</f>
        <v>Carol Lewis</v>
      </c>
      <c r="K889">
        <f>Table511[[#This Row],[Total_Amount]]/(L889*(1-Table511[[#This Row],[Discount]]))</f>
        <v>2</v>
      </c>
      <c r="L889" s="5">
        <v>693.61</v>
      </c>
      <c r="M889">
        <v>0.15</v>
      </c>
      <c r="N889" t="s">
        <v>1351</v>
      </c>
      <c r="O889" s="5">
        <v>1179.1369999999999</v>
      </c>
    </row>
    <row r="890" spans="1:15">
      <c r="A890" t="s">
        <v>2239</v>
      </c>
      <c r="B890" s="7">
        <v>45801</v>
      </c>
      <c r="C890" t="s">
        <v>992</v>
      </c>
      <c r="D890" t="s">
        <v>1207</v>
      </c>
      <c r="E890" t="s">
        <v>1307</v>
      </c>
      <c r="F890" t="str">
        <f>[1]Raw_Customer_Dim!$A$2</f>
        <v>CUST1000</v>
      </c>
      <c r="G890" t="str">
        <f>_xlfn.XLOOKUP(E890,Store_Dim!A:A,Store_Dim!B:B,"Not Found")</f>
        <v>Bean, Jones and Park</v>
      </c>
      <c r="H890" t="str">
        <f>_xlfn.XLOOKUP(D890,Product_Dim!A:A,Product_Dim!C:C,"Not Found")</f>
        <v>Electronics</v>
      </c>
      <c r="I890" t="str">
        <f>_xlfn.XLOOKUP(E890,Store_Dim!A:A,Store_Dim!C:C,"Not Found")</f>
        <v>West</v>
      </c>
      <c r="J890" t="str">
        <f>_xlfn.XLOOKUP(C890,Customer_Dim!A:A,Customer_Dim!B:B,"Not Found")</f>
        <v>Ronald Ross</v>
      </c>
      <c r="K890">
        <f>Table511[[#This Row],[Total_Amount]]/(L890*(1-Table511[[#This Row],[Discount]]))</f>
        <v>2</v>
      </c>
      <c r="L890" s="5">
        <v>995.11</v>
      </c>
      <c r="M890">
        <v>0.13</v>
      </c>
      <c r="N890" t="s">
        <v>1351</v>
      </c>
      <c r="O890" s="5">
        <v>1731.4914000000001</v>
      </c>
    </row>
    <row r="891" spans="1:15">
      <c r="A891" t="s">
        <v>2240</v>
      </c>
      <c r="B891" s="7">
        <v>45749</v>
      </c>
      <c r="C891" t="s">
        <v>825</v>
      </c>
      <c r="D891" t="s">
        <v>1119</v>
      </c>
      <c r="E891" t="s">
        <v>1294</v>
      </c>
      <c r="F891" t="str">
        <f>[1]Raw_Customer_Dim!$A$2</f>
        <v>CUST1000</v>
      </c>
      <c r="G891" t="str">
        <f>_xlfn.XLOOKUP(E891,Store_Dim!A:A,Store_Dim!B:B,"Not Found")</f>
        <v>Alexander Group</v>
      </c>
      <c r="H891" t="str">
        <f>_xlfn.XLOOKUP(D891,Product_Dim!A:A,Product_Dim!C:C,"Not Found")</f>
        <v>Clothing</v>
      </c>
      <c r="I891" t="str">
        <f>_xlfn.XLOOKUP(E891,Store_Dim!A:A,Store_Dim!C:C,"Not Found")</f>
        <v>South</v>
      </c>
      <c r="J891" t="str">
        <f>_xlfn.XLOOKUP(C891,Customer_Dim!A:A,Customer_Dim!B:B,"Not Found")</f>
        <v>Erika Padilla</v>
      </c>
      <c r="K891">
        <f>Table511[[#This Row],[Total_Amount]]/(L891*(1-Table511[[#This Row],[Discount]]))</f>
        <v>3</v>
      </c>
      <c r="L891" s="5">
        <v>70.97</v>
      </c>
      <c r="M891">
        <v>0.06</v>
      </c>
      <c r="N891" t="s">
        <v>1354</v>
      </c>
      <c r="O891" s="5">
        <v>200.1354</v>
      </c>
    </row>
    <row r="892" spans="1:15">
      <c r="A892" t="s">
        <v>2241</v>
      </c>
      <c r="B892" s="7">
        <v>45325</v>
      </c>
      <c r="C892" t="s">
        <v>286</v>
      </c>
      <c r="D892" t="s">
        <v>1239</v>
      </c>
      <c r="E892" t="s">
        <v>1311</v>
      </c>
      <c r="F892" t="str">
        <f>[1]Raw_Customer_Dim!$A$2</f>
        <v>CUST1000</v>
      </c>
      <c r="G892" t="str">
        <f>_xlfn.XLOOKUP(E892,Store_Dim!A:A,Store_Dim!B:B,"Not Found")</f>
        <v>Moore, Padilla and Butler</v>
      </c>
      <c r="H892" t="str">
        <f>_xlfn.XLOOKUP(D892,Product_Dim!A:A,Product_Dim!C:C,"Not Found")</f>
        <v>Beauty</v>
      </c>
      <c r="I892" t="str">
        <f>_xlfn.XLOOKUP(E892,Store_Dim!A:A,Store_Dim!C:C,"Not Found")</f>
        <v>South</v>
      </c>
      <c r="J892" t="str">
        <f>_xlfn.XLOOKUP(C892,Customer_Dim!A:A,Customer_Dim!B:B,"Not Found")</f>
        <v>Edward Hall</v>
      </c>
      <c r="K892">
        <f>Table511[[#This Row],[Total_Amount]]/(L892*(1-Table511[[#This Row],[Discount]]))</f>
        <v>3</v>
      </c>
      <c r="L892" s="5">
        <v>470.42</v>
      </c>
      <c r="M892">
        <v>0.16</v>
      </c>
      <c r="N892" t="s">
        <v>1349</v>
      </c>
      <c r="O892" s="5">
        <v>1185.4584</v>
      </c>
    </row>
    <row r="893" spans="1:15">
      <c r="A893" t="s">
        <v>2242</v>
      </c>
      <c r="B893" s="7">
        <v>45932</v>
      </c>
      <c r="C893" t="s">
        <v>692</v>
      </c>
      <c r="D893" t="s">
        <v>1245</v>
      </c>
      <c r="E893" t="s">
        <v>1329</v>
      </c>
      <c r="F893" t="str">
        <f>[1]Raw_Customer_Dim!$A$2</f>
        <v>CUST1000</v>
      </c>
      <c r="G893" t="str">
        <f>_xlfn.XLOOKUP(E893,Store_Dim!A:A,Store_Dim!B:B,"Not Found")</f>
        <v>Frederick-Wright</v>
      </c>
      <c r="H893" t="str">
        <f>_xlfn.XLOOKUP(D893,Product_Dim!A:A,Product_Dim!C:C,"Not Found")</f>
        <v>Home</v>
      </c>
      <c r="I893" t="str">
        <f>_xlfn.XLOOKUP(E893,Store_Dim!A:A,Store_Dim!C:C,"Not Found")</f>
        <v>West</v>
      </c>
      <c r="J893" t="str">
        <f>_xlfn.XLOOKUP(C893,Customer_Dim!A:A,Customer_Dim!B:B,"Not Found")</f>
        <v>Elizabeth Johnson</v>
      </c>
      <c r="K893">
        <f>Table511[[#This Row],[Total_Amount]]/(L893*(1-Table511[[#This Row],[Discount]]))</f>
        <v>2</v>
      </c>
      <c r="L893" s="5">
        <v>215.59</v>
      </c>
      <c r="M893">
        <v>0.18</v>
      </c>
      <c r="N893" t="s">
        <v>1349</v>
      </c>
      <c r="O893" s="5">
        <v>353.56760000000003</v>
      </c>
    </row>
    <row r="894" spans="1:15">
      <c r="A894" t="s">
        <v>2243</v>
      </c>
      <c r="B894" s="7">
        <v>45895</v>
      </c>
      <c r="C894" t="s">
        <v>541</v>
      </c>
      <c r="D894" t="s">
        <v>1257</v>
      </c>
      <c r="E894" t="s">
        <v>1277</v>
      </c>
      <c r="F894" t="str">
        <f>[1]Raw_Customer_Dim!$A$2</f>
        <v>CUST1000</v>
      </c>
      <c r="G894" t="str">
        <f>_xlfn.XLOOKUP(E894,Store_Dim!A:A,Store_Dim!B:B,"Not Found")</f>
        <v>Rivera-Warner</v>
      </c>
      <c r="H894" t="str">
        <f>_xlfn.XLOOKUP(D894,Product_Dim!A:A,Product_Dim!C:C,"Not Found")</f>
        <v>Home</v>
      </c>
      <c r="I894" t="str">
        <f>_xlfn.XLOOKUP(E894,Store_Dim!A:A,Store_Dim!C:C,"Not Found")</f>
        <v>East</v>
      </c>
      <c r="J894" t="str">
        <f>_xlfn.XLOOKUP(C894,Customer_Dim!A:A,Customer_Dim!B:B,"Not Found")</f>
        <v>Maria Hill</v>
      </c>
      <c r="K894">
        <f>Table511[[#This Row],[Total_Amount]]/(L894*(1-Table511[[#This Row],[Discount]]))</f>
        <v>1</v>
      </c>
      <c r="L894" s="5">
        <v>533.79999999999995</v>
      </c>
      <c r="M894">
        <v>0.27</v>
      </c>
      <c r="N894" t="s">
        <v>1354</v>
      </c>
      <c r="O894" s="5">
        <v>389.67399999999998</v>
      </c>
    </row>
    <row r="895" spans="1:15">
      <c r="A895" t="s">
        <v>2244</v>
      </c>
      <c r="B895" s="7">
        <v>45614</v>
      </c>
      <c r="C895" t="s">
        <v>244</v>
      </c>
      <c r="D895" t="s">
        <v>1137</v>
      </c>
      <c r="E895" t="s">
        <v>1291</v>
      </c>
      <c r="F895" t="str">
        <f>[1]Raw_Customer_Dim!$A$2</f>
        <v>CUST1000</v>
      </c>
      <c r="G895" t="str">
        <f>_xlfn.XLOOKUP(E895,Store_Dim!A:A,Store_Dim!B:B,"Not Found")</f>
        <v>Johnson-Wright</v>
      </c>
      <c r="H895" t="str">
        <f>_xlfn.XLOOKUP(D895,Product_Dim!A:A,Product_Dim!C:C,"Not Found")</f>
        <v>Beauty</v>
      </c>
      <c r="I895" t="str">
        <f>_xlfn.XLOOKUP(E895,Store_Dim!A:A,Store_Dim!C:C,"Not Found")</f>
        <v>North</v>
      </c>
      <c r="J895" t="str">
        <f>_xlfn.XLOOKUP(C895,Customer_Dim!A:A,Customer_Dim!B:B,"Not Found")</f>
        <v>Christy Vasquez</v>
      </c>
      <c r="K895">
        <f>Table511[[#This Row],[Total_Amount]]/(L895*(1-Table511[[#This Row],[Discount]]))</f>
        <v>2</v>
      </c>
      <c r="L895" s="5">
        <v>732.67</v>
      </c>
      <c r="M895">
        <v>0.24</v>
      </c>
      <c r="N895" t="s">
        <v>1351</v>
      </c>
      <c r="O895" s="5">
        <v>1113.6584</v>
      </c>
    </row>
    <row r="896" spans="1:15">
      <c r="A896" t="s">
        <v>2245</v>
      </c>
      <c r="B896" s="7">
        <v>45247</v>
      </c>
      <c r="C896" t="s">
        <v>1039</v>
      </c>
      <c r="D896" t="s">
        <v>1193</v>
      </c>
      <c r="E896" t="s">
        <v>1322</v>
      </c>
      <c r="F896" t="str">
        <f>[1]Raw_Customer_Dim!$A$2</f>
        <v>CUST1000</v>
      </c>
      <c r="G896" t="str">
        <f>_xlfn.XLOOKUP(E896,Store_Dim!A:A,Store_Dim!B:B,"Not Found")</f>
        <v>Gardner, Humphrey and Contreras</v>
      </c>
      <c r="H896" t="str">
        <f>_xlfn.XLOOKUP(D896,Product_Dim!A:A,Product_Dim!C:C,"Not Found")</f>
        <v>Beauty</v>
      </c>
      <c r="I896" t="str">
        <f>_xlfn.XLOOKUP(E896,Store_Dim!A:A,Store_Dim!C:C,"Not Found")</f>
        <v>East</v>
      </c>
      <c r="J896" t="str">
        <f>_xlfn.XLOOKUP(C896,Customer_Dim!A:A,Customer_Dim!B:B,"Not Found")</f>
        <v>Melinda Thomas</v>
      </c>
      <c r="K896">
        <f>Table511[[#This Row],[Total_Amount]]/(L896*(1-Table511[[#This Row],[Discount]]))</f>
        <v>3.9999999999999996</v>
      </c>
      <c r="L896" s="5">
        <v>106.48</v>
      </c>
      <c r="M896">
        <v>0.1</v>
      </c>
      <c r="N896" t="s">
        <v>1354</v>
      </c>
      <c r="O896" s="5">
        <v>383.32799999999997</v>
      </c>
    </row>
    <row r="897" spans="1:15">
      <c r="A897" t="s">
        <v>2246</v>
      </c>
      <c r="B897" s="7">
        <v>45696</v>
      </c>
      <c r="C897" t="s">
        <v>269</v>
      </c>
      <c r="D897" t="s">
        <v>1187</v>
      </c>
      <c r="E897" t="s">
        <v>1291</v>
      </c>
      <c r="F897" t="str">
        <f>[1]Raw_Customer_Dim!$A$2</f>
        <v>CUST1000</v>
      </c>
      <c r="G897" t="str">
        <f>_xlfn.XLOOKUP(E897,Store_Dim!A:A,Store_Dim!B:B,"Not Found")</f>
        <v>Johnson-Wright</v>
      </c>
      <c r="H897" t="str">
        <f>_xlfn.XLOOKUP(D897,Product_Dim!A:A,Product_Dim!C:C,"Not Found")</f>
        <v>Sports</v>
      </c>
      <c r="I897" t="str">
        <f>_xlfn.XLOOKUP(E897,Store_Dim!A:A,Store_Dim!C:C,"Not Found")</f>
        <v>North</v>
      </c>
      <c r="J897" t="str">
        <f>_xlfn.XLOOKUP(C897,Customer_Dim!A:A,Customer_Dim!B:B,"Not Found")</f>
        <v>Lance Baker</v>
      </c>
      <c r="K897">
        <f>Table511[[#This Row],[Total_Amount]]/(L897*(1-Table511[[#This Row],[Discount]]))</f>
        <v>1</v>
      </c>
      <c r="L897" s="5">
        <v>38.950000000000003</v>
      </c>
      <c r="M897">
        <v>0.28000000000000003</v>
      </c>
      <c r="N897" t="s">
        <v>1349</v>
      </c>
      <c r="O897" s="5">
        <v>28.044</v>
      </c>
    </row>
    <row r="898" spans="1:15">
      <c r="A898" t="s">
        <v>2247</v>
      </c>
      <c r="B898" s="7">
        <v>45294</v>
      </c>
      <c r="C898" t="s">
        <v>925</v>
      </c>
      <c r="D898" t="s">
        <v>1265</v>
      </c>
      <c r="E898" t="s">
        <v>1329</v>
      </c>
      <c r="F898" t="str">
        <f>[1]Raw_Customer_Dim!$A$2</f>
        <v>CUST1000</v>
      </c>
      <c r="G898" t="str">
        <f>_xlfn.XLOOKUP(E898,Store_Dim!A:A,Store_Dim!B:B,"Not Found")</f>
        <v>Frederick-Wright</v>
      </c>
      <c r="H898" t="str">
        <f>_xlfn.XLOOKUP(D898,Product_Dim!A:A,Product_Dim!C:C,"Not Found")</f>
        <v>Clothing</v>
      </c>
      <c r="I898" t="str">
        <f>_xlfn.XLOOKUP(E898,Store_Dim!A:A,Store_Dim!C:C,"Not Found")</f>
        <v>West</v>
      </c>
      <c r="J898" t="str">
        <f>_xlfn.XLOOKUP(C898,Customer_Dim!A:A,Customer_Dim!B:B,"Not Found")</f>
        <v>John Smith</v>
      </c>
      <c r="K898">
        <f>Table511[[#This Row],[Total_Amount]]/(L898*(1-Table511[[#This Row],[Discount]]))</f>
        <v>1</v>
      </c>
      <c r="L898" s="5">
        <v>835.17</v>
      </c>
      <c r="M898">
        <v>0.02</v>
      </c>
      <c r="N898" t="s">
        <v>1354</v>
      </c>
      <c r="O898" s="5">
        <v>818.46659999999997</v>
      </c>
    </row>
    <row r="899" spans="1:15">
      <c r="A899" t="s">
        <v>2248</v>
      </c>
      <c r="B899" s="7">
        <v>45389</v>
      </c>
      <c r="C899" t="s">
        <v>329</v>
      </c>
      <c r="D899" t="s">
        <v>1239</v>
      </c>
      <c r="E899" t="s">
        <v>1291</v>
      </c>
      <c r="F899" t="str">
        <f>[1]Raw_Customer_Dim!$A$2</f>
        <v>CUST1000</v>
      </c>
      <c r="G899" t="str">
        <f>_xlfn.XLOOKUP(E899,Store_Dim!A:A,Store_Dim!B:B,"Not Found")</f>
        <v>Johnson-Wright</v>
      </c>
      <c r="H899" t="str">
        <f>_xlfn.XLOOKUP(D899,Product_Dim!A:A,Product_Dim!C:C,"Not Found")</f>
        <v>Beauty</v>
      </c>
      <c r="I899" t="str">
        <f>_xlfn.XLOOKUP(E899,Store_Dim!A:A,Store_Dim!C:C,"Not Found")</f>
        <v>North</v>
      </c>
      <c r="J899" t="str">
        <f>_xlfn.XLOOKUP(C899,Customer_Dim!A:A,Customer_Dim!B:B,"Not Found")</f>
        <v>Morgan Bowen</v>
      </c>
      <c r="K899">
        <f>Table511[[#This Row],[Total_Amount]]/(L899*(1-Table511[[#This Row],[Discount]]))</f>
        <v>1</v>
      </c>
      <c r="L899" s="5">
        <v>113.07</v>
      </c>
      <c r="M899">
        <v>0.24</v>
      </c>
      <c r="N899" t="s">
        <v>1349</v>
      </c>
      <c r="O899" s="5">
        <v>85.933199999999999</v>
      </c>
    </row>
    <row r="900" spans="1:15">
      <c r="A900" t="s">
        <v>2249</v>
      </c>
      <c r="B900" s="7">
        <v>45930</v>
      </c>
      <c r="C900" t="s">
        <v>994</v>
      </c>
      <c r="D900" t="s">
        <v>1261</v>
      </c>
      <c r="E900" t="s">
        <v>1319</v>
      </c>
      <c r="F900" t="str">
        <f>[1]Raw_Customer_Dim!$A$2</f>
        <v>CUST1000</v>
      </c>
      <c r="G900" t="str">
        <f>_xlfn.XLOOKUP(E900,Store_Dim!A:A,Store_Dim!B:B,"Not Found")</f>
        <v>Thomas, Bridges and Harris</v>
      </c>
      <c r="H900" t="str">
        <f>_xlfn.XLOOKUP(D900,Product_Dim!A:A,Product_Dim!C:C,"Not Found")</f>
        <v>Beauty</v>
      </c>
      <c r="I900" t="str">
        <f>_xlfn.XLOOKUP(E900,Store_Dim!A:A,Store_Dim!C:C,"Not Found")</f>
        <v>North</v>
      </c>
      <c r="J900" t="str">
        <f>_xlfn.XLOOKUP(C900,Customer_Dim!A:A,Customer_Dim!B:B,"Not Found")</f>
        <v>Cynthia Parrish</v>
      </c>
      <c r="K900">
        <f>Table511[[#This Row],[Total_Amount]]/(L900*(1-Table511[[#This Row],[Discount]]))</f>
        <v>2</v>
      </c>
      <c r="L900" s="5">
        <v>451.33</v>
      </c>
      <c r="M900">
        <v>0.23</v>
      </c>
      <c r="N900" t="s">
        <v>1354</v>
      </c>
      <c r="O900" s="5">
        <v>695.04819999999995</v>
      </c>
    </row>
    <row r="901" spans="1:15">
      <c r="A901" t="s">
        <v>2250</v>
      </c>
      <c r="B901" s="7">
        <v>45456</v>
      </c>
      <c r="C901" t="s">
        <v>807</v>
      </c>
      <c r="D901" t="s">
        <v>1245</v>
      </c>
      <c r="E901" t="s">
        <v>1301</v>
      </c>
      <c r="F901" t="str">
        <f>[1]Raw_Customer_Dim!$A$2</f>
        <v>CUST1000</v>
      </c>
      <c r="G901" t="str">
        <f>_xlfn.XLOOKUP(E901,Store_Dim!A:A,Store_Dim!B:B,"Not Found")</f>
        <v>Benson-Elliott</v>
      </c>
      <c r="H901" t="str">
        <f>_xlfn.XLOOKUP(D901,Product_Dim!A:A,Product_Dim!C:C,"Not Found")</f>
        <v>Home</v>
      </c>
      <c r="I901" t="str">
        <f>_xlfn.XLOOKUP(E901,Store_Dim!A:A,Store_Dim!C:C,"Not Found")</f>
        <v>East</v>
      </c>
      <c r="J901" t="str">
        <f>_xlfn.XLOOKUP(C901,Customer_Dim!A:A,Customer_Dim!B:B,"Not Found")</f>
        <v>Jacqueline Anthony</v>
      </c>
      <c r="K901">
        <f>Table511[[#This Row],[Total_Amount]]/(L901*(1-Table511[[#This Row],[Discount]]))</f>
        <v>3.0000000000000004</v>
      </c>
      <c r="L901" s="5">
        <v>619.80999999999995</v>
      </c>
      <c r="M901">
        <v>0.16</v>
      </c>
      <c r="N901" t="s">
        <v>1354</v>
      </c>
      <c r="O901" s="5">
        <v>1561.9212</v>
      </c>
    </row>
    <row r="902" spans="1:15">
      <c r="A902" t="s">
        <v>2251</v>
      </c>
      <c r="B902" s="7">
        <v>45713</v>
      </c>
      <c r="C902" t="s">
        <v>275</v>
      </c>
      <c r="D902" t="s">
        <v>1197</v>
      </c>
      <c r="E902" t="s">
        <v>1304</v>
      </c>
      <c r="F902" t="str">
        <f>[1]Raw_Customer_Dim!$A$2</f>
        <v>CUST1000</v>
      </c>
      <c r="G902" t="str">
        <f>_xlfn.XLOOKUP(E902,Store_Dim!A:A,Store_Dim!B:B,"Not Found")</f>
        <v>Martinez-Mullins</v>
      </c>
      <c r="H902" t="str">
        <f>_xlfn.XLOOKUP(D902,Product_Dim!A:A,Product_Dim!C:C,"Not Found")</f>
        <v>Electronics</v>
      </c>
      <c r="I902" t="str">
        <f>_xlfn.XLOOKUP(E902,Store_Dim!A:A,Store_Dim!C:C,"Not Found")</f>
        <v>South</v>
      </c>
      <c r="J902" t="str">
        <f>_xlfn.XLOOKUP(C902,Customer_Dim!A:A,Customer_Dim!B:B,"Not Found")</f>
        <v>Travis Holland</v>
      </c>
      <c r="K902">
        <f>Table511[[#This Row],[Total_Amount]]/(L902*(1-Table511[[#This Row],[Discount]]))</f>
        <v>4.0000000000000009</v>
      </c>
      <c r="L902" s="5">
        <v>46.97</v>
      </c>
      <c r="M902">
        <v>0.26</v>
      </c>
      <c r="N902" t="s">
        <v>1351</v>
      </c>
      <c r="O902" s="5">
        <v>139.03120000000001</v>
      </c>
    </row>
    <row r="903" spans="1:15">
      <c r="A903" t="s">
        <v>2252</v>
      </c>
      <c r="B903" s="7">
        <v>45784</v>
      </c>
      <c r="C903" t="s">
        <v>430</v>
      </c>
      <c r="D903" t="s">
        <v>1165</v>
      </c>
      <c r="E903" t="s">
        <v>1286</v>
      </c>
      <c r="F903" t="str">
        <f>[1]Raw_Customer_Dim!$A$2</f>
        <v>CUST1000</v>
      </c>
      <c r="G903" t="str">
        <f>_xlfn.XLOOKUP(E903,Store_Dim!A:A,Store_Dim!B:B,"Not Found")</f>
        <v>Black-Horn</v>
      </c>
      <c r="H903" t="str">
        <f>_xlfn.XLOOKUP(D903,Product_Dim!A:A,Product_Dim!C:C,"Not Found")</f>
        <v>Clothing</v>
      </c>
      <c r="I903" t="str">
        <f>_xlfn.XLOOKUP(E903,Store_Dim!A:A,Store_Dim!C:C,"Not Found")</f>
        <v>South</v>
      </c>
      <c r="J903" t="str">
        <f>_xlfn.XLOOKUP(C903,Customer_Dim!A:A,Customer_Dim!B:B,"Not Found")</f>
        <v>Leonard Cochran</v>
      </c>
      <c r="K903">
        <f>Table511[[#This Row],[Total_Amount]]/(L903*(1-Table511[[#This Row],[Discount]]))</f>
        <v>2</v>
      </c>
      <c r="L903" s="5">
        <v>71.48</v>
      </c>
      <c r="M903">
        <v>0.14000000000000001</v>
      </c>
      <c r="N903" t="s">
        <v>1354</v>
      </c>
      <c r="O903" s="5">
        <v>122.9456</v>
      </c>
    </row>
    <row r="904" spans="1:15">
      <c r="A904" t="s">
        <v>2253</v>
      </c>
      <c r="B904" s="7">
        <v>45812</v>
      </c>
      <c r="C904" t="s">
        <v>8</v>
      </c>
      <c r="D904" t="s">
        <v>1185</v>
      </c>
      <c r="E904" t="s">
        <v>1338</v>
      </c>
      <c r="F904" t="str">
        <f>[1]Raw_Customer_Dim!$A$2</f>
        <v>CUST1000</v>
      </c>
      <c r="G904" t="str">
        <f>_xlfn.XLOOKUP(E904,Store_Dim!A:A,Store_Dim!B:B,"Not Found")</f>
        <v>Mann-Austin</v>
      </c>
      <c r="H904" t="str">
        <f>_xlfn.XLOOKUP(D904,Product_Dim!A:A,Product_Dim!C:C,"Not Found")</f>
        <v>Home</v>
      </c>
      <c r="I904" t="str">
        <f>_xlfn.XLOOKUP(E904,Store_Dim!A:A,Store_Dim!C:C,"Not Found")</f>
        <v>East</v>
      </c>
      <c r="J904" t="str">
        <f>_xlfn.XLOOKUP(C904,Customer_Dim!A:A,Customer_Dim!B:B,"Not Found")</f>
        <v xml:space="preserve">  sheena bonilla  </v>
      </c>
      <c r="K904">
        <f>Table511[[#This Row],[Total_Amount]]/(L904*(1-Table511[[#This Row],[Discount]]))</f>
        <v>2</v>
      </c>
      <c r="L904" s="5">
        <v>404.08</v>
      </c>
      <c r="M904">
        <v>7.0000000000000007E-2</v>
      </c>
      <c r="N904" t="s">
        <v>1349</v>
      </c>
      <c r="O904" s="5">
        <v>751.58879999999988</v>
      </c>
    </row>
    <row r="905" spans="1:15">
      <c r="A905" t="s">
        <v>2254</v>
      </c>
      <c r="B905" s="7">
        <v>45653</v>
      </c>
      <c r="C905" t="s">
        <v>591</v>
      </c>
      <c r="D905" t="s">
        <v>1107</v>
      </c>
      <c r="E905" t="s">
        <v>1329</v>
      </c>
      <c r="F905" t="str">
        <f>[1]Raw_Customer_Dim!$A$2</f>
        <v>CUST1000</v>
      </c>
      <c r="G905" t="str">
        <f>_xlfn.XLOOKUP(E905,Store_Dim!A:A,Store_Dim!B:B,"Not Found")</f>
        <v>Frederick-Wright</v>
      </c>
      <c r="H905" t="str">
        <f>_xlfn.XLOOKUP(D905,Product_Dim!A:A,Product_Dim!C:C,"Not Found")</f>
        <v>Sports</v>
      </c>
      <c r="I905" t="str">
        <f>_xlfn.XLOOKUP(E905,Store_Dim!A:A,Store_Dim!C:C,"Not Found")</f>
        <v>West</v>
      </c>
      <c r="J905" t="str">
        <f>_xlfn.XLOOKUP(C905,Customer_Dim!A:A,Customer_Dim!B:B,"Not Found")</f>
        <v>Matthew Payne</v>
      </c>
      <c r="K905">
        <f>Table511[[#This Row],[Total_Amount]]/(L905*(1-Table511[[#This Row],[Discount]]))</f>
        <v>1</v>
      </c>
      <c r="L905" s="5">
        <v>519.91</v>
      </c>
      <c r="M905">
        <v>0.05</v>
      </c>
      <c r="N905" t="s">
        <v>1354</v>
      </c>
      <c r="O905" s="5">
        <v>493.91449999999992</v>
      </c>
    </row>
    <row r="906" spans="1:15">
      <c r="A906" t="s">
        <v>2255</v>
      </c>
      <c r="B906" s="7">
        <v>45672</v>
      </c>
      <c r="C906" t="s">
        <v>351</v>
      </c>
      <c r="D906" t="s">
        <v>1169</v>
      </c>
      <c r="E906" t="s">
        <v>1322</v>
      </c>
      <c r="F906" t="str">
        <f>[1]Raw_Customer_Dim!$A$2</f>
        <v>CUST1000</v>
      </c>
      <c r="G906" t="str">
        <f>_xlfn.XLOOKUP(E906,Store_Dim!A:A,Store_Dim!B:B,"Not Found")</f>
        <v>Gardner, Humphrey and Contreras</v>
      </c>
      <c r="H906" t="str">
        <f>_xlfn.XLOOKUP(D906,Product_Dim!A:A,Product_Dim!C:C,"Not Found")</f>
        <v>Electronics</v>
      </c>
      <c r="I906" t="str">
        <f>_xlfn.XLOOKUP(E906,Store_Dim!A:A,Store_Dim!C:C,"Not Found")</f>
        <v>East</v>
      </c>
      <c r="J906" t="str">
        <f>_xlfn.XLOOKUP(C906,Customer_Dim!A:A,Customer_Dim!B:B,"Not Found")</f>
        <v>Cameron Simpson</v>
      </c>
      <c r="K906">
        <f>Table511[[#This Row],[Total_Amount]]/(L906*(1-Table511[[#This Row],[Discount]]))</f>
        <v>3</v>
      </c>
      <c r="L906" s="5">
        <v>566.16</v>
      </c>
      <c r="M906">
        <v>0.05</v>
      </c>
      <c r="N906" t="s">
        <v>1351</v>
      </c>
      <c r="O906" s="5">
        <v>1613.556</v>
      </c>
    </row>
    <row r="907" spans="1:15">
      <c r="A907" t="s">
        <v>2256</v>
      </c>
      <c r="B907" s="7">
        <v>45799</v>
      </c>
      <c r="C907" t="s">
        <v>847</v>
      </c>
      <c r="D907" t="s">
        <v>1177</v>
      </c>
      <c r="E907" t="s">
        <v>1314</v>
      </c>
      <c r="F907" t="str">
        <f>[1]Raw_Customer_Dim!$A$2</f>
        <v>CUST1000</v>
      </c>
      <c r="G907" t="str">
        <f>_xlfn.XLOOKUP(E907,Store_Dim!A:A,Store_Dim!B:B,"Not Found")</f>
        <v>Hill, Wagner and Ballard</v>
      </c>
      <c r="H907" t="str">
        <f>_xlfn.XLOOKUP(D907,Product_Dim!A:A,Product_Dim!C:C,"Not Found")</f>
        <v>Sports</v>
      </c>
      <c r="I907" t="str">
        <f>_xlfn.XLOOKUP(E907,Store_Dim!A:A,Store_Dim!C:C,"Not Found")</f>
        <v>East</v>
      </c>
      <c r="J907" t="str">
        <f>_xlfn.XLOOKUP(C907,Customer_Dim!A:A,Customer_Dim!B:B,"Not Found")</f>
        <v>Jacqueline Payne</v>
      </c>
      <c r="K907">
        <f>Table511[[#This Row],[Total_Amount]]/(L907*(1-Table511[[#This Row],[Discount]]))</f>
        <v>2</v>
      </c>
      <c r="L907" s="5">
        <v>295.12</v>
      </c>
      <c r="M907">
        <v>0.09</v>
      </c>
      <c r="N907" t="s">
        <v>1354</v>
      </c>
      <c r="O907" s="5">
        <v>537.11840000000007</v>
      </c>
    </row>
    <row r="908" spans="1:15">
      <c r="A908" t="s">
        <v>2257</v>
      </c>
      <c r="B908" s="7">
        <v>45848</v>
      </c>
      <c r="C908" t="s">
        <v>277</v>
      </c>
      <c r="D908" t="s">
        <v>1141</v>
      </c>
      <c r="E908" t="s">
        <v>1317</v>
      </c>
      <c r="F908" t="str">
        <f>[1]Raw_Customer_Dim!$A$2</f>
        <v>CUST1000</v>
      </c>
      <c r="G908" t="str">
        <f>_xlfn.XLOOKUP(E908,Store_Dim!A:A,Store_Dim!B:B,"Not Found")</f>
        <v>Aguirre-Keller</v>
      </c>
      <c r="H908" t="str">
        <f>_xlfn.XLOOKUP(D908,Product_Dim!A:A,Product_Dim!C:C,"Not Found")</f>
        <v>Electronics</v>
      </c>
      <c r="I908" t="str">
        <f>_xlfn.XLOOKUP(E908,Store_Dim!A:A,Store_Dim!C:C,"Not Found")</f>
        <v>South</v>
      </c>
      <c r="J908" t="str">
        <f>_xlfn.XLOOKUP(C908,Customer_Dim!A:A,Customer_Dim!B:B,"Not Found")</f>
        <v>Amy Walker</v>
      </c>
      <c r="K908">
        <f>Table511[[#This Row],[Total_Amount]]/(L908*(1-Table511[[#This Row],[Discount]]))</f>
        <v>2</v>
      </c>
      <c r="L908" s="5">
        <v>414.18</v>
      </c>
      <c r="M908">
        <v>0.25</v>
      </c>
      <c r="N908" t="s">
        <v>1351</v>
      </c>
      <c r="O908" s="5">
        <v>621.27</v>
      </c>
    </row>
    <row r="909" spans="1:15">
      <c r="A909" t="s">
        <v>2258</v>
      </c>
      <c r="B909" s="7">
        <v>45918</v>
      </c>
      <c r="C909" t="s">
        <v>600</v>
      </c>
      <c r="D909" t="s">
        <v>1189</v>
      </c>
      <c r="E909" t="s">
        <v>1307</v>
      </c>
      <c r="F909" t="str">
        <f>[1]Raw_Customer_Dim!$A$2</f>
        <v>CUST1000</v>
      </c>
      <c r="G909" t="str">
        <f>_xlfn.XLOOKUP(E909,Store_Dim!A:A,Store_Dim!B:B,"Not Found")</f>
        <v>Bean, Jones and Park</v>
      </c>
      <c r="H909" t="str">
        <f>_xlfn.XLOOKUP(D909,Product_Dim!A:A,Product_Dim!C:C,"Not Found")</f>
        <v>Clothing</v>
      </c>
      <c r="I909" t="str">
        <f>_xlfn.XLOOKUP(E909,Store_Dim!A:A,Store_Dim!C:C,"Not Found")</f>
        <v>West</v>
      </c>
      <c r="J909" t="str">
        <f>_xlfn.XLOOKUP(C909,Customer_Dim!A:A,Customer_Dim!B:B,"Not Found")</f>
        <v>Kevin Orr</v>
      </c>
      <c r="K909">
        <f>Table511[[#This Row],[Total_Amount]]/(L909*(1-Table511[[#This Row],[Discount]]))</f>
        <v>2</v>
      </c>
      <c r="L909" s="5">
        <v>433.75</v>
      </c>
      <c r="M909">
        <v>0</v>
      </c>
      <c r="N909" t="s">
        <v>1349</v>
      </c>
      <c r="O909" s="5">
        <v>867.5</v>
      </c>
    </row>
    <row r="910" spans="1:15">
      <c r="A910" t="s">
        <v>2259</v>
      </c>
      <c r="B910" s="7">
        <v>45288</v>
      </c>
      <c r="C910" t="s">
        <v>626</v>
      </c>
      <c r="D910" t="s">
        <v>1243</v>
      </c>
      <c r="E910" t="s">
        <v>1338</v>
      </c>
      <c r="F910" t="str">
        <f>[1]Raw_Customer_Dim!$A$2</f>
        <v>CUST1000</v>
      </c>
      <c r="G910" t="str">
        <f>_xlfn.XLOOKUP(E910,Store_Dim!A:A,Store_Dim!B:B,"Not Found")</f>
        <v>Mann-Austin</v>
      </c>
      <c r="H910" t="str">
        <f>_xlfn.XLOOKUP(D910,Product_Dim!A:A,Product_Dim!C:C,"Not Found")</f>
        <v>Clothing</v>
      </c>
      <c r="I910" t="str">
        <f>_xlfn.XLOOKUP(E910,Store_Dim!A:A,Store_Dim!C:C,"Not Found")</f>
        <v>East</v>
      </c>
      <c r="J910" t="str">
        <f>_xlfn.XLOOKUP(C910,Customer_Dim!A:A,Customer_Dim!B:B,"Not Found")</f>
        <v>Brittany Watson</v>
      </c>
      <c r="K910">
        <f>Table511[[#This Row],[Total_Amount]]/(L910*(1-Table511[[#This Row],[Discount]]))</f>
        <v>3.0000000000000004</v>
      </c>
      <c r="L910" s="5">
        <v>104.33</v>
      </c>
      <c r="M910">
        <v>0.13</v>
      </c>
      <c r="N910" t="s">
        <v>1354</v>
      </c>
      <c r="O910" s="5">
        <v>272.30130000000003</v>
      </c>
    </row>
    <row r="911" spans="1:15">
      <c r="A911" t="s">
        <v>2260</v>
      </c>
      <c r="B911" s="7">
        <v>45477</v>
      </c>
      <c r="C911" t="s">
        <v>990</v>
      </c>
      <c r="D911" t="s">
        <v>1078</v>
      </c>
      <c r="E911" t="s">
        <v>1319</v>
      </c>
      <c r="F911" t="str">
        <f>[1]Raw_Customer_Dim!$A$2</f>
        <v>CUST1000</v>
      </c>
      <c r="G911" t="str">
        <f>_xlfn.XLOOKUP(E911,Store_Dim!A:A,Store_Dim!B:B,"Not Found")</f>
        <v>Thomas, Bridges and Harris</v>
      </c>
      <c r="H911" t="str">
        <f>_xlfn.XLOOKUP(D911,Product_Dim!A:A,Product_Dim!C:C,"Not Found")</f>
        <v>Clothing</v>
      </c>
      <c r="I911" t="str">
        <f>_xlfn.XLOOKUP(E911,Store_Dim!A:A,Store_Dim!C:C,"Not Found")</f>
        <v>North</v>
      </c>
      <c r="J911" t="str">
        <f>_xlfn.XLOOKUP(C911,Customer_Dim!A:A,Customer_Dim!B:B,"Not Found")</f>
        <v>Not Found</v>
      </c>
      <c r="K911">
        <f>Table511[[#This Row],[Total_Amount]]/(L911*(1-Table511[[#This Row],[Discount]]))</f>
        <v>1</v>
      </c>
      <c r="L911" s="5">
        <v>221.7</v>
      </c>
      <c r="M911">
        <v>0.04</v>
      </c>
      <c r="N911" t="s">
        <v>1349</v>
      </c>
      <c r="O911" s="5">
        <v>212.83199999999999</v>
      </c>
    </row>
    <row r="912" spans="1:15">
      <c r="A912" t="s">
        <v>2261</v>
      </c>
      <c r="B912" s="7">
        <v>45796</v>
      </c>
      <c r="C912" t="s">
        <v>484</v>
      </c>
      <c r="D912" t="s">
        <v>1207</v>
      </c>
      <c r="E912" t="s">
        <v>1298</v>
      </c>
      <c r="F912" t="str">
        <f>[1]Raw_Customer_Dim!$A$2</f>
        <v>CUST1000</v>
      </c>
      <c r="G912" t="str">
        <f>_xlfn.XLOOKUP(E912,Store_Dim!A:A,Store_Dim!B:B,"Not Found")</f>
        <v>Gray Ltd</v>
      </c>
      <c r="H912" t="str">
        <f>_xlfn.XLOOKUP(D912,Product_Dim!A:A,Product_Dim!C:C,"Not Found")</f>
        <v>Electronics</v>
      </c>
      <c r="I912" t="str">
        <f>_xlfn.XLOOKUP(E912,Store_Dim!A:A,Store_Dim!C:C,"Not Found")</f>
        <v>North</v>
      </c>
      <c r="J912" t="str">
        <f>_xlfn.XLOOKUP(C912,Customer_Dim!A:A,Customer_Dim!B:B,"Not Found")</f>
        <v>Rodney Huffman</v>
      </c>
      <c r="K912">
        <f>Table511[[#This Row],[Total_Amount]]/(L912*(1-Table511[[#This Row],[Discount]]))</f>
        <v>2</v>
      </c>
      <c r="L912" s="5">
        <v>491.26</v>
      </c>
      <c r="M912">
        <v>0.14000000000000001</v>
      </c>
      <c r="N912" t="s">
        <v>1354</v>
      </c>
      <c r="O912" s="5">
        <v>844.96719999999993</v>
      </c>
    </row>
    <row r="913" spans="1:15">
      <c r="A913" t="s">
        <v>2262</v>
      </c>
      <c r="B913" s="7">
        <v>45630</v>
      </c>
      <c r="C913" t="s">
        <v>424</v>
      </c>
      <c r="D913" t="s">
        <v>1147</v>
      </c>
      <c r="E913" t="s">
        <v>1307</v>
      </c>
      <c r="F913" t="str">
        <f>[1]Raw_Customer_Dim!$A$2</f>
        <v>CUST1000</v>
      </c>
      <c r="G913" t="str">
        <f>_xlfn.XLOOKUP(E913,Store_Dim!A:A,Store_Dim!B:B,"Not Found")</f>
        <v>Bean, Jones and Park</v>
      </c>
      <c r="H913" t="str">
        <f>_xlfn.XLOOKUP(D913,Product_Dim!A:A,Product_Dim!C:C,"Not Found")</f>
        <v>Clothing</v>
      </c>
      <c r="I913" t="str">
        <f>_xlfn.XLOOKUP(E913,Store_Dim!A:A,Store_Dim!C:C,"Not Found")</f>
        <v>West</v>
      </c>
      <c r="J913" t="str">
        <f>_xlfn.XLOOKUP(C913,Customer_Dim!A:A,Customer_Dim!B:B,"Not Found")</f>
        <v>Erin Ward</v>
      </c>
      <c r="K913">
        <f>Table511[[#This Row],[Total_Amount]]/(L913*(1-Table511[[#This Row],[Discount]]))</f>
        <v>4</v>
      </c>
      <c r="L913" s="5">
        <v>923.14</v>
      </c>
      <c r="M913">
        <v>0.15</v>
      </c>
      <c r="N913" t="s">
        <v>1349</v>
      </c>
      <c r="O913" s="5">
        <v>3138.6759999999999</v>
      </c>
    </row>
    <row r="914" spans="1:15">
      <c r="A914" t="s">
        <v>2263</v>
      </c>
      <c r="B914" s="7">
        <v>45625</v>
      </c>
      <c r="C914" t="s">
        <v>448</v>
      </c>
      <c r="D914" t="s">
        <v>1201</v>
      </c>
      <c r="E914" t="s">
        <v>1304</v>
      </c>
      <c r="F914" t="str">
        <f>[1]Raw_Customer_Dim!$A$2</f>
        <v>CUST1000</v>
      </c>
      <c r="G914" t="str">
        <f>_xlfn.XLOOKUP(E914,Store_Dim!A:A,Store_Dim!B:B,"Not Found")</f>
        <v>Martinez-Mullins</v>
      </c>
      <c r="H914" t="str">
        <f>_xlfn.XLOOKUP(D914,Product_Dim!A:A,Product_Dim!C:C,"Not Found")</f>
        <v>Beauty</v>
      </c>
      <c r="I914" t="str">
        <f>_xlfn.XLOOKUP(E914,Store_Dim!A:A,Store_Dim!C:C,"Not Found")</f>
        <v>South</v>
      </c>
      <c r="J914" t="str">
        <f>_xlfn.XLOOKUP(C914,Customer_Dim!A:A,Customer_Dim!B:B,"Not Found")</f>
        <v>David Roberts</v>
      </c>
      <c r="K914">
        <f>Table511[[#This Row],[Total_Amount]]/(L914*(1-Table511[[#This Row],[Discount]]))</f>
        <v>2</v>
      </c>
      <c r="L914" s="5">
        <v>747.65</v>
      </c>
      <c r="M914">
        <v>0.08</v>
      </c>
      <c r="N914" t="s">
        <v>1349</v>
      </c>
      <c r="O914" s="5">
        <v>1375.6759999999999</v>
      </c>
    </row>
    <row r="915" spans="1:15">
      <c r="A915" t="s">
        <v>2264</v>
      </c>
      <c r="B915" s="7">
        <v>45773</v>
      </c>
      <c r="C915" t="s">
        <v>277</v>
      </c>
      <c r="D915" t="s">
        <v>1157</v>
      </c>
      <c r="E915" t="s">
        <v>1304</v>
      </c>
      <c r="F915" t="str">
        <f>[1]Raw_Customer_Dim!$A$2</f>
        <v>CUST1000</v>
      </c>
      <c r="G915" t="str">
        <f>_xlfn.XLOOKUP(E915,Store_Dim!A:A,Store_Dim!B:B,"Not Found")</f>
        <v>Martinez-Mullins</v>
      </c>
      <c r="H915" t="str">
        <f>_xlfn.XLOOKUP(D915,Product_Dim!A:A,Product_Dim!C:C,"Not Found")</f>
        <v>Electronics</v>
      </c>
      <c r="I915" t="str">
        <f>_xlfn.XLOOKUP(E915,Store_Dim!A:A,Store_Dim!C:C,"Not Found")</f>
        <v>South</v>
      </c>
      <c r="J915" t="str">
        <f>_xlfn.XLOOKUP(C915,Customer_Dim!A:A,Customer_Dim!B:B,"Not Found")</f>
        <v>Amy Walker</v>
      </c>
      <c r="K915">
        <f>Table511[[#This Row],[Total_Amount]]/(L915*(1-Table511[[#This Row],[Discount]]))</f>
        <v>3</v>
      </c>
      <c r="L915" s="5">
        <v>94.55</v>
      </c>
      <c r="M915">
        <v>0.13</v>
      </c>
      <c r="N915" t="s">
        <v>1354</v>
      </c>
      <c r="O915" s="5">
        <v>246.77549999999999</v>
      </c>
    </row>
    <row r="916" spans="1:15">
      <c r="A916" t="s">
        <v>2265</v>
      </c>
      <c r="B916" s="7">
        <v>45308</v>
      </c>
      <c r="C916" t="s">
        <v>115</v>
      </c>
      <c r="D916" t="s">
        <v>1103</v>
      </c>
      <c r="E916" t="s">
        <v>1338</v>
      </c>
      <c r="F916" t="str">
        <f>[1]Raw_Customer_Dim!$A$2</f>
        <v>CUST1000</v>
      </c>
      <c r="G916" t="str">
        <f>_xlfn.XLOOKUP(E916,Store_Dim!A:A,Store_Dim!B:B,"Not Found")</f>
        <v>Mann-Austin</v>
      </c>
      <c r="H916" t="str">
        <f>_xlfn.XLOOKUP(D916,Product_Dim!A:A,Product_Dim!C:C,"Not Found")</f>
        <v>Electronics</v>
      </c>
      <c r="I916" t="str">
        <f>_xlfn.XLOOKUP(E916,Store_Dim!A:A,Store_Dim!C:C,"Not Found")</f>
        <v>East</v>
      </c>
      <c r="J916" t="str">
        <f>_xlfn.XLOOKUP(C916,Customer_Dim!A:A,Customer_Dim!B:B,"Not Found")</f>
        <v>Tonya Reynolds</v>
      </c>
      <c r="K916">
        <f>Table511[[#This Row],[Total_Amount]]/(L916*(1-Table511[[#This Row],[Discount]]))</f>
        <v>3</v>
      </c>
      <c r="L916" s="5">
        <v>620.12</v>
      </c>
      <c r="M916">
        <v>0.06</v>
      </c>
      <c r="N916" t="s">
        <v>1349</v>
      </c>
      <c r="O916" s="5">
        <v>1748.7384</v>
      </c>
    </row>
    <row r="917" spans="1:15">
      <c r="A917" t="s">
        <v>2266</v>
      </c>
      <c r="B917" s="7">
        <v>45869</v>
      </c>
      <c r="C917" t="s">
        <v>1033</v>
      </c>
      <c r="D917" t="s">
        <v>1211</v>
      </c>
      <c r="E917" t="s">
        <v>1301</v>
      </c>
      <c r="F917" t="str">
        <f>[1]Raw_Customer_Dim!$A$2</f>
        <v>CUST1000</v>
      </c>
      <c r="G917" t="str">
        <f>_xlfn.XLOOKUP(E917,Store_Dim!A:A,Store_Dim!B:B,"Not Found")</f>
        <v>Benson-Elliott</v>
      </c>
      <c r="H917" t="str">
        <f>_xlfn.XLOOKUP(D917,Product_Dim!A:A,Product_Dim!C:C,"Not Found")</f>
        <v>Clothing</v>
      </c>
      <c r="I917" t="str">
        <f>_xlfn.XLOOKUP(E917,Store_Dim!A:A,Store_Dim!C:C,"Not Found")</f>
        <v>East</v>
      </c>
      <c r="J917" t="str">
        <f>_xlfn.XLOOKUP(C917,Customer_Dim!A:A,Customer_Dim!B:B,"Not Found")</f>
        <v>Not Found</v>
      </c>
      <c r="K917">
        <f>Table511[[#This Row],[Total_Amount]]/(L917*(1-Table511[[#This Row],[Discount]]))</f>
        <v>2</v>
      </c>
      <c r="L917" s="5">
        <v>354.09</v>
      </c>
      <c r="M917">
        <v>0.12</v>
      </c>
      <c r="N917" t="s">
        <v>1354</v>
      </c>
      <c r="O917" s="5">
        <v>623.19839999999999</v>
      </c>
    </row>
    <row r="918" spans="1:15">
      <c r="A918" t="s">
        <v>2267</v>
      </c>
      <c r="B918" s="7">
        <v>45621</v>
      </c>
      <c r="C918" t="s">
        <v>321</v>
      </c>
      <c r="D918" t="s">
        <v>1179</v>
      </c>
      <c r="E918" t="s">
        <v>1298</v>
      </c>
      <c r="F918" t="str">
        <f>[1]Raw_Customer_Dim!$A$2</f>
        <v>CUST1000</v>
      </c>
      <c r="G918" t="str">
        <f>_xlfn.XLOOKUP(E918,Store_Dim!A:A,Store_Dim!B:B,"Not Found")</f>
        <v>Gray Ltd</v>
      </c>
      <c r="H918" t="str">
        <f>_xlfn.XLOOKUP(D918,Product_Dim!A:A,Product_Dim!C:C,"Not Found")</f>
        <v>Clothing</v>
      </c>
      <c r="I918" t="str">
        <f>_xlfn.XLOOKUP(E918,Store_Dim!A:A,Store_Dim!C:C,"Not Found")</f>
        <v>North</v>
      </c>
      <c r="J918" t="str">
        <f>_xlfn.XLOOKUP(C918,Customer_Dim!A:A,Customer_Dim!B:B,"Not Found")</f>
        <v>Jamie Reyes</v>
      </c>
      <c r="K918">
        <f>Table511[[#This Row],[Total_Amount]]/(L918*(1-Table511[[#This Row],[Discount]]))</f>
        <v>3</v>
      </c>
      <c r="L918" s="5">
        <v>214.94</v>
      </c>
      <c r="M918">
        <v>0.22</v>
      </c>
      <c r="N918" t="s">
        <v>1354</v>
      </c>
      <c r="O918" s="5">
        <v>502.95960000000002</v>
      </c>
    </row>
    <row r="919" spans="1:15">
      <c r="A919" t="s">
        <v>2268</v>
      </c>
      <c r="B919" s="7">
        <v>45428</v>
      </c>
      <c r="C919" t="s">
        <v>460</v>
      </c>
      <c r="D919" t="s">
        <v>1090</v>
      </c>
      <c r="E919" t="s">
        <v>1319</v>
      </c>
      <c r="F919" t="str">
        <f>[1]Raw_Customer_Dim!$A$2</f>
        <v>CUST1000</v>
      </c>
      <c r="G919" t="str">
        <f>_xlfn.XLOOKUP(E919,Store_Dim!A:A,Store_Dim!B:B,"Not Found")</f>
        <v>Thomas, Bridges and Harris</v>
      </c>
      <c r="H919" t="str">
        <f>_xlfn.XLOOKUP(D919,Product_Dim!A:A,Product_Dim!C:C,"Not Found")</f>
        <v>Sports</v>
      </c>
      <c r="I919" t="str">
        <f>_xlfn.XLOOKUP(E919,Store_Dim!A:A,Store_Dim!C:C,"Not Found")</f>
        <v>North</v>
      </c>
      <c r="J919" t="str">
        <f>_xlfn.XLOOKUP(C919,Customer_Dim!A:A,Customer_Dim!B:B,"Not Found")</f>
        <v>Carmen Price</v>
      </c>
      <c r="K919">
        <f>Table511[[#This Row],[Total_Amount]]/(L919*(1-Table511[[#This Row],[Discount]]))</f>
        <v>2</v>
      </c>
      <c r="L919" s="5">
        <v>309.77999999999997</v>
      </c>
      <c r="M919">
        <v>0.16</v>
      </c>
      <c r="N919" t="s">
        <v>1349</v>
      </c>
      <c r="O919" s="5">
        <v>520.43039999999996</v>
      </c>
    </row>
    <row r="920" spans="1:15">
      <c r="A920" t="s">
        <v>2269</v>
      </c>
      <c r="B920" s="7">
        <v>45807</v>
      </c>
      <c r="C920" t="s">
        <v>188</v>
      </c>
      <c r="D920" t="s">
        <v>1099</v>
      </c>
      <c r="E920" t="s">
        <v>1291</v>
      </c>
      <c r="F920" t="str">
        <f>[1]Raw_Customer_Dim!$A$2</f>
        <v>CUST1000</v>
      </c>
      <c r="G920" t="str">
        <f>_xlfn.XLOOKUP(E920,Store_Dim!A:A,Store_Dim!B:B,"Not Found")</f>
        <v>Johnson-Wright</v>
      </c>
      <c r="H920" t="str">
        <f>_xlfn.XLOOKUP(D920,Product_Dim!A:A,Product_Dim!C:C,"Not Found")</f>
        <v>Electronics</v>
      </c>
      <c r="I920" t="str">
        <f>_xlfn.XLOOKUP(E920,Store_Dim!A:A,Store_Dim!C:C,"Not Found")</f>
        <v>North</v>
      </c>
      <c r="J920" t="str">
        <f>_xlfn.XLOOKUP(C920,Customer_Dim!A:A,Customer_Dim!B:B,"Not Found")</f>
        <v>Roy Cole</v>
      </c>
      <c r="K920">
        <f>Table511[[#This Row],[Total_Amount]]/(L920*(1-Table511[[#This Row],[Discount]]))</f>
        <v>2</v>
      </c>
      <c r="L920" s="5">
        <v>183.85</v>
      </c>
      <c r="M920">
        <v>0.14000000000000001</v>
      </c>
      <c r="N920" t="s">
        <v>1351</v>
      </c>
      <c r="O920" s="5">
        <v>316.22199999999998</v>
      </c>
    </row>
    <row r="921" spans="1:15">
      <c r="A921" t="s">
        <v>2270</v>
      </c>
      <c r="B921" s="7">
        <v>45238</v>
      </c>
      <c r="C921" t="s">
        <v>881</v>
      </c>
      <c r="D921" t="s">
        <v>1213</v>
      </c>
      <c r="E921" t="s">
        <v>1277</v>
      </c>
      <c r="F921" t="str">
        <f>[1]Raw_Customer_Dim!$A$2</f>
        <v>CUST1000</v>
      </c>
      <c r="G921" t="str">
        <f>_xlfn.XLOOKUP(E921,Store_Dim!A:A,Store_Dim!B:B,"Not Found")</f>
        <v>Rivera-Warner</v>
      </c>
      <c r="H921" t="str">
        <f>_xlfn.XLOOKUP(D921,Product_Dim!A:A,Product_Dim!C:C,"Not Found")</f>
        <v>Home</v>
      </c>
      <c r="I921" t="str">
        <f>_xlfn.XLOOKUP(E921,Store_Dim!A:A,Store_Dim!C:C,"Not Found")</f>
        <v>East</v>
      </c>
      <c r="J921" t="str">
        <f>_xlfn.XLOOKUP(C921,Customer_Dim!A:A,Customer_Dim!B:B,"Not Found")</f>
        <v>Sarah Smith</v>
      </c>
      <c r="K921">
        <f>Table511[[#This Row],[Total_Amount]]/(L921*(1-Table511[[#This Row],[Discount]]))</f>
        <v>1</v>
      </c>
      <c r="L921" s="5">
        <v>550.05999999999995</v>
      </c>
      <c r="M921">
        <v>0.01</v>
      </c>
      <c r="N921" t="s">
        <v>1349</v>
      </c>
      <c r="O921" s="5">
        <v>544.55939999999998</v>
      </c>
    </row>
    <row r="922" spans="1:15">
      <c r="A922" t="s">
        <v>2271</v>
      </c>
      <c r="B922" s="7">
        <v>45253</v>
      </c>
      <c r="C922" t="s">
        <v>92</v>
      </c>
      <c r="D922" t="s">
        <v>1231</v>
      </c>
      <c r="E922" t="s">
        <v>1294</v>
      </c>
      <c r="F922" t="str">
        <f>[1]Raw_Customer_Dim!$A$2</f>
        <v>CUST1000</v>
      </c>
      <c r="G922" t="str">
        <f>_xlfn.XLOOKUP(E922,Store_Dim!A:A,Store_Dim!B:B,"Not Found")</f>
        <v>Alexander Group</v>
      </c>
      <c r="H922" t="str">
        <f>_xlfn.XLOOKUP(D922,Product_Dim!A:A,Product_Dim!C:C,"Not Found")</f>
        <v>Home</v>
      </c>
      <c r="I922" t="str">
        <f>_xlfn.XLOOKUP(E922,Store_Dim!A:A,Store_Dim!C:C,"Not Found")</f>
        <v>South</v>
      </c>
      <c r="J922" t="str">
        <f>_xlfn.XLOOKUP(C922,Customer_Dim!A:A,Customer_Dim!B:B,"Not Found")</f>
        <v>David Arnold</v>
      </c>
      <c r="K922">
        <f>Table511[[#This Row],[Total_Amount]]/(L922*(1-Table511[[#This Row],[Discount]]))</f>
        <v>2</v>
      </c>
      <c r="L922" s="5">
        <v>32.19</v>
      </c>
      <c r="M922">
        <v>0.13</v>
      </c>
      <c r="N922" t="s">
        <v>1354</v>
      </c>
      <c r="O922" s="5">
        <v>56.010599999999997</v>
      </c>
    </row>
    <row r="923" spans="1:15">
      <c r="A923" t="s">
        <v>2272</v>
      </c>
      <c r="B923" s="7">
        <v>45460</v>
      </c>
      <c r="C923" t="s">
        <v>337</v>
      </c>
      <c r="D923" t="s">
        <v>1139</v>
      </c>
      <c r="E923" t="s">
        <v>1338</v>
      </c>
      <c r="F923" t="str">
        <f>[1]Raw_Customer_Dim!$A$2</f>
        <v>CUST1000</v>
      </c>
      <c r="G923" t="str">
        <f>_xlfn.XLOOKUP(E923,Store_Dim!A:A,Store_Dim!B:B,"Not Found")</f>
        <v>Mann-Austin</v>
      </c>
      <c r="H923" t="str">
        <f>_xlfn.XLOOKUP(D923,Product_Dim!A:A,Product_Dim!C:C,"Not Found")</f>
        <v>Home</v>
      </c>
      <c r="I923" t="str">
        <f>_xlfn.XLOOKUP(E923,Store_Dim!A:A,Store_Dim!C:C,"Not Found")</f>
        <v>East</v>
      </c>
      <c r="J923" t="str">
        <f>_xlfn.XLOOKUP(C923,Customer_Dim!A:A,Customer_Dim!B:B,"Not Found")</f>
        <v>Sean Roth</v>
      </c>
      <c r="K923">
        <f>Table511[[#This Row],[Total_Amount]]/(L923*(1-Table511[[#This Row],[Discount]]))</f>
        <v>2</v>
      </c>
      <c r="L923" s="5">
        <v>892.06</v>
      </c>
      <c r="M923">
        <v>0.08</v>
      </c>
      <c r="N923" t="s">
        <v>1349</v>
      </c>
      <c r="O923" s="5">
        <v>1641.3904</v>
      </c>
    </row>
    <row r="924" spans="1:15">
      <c r="A924" t="s">
        <v>2273</v>
      </c>
      <c r="B924" s="7">
        <v>45628</v>
      </c>
      <c r="C924" t="s">
        <v>1006</v>
      </c>
      <c r="D924" t="s">
        <v>1189</v>
      </c>
      <c r="E924" t="s">
        <v>1301</v>
      </c>
      <c r="F924" t="str">
        <f>[1]Raw_Customer_Dim!$A$2</f>
        <v>CUST1000</v>
      </c>
      <c r="G924" t="str">
        <f>_xlfn.XLOOKUP(E924,Store_Dim!A:A,Store_Dim!B:B,"Not Found")</f>
        <v>Benson-Elliott</v>
      </c>
      <c r="H924" t="str">
        <f>_xlfn.XLOOKUP(D924,Product_Dim!A:A,Product_Dim!C:C,"Not Found")</f>
        <v>Clothing</v>
      </c>
      <c r="I924" t="str">
        <f>_xlfn.XLOOKUP(E924,Store_Dim!A:A,Store_Dim!C:C,"Not Found")</f>
        <v>East</v>
      </c>
      <c r="J924" t="str">
        <f>_xlfn.XLOOKUP(C924,Customer_Dim!A:A,Customer_Dim!B:B,"Not Found")</f>
        <v>Philip Mendoza</v>
      </c>
      <c r="K924">
        <f>Table511[[#This Row],[Total_Amount]]/(L924*(1-Table511[[#This Row],[Discount]]))</f>
        <v>1</v>
      </c>
      <c r="L924" s="5">
        <v>127.47</v>
      </c>
      <c r="M924">
        <v>0.16</v>
      </c>
      <c r="N924" t="s">
        <v>1354</v>
      </c>
      <c r="O924" s="5">
        <v>107.0748</v>
      </c>
    </row>
    <row r="925" spans="1:15">
      <c r="A925" t="s">
        <v>2274</v>
      </c>
      <c r="B925" s="7">
        <v>45778</v>
      </c>
      <c r="C925" t="s">
        <v>839</v>
      </c>
      <c r="D925" t="s">
        <v>1227</v>
      </c>
      <c r="E925" t="s">
        <v>1324</v>
      </c>
      <c r="F925" t="str">
        <f>[1]Raw_Customer_Dim!$A$2</f>
        <v>CUST1000</v>
      </c>
      <c r="G925" t="str">
        <f>_xlfn.XLOOKUP(E925,Store_Dim!A:A,Store_Dim!B:B,"Not Found")</f>
        <v>Mcdonald Inc</v>
      </c>
      <c r="H925" t="str">
        <f>_xlfn.XLOOKUP(D925,Product_Dim!A:A,Product_Dim!C:C,"Not Found")</f>
        <v>Electronics</v>
      </c>
      <c r="I925" t="str">
        <f>_xlfn.XLOOKUP(E925,Store_Dim!A:A,Store_Dim!C:C,"Not Found")</f>
        <v>South</v>
      </c>
      <c r="J925" t="str">
        <f>_xlfn.XLOOKUP(C925,Customer_Dim!A:A,Customer_Dim!B:B,"Not Found")</f>
        <v>Timothy Valenzuela</v>
      </c>
      <c r="K925">
        <f>Table511[[#This Row],[Total_Amount]]/(L925*(1-Table511[[#This Row],[Discount]]))</f>
        <v>3</v>
      </c>
      <c r="L925" s="5">
        <v>212.87</v>
      </c>
      <c r="M925">
        <v>0.18</v>
      </c>
      <c r="N925" t="s">
        <v>1349</v>
      </c>
      <c r="O925" s="5">
        <v>523.66020000000003</v>
      </c>
    </row>
    <row r="926" spans="1:15">
      <c r="A926" t="s">
        <v>2275</v>
      </c>
      <c r="B926" s="7">
        <v>45471</v>
      </c>
      <c r="C926" t="s">
        <v>424</v>
      </c>
      <c r="D926" t="s">
        <v>1235</v>
      </c>
      <c r="E926" t="s">
        <v>1304</v>
      </c>
      <c r="F926" t="str">
        <f>[1]Raw_Customer_Dim!$A$2</f>
        <v>CUST1000</v>
      </c>
      <c r="G926" t="str">
        <f>_xlfn.XLOOKUP(E926,Store_Dim!A:A,Store_Dim!B:B,"Not Found")</f>
        <v>Martinez-Mullins</v>
      </c>
      <c r="H926" t="str">
        <f>_xlfn.XLOOKUP(D926,Product_Dim!A:A,Product_Dim!C:C,"Not Found")</f>
        <v>Sports</v>
      </c>
      <c r="I926" t="str">
        <f>_xlfn.XLOOKUP(E926,Store_Dim!A:A,Store_Dim!C:C,"Not Found")</f>
        <v>South</v>
      </c>
      <c r="J926" t="str">
        <f>_xlfn.XLOOKUP(C926,Customer_Dim!A:A,Customer_Dim!B:B,"Not Found")</f>
        <v>Erin Ward</v>
      </c>
      <c r="K926">
        <f>Table511[[#This Row],[Total_Amount]]/(L926*(1-Table511[[#This Row],[Discount]]))</f>
        <v>1</v>
      </c>
      <c r="L926" s="5">
        <v>26.37</v>
      </c>
      <c r="M926">
        <v>0.3</v>
      </c>
      <c r="N926" t="s">
        <v>1354</v>
      </c>
      <c r="O926" s="5">
        <v>18.459</v>
      </c>
    </row>
    <row r="927" spans="1:15">
      <c r="A927" t="s">
        <v>2276</v>
      </c>
      <c r="B927" s="7">
        <v>45770</v>
      </c>
      <c r="C927" t="s">
        <v>994</v>
      </c>
      <c r="D927" t="s">
        <v>1141</v>
      </c>
      <c r="E927" t="s">
        <v>1335</v>
      </c>
      <c r="F927" t="str">
        <f>[1]Raw_Customer_Dim!$A$2</f>
        <v>CUST1000</v>
      </c>
      <c r="G927" t="str">
        <f>_xlfn.XLOOKUP(E927,Store_Dim!A:A,Store_Dim!B:B,"Not Found")</f>
        <v>Guerrero-Schmitt</v>
      </c>
      <c r="H927" t="str">
        <f>_xlfn.XLOOKUP(D927,Product_Dim!A:A,Product_Dim!C:C,"Not Found")</f>
        <v>Electronics</v>
      </c>
      <c r="I927" t="str">
        <f>_xlfn.XLOOKUP(E927,Store_Dim!A:A,Store_Dim!C:C,"Not Found")</f>
        <v>East</v>
      </c>
      <c r="J927" t="str">
        <f>_xlfn.XLOOKUP(C927,Customer_Dim!A:A,Customer_Dim!B:B,"Not Found")</f>
        <v>Cynthia Parrish</v>
      </c>
      <c r="K927">
        <f>Table511[[#This Row],[Total_Amount]]/(L927*(1-Table511[[#This Row],[Discount]]))</f>
        <v>4</v>
      </c>
      <c r="L927" s="5">
        <v>953.98</v>
      </c>
      <c r="M927">
        <v>0.16</v>
      </c>
      <c r="N927" t="s">
        <v>1349</v>
      </c>
      <c r="O927" s="5">
        <v>3205.3728000000001</v>
      </c>
    </row>
    <row r="928" spans="1:15">
      <c r="A928" t="s">
        <v>2277</v>
      </c>
      <c r="B928" s="7">
        <v>45369</v>
      </c>
      <c r="C928" t="s">
        <v>492</v>
      </c>
      <c r="D928" t="s">
        <v>1207</v>
      </c>
      <c r="E928" t="s">
        <v>1338</v>
      </c>
      <c r="F928" t="str">
        <f>[1]Raw_Customer_Dim!$A$2</f>
        <v>CUST1000</v>
      </c>
      <c r="G928" t="str">
        <f>_xlfn.XLOOKUP(E928,Store_Dim!A:A,Store_Dim!B:B,"Not Found")</f>
        <v>Mann-Austin</v>
      </c>
      <c r="H928" t="str">
        <f>_xlfn.XLOOKUP(D928,Product_Dim!A:A,Product_Dim!C:C,"Not Found")</f>
        <v>Electronics</v>
      </c>
      <c r="I928" t="str">
        <f>_xlfn.XLOOKUP(E928,Store_Dim!A:A,Store_Dim!C:C,"Not Found")</f>
        <v>East</v>
      </c>
      <c r="J928" t="str">
        <f>_xlfn.XLOOKUP(C928,Customer_Dim!A:A,Customer_Dim!B:B,"Not Found")</f>
        <v>Steve Medina</v>
      </c>
      <c r="K928">
        <f>Table511[[#This Row],[Total_Amount]]/(L928*(1-Table511[[#This Row],[Discount]]))</f>
        <v>2.9999999999999996</v>
      </c>
      <c r="L928" s="5">
        <v>968.88</v>
      </c>
      <c r="M928">
        <v>0.15</v>
      </c>
      <c r="N928" t="s">
        <v>1349</v>
      </c>
      <c r="O928" s="5">
        <v>2470.6439999999998</v>
      </c>
    </row>
    <row r="929" spans="1:15">
      <c r="A929" t="s">
        <v>2278</v>
      </c>
      <c r="B929" s="7">
        <v>45910</v>
      </c>
      <c r="C929" t="s">
        <v>436</v>
      </c>
      <c r="D929" t="s">
        <v>1225</v>
      </c>
      <c r="E929" t="s">
        <v>1335</v>
      </c>
      <c r="F929" t="str">
        <f>[1]Raw_Customer_Dim!$A$2</f>
        <v>CUST1000</v>
      </c>
      <c r="G929" t="str">
        <f>_xlfn.XLOOKUP(E929,Store_Dim!A:A,Store_Dim!B:B,"Not Found")</f>
        <v>Guerrero-Schmitt</v>
      </c>
      <c r="H929" t="str">
        <f>_xlfn.XLOOKUP(D929,Product_Dim!A:A,Product_Dim!C:C,"Not Found")</f>
        <v>Electronics</v>
      </c>
      <c r="I929" t="str">
        <f>_xlfn.XLOOKUP(E929,Store_Dim!A:A,Store_Dim!C:C,"Not Found")</f>
        <v>East</v>
      </c>
      <c r="J929" t="str">
        <f>_xlfn.XLOOKUP(C929,Customer_Dim!A:A,Customer_Dim!B:B,"Not Found")</f>
        <v>Dr. Suzanne Bullock</v>
      </c>
      <c r="K929">
        <f>Table511[[#This Row],[Total_Amount]]/(L929*(1-Table511[[#This Row],[Discount]]))</f>
        <v>1</v>
      </c>
      <c r="L929" s="5">
        <v>533.04999999999995</v>
      </c>
      <c r="M929">
        <v>0.11</v>
      </c>
      <c r="N929" t="s">
        <v>1351</v>
      </c>
      <c r="O929" s="5">
        <v>474.41449999999998</v>
      </c>
    </row>
    <row r="930" spans="1:15">
      <c r="A930" t="s">
        <v>2279</v>
      </c>
      <c r="B930" s="7">
        <v>45637</v>
      </c>
      <c r="C930" t="s">
        <v>825</v>
      </c>
      <c r="D930" t="s">
        <v>1235</v>
      </c>
      <c r="E930" t="s">
        <v>1282</v>
      </c>
      <c r="F930" t="str">
        <f>[1]Raw_Customer_Dim!$A$2</f>
        <v>CUST1000</v>
      </c>
      <c r="G930" t="str">
        <f>_xlfn.XLOOKUP(E930,Store_Dim!A:A,Store_Dim!B:B,"Not Found")</f>
        <v>Martinez, Adkins and Johnson</v>
      </c>
      <c r="H930" t="str">
        <f>_xlfn.XLOOKUP(D930,Product_Dim!A:A,Product_Dim!C:C,"Not Found")</f>
        <v>Sports</v>
      </c>
      <c r="I930" t="str">
        <f>_xlfn.XLOOKUP(E930,Store_Dim!A:A,Store_Dim!C:C,"Not Found")</f>
        <v>North</v>
      </c>
      <c r="J930" t="str">
        <f>_xlfn.XLOOKUP(C930,Customer_Dim!A:A,Customer_Dim!B:B,"Not Found")</f>
        <v>Erika Padilla</v>
      </c>
      <c r="K930">
        <f>Table511[[#This Row],[Total_Amount]]/(L930*(1-Table511[[#This Row],[Discount]]))</f>
        <v>2.9999999999999996</v>
      </c>
      <c r="L930" s="5">
        <v>138.86000000000001</v>
      </c>
      <c r="M930">
        <v>0.11</v>
      </c>
      <c r="N930" t="s">
        <v>1351</v>
      </c>
      <c r="O930" s="5">
        <v>370.75619999999998</v>
      </c>
    </row>
    <row r="931" spans="1:15">
      <c r="A931" t="s">
        <v>2280</v>
      </c>
      <c r="B931" s="7">
        <v>45706</v>
      </c>
      <c r="C931" t="s">
        <v>379</v>
      </c>
      <c r="D931" t="s">
        <v>1117</v>
      </c>
      <c r="E931" t="s">
        <v>1277</v>
      </c>
      <c r="F931" t="str">
        <f>[1]Raw_Customer_Dim!$A$2</f>
        <v>CUST1000</v>
      </c>
      <c r="G931" t="str">
        <f>_xlfn.XLOOKUP(E931,Store_Dim!A:A,Store_Dim!B:B,"Not Found")</f>
        <v>Rivera-Warner</v>
      </c>
      <c r="H931" t="str">
        <f>_xlfn.XLOOKUP(D931,Product_Dim!A:A,Product_Dim!C:C,"Not Found")</f>
        <v>Sports</v>
      </c>
      <c r="I931" t="str">
        <f>_xlfn.XLOOKUP(E931,Store_Dim!A:A,Store_Dim!C:C,"Not Found")</f>
        <v>East</v>
      </c>
      <c r="J931" t="str">
        <f>_xlfn.XLOOKUP(C931,Customer_Dim!A:A,Customer_Dim!B:B,"Not Found")</f>
        <v>Brian Choi</v>
      </c>
      <c r="K931">
        <f>Table511[[#This Row],[Total_Amount]]/(L931*(1-Table511[[#This Row],[Discount]]))</f>
        <v>1</v>
      </c>
      <c r="L931" s="5">
        <v>588.92999999999995</v>
      </c>
      <c r="M931">
        <v>0.03</v>
      </c>
      <c r="N931" t="s">
        <v>1354</v>
      </c>
      <c r="O931" s="5">
        <v>571.26209999999992</v>
      </c>
    </row>
    <row r="932" spans="1:15">
      <c r="A932" t="s">
        <v>2281</v>
      </c>
      <c r="B932" s="7">
        <v>45557</v>
      </c>
      <c r="C932" t="s">
        <v>869</v>
      </c>
      <c r="D932" t="s">
        <v>1177</v>
      </c>
      <c r="E932" t="s">
        <v>1298</v>
      </c>
      <c r="F932" t="str">
        <f>[1]Raw_Customer_Dim!$A$2</f>
        <v>CUST1000</v>
      </c>
      <c r="G932" t="str">
        <f>_xlfn.XLOOKUP(E932,Store_Dim!A:A,Store_Dim!B:B,"Not Found")</f>
        <v>Gray Ltd</v>
      </c>
      <c r="H932" t="str">
        <f>_xlfn.XLOOKUP(D932,Product_Dim!A:A,Product_Dim!C:C,"Not Found")</f>
        <v>Sports</v>
      </c>
      <c r="I932" t="str">
        <f>_xlfn.XLOOKUP(E932,Store_Dim!A:A,Store_Dim!C:C,"Not Found")</f>
        <v>North</v>
      </c>
      <c r="J932" t="str">
        <f>_xlfn.XLOOKUP(C932,Customer_Dim!A:A,Customer_Dim!B:B,"Not Found")</f>
        <v>Justin Ingram</v>
      </c>
      <c r="K932">
        <f>Table511[[#This Row],[Total_Amount]]/(L932*(1-Table511[[#This Row],[Discount]]))</f>
        <v>2</v>
      </c>
      <c r="L932" s="5">
        <v>576.83000000000004</v>
      </c>
      <c r="M932">
        <v>0.19</v>
      </c>
      <c r="N932" t="s">
        <v>1351</v>
      </c>
      <c r="O932" s="5">
        <v>934.46460000000013</v>
      </c>
    </row>
    <row r="933" spans="1:15">
      <c r="A933" t="s">
        <v>2282</v>
      </c>
      <c r="B933" s="7">
        <v>45338</v>
      </c>
      <c r="C933" t="s">
        <v>710</v>
      </c>
      <c r="D933" t="s">
        <v>1203</v>
      </c>
      <c r="E933" t="s">
        <v>1319</v>
      </c>
      <c r="F933" t="str">
        <f>[1]Raw_Customer_Dim!$A$2</f>
        <v>CUST1000</v>
      </c>
      <c r="G933" t="str">
        <f>_xlfn.XLOOKUP(E933,Store_Dim!A:A,Store_Dim!B:B,"Not Found")</f>
        <v>Thomas, Bridges and Harris</v>
      </c>
      <c r="H933" t="str">
        <f>_xlfn.XLOOKUP(D933,Product_Dim!A:A,Product_Dim!C:C,"Not Found")</f>
        <v>Sports</v>
      </c>
      <c r="I933" t="str">
        <f>_xlfn.XLOOKUP(E933,Store_Dim!A:A,Store_Dim!C:C,"Not Found")</f>
        <v>North</v>
      </c>
      <c r="J933" t="str">
        <f>_xlfn.XLOOKUP(C933,Customer_Dim!A:A,Customer_Dim!B:B,"Not Found")</f>
        <v>Kristy Dunlap</v>
      </c>
      <c r="K933">
        <f>Table511[[#This Row],[Total_Amount]]/(L933*(1-Table511[[#This Row],[Discount]]))</f>
        <v>1</v>
      </c>
      <c r="L933" s="5">
        <v>681.3</v>
      </c>
      <c r="M933">
        <v>0.05</v>
      </c>
      <c r="N933" t="s">
        <v>1349</v>
      </c>
      <c r="O933" s="5">
        <v>647.2349999999999</v>
      </c>
    </row>
    <row r="934" spans="1:15">
      <c r="A934" t="s">
        <v>2283</v>
      </c>
      <c r="B934" s="7">
        <v>45441</v>
      </c>
      <c r="C934" t="s">
        <v>977</v>
      </c>
      <c r="D934" t="s">
        <v>1123</v>
      </c>
      <c r="E934" t="s">
        <v>1326</v>
      </c>
      <c r="F934" t="str">
        <f>[1]Raw_Customer_Dim!$A$2</f>
        <v>CUST1000</v>
      </c>
      <c r="G934" t="str">
        <f>_xlfn.XLOOKUP(E934,Store_Dim!A:A,Store_Dim!B:B,"Not Found")</f>
        <v>Shelton PLC</v>
      </c>
      <c r="H934" t="str">
        <f>_xlfn.XLOOKUP(D934,Product_Dim!A:A,Product_Dim!C:C,"Not Found")</f>
        <v>Clothing</v>
      </c>
      <c r="I934" t="str">
        <f>_xlfn.XLOOKUP(E934,Store_Dim!A:A,Store_Dim!C:C,"Not Found")</f>
        <v>North</v>
      </c>
      <c r="J934" t="str">
        <f>_xlfn.XLOOKUP(C934,Customer_Dim!A:A,Customer_Dim!B:B,"Not Found")</f>
        <v>Christina Robertson</v>
      </c>
      <c r="K934">
        <f>Table511[[#This Row],[Total_Amount]]/(L934*(1-Table511[[#This Row],[Discount]]))</f>
        <v>3</v>
      </c>
      <c r="L934" s="5">
        <v>504.97</v>
      </c>
      <c r="M934">
        <v>0.3</v>
      </c>
      <c r="N934" t="s">
        <v>1349</v>
      </c>
      <c r="O934" s="5">
        <v>1060.4369999999999</v>
      </c>
    </row>
    <row r="935" spans="1:15">
      <c r="A935" t="s">
        <v>2284</v>
      </c>
      <c r="B935" s="7">
        <v>45396</v>
      </c>
      <c r="C935" t="s">
        <v>166</v>
      </c>
      <c r="D935" t="s">
        <v>1149</v>
      </c>
      <c r="E935" t="s">
        <v>1317</v>
      </c>
      <c r="F935" t="str">
        <f>[1]Raw_Customer_Dim!$A$2</f>
        <v>CUST1000</v>
      </c>
      <c r="G935" t="str">
        <f>_xlfn.XLOOKUP(E935,Store_Dim!A:A,Store_Dim!B:B,"Not Found")</f>
        <v>Aguirre-Keller</v>
      </c>
      <c r="H935" t="str">
        <f>_xlfn.XLOOKUP(D935,Product_Dim!A:A,Product_Dim!C:C,"Not Found")</f>
        <v>Sports</v>
      </c>
      <c r="I935" t="str">
        <f>_xlfn.XLOOKUP(E935,Store_Dim!A:A,Store_Dim!C:C,"Not Found")</f>
        <v>South</v>
      </c>
      <c r="J935" t="str">
        <f>_xlfn.XLOOKUP(C935,Customer_Dim!A:A,Customer_Dim!B:B,"Not Found")</f>
        <v>Dr. David Smith</v>
      </c>
      <c r="K935">
        <f>Table511[[#This Row],[Total_Amount]]/(L935*(1-Table511[[#This Row],[Discount]]))</f>
        <v>3</v>
      </c>
      <c r="L935" s="5">
        <v>649.78</v>
      </c>
      <c r="M935">
        <v>0.1</v>
      </c>
      <c r="N935" t="s">
        <v>1351</v>
      </c>
      <c r="O935" s="5">
        <v>1754.4059999999999</v>
      </c>
    </row>
    <row r="936" spans="1:15">
      <c r="A936" t="s">
        <v>2285</v>
      </c>
      <c r="B936" s="7">
        <v>45317</v>
      </c>
      <c r="C936" t="s">
        <v>553</v>
      </c>
      <c r="D936" t="s">
        <v>1151</v>
      </c>
      <c r="E936" t="s">
        <v>1311</v>
      </c>
      <c r="F936" t="str">
        <f>[1]Raw_Customer_Dim!$A$2</f>
        <v>CUST1000</v>
      </c>
      <c r="G936" t="str">
        <f>_xlfn.XLOOKUP(E936,Store_Dim!A:A,Store_Dim!B:B,"Not Found")</f>
        <v>Moore, Padilla and Butler</v>
      </c>
      <c r="H936" t="str">
        <f>_xlfn.XLOOKUP(D936,Product_Dim!A:A,Product_Dim!C:C,"Not Found")</f>
        <v>Electronics</v>
      </c>
      <c r="I936" t="str">
        <f>_xlfn.XLOOKUP(E936,Store_Dim!A:A,Store_Dim!C:C,"Not Found")</f>
        <v>South</v>
      </c>
      <c r="J936" t="str">
        <f>_xlfn.XLOOKUP(C936,Customer_Dim!A:A,Customer_Dim!B:B,"Not Found")</f>
        <v>Laura Soto</v>
      </c>
      <c r="K936">
        <f>Table511[[#This Row],[Total_Amount]]/(L936*(1-Table511[[#This Row],[Discount]]))</f>
        <v>2</v>
      </c>
      <c r="L936" s="5">
        <v>986.73</v>
      </c>
      <c r="M936">
        <v>0.05</v>
      </c>
      <c r="N936" t="s">
        <v>1351</v>
      </c>
      <c r="O936" s="5">
        <v>1874.787</v>
      </c>
    </row>
    <row r="937" spans="1:15">
      <c r="A937" t="s">
        <v>2286</v>
      </c>
      <c r="B937" s="7">
        <v>45235</v>
      </c>
      <c r="C937" t="s">
        <v>298</v>
      </c>
      <c r="D937" t="s">
        <v>1099</v>
      </c>
      <c r="E937" t="s">
        <v>1326</v>
      </c>
      <c r="F937" t="str">
        <f>[1]Raw_Customer_Dim!$A$2</f>
        <v>CUST1000</v>
      </c>
      <c r="G937" t="str">
        <f>_xlfn.XLOOKUP(E937,Store_Dim!A:A,Store_Dim!B:B,"Not Found")</f>
        <v>Shelton PLC</v>
      </c>
      <c r="H937" t="str">
        <f>_xlfn.XLOOKUP(D937,Product_Dim!A:A,Product_Dim!C:C,"Not Found")</f>
        <v>Electronics</v>
      </c>
      <c r="I937" t="str">
        <f>_xlfn.XLOOKUP(E937,Store_Dim!A:A,Store_Dim!C:C,"Not Found")</f>
        <v>North</v>
      </c>
      <c r="J937" t="str">
        <f>_xlfn.XLOOKUP(C937,Customer_Dim!A:A,Customer_Dim!B:B,"Not Found")</f>
        <v>Michael Jones</v>
      </c>
      <c r="K937">
        <f>Table511[[#This Row],[Total_Amount]]/(L937*(1-Table511[[#This Row],[Discount]]))</f>
        <v>2.0000000000000004</v>
      </c>
      <c r="L937" s="5">
        <v>65.44</v>
      </c>
      <c r="M937">
        <v>0.05</v>
      </c>
      <c r="N937" t="s">
        <v>1351</v>
      </c>
      <c r="O937" s="5">
        <v>124.336</v>
      </c>
    </row>
    <row r="938" spans="1:15">
      <c r="A938" t="s">
        <v>2287</v>
      </c>
      <c r="B938" s="7">
        <v>45824</v>
      </c>
      <c r="C938" t="s">
        <v>829</v>
      </c>
      <c r="D938" t="s">
        <v>1199</v>
      </c>
      <c r="E938" t="s">
        <v>1322</v>
      </c>
      <c r="F938" t="str">
        <f>[1]Raw_Customer_Dim!$A$2</f>
        <v>CUST1000</v>
      </c>
      <c r="G938" t="str">
        <f>_xlfn.XLOOKUP(E938,Store_Dim!A:A,Store_Dim!B:B,"Not Found")</f>
        <v>Gardner, Humphrey and Contreras</v>
      </c>
      <c r="H938" t="str">
        <f>_xlfn.XLOOKUP(D938,Product_Dim!A:A,Product_Dim!C:C,"Not Found")</f>
        <v>Beauty</v>
      </c>
      <c r="I938" t="str">
        <f>_xlfn.XLOOKUP(E938,Store_Dim!A:A,Store_Dim!C:C,"Not Found")</f>
        <v>East</v>
      </c>
      <c r="J938" t="str">
        <f>_xlfn.XLOOKUP(C938,Customer_Dim!A:A,Customer_Dim!B:B,"Not Found")</f>
        <v>Kristine Higgins</v>
      </c>
      <c r="K938">
        <f>Table511[[#This Row],[Total_Amount]]/(L938*(1-Table511[[#This Row],[Discount]]))</f>
        <v>3.0000000000000004</v>
      </c>
      <c r="L938" s="5">
        <v>953.74</v>
      </c>
      <c r="M938">
        <v>0.04</v>
      </c>
      <c r="N938" t="s">
        <v>1349</v>
      </c>
      <c r="O938" s="5">
        <v>2746.7712000000001</v>
      </c>
    </row>
    <row r="939" spans="1:15">
      <c r="A939" t="s">
        <v>2288</v>
      </c>
      <c r="B939" s="7">
        <v>45543</v>
      </c>
      <c r="C939" t="s">
        <v>182</v>
      </c>
      <c r="D939" t="s">
        <v>1225</v>
      </c>
      <c r="E939" t="s">
        <v>1314</v>
      </c>
      <c r="F939" t="str">
        <f>[1]Raw_Customer_Dim!$A$2</f>
        <v>CUST1000</v>
      </c>
      <c r="G939" t="str">
        <f>_xlfn.XLOOKUP(E939,Store_Dim!A:A,Store_Dim!B:B,"Not Found")</f>
        <v>Hill, Wagner and Ballard</v>
      </c>
      <c r="H939" t="str">
        <f>_xlfn.XLOOKUP(D939,Product_Dim!A:A,Product_Dim!C:C,"Not Found")</f>
        <v>Electronics</v>
      </c>
      <c r="I939" t="str">
        <f>_xlfn.XLOOKUP(E939,Store_Dim!A:A,Store_Dim!C:C,"Not Found")</f>
        <v>East</v>
      </c>
      <c r="J939" t="str">
        <f>_xlfn.XLOOKUP(C939,Customer_Dim!A:A,Customer_Dim!B:B,"Not Found")</f>
        <v>Amber Mcclain</v>
      </c>
      <c r="K939">
        <f>Table511[[#This Row],[Total_Amount]]/(L939*(1-Table511[[#This Row],[Discount]]))</f>
        <v>3</v>
      </c>
      <c r="L939" s="5">
        <v>904.48</v>
      </c>
      <c r="M939">
        <v>0.21</v>
      </c>
      <c r="N939" t="s">
        <v>1351</v>
      </c>
      <c r="O939" s="5">
        <v>2143.6176</v>
      </c>
    </row>
    <row r="940" spans="1:15">
      <c r="A940" t="s">
        <v>2289</v>
      </c>
      <c r="B940" s="7">
        <v>45595</v>
      </c>
      <c r="C940" t="s">
        <v>1045</v>
      </c>
      <c r="D940" t="s">
        <v>1197</v>
      </c>
      <c r="E940" t="s">
        <v>1326</v>
      </c>
      <c r="F940" t="str">
        <f>[1]Raw_Customer_Dim!$A$2</f>
        <v>CUST1000</v>
      </c>
      <c r="G940" t="str">
        <f>_xlfn.XLOOKUP(E940,Store_Dim!A:A,Store_Dim!B:B,"Not Found")</f>
        <v>Shelton PLC</v>
      </c>
      <c r="H940" t="str">
        <f>_xlfn.XLOOKUP(D940,Product_Dim!A:A,Product_Dim!C:C,"Not Found")</f>
        <v>Electronics</v>
      </c>
      <c r="I940" t="str">
        <f>_xlfn.XLOOKUP(E940,Store_Dim!A:A,Store_Dim!C:C,"Not Found")</f>
        <v>North</v>
      </c>
      <c r="J940" t="str">
        <f>_xlfn.XLOOKUP(C940,Customer_Dim!A:A,Customer_Dim!B:B,"Not Found")</f>
        <v>Darrell Miller</v>
      </c>
      <c r="K940">
        <f>Table511[[#This Row],[Total_Amount]]/(L940*(1-Table511[[#This Row],[Discount]]))</f>
        <v>2.9999999999999996</v>
      </c>
      <c r="L940" s="5">
        <v>920.82</v>
      </c>
      <c r="M940">
        <v>0.1</v>
      </c>
      <c r="N940" t="s">
        <v>1351</v>
      </c>
      <c r="O940" s="5">
        <v>2486.2139999999999</v>
      </c>
    </row>
    <row r="941" spans="1:15">
      <c r="A941" t="s">
        <v>2290</v>
      </c>
      <c r="B941" s="7">
        <v>45803</v>
      </c>
      <c r="C941" t="s">
        <v>674</v>
      </c>
      <c r="D941" t="s">
        <v>1129</v>
      </c>
      <c r="E941" t="s">
        <v>1282</v>
      </c>
      <c r="F941" t="str">
        <f>[1]Raw_Customer_Dim!$A$2</f>
        <v>CUST1000</v>
      </c>
      <c r="G941" t="str">
        <f>_xlfn.XLOOKUP(E941,Store_Dim!A:A,Store_Dim!B:B,"Not Found")</f>
        <v>Martinez, Adkins and Johnson</v>
      </c>
      <c r="H941" t="str">
        <f>_xlfn.XLOOKUP(D941,Product_Dim!A:A,Product_Dim!C:C,"Not Found")</f>
        <v>Sports</v>
      </c>
      <c r="I941" t="str">
        <f>_xlfn.XLOOKUP(E941,Store_Dim!A:A,Store_Dim!C:C,"Not Found")</f>
        <v>North</v>
      </c>
      <c r="J941" t="str">
        <f>_xlfn.XLOOKUP(C941,Customer_Dim!A:A,Customer_Dim!B:B,"Not Found")</f>
        <v>Roberta Green</v>
      </c>
      <c r="K941">
        <f>Table511[[#This Row],[Total_Amount]]/(L941*(1-Table511[[#This Row],[Discount]]))</f>
        <v>1</v>
      </c>
      <c r="L941" s="5">
        <v>182.28</v>
      </c>
      <c r="M941">
        <v>0.15</v>
      </c>
      <c r="N941" t="s">
        <v>1354</v>
      </c>
      <c r="O941" s="5">
        <v>154.93799999999999</v>
      </c>
    </row>
    <row r="942" spans="1:15">
      <c r="A942" t="s">
        <v>2291</v>
      </c>
      <c r="B942" s="7">
        <v>45880</v>
      </c>
      <c r="C942" t="s">
        <v>953</v>
      </c>
      <c r="D942" t="s">
        <v>1135</v>
      </c>
      <c r="E942" t="s">
        <v>1329</v>
      </c>
      <c r="F942" t="str">
        <f>[1]Raw_Customer_Dim!$A$2</f>
        <v>CUST1000</v>
      </c>
      <c r="G942" t="str">
        <f>_xlfn.XLOOKUP(E942,Store_Dim!A:A,Store_Dim!B:B,"Not Found")</f>
        <v>Frederick-Wright</v>
      </c>
      <c r="H942" t="str">
        <f>_xlfn.XLOOKUP(D942,Product_Dim!A:A,Product_Dim!C:C,"Not Found")</f>
        <v>Sports</v>
      </c>
      <c r="I942" t="str">
        <f>_xlfn.XLOOKUP(E942,Store_Dim!A:A,Store_Dim!C:C,"Not Found")</f>
        <v>West</v>
      </c>
      <c r="J942" t="str">
        <f>_xlfn.XLOOKUP(C942,Customer_Dim!A:A,Customer_Dim!B:B,"Not Found")</f>
        <v>Gene Lee</v>
      </c>
      <c r="K942">
        <f>Table511[[#This Row],[Total_Amount]]/(L942*(1-Table511[[#This Row],[Discount]]))</f>
        <v>3.0000000000000004</v>
      </c>
      <c r="L942" s="5">
        <v>938.68</v>
      </c>
      <c r="M942">
        <v>0.14000000000000001</v>
      </c>
      <c r="N942" t="s">
        <v>1349</v>
      </c>
      <c r="O942" s="5">
        <v>2421.7944000000002</v>
      </c>
    </row>
    <row r="943" spans="1:15">
      <c r="A943" t="s">
        <v>2292</v>
      </c>
      <c r="B943" s="7">
        <v>45690</v>
      </c>
      <c r="C943" t="s">
        <v>216</v>
      </c>
      <c r="D943" t="s">
        <v>1255</v>
      </c>
      <c r="E943" t="s">
        <v>1298</v>
      </c>
      <c r="F943" t="str">
        <f>[1]Raw_Customer_Dim!$A$2</f>
        <v>CUST1000</v>
      </c>
      <c r="G943" t="str">
        <f>_xlfn.XLOOKUP(E943,Store_Dim!A:A,Store_Dim!B:B,"Not Found")</f>
        <v>Gray Ltd</v>
      </c>
      <c r="H943" t="str">
        <f>_xlfn.XLOOKUP(D943,Product_Dim!A:A,Product_Dim!C:C,"Not Found")</f>
        <v>Clothing</v>
      </c>
      <c r="I943" t="str">
        <f>_xlfn.XLOOKUP(E943,Store_Dim!A:A,Store_Dim!C:C,"Not Found")</f>
        <v>North</v>
      </c>
      <c r="J943" t="str">
        <f>_xlfn.XLOOKUP(C943,Customer_Dim!A:A,Customer_Dim!B:B,"Not Found")</f>
        <v>Krystal Ford</v>
      </c>
      <c r="K943">
        <f>Table511[[#This Row],[Total_Amount]]/(L943*(1-Table511[[#This Row],[Discount]]))</f>
        <v>3</v>
      </c>
      <c r="L943" s="5">
        <v>219.96</v>
      </c>
      <c r="M943">
        <v>0.18</v>
      </c>
      <c r="N943" t="s">
        <v>1351</v>
      </c>
      <c r="O943" s="5">
        <v>541.10160000000008</v>
      </c>
    </row>
    <row r="944" spans="1:15">
      <c r="A944" t="s">
        <v>2293</v>
      </c>
      <c r="B944" s="7">
        <v>45841</v>
      </c>
      <c r="C944" t="s">
        <v>1008</v>
      </c>
      <c r="D944" t="s">
        <v>1215</v>
      </c>
      <c r="E944" t="s">
        <v>1335</v>
      </c>
      <c r="F944" t="str">
        <f>[1]Raw_Customer_Dim!$A$2</f>
        <v>CUST1000</v>
      </c>
      <c r="G944" t="str">
        <f>_xlfn.XLOOKUP(E944,Store_Dim!A:A,Store_Dim!B:B,"Not Found")</f>
        <v>Guerrero-Schmitt</v>
      </c>
      <c r="H944" t="str">
        <f>_xlfn.XLOOKUP(D944,Product_Dim!A:A,Product_Dim!C:C,"Not Found")</f>
        <v>Beauty</v>
      </c>
      <c r="I944" t="str">
        <f>_xlfn.XLOOKUP(E944,Store_Dim!A:A,Store_Dim!C:C,"Not Found")</f>
        <v>East</v>
      </c>
      <c r="J944" t="str">
        <f>_xlfn.XLOOKUP(C944,Customer_Dim!A:A,Customer_Dim!B:B,"Not Found")</f>
        <v>Laura Mathews</v>
      </c>
      <c r="K944">
        <f>Table511[[#This Row],[Total_Amount]]/(L944*(1-Table511[[#This Row],[Discount]]))</f>
        <v>3</v>
      </c>
      <c r="L944" s="5">
        <v>385.74</v>
      </c>
      <c r="M944">
        <v>0.27</v>
      </c>
      <c r="N944" t="s">
        <v>1349</v>
      </c>
      <c r="O944" s="5">
        <v>844.77059999999994</v>
      </c>
    </row>
    <row r="945" spans="1:15">
      <c r="A945" t="s">
        <v>2294</v>
      </c>
      <c r="B945" s="7">
        <v>45380</v>
      </c>
      <c r="C945" t="s">
        <v>969</v>
      </c>
      <c r="D945" t="s">
        <v>1235</v>
      </c>
      <c r="E945" t="s">
        <v>1335</v>
      </c>
      <c r="F945" t="str">
        <f>[1]Raw_Customer_Dim!$A$2</f>
        <v>CUST1000</v>
      </c>
      <c r="G945" t="str">
        <f>_xlfn.XLOOKUP(E945,Store_Dim!A:A,Store_Dim!B:B,"Not Found")</f>
        <v>Guerrero-Schmitt</v>
      </c>
      <c r="H945" t="str">
        <f>_xlfn.XLOOKUP(D945,Product_Dim!A:A,Product_Dim!C:C,"Not Found")</f>
        <v>Sports</v>
      </c>
      <c r="I945" t="str">
        <f>_xlfn.XLOOKUP(E945,Store_Dim!A:A,Store_Dim!C:C,"Not Found")</f>
        <v>East</v>
      </c>
      <c r="J945" t="str">
        <f>_xlfn.XLOOKUP(C945,Customer_Dim!A:A,Customer_Dim!B:B,"Not Found")</f>
        <v>April Phillips</v>
      </c>
      <c r="K945">
        <f>Table511[[#This Row],[Total_Amount]]/(L945*(1-Table511[[#This Row],[Discount]]))</f>
        <v>2</v>
      </c>
      <c r="L945" s="5">
        <v>830.94</v>
      </c>
      <c r="M945">
        <v>0.28000000000000003</v>
      </c>
      <c r="N945" t="s">
        <v>1351</v>
      </c>
      <c r="O945" s="5">
        <v>1196.5536</v>
      </c>
    </row>
    <row r="946" spans="1:15">
      <c r="A946" t="s">
        <v>2295</v>
      </c>
      <c r="B946" s="7">
        <v>45503</v>
      </c>
      <c r="C946" t="s">
        <v>829</v>
      </c>
      <c r="D946" t="s">
        <v>1076</v>
      </c>
      <c r="E946" t="s">
        <v>1311</v>
      </c>
      <c r="F946" t="str">
        <f>[1]Raw_Customer_Dim!$A$2</f>
        <v>CUST1000</v>
      </c>
      <c r="G946" t="str">
        <f>_xlfn.XLOOKUP(E946,Store_Dim!A:A,Store_Dim!B:B,"Not Found")</f>
        <v>Moore, Padilla and Butler</v>
      </c>
      <c r="H946" t="str">
        <f>_xlfn.XLOOKUP(D946,Product_Dim!A:A,Product_Dim!C:C,"Not Found")</f>
        <v>Not Found</v>
      </c>
      <c r="I946" t="str">
        <f>_xlfn.XLOOKUP(E946,Store_Dim!A:A,Store_Dim!C:C,"Not Found")</f>
        <v>South</v>
      </c>
      <c r="J946" t="str">
        <f>_xlfn.XLOOKUP(C946,Customer_Dim!A:A,Customer_Dim!B:B,"Not Found")</f>
        <v>Kristine Higgins</v>
      </c>
      <c r="K946">
        <f>Table511[[#This Row],[Total_Amount]]/(L946*(1-Table511[[#This Row],[Discount]]))</f>
        <v>3</v>
      </c>
      <c r="L946" s="5">
        <v>462.75</v>
      </c>
      <c r="M946">
        <v>0.22</v>
      </c>
      <c r="N946" t="s">
        <v>1351</v>
      </c>
      <c r="O946" s="5">
        <v>1082.835</v>
      </c>
    </row>
    <row r="947" spans="1:15">
      <c r="A947" t="s">
        <v>2296</v>
      </c>
      <c r="B947" s="7">
        <v>45567</v>
      </c>
      <c r="C947" t="s">
        <v>182</v>
      </c>
      <c r="D947" t="s">
        <v>1101</v>
      </c>
      <c r="E947" t="s">
        <v>1326</v>
      </c>
      <c r="F947" t="str">
        <f>[1]Raw_Customer_Dim!$A$2</f>
        <v>CUST1000</v>
      </c>
      <c r="G947" t="str">
        <f>_xlfn.XLOOKUP(E947,Store_Dim!A:A,Store_Dim!B:B,"Not Found")</f>
        <v>Shelton PLC</v>
      </c>
      <c r="H947" t="str">
        <f>_xlfn.XLOOKUP(D947,Product_Dim!A:A,Product_Dim!C:C,"Not Found")</f>
        <v>Home</v>
      </c>
      <c r="I947" t="str">
        <f>_xlfn.XLOOKUP(E947,Store_Dim!A:A,Store_Dim!C:C,"Not Found")</f>
        <v>North</v>
      </c>
      <c r="J947" t="str">
        <f>_xlfn.XLOOKUP(C947,Customer_Dim!A:A,Customer_Dim!B:B,"Not Found")</f>
        <v>Amber Mcclain</v>
      </c>
      <c r="K947">
        <f>Table511[[#This Row],[Total_Amount]]/(L947*(1-Table511[[#This Row],[Discount]]))</f>
        <v>4.0000000000000009</v>
      </c>
      <c r="L947" s="5">
        <v>973.9</v>
      </c>
      <c r="M947">
        <v>0.02</v>
      </c>
      <c r="N947" t="s">
        <v>1354</v>
      </c>
      <c r="O947" s="5">
        <v>3817.6880000000001</v>
      </c>
    </row>
    <row r="948" spans="1:15">
      <c r="A948" t="s">
        <v>2297</v>
      </c>
      <c r="B948" s="7">
        <v>45600</v>
      </c>
      <c r="C948" t="s">
        <v>341</v>
      </c>
      <c r="D948" t="s">
        <v>1143</v>
      </c>
      <c r="E948" t="s">
        <v>1282</v>
      </c>
      <c r="F948" t="str">
        <f>[1]Raw_Customer_Dim!$A$2</f>
        <v>CUST1000</v>
      </c>
      <c r="G948" t="str">
        <f>_xlfn.XLOOKUP(E948,Store_Dim!A:A,Store_Dim!B:B,"Not Found")</f>
        <v>Martinez, Adkins and Johnson</v>
      </c>
      <c r="H948" t="str">
        <f>_xlfn.XLOOKUP(D948,Product_Dim!A:A,Product_Dim!C:C,"Not Found")</f>
        <v>Home</v>
      </c>
      <c r="I948" t="str">
        <f>_xlfn.XLOOKUP(E948,Store_Dim!A:A,Store_Dim!C:C,"Not Found")</f>
        <v>North</v>
      </c>
      <c r="J948" t="str">
        <f>_xlfn.XLOOKUP(C948,Customer_Dim!A:A,Customer_Dim!B:B,"Not Found")</f>
        <v>Patty Francis</v>
      </c>
      <c r="K948">
        <f>Table511[[#This Row],[Total_Amount]]/(L948*(1-Table511[[#This Row],[Discount]]))</f>
        <v>2</v>
      </c>
      <c r="L948" s="5">
        <v>157.18</v>
      </c>
      <c r="M948">
        <v>0.15</v>
      </c>
      <c r="N948" t="s">
        <v>1349</v>
      </c>
      <c r="O948" s="5">
        <v>267.20600000000002</v>
      </c>
    </row>
    <row r="949" spans="1:15">
      <c r="A949" t="s">
        <v>2298</v>
      </c>
      <c r="B949" s="7">
        <v>45415</v>
      </c>
      <c r="C949" t="s">
        <v>50</v>
      </c>
      <c r="D949" t="s">
        <v>1219</v>
      </c>
      <c r="E949" t="s">
        <v>1322</v>
      </c>
      <c r="F949" t="str">
        <f>[1]Raw_Customer_Dim!$A$2</f>
        <v>CUST1000</v>
      </c>
      <c r="G949" t="str">
        <f>_xlfn.XLOOKUP(E949,Store_Dim!A:A,Store_Dim!B:B,"Not Found")</f>
        <v>Gardner, Humphrey and Contreras</v>
      </c>
      <c r="H949" t="str">
        <f>_xlfn.XLOOKUP(D949,Product_Dim!A:A,Product_Dim!C:C,"Not Found")</f>
        <v>Sports</v>
      </c>
      <c r="I949" t="str">
        <f>_xlfn.XLOOKUP(E949,Store_Dim!A:A,Store_Dim!C:C,"Not Found")</f>
        <v>East</v>
      </c>
      <c r="J949" t="str">
        <f>_xlfn.XLOOKUP(C949,Customer_Dim!A:A,Customer_Dim!B:B,"Not Found")</f>
        <v>Nathan Hernandez</v>
      </c>
      <c r="K949">
        <f>Table511[[#This Row],[Total_Amount]]/(L949*(1-Table511[[#This Row],[Discount]]))</f>
        <v>3</v>
      </c>
      <c r="L949" s="5">
        <v>239.57</v>
      </c>
      <c r="M949">
        <v>0.16</v>
      </c>
      <c r="N949" t="s">
        <v>1349</v>
      </c>
      <c r="O949" s="5">
        <v>603.71640000000002</v>
      </c>
    </row>
    <row r="950" spans="1:15">
      <c r="A950" t="s">
        <v>2299</v>
      </c>
      <c r="B950" s="7">
        <v>45343</v>
      </c>
      <c r="C950" t="s">
        <v>718</v>
      </c>
      <c r="D950" t="s">
        <v>1090</v>
      </c>
      <c r="E950" t="s">
        <v>1329</v>
      </c>
      <c r="F950" t="str">
        <f>[1]Raw_Customer_Dim!$A$2</f>
        <v>CUST1000</v>
      </c>
      <c r="G950" t="str">
        <f>_xlfn.XLOOKUP(E950,Store_Dim!A:A,Store_Dim!B:B,"Not Found")</f>
        <v>Frederick-Wright</v>
      </c>
      <c r="H950" t="str">
        <f>_xlfn.XLOOKUP(D950,Product_Dim!A:A,Product_Dim!C:C,"Not Found")</f>
        <v>Sports</v>
      </c>
      <c r="I950" t="str">
        <f>_xlfn.XLOOKUP(E950,Store_Dim!A:A,Store_Dim!C:C,"Not Found")</f>
        <v>West</v>
      </c>
      <c r="J950" t="str">
        <f>_xlfn.XLOOKUP(C950,Customer_Dim!A:A,Customer_Dim!B:B,"Not Found")</f>
        <v>Reginald Willis</v>
      </c>
      <c r="K950">
        <f>Table511[[#This Row],[Total_Amount]]/(L950*(1-Table511[[#This Row],[Discount]]))</f>
        <v>3.9999999999999996</v>
      </c>
      <c r="L950" s="5">
        <v>583.21</v>
      </c>
      <c r="M950">
        <v>0.2</v>
      </c>
      <c r="N950" t="s">
        <v>1349</v>
      </c>
      <c r="O950" s="5">
        <v>1866.2719999999999</v>
      </c>
    </row>
    <row r="951" spans="1:15">
      <c r="A951" t="s">
        <v>2300</v>
      </c>
      <c r="B951" s="7">
        <v>45399</v>
      </c>
      <c r="C951" t="s">
        <v>889</v>
      </c>
      <c r="D951" t="s">
        <v>1235</v>
      </c>
      <c r="E951" t="s">
        <v>1307</v>
      </c>
      <c r="F951" t="str">
        <f>[1]Raw_Customer_Dim!$A$2</f>
        <v>CUST1000</v>
      </c>
      <c r="G951" t="str">
        <f>_xlfn.XLOOKUP(E951,Store_Dim!A:A,Store_Dim!B:B,"Not Found")</f>
        <v>Bean, Jones and Park</v>
      </c>
      <c r="H951" t="str">
        <f>_xlfn.XLOOKUP(D951,Product_Dim!A:A,Product_Dim!C:C,"Not Found")</f>
        <v>Sports</v>
      </c>
      <c r="I951" t="str">
        <f>_xlfn.XLOOKUP(E951,Store_Dim!A:A,Store_Dim!C:C,"Not Found")</f>
        <v>West</v>
      </c>
      <c r="J951" t="str">
        <f>_xlfn.XLOOKUP(C951,Customer_Dim!A:A,Customer_Dim!B:B,"Not Found")</f>
        <v>Megan Ryan</v>
      </c>
      <c r="K951">
        <f>Table511[[#This Row],[Total_Amount]]/(L951*(1-Table511[[#This Row],[Discount]]))</f>
        <v>3</v>
      </c>
      <c r="L951" s="5">
        <v>758.75</v>
      </c>
      <c r="M951">
        <v>0.27</v>
      </c>
      <c r="N951" t="s">
        <v>1351</v>
      </c>
      <c r="O951" s="5">
        <v>1661.6624999999999</v>
      </c>
    </row>
    <row r="952" spans="1:15">
      <c r="A952" t="s">
        <v>2301</v>
      </c>
      <c r="B952" s="7">
        <v>45689</v>
      </c>
      <c r="C952" t="s">
        <v>682</v>
      </c>
      <c r="D952" t="s">
        <v>1195</v>
      </c>
      <c r="E952" t="s">
        <v>1298</v>
      </c>
      <c r="F952" t="str">
        <f>[1]Raw_Customer_Dim!$A$2</f>
        <v>CUST1000</v>
      </c>
      <c r="G952" t="str">
        <f>_xlfn.XLOOKUP(E952,Store_Dim!A:A,Store_Dim!B:B,"Not Found")</f>
        <v>Gray Ltd</v>
      </c>
      <c r="H952" t="str">
        <f>_xlfn.XLOOKUP(D952,Product_Dim!A:A,Product_Dim!C:C,"Not Found")</f>
        <v>Sports</v>
      </c>
      <c r="I952" t="str">
        <f>_xlfn.XLOOKUP(E952,Store_Dim!A:A,Store_Dim!C:C,"Not Found")</f>
        <v>North</v>
      </c>
      <c r="J952" t="str">
        <f>_xlfn.XLOOKUP(C952,Customer_Dim!A:A,Customer_Dim!B:B,"Not Found")</f>
        <v>Stacy Collins</v>
      </c>
      <c r="K952">
        <f>Table511[[#This Row],[Total_Amount]]/(L952*(1-Table511[[#This Row],[Discount]]))</f>
        <v>3.9999999999999991</v>
      </c>
      <c r="L952" s="5">
        <v>372.42</v>
      </c>
      <c r="M952">
        <v>0.19</v>
      </c>
      <c r="N952" t="s">
        <v>1349</v>
      </c>
      <c r="O952" s="5">
        <v>1206.6407999999999</v>
      </c>
    </row>
    <row r="953" spans="1:15">
      <c r="A953" t="s">
        <v>2302</v>
      </c>
      <c r="B953" s="7">
        <v>45699</v>
      </c>
      <c r="C953" t="s">
        <v>369</v>
      </c>
      <c r="D953" t="s">
        <v>1199</v>
      </c>
      <c r="E953" t="s">
        <v>1338</v>
      </c>
      <c r="F953" t="str">
        <f>[1]Raw_Customer_Dim!$A$2</f>
        <v>CUST1000</v>
      </c>
      <c r="G953" t="str">
        <f>_xlfn.XLOOKUP(E953,Store_Dim!A:A,Store_Dim!B:B,"Not Found")</f>
        <v>Mann-Austin</v>
      </c>
      <c r="H953" t="str">
        <f>_xlfn.XLOOKUP(D953,Product_Dim!A:A,Product_Dim!C:C,"Not Found")</f>
        <v>Beauty</v>
      </c>
      <c r="I953" t="str">
        <f>_xlfn.XLOOKUP(E953,Store_Dim!A:A,Store_Dim!C:C,"Not Found")</f>
        <v>East</v>
      </c>
      <c r="J953" t="str">
        <f>_xlfn.XLOOKUP(C953,Customer_Dim!A:A,Customer_Dim!B:B,"Not Found")</f>
        <v>Julie Hale</v>
      </c>
      <c r="K953">
        <f>Table511[[#This Row],[Total_Amount]]/(L953*(1-Table511[[#This Row],[Discount]]))</f>
        <v>4</v>
      </c>
      <c r="L953" s="5">
        <v>286.27999999999997</v>
      </c>
      <c r="M953">
        <v>0.28000000000000003</v>
      </c>
      <c r="N953" t="s">
        <v>1351</v>
      </c>
      <c r="O953" s="5">
        <v>824.48639999999989</v>
      </c>
    </row>
    <row r="954" spans="1:15">
      <c r="A954" t="s">
        <v>2303</v>
      </c>
      <c r="B954" s="7">
        <v>45663</v>
      </c>
      <c r="C954" t="s">
        <v>622</v>
      </c>
      <c r="D954" t="s">
        <v>1219</v>
      </c>
      <c r="E954" t="s">
        <v>1317</v>
      </c>
      <c r="F954" t="str">
        <f>[1]Raw_Customer_Dim!$A$2</f>
        <v>CUST1000</v>
      </c>
      <c r="G954" t="str">
        <f>_xlfn.XLOOKUP(E954,Store_Dim!A:A,Store_Dim!B:B,"Not Found")</f>
        <v>Aguirre-Keller</v>
      </c>
      <c r="H954" t="str">
        <f>_xlfn.XLOOKUP(D954,Product_Dim!A:A,Product_Dim!C:C,"Not Found")</f>
        <v>Sports</v>
      </c>
      <c r="I954" t="str">
        <f>_xlfn.XLOOKUP(E954,Store_Dim!A:A,Store_Dim!C:C,"Not Found")</f>
        <v>South</v>
      </c>
      <c r="J954" t="str">
        <f>_xlfn.XLOOKUP(C954,Customer_Dim!A:A,Customer_Dim!B:B,"Not Found")</f>
        <v>Aaron Luna</v>
      </c>
      <c r="K954">
        <f>Table511[[#This Row],[Total_Amount]]/(L954*(1-Table511[[#This Row],[Discount]]))</f>
        <v>2.9999999999999996</v>
      </c>
      <c r="L954" s="5">
        <v>488.37</v>
      </c>
      <c r="M954">
        <v>0.27</v>
      </c>
      <c r="N954" t="s">
        <v>1354</v>
      </c>
      <c r="O954" s="5">
        <v>1069.5302999999999</v>
      </c>
    </row>
    <row r="955" spans="1:15">
      <c r="A955" t="s">
        <v>2304</v>
      </c>
      <c r="B955" s="7">
        <v>45377</v>
      </c>
      <c r="C955" t="s">
        <v>1000</v>
      </c>
      <c r="D955" t="s">
        <v>1247</v>
      </c>
      <c r="E955" t="s">
        <v>1307</v>
      </c>
      <c r="F955" t="str">
        <f>[1]Raw_Customer_Dim!$A$2</f>
        <v>CUST1000</v>
      </c>
      <c r="G955" t="str">
        <f>_xlfn.XLOOKUP(E955,Store_Dim!A:A,Store_Dim!B:B,"Not Found")</f>
        <v>Bean, Jones and Park</v>
      </c>
      <c r="H955" t="str">
        <f>_xlfn.XLOOKUP(D955,Product_Dim!A:A,Product_Dim!C:C,"Not Found")</f>
        <v>Home</v>
      </c>
      <c r="I955" t="str">
        <f>_xlfn.XLOOKUP(E955,Store_Dim!A:A,Store_Dim!C:C,"Not Found")</f>
        <v>West</v>
      </c>
      <c r="J955" t="str">
        <f>_xlfn.XLOOKUP(C955,Customer_Dim!A:A,Customer_Dim!B:B,"Not Found")</f>
        <v>James Foster</v>
      </c>
      <c r="K955">
        <f>Table511[[#This Row],[Total_Amount]]/(L955*(1-Table511[[#This Row],[Discount]]))</f>
        <v>2.9999999999999996</v>
      </c>
      <c r="L955" s="5">
        <v>662.82</v>
      </c>
      <c r="M955">
        <v>0.01</v>
      </c>
      <c r="N955" t="s">
        <v>1354</v>
      </c>
      <c r="O955" s="5">
        <v>1968.5753999999999</v>
      </c>
    </row>
    <row r="956" spans="1:15">
      <c r="A956" t="s">
        <v>2305</v>
      </c>
      <c r="B956" s="7">
        <v>45412</v>
      </c>
      <c r="C956" t="s">
        <v>1055</v>
      </c>
      <c r="D956" t="s">
        <v>1082</v>
      </c>
      <c r="E956" t="s">
        <v>1329</v>
      </c>
      <c r="F956" t="str">
        <f>[1]Raw_Customer_Dim!$A$2</f>
        <v>CUST1000</v>
      </c>
      <c r="G956" t="str">
        <f>_xlfn.XLOOKUP(E956,Store_Dim!A:A,Store_Dim!B:B,"Not Found")</f>
        <v>Frederick-Wright</v>
      </c>
      <c r="H956" t="str">
        <f>_xlfn.XLOOKUP(D956,Product_Dim!A:A,Product_Dim!C:C,"Not Found")</f>
        <v>Beauty</v>
      </c>
      <c r="I956" t="str">
        <f>_xlfn.XLOOKUP(E956,Store_Dim!A:A,Store_Dim!C:C,"Not Found")</f>
        <v>West</v>
      </c>
      <c r="J956" t="str">
        <f>_xlfn.XLOOKUP(C956,Customer_Dim!A:A,Customer_Dim!B:B,"Not Found")</f>
        <v>Sarah Marsh</v>
      </c>
      <c r="K956">
        <f>Table511[[#This Row],[Total_Amount]]/(L956*(1-Table511[[#This Row],[Discount]]))</f>
        <v>1.9999999999999998</v>
      </c>
      <c r="L956" s="5">
        <v>824.34</v>
      </c>
      <c r="M956">
        <v>0.1</v>
      </c>
      <c r="N956" t="s">
        <v>1354</v>
      </c>
      <c r="O956" s="5">
        <v>1483.8119999999999</v>
      </c>
    </row>
    <row r="957" spans="1:15">
      <c r="A957" t="s">
        <v>2306</v>
      </c>
      <c r="B957" s="7">
        <v>45349</v>
      </c>
      <c r="C957" t="s">
        <v>286</v>
      </c>
      <c r="D957" t="s">
        <v>1191</v>
      </c>
      <c r="E957" t="s">
        <v>1307</v>
      </c>
      <c r="F957" t="str">
        <f>[1]Raw_Customer_Dim!$A$2</f>
        <v>CUST1000</v>
      </c>
      <c r="G957" t="str">
        <f>_xlfn.XLOOKUP(E957,Store_Dim!A:A,Store_Dim!B:B,"Not Found")</f>
        <v>Bean, Jones and Park</v>
      </c>
      <c r="H957" t="str">
        <f>_xlfn.XLOOKUP(D957,Product_Dim!A:A,Product_Dim!C:C,"Not Found")</f>
        <v>Beauty</v>
      </c>
      <c r="I957" t="str">
        <f>_xlfn.XLOOKUP(E957,Store_Dim!A:A,Store_Dim!C:C,"Not Found")</f>
        <v>West</v>
      </c>
      <c r="J957" t="str">
        <f>_xlfn.XLOOKUP(C957,Customer_Dim!A:A,Customer_Dim!B:B,"Not Found")</f>
        <v>Edward Hall</v>
      </c>
      <c r="K957">
        <f>Table511[[#This Row],[Total_Amount]]/(L957*(1-Table511[[#This Row],[Discount]]))</f>
        <v>0.99999999999999989</v>
      </c>
      <c r="L957" s="5">
        <v>437.12</v>
      </c>
      <c r="M957">
        <v>0.21</v>
      </c>
      <c r="N957" t="s">
        <v>1349</v>
      </c>
      <c r="O957" s="5">
        <v>345.32479999999998</v>
      </c>
    </row>
    <row r="958" spans="1:15">
      <c r="A958" t="s">
        <v>2307</v>
      </c>
      <c r="B958" s="7">
        <v>45486</v>
      </c>
      <c r="C958" t="s">
        <v>777</v>
      </c>
      <c r="D958" t="s">
        <v>1249</v>
      </c>
      <c r="E958" t="s">
        <v>1301</v>
      </c>
      <c r="F958" t="str">
        <f>[1]Raw_Customer_Dim!$A$2</f>
        <v>CUST1000</v>
      </c>
      <c r="G958" t="str">
        <f>_xlfn.XLOOKUP(E958,Store_Dim!A:A,Store_Dim!B:B,"Not Found")</f>
        <v>Benson-Elliott</v>
      </c>
      <c r="H958" t="str">
        <f>_xlfn.XLOOKUP(D958,Product_Dim!A:A,Product_Dim!C:C,"Not Found")</f>
        <v>Sports</v>
      </c>
      <c r="I958" t="str">
        <f>_xlfn.XLOOKUP(E958,Store_Dim!A:A,Store_Dim!C:C,"Not Found")</f>
        <v>East</v>
      </c>
      <c r="J958" t="str">
        <f>_xlfn.XLOOKUP(C958,Customer_Dim!A:A,Customer_Dim!B:B,"Not Found")</f>
        <v>Manuel Castillo</v>
      </c>
      <c r="K958">
        <f>Table511[[#This Row],[Total_Amount]]/(L958*(1-Table511[[#This Row],[Discount]]))</f>
        <v>3</v>
      </c>
      <c r="L958" s="5">
        <v>23.37</v>
      </c>
      <c r="M958">
        <v>0.15</v>
      </c>
      <c r="N958" t="s">
        <v>1351</v>
      </c>
      <c r="O958" s="5">
        <v>59.593499999999999</v>
      </c>
    </row>
    <row r="959" spans="1:15">
      <c r="A959" t="s">
        <v>2308</v>
      </c>
      <c r="B959" s="7">
        <v>45761</v>
      </c>
      <c r="C959" t="s">
        <v>436</v>
      </c>
      <c r="D959" t="s">
        <v>1145</v>
      </c>
      <c r="E959" t="s">
        <v>1307</v>
      </c>
      <c r="F959" t="str">
        <f>[1]Raw_Customer_Dim!$A$2</f>
        <v>CUST1000</v>
      </c>
      <c r="G959" t="str">
        <f>_xlfn.XLOOKUP(E959,Store_Dim!A:A,Store_Dim!B:B,"Not Found")</f>
        <v>Bean, Jones and Park</v>
      </c>
      <c r="H959" t="str">
        <f>_xlfn.XLOOKUP(D959,Product_Dim!A:A,Product_Dim!C:C,"Not Found")</f>
        <v>Clothing</v>
      </c>
      <c r="I959" t="str">
        <f>_xlfn.XLOOKUP(E959,Store_Dim!A:A,Store_Dim!C:C,"Not Found")</f>
        <v>West</v>
      </c>
      <c r="J959" t="str">
        <f>_xlfn.XLOOKUP(C959,Customer_Dim!A:A,Customer_Dim!B:B,"Not Found")</f>
        <v>Dr. Suzanne Bullock</v>
      </c>
      <c r="K959">
        <f>Table511[[#This Row],[Total_Amount]]/(L959*(1-Table511[[#This Row],[Discount]]))</f>
        <v>1</v>
      </c>
      <c r="L959" s="5">
        <v>579.69000000000005</v>
      </c>
      <c r="M959">
        <v>0.02</v>
      </c>
      <c r="N959" t="s">
        <v>1349</v>
      </c>
      <c r="O959" s="5">
        <v>568.09620000000007</v>
      </c>
    </row>
    <row r="960" spans="1:15">
      <c r="A960" t="s">
        <v>2309</v>
      </c>
      <c r="B960" s="7">
        <v>45639</v>
      </c>
      <c r="C960" t="s">
        <v>923</v>
      </c>
      <c r="D960" t="s">
        <v>1229</v>
      </c>
      <c r="E960" t="s">
        <v>1324</v>
      </c>
      <c r="F960" t="str">
        <f>[1]Raw_Customer_Dim!$A$2</f>
        <v>CUST1000</v>
      </c>
      <c r="G960" t="str">
        <f>_xlfn.XLOOKUP(E960,Store_Dim!A:A,Store_Dim!B:B,"Not Found")</f>
        <v>Mcdonald Inc</v>
      </c>
      <c r="H960" t="str">
        <f>_xlfn.XLOOKUP(D960,Product_Dim!A:A,Product_Dim!C:C,"Not Found")</f>
        <v>Home</v>
      </c>
      <c r="I960" t="str">
        <f>_xlfn.XLOOKUP(E960,Store_Dim!A:A,Store_Dim!C:C,"Not Found")</f>
        <v>South</v>
      </c>
      <c r="J960" t="str">
        <f>_xlfn.XLOOKUP(C960,Customer_Dim!A:A,Customer_Dim!B:B,"Not Found")</f>
        <v>Kimberly Roberts</v>
      </c>
      <c r="K960">
        <f>Table511[[#This Row],[Total_Amount]]/(L960*(1-Table511[[#This Row],[Discount]]))</f>
        <v>3</v>
      </c>
      <c r="L960" s="5">
        <v>240.51</v>
      </c>
      <c r="M960">
        <v>7.0000000000000007E-2</v>
      </c>
      <c r="N960" t="s">
        <v>1349</v>
      </c>
      <c r="O960" s="5">
        <v>671.02289999999994</v>
      </c>
    </row>
    <row r="961" spans="1:15">
      <c r="A961" t="s">
        <v>2310</v>
      </c>
      <c r="B961" s="7">
        <v>45893</v>
      </c>
      <c r="C961" t="s">
        <v>827</v>
      </c>
      <c r="D961" t="s">
        <v>1123</v>
      </c>
      <c r="E961" t="s">
        <v>1324</v>
      </c>
      <c r="F961" t="str">
        <f>[1]Raw_Customer_Dim!$A$2</f>
        <v>CUST1000</v>
      </c>
      <c r="G961" t="str">
        <f>_xlfn.XLOOKUP(E961,Store_Dim!A:A,Store_Dim!B:B,"Not Found")</f>
        <v>Mcdonald Inc</v>
      </c>
      <c r="H961" t="str">
        <f>_xlfn.XLOOKUP(D961,Product_Dim!A:A,Product_Dim!C:C,"Not Found")</f>
        <v>Clothing</v>
      </c>
      <c r="I961" t="str">
        <f>_xlfn.XLOOKUP(E961,Store_Dim!A:A,Store_Dim!C:C,"Not Found")</f>
        <v>South</v>
      </c>
      <c r="J961" t="str">
        <f>_xlfn.XLOOKUP(C961,Customer_Dim!A:A,Customer_Dim!B:B,"Not Found")</f>
        <v>Martha Brown</v>
      </c>
      <c r="K961">
        <f>Table511[[#This Row],[Total_Amount]]/(L961*(1-Table511[[#This Row],[Discount]]))</f>
        <v>2</v>
      </c>
      <c r="L961" s="5">
        <v>855.4</v>
      </c>
      <c r="M961">
        <v>0.08</v>
      </c>
      <c r="N961" t="s">
        <v>1354</v>
      </c>
      <c r="O961" s="5">
        <v>1573.9359999999999</v>
      </c>
    </row>
    <row r="962" spans="1:15">
      <c r="A962" t="s">
        <v>2311</v>
      </c>
      <c r="B962" s="7">
        <v>45227</v>
      </c>
      <c r="C962" t="s">
        <v>33</v>
      </c>
      <c r="D962" t="s">
        <v>1253</v>
      </c>
      <c r="E962" t="s">
        <v>1304</v>
      </c>
      <c r="F962" t="str">
        <f>[1]Raw_Customer_Dim!$A$2</f>
        <v>CUST1000</v>
      </c>
      <c r="G962" t="str">
        <f>_xlfn.XLOOKUP(E962,Store_Dim!A:A,Store_Dim!B:B,"Not Found")</f>
        <v>Martinez-Mullins</v>
      </c>
      <c r="H962" t="str">
        <f>_xlfn.XLOOKUP(D962,Product_Dim!A:A,Product_Dim!C:C,"Not Found")</f>
        <v>Electronics</v>
      </c>
      <c r="I962" t="str">
        <f>_xlfn.XLOOKUP(E962,Store_Dim!A:A,Store_Dim!C:C,"Not Found")</f>
        <v>South</v>
      </c>
      <c r="J962" t="str">
        <f>_xlfn.XLOOKUP(C962,Customer_Dim!A:A,Customer_Dim!B:B,"Not Found")</f>
        <v>Daniel Boyd</v>
      </c>
      <c r="K962">
        <f>Table511[[#This Row],[Total_Amount]]/(L962*(1-Table511[[#This Row],[Discount]]))</f>
        <v>1</v>
      </c>
      <c r="L962" s="5">
        <v>537.26</v>
      </c>
      <c r="M962">
        <v>0.09</v>
      </c>
      <c r="N962" t="s">
        <v>1349</v>
      </c>
      <c r="O962" s="5">
        <v>488.90660000000003</v>
      </c>
    </row>
    <row r="963" spans="1:15">
      <c r="A963" t="s">
        <v>2312</v>
      </c>
      <c r="B963" s="7">
        <v>45637</v>
      </c>
      <c r="C963" t="s">
        <v>831</v>
      </c>
      <c r="D963" t="s">
        <v>1175</v>
      </c>
      <c r="E963" t="s">
        <v>1314</v>
      </c>
      <c r="F963" t="str">
        <f>[1]Raw_Customer_Dim!$A$2</f>
        <v>CUST1000</v>
      </c>
      <c r="G963" t="str">
        <f>_xlfn.XLOOKUP(E963,Store_Dim!A:A,Store_Dim!B:B,"Not Found")</f>
        <v>Hill, Wagner and Ballard</v>
      </c>
      <c r="H963" t="str">
        <f>_xlfn.XLOOKUP(D963,Product_Dim!A:A,Product_Dim!C:C,"Not Found")</f>
        <v>Electronics</v>
      </c>
      <c r="I963" t="str">
        <f>_xlfn.XLOOKUP(E963,Store_Dim!A:A,Store_Dim!C:C,"Not Found")</f>
        <v>East</v>
      </c>
      <c r="J963" t="str">
        <f>_xlfn.XLOOKUP(C963,Customer_Dim!A:A,Customer_Dim!B:B,"Not Found")</f>
        <v>Andrew Mason</v>
      </c>
      <c r="K963">
        <f>Table511[[#This Row],[Total_Amount]]/(L963*(1-Table511[[#This Row],[Discount]]))</f>
        <v>3</v>
      </c>
      <c r="L963" s="5">
        <v>918.26</v>
      </c>
      <c r="M963">
        <v>0.17</v>
      </c>
      <c r="N963" t="s">
        <v>1354</v>
      </c>
      <c r="O963" s="5">
        <v>2286.4674</v>
      </c>
    </row>
    <row r="964" spans="1:15">
      <c r="A964" t="s">
        <v>2313</v>
      </c>
      <c r="B964" s="7">
        <v>45472</v>
      </c>
      <c r="C964" t="s">
        <v>248</v>
      </c>
      <c r="D964" t="s">
        <v>1082</v>
      </c>
      <c r="E964" t="s">
        <v>1311</v>
      </c>
      <c r="F964" t="str">
        <f>[1]Raw_Customer_Dim!$A$2</f>
        <v>CUST1000</v>
      </c>
      <c r="G964" t="str">
        <f>_xlfn.XLOOKUP(E964,Store_Dim!A:A,Store_Dim!B:B,"Not Found")</f>
        <v>Moore, Padilla and Butler</v>
      </c>
      <c r="H964" t="str">
        <f>_xlfn.XLOOKUP(D964,Product_Dim!A:A,Product_Dim!C:C,"Not Found")</f>
        <v>Beauty</v>
      </c>
      <c r="I964" t="str">
        <f>_xlfn.XLOOKUP(E964,Store_Dim!A:A,Store_Dim!C:C,"Not Found")</f>
        <v>South</v>
      </c>
      <c r="J964" t="str">
        <f>_xlfn.XLOOKUP(C964,Customer_Dim!A:A,Customer_Dim!B:B,"Not Found")</f>
        <v>Amy Fowler</v>
      </c>
      <c r="K964">
        <f>Table511[[#This Row],[Total_Amount]]/(L964*(1-Table511[[#This Row],[Discount]]))</f>
        <v>3.9999999999999991</v>
      </c>
      <c r="L964" s="5">
        <v>579.70000000000005</v>
      </c>
      <c r="M964">
        <v>0.18</v>
      </c>
      <c r="N964" t="s">
        <v>1351</v>
      </c>
      <c r="O964" s="5">
        <v>1901.4159999999999</v>
      </c>
    </row>
    <row r="965" spans="1:15">
      <c r="A965" t="s">
        <v>2314</v>
      </c>
      <c r="B965" s="7">
        <v>45710</v>
      </c>
      <c r="C965" t="s">
        <v>351</v>
      </c>
      <c r="D965" t="s">
        <v>1159</v>
      </c>
      <c r="E965" t="s">
        <v>1301</v>
      </c>
      <c r="F965" t="str">
        <f>[1]Raw_Customer_Dim!$A$2</f>
        <v>CUST1000</v>
      </c>
      <c r="G965" t="str">
        <f>_xlfn.XLOOKUP(E965,Store_Dim!A:A,Store_Dim!B:B,"Not Found")</f>
        <v>Benson-Elliott</v>
      </c>
      <c r="H965" t="str">
        <f>_xlfn.XLOOKUP(D965,Product_Dim!A:A,Product_Dim!C:C,"Not Found")</f>
        <v>Electronics</v>
      </c>
      <c r="I965" t="str">
        <f>_xlfn.XLOOKUP(E965,Store_Dim!A:A,Store_Dim!C:C,"Not Found")</f>
        <v>East</v>
      </c>
      <c r="J965" t="str">
        <f>_xlfn.XLOOKUP(C965,Customer_Dim!A:A,Customer_Dim!B:B,"Not Found")</f>
        <v>Cameron Simpson</v>
      </c>
      <c r="K965">
        <f>Table511[[#This Row],[Total_Amount]]/(L965*(1-Table511[[#This Row],[Discount]]))</f>
        <v>1</v>
      </c>
      <c r="L965" s="5">
        <v>824.32</v>
      </c>
      <c r="M965">
        <v>0.18</v>
      </c>
      <c r="N965" t="s">
        <v>1349</v>
      </c>
      <c r="O965" s="5">
        <v>675.94240000000013</v>
      </c>
    </row>
    <row r="966" spans="1:15">
      <c r="A966" t="s">
        <v>2315</v>
      </c>
      <c r="B966" s="7">
        <v>45682</v>
      </c>
      <c r="C966" t="s">
        <v>277</v>
      </c>
      <c r="D966" t="s">
        <v>1165</v>
      </c>
      <c r="E966" t="s">
        <v>1326</v>
      </c>
      <c r="F966" t="str">
        <f>[1]Raw_Customer_Dim!$A$2</f>
        <v>CUST1000</v>
      </c>
      <c r="G966" t="str">
        <f>_xlfn.XLOOKUP(E966,Store_Dim!A:A,Store_Dim!B:B,"Not Found")</f>
        <v>Shelton PLC</v>
      </c>
      <c r="H966" t="str">
        <f>_xlfn.XLOOKUP(D966,Product_Dim!A:A,Product_Dim!C:C,"Not Found")</f>
        <v>Clothing</v>
      </c>
      <c r="I966" t="str">
        <f>_xlfn.XLOOKUP(E966,Store_Dim!A:A,Store_Dim!C:C,"Not Found")</f>
        <v>North</v>
      </c>
      <c r="J966" t="str">
        <f>_xlfn.XLOOKUP(C966,Customer_Dim!A:A,Customer_Dim!B:B,"Not Found")</f>
        <v>Amy Walker</v>
      </c>
      <c r="K966">
        <f>Table511[[#This Row],[Total_Amount]]/(L966*(1-Table511[[#This Row],[Discount]]))</f>
        <v>4</v>
      </c>
      <c r="L966" s="5">
        <v>614.99</v>
      </c>
      <c r="M966">
        <v>0.16</v>
      </c>
      <c r="N966" t="s">
        <v>1351</v>
      </c>
      <c r="O966" s="5">
        <v>2066.3663999999999</v>
      </c>
    </row>
    <row r="967" spans="1:15">
      <c r="A967" t="s">
        <v>2316</v>
      </c>
      <c r="B967" s="7">
        <v>45730</v>
      </c>
      <c r="C967" t="s">
        <v>317</v>
      </c>
      <c r="D967" t="s">
        <v>1197</v>
      </c>
      <c r="E967" t="s">
        <v>1277</v>
      </c>
      <c r="F967" t="str">
        <f>[1]Raw_Customer_Dim!$A$2</f>
        <v>CUST1000</v>
      </c>
      <c r="G967" t="str">
        <f>_xlfn.XLOOKUP(E967,Store_Dim!A:A,Store_Dim!B:B,"Not Found")</f>
        <v>Rivera-Warner</v>
      </c>
      <c r="H967" t="str">
        <f>_xlfn.XLOOKUP(D967,Product_Dim!A:A,Product_Dim!C:C,"Not Found")</f>
        <v>Electronics</v>
      </c>
      <c r="I967" t="str">
        <f>_xlfn.XLOOKUP(E967,Store_Dim!A:A,Store_Dim!C:C,"Not Found")</f>
        <v>East</v>
      </c>
      <c r="J967" t="str">
        <f>_xlfn.XLOOKUP(C967,Customer_Dim!A:A,Customer_Dim!B:B,"Not Found")</f>
        <v>Susan Mcdonald</v>
      </c>
      <c r="K967">
        <f>Table511[[#This Row],[Total_Amount]]/(L967*(1-Table511[[#This Row],[Discount]]))</f>
        <v>4</v>
      </c>
      <c r="L967" s="5">
        <v>189.21</v>
      </c>
      <c r="M967">
        <v>0.06</v>
      </c>
      <c r="N967" t="s">
        <v>1354</v>
      </c>
      <c r="O967" s="5">
        <v>711.42959999999994</v>
      </c>
    </row>
    <row r="968" spans="1:15">
      <c r="A968" t="s">
        <v>2317</v>
      </c>
      <c r="B968" s="7">
        <v>45629</v>
      </c>
      <c r="C968" t="s">
        <v>369</v>
      </c>
      <c r="D968" t="s">
        <v>1197</v>
      </c>
      <c r="E968" t="s">
        <v>1324</v>
      </c>
      <c r="F968" t="str">
        <f>[1]Raw_Customer_Dim!$A$2</f>
        <v>CUST1000</v>
      </c>
      <c r="G968" t="str">
        <f>_xlfn.XLOOKUP(E968,Store_Dim!A:A,Store_Dim!B:B,"Not Found")</f>
        <v>Mcdonald Inc</v>
      </c>
      <c r="H968" t="str">
        <f>_xlfn.XLOOKUP(D968,Product_Dim!A:A,Product_Dim!C:C,"Not Found")</f>
        <v>Electronics</v>
      </c>
      <c r="I968" t="str">
        <f>_xlfn.XLOOKUP(E968,Store_Dim!A:A,Store_Dim!C:C,"Not Found")</f>
        <v>South</v>
      </c>
      <c r="J968" t="str">
        <f>_xlfn.XLOOKUP(C968,Customer_Dim!A:A,Customer_Dim!B:B,"Not Found")</f>
        <v>Julie Hale</v>
      </c>
      <c r="K968">
        <f>Table511[[#This Row],[Total_Amount]]/(L968*(1-Table511[[#This Row],[Discount]]))</f>
        <v>2</v>
      </c>
      <c r="L968" s="5">
        <v>233.33</v>
      </c>
      <c r="M968">
        <v>0.05</v>
      </c>
      <c r="N968" t="s">
        <v>1349</v>
      </c>
      <c r="O968" s="5">
        <v>443.327</v>
      </c>
    </row>
    <row r="969" spans="1:15">
      <c r="A969" t="s">
        <v>2318</v>
      </c>
      <c r="B969" s="7">
        <v>45783</v>
      </c>
      <c r="C969" t="s">
        <v>559</v>
      </c>
      <c r="D969" t="s">
        <v>1151</v>
      </c>
      <c r="E969" t="s">
        <v>1335</v>
      </c>
      <c r="F969" t="str">
        <f>[1]Raw_Customer_Dim!$A$2</f>
        <v>CUST1000</v>
      </c>
      <c r="G969" t="str">
        <f>_xlfn.XLOOKUP(E969,Store_Dim!A:A,Store_Dim!B:B,"Not Found")</f>
        <v>Guerrero-Schmitt</v>
      </c>
      <c r="H969" t="str">
        <f>_xlfn.XLOOKUP(D969,Product_Dim!A:A,Product_Dim!C:C,"Not Found")</f>
        <v>Electronics</v>
      </c>
      <c r="I969" t="str">
        <f>_xlfn.XLOOKUP(E969,Store_Dim!A:A,Store_Dim!C:C,"Not Found")</f>
        <v>East</v>
      </c>
      <c r="J969" t="str">
        <f>_xlfn.XLOOKUP(C969,Customer_Dim!A:A,Customer_Dim!B:B,"Not Found")</f>
        <v>Nicholas Webb</v>
      </c>
      <c r="K969">
        <f>Table511[[#This Row],[Total_Amount]]/(L969*(1-Table511[[#This Row],[Discount]]))</f>
        <v>3</v>
      </c>
      <c r="L969" s="5">
        <v>529.89</v>
      </c>
      <c r="M969">
        <v>0.21</v>
      </c>
      <c r="N969" t="s">
        <v>1349</v>
      </c>
      <c r="O969" s="5">
        <v>1255.8393000000001</v>
      </c>
    </row>
    <row r="970" spans="1:15">
      <c r="A970" t="s">
        <v>2319</v>
      </c>
      <c r="B970" s="7">
        <v>45518</v>
      </c>
      <c r="C970" t="s">
        <v>1039</v>
      </c>
      <c r="D970" t="s">
        <v>1257</v>
      </c>
      <c r="E970" t="s">
        <v>1282</v>
      </c>
      <c r="F970" t="str">
        <f>[1]Raw_Customer_Dim!$A$2</f>
        <v>CUST1000</v>
      </c>
      <c r="G970" t="str">
        <f>_xlfn.XLOOKUP(E970,Store_Dim!A:A,Store_Dim!B:B,"Not Found")</f>
        <v>Martinez, Adkins and Johnson</v>
      </c>
      <c r="H970" t="str">
        <f>_xlfn.XLOOKUP(D970,Product_Dim!A:A,Product_Dim!C:C,"Not Found")</f>
        <v>Home</v>
      </c>
      <c r="I970" t="str">
        <f>_xlfn.XLOOKUP(E970,Store_Dim!A:A,Store_Dim!C:C,"Not Found")</f>
        <v>North</v>
      </c>
      <c r="J970" t="str">
        <f>_xlfn.XLOOKUP(C970,Customer_Dim!A:A,Customer_Dim!B:B,"Not Found")</f>
        <v>Melinda Thomas</v>
      </c>
      <c r="K970">
        <f>Table511[[#This Row],[Total_Amount]]/(L970*(1-Table511[[#This Row],[Discount]]))</f>
        <v>2</v>
      </c>
      <c r="L970" s="5">
        <v>954.1</v>
      </c>
      <c r="M970">
        <v>0.17</v>
      </c>
      <c r="N970" t="s">
        <v>1351</v>
      </c>
      <c r="O970" s="5">
        <v>1583.806</v>
      </c>
    </row>
    <row r="971" spans="1:15">
      <c r="A971" t="s">
        <v>2320</v>
      </c>
      <c r="B971" s="7">
        <v>45274</v>
      </c>
      <c r="C971" t="s">
        <v>710</v>
      </c>
      <c r="D971" t="s">
        <v>1203</v>
      </c>
      <c r="E971" t="s">
        <v>1304</v>
      </c>
      <c r="F971" t="str">
        <f>[1]Raw_Customer_Dim!$A$2</f>
        <v>CUST1000</v>
      </c>
      <c r="G971" t="str">
        <f>_xlfn.XLOOKUP(E971,Store_Dim!A:A,Store_Dim!B:B,"Not Found")</f>
        <v>Martinez-Mullins</v>
      </c>
      <c r="H971" t="str">
        <f>_xlfn.XLOOKUP(D971,Product_Dim!A:A,Product_Dim!C:C,"Not Found")</f>
        <v>Sports</v>
      </c>
      <c r="I971" t="str">
        <f>_xlfn.XLOOKUP(E971,Store_Dim!A:A,Store_Dim!C:C,"Not Found")</f>
        <v>South</v>
      </c>
      <c r="J971" t="str">
        <f>_xlfn.XLOOKUP(C971,Customer_Dim!A:A,Customer_Dim!B:B,"Not Found")</f>
        <v>Kristy Dunlap</v>
      </c>
      <c r="K971">
        <f>Table511[[#This Row],[Total_Amount]]/(L971*(1-Table511[[#This Row],[Discount]]))</f>
        <v>1</v>
      </c>
      <c r="L971" s="5">
        <v>370.04</v>
      </c>
      <c r="M971">
        <v>0.04</v>
      </c>
      <c r="N971" t="s">
        <v>1354</v>
      </c>
      <c r="O971" s="5">
        <v>355.23840000000001</v>
      </c>
    </row>
    <row r="972" spans="1:15">
      <c r="A972" t="s">
        <v>2321</v>
      </c>
      <c r="B972" s="7">
        <v>45297</v>
      </c>
      <c r="C972" t="s">
        <v>168</v>
      </c>
      <c r="D972" t="s">
        <v>1265</v>
      </c>
      <c r="E972" t="s">
        <v>1338</v>
      </c>
      <c r="F972" t="str">
        <f>[1]Raw_Customer_Dim!$A$2</f>
        <v>CUST1000</v>
      </c>
      <c r="G972" t="str">
        <f>_xlfn.XLOOKUP(E972,Store_Dim!A:A,Store_Dim!B:B,"Not Found")</f>
        <v>Mann-Austin</v>
      </c>
      <c r="H972" t="str">
        <f>_xlfn.XLOOKUP(D972,Product_Dim!A:A,Product_Dim!C:C,"Not Found")</f>
        <v>Clothing</v>
      </c>
      <c r="I972" t="str">
        <f>_xlfn.XLOOKUP(E972,Store_Dim!A:A,Store_Dim!C:C,"Not Found")</f>
        <v>East</v>
      </c>
      <c r="J972" t="str">
        <f>_xlfn.XLOOKUP(C972,Customer_Dim!A:A,Customer_Dim!B:B,"Not Found")</f>
        <v>Kristin Stein</v>
      </c>
      <c r="K972">
        <f>Table511[[#This Row],[Total_Amount]]/(L972*(1-Table511[[#This Row],[Discount]]))</f>
        <v>4</v>
      </c>
      <c r="L972" s="5">
        <v>492.71</v>
      </c>
      <c r="M972">
        <v>0.08</v>
      </c>
      <c r="N972" t="s">
        <v>1349</v>
      </c>
      <c r="O972" s="5">
        <v>1813.1728000000001</v>
      </c>
    </row>
    <row r="973" spans="1:15">
      <c r="A973" t="s">
        <v>2322</v>
      </c>
      <c r="B973" s="7">
        <v>45530</v>
      </c>
      <c r="C973" t="s">
        <v>624</v>
      </c>
      <c r="D973" t="s">
        <v>1255</v>
      </c>
      <c r="E973" t="s">
        <v>1322</v>
      </c>
      <c r="F973" t="str">
        <f>[1]Raw_Customer_Dim!$A$2</f>
        <v>CUST1000</v>
      </c>
      <c r="G973" t="str">
        <f>_xlfn.XLOOKUP(E973,Store_Dim!A:A,Store_Dim!B:B,"Not Found")</f>
        <v>Gardner, Humphrey and Contreras</v>
      </c>
      <c r="H973" t="str">
        <f>_xlfn.XLOOKUP(D973,Product_Dim!A:A,Product_Dim!C:C,"Not Found")</f>
        <v>Clothing</v>
      </c>
      <c r="I973" t="str">
        <f>_xlfn.XLOOKUP(E973,Store_Dim!A:A,Store_Dim!C:C,"Not Found")</f>
        <v>East</v>
      </c>
      <c r="J973" t="str">
        <f>_xlfn.XLOOKUP(C973,Customer_Dim!A:A,Customer_Dim!B:B,"Not Found")</f>
        <v>Antonio Leon</v>
      </c>
      <c r="K973">
        <f>Table511[[#This Row],[Total_Amount]]/(L973*(1-Table511[[#This Row],[Discount]]))</f>
        <v>4</v>
      </c>
      <c r="L973" s="5">
        <v>853.26</v>
      </c>
      <c r="M973">
        <v>0.24</v>
      </c>
      <c r="N973" t="s">
        <v>1354</v>
      </c>
      <c r="O973" s="5">
        <v>2593.9104000000002</v>
      </c>
    </row>
    <row r="974" spans="1:15">
      <c r="A974" t="s">
        <v>2323</v>
      </c>
      <c r="B974" s="7">
        <v>45740</v>
      </c>
      <c r="C974" t="s">
        <v>875</v>
      </c>
      <c r="D974" t="s">
        <v>1076</v>
      </c>
      <c r="E974" t="s">
        <v>1329</v>
      </c>
      <c r="F974" t="str">
        <f>[1]Raw_Customer_Dim!$A$2</f>
        <v>CUST1000</v>
      </c>
      <c r="G974" t="str">
        <f>_xlfn.XLOOKUP(E974,Store_Dim!A:A,Store_Dim!B:B,"Not Found")</f>
        <v>Frederick-Wright</v>
      </c>
      <c r="H974" t="str">
        <f>_xlfn.XLOOKUP(D974,Product_Dim!A:A,Product_Dim!C:C,"Not Found")</f>
        <v>Not Found</v>
      </c>
      <c r="I974" t="str">
        <f>_xlfn.XLOOKUP(E974,Store_Dim!A:A,Store_Dim!C:C,"Not Found")</f>
        <v>West</v>
      </c>
      <c r="J974" t="str">
        <f>_xlfn.XLOOKUP(C974,Customer_Dim!A:A,Customer_Dim!B:B,"Not Found")</f>
        <v>David Lozano</v>
      </c>
      <c r="K974">
        <f>Table511[[#This Row],[Total_Amount]]/(L974*(1-Table511[[#This Row],[Discount]]))</f>
        <v>1.0000000000000002</v>
      </c>
      <c r="L974" s="5">
        <v>402.47</v>
      </c>
      <c r="M974">
        <v>0.19</v>
      </c>
      <c r="N974" t="s">
        <v>1351</v>
      </c>
      <c r="O974" s="5">
        <v>326.00070000000011</v>
      </c>
    </row>
    <row r="975" spans="1:15">
      <c r="A975" t="s">
        <v>2324</v>
      </c>
      <c r="B975" s="7">
        <v>45311</v>
      </c>
      <c r="C975" t="s">
        <v>867</v>
      </c>
      <c r="D975" t="s">
        <v>1181</v>
      </c>
      <c r="E975" t="s">
        <v>1335</v>
      </c>
      <c r="F975" t="str">
        <f>[1]Raw_Customer_Dim!$A$2</f>
        <v>CUST1000</v>
      </c>
      <c r="G975" t="str">
        <f>_xlfn.XLOOKUP(E975,Store_Dim!A:A,Store_Dim!B:B,"Not Found")</f>
        <v>Guerrero-Schmitt</v>
      </c>
      <c r="H975" t="str">
        <f>_xlfn.XLOOKUP(D975,Product_Dim!A:A,Product_Dim!C:C,"Not Found")</f>
        <v>Sports</v>
      </c>
      <c r="I975" t="str">
        <f>_xlfn.XLOOKUP(E975,Store_Dim!A:A,Store_Dim!C:C,"Not Found")</f>
        <v>East</v>
      </c>
      <c r="J975" t="str">
        <f>_xlfn.XLOOKUP(C975,Customer_Dim!A:A,Customer_Dim!B:B,"Not Found")</f>
        <v>Cassandra Perez</v>
      </c>
      <c r="K975">
        <f>Table511[[#This Row],[Total_Amount]]/(L975*(1-Table511[[#This Row],[Discount]]))</f>
        <v>2</v>
      </c>
      <c r="L975" s="5">
        <v>528.29999999999995</v>
      </c>
      <c r="M975">
        <v>0.24</v>
      </c>
      <c r="N975" t="s">
        <v>1349</v>
      </c>
      <c r="O975" s="5">
        <v>803.01599999999996</v>
      </c>
    </row>
    <row r="976" spans="1:15">
      <c r="A976" t="s">
        <v>2325</v>
      </c>
      <c r="B976" s="7">
        <v>45667</v>
      </c>
      <c r="C976" t="s">
        <v>951</v>
      </c>
      <c r="D976" t="s">
        <v>1093</v>
      </c>
      <c r="E976" t="s">
        <v>1301</v>
      </c>
      <c r="F976" t="str">
        <f>[1]Raw_Customer_Dim!$A$2</f>
        <v>CUST1000</v>
      </c>
      <c r="G976" t="str">
        <f>_xlfn.XLOOKUP(E976,Store_Dim!A:A,Store_Dim!B:B,"Not Found")</f>
        <v>Benson-Elliott</v>
      </c>
      <c r="H976" t="str">
        <f>_xlfn.XLOOKUP(D976,Product_Dim!A:A,Product_Dim!C:C,"Not Found")</f>
        <v>Home</v>
      </c>
      <c r="I976" t="str">
        <f>_xlfn.XLOOKUP(E976,Store_Dim!A:A,Store_Dim!C:C,"Not Found")</f>
        <v>East</v>
      </c>
      <c r="J976" t="str">
        <f>_xlfn.XLOOKUP(C976,Customer_Dim!A:A,Customer_Dim!B:B,"Not Found")</f>
        <v>Cheryl Carr</v>
      </c>
      <c r="K976">
        <f>Table511[[#This Row],[Total_Amount]]/(L976*(1-Table511[[#This Row],[Discount]]))</f>
        <v>3.9999999999999996</v>
      </c>
      <c r="L976" s="5">
        <v>599.85</v>
      </c>
      <c r="M976">
        <v>0.25</v>
      </c>
      <c r="N976" t="s">
        <v>1349</v>
      </c>
      <c r="O976" s="5">
        <v>1799.55</v>
      </c>
    </row>
    <row r="977" spans="1:15">
      <c r="A977" t="s">
        <v>2326</v>
      </c>
      <c r="B977" s="7">
        <v>45281</v>
      </c>
      <c r="C977" t="s">
        <v>670</v>
      </c>
      <c r="D977" t="s">
        <v>1105</v>
      </c>
      <c r="E977" t="s">
        <v>1311</v>
      </c>
      <c r="F977" t="str">
        <f>[1]Raw_Customer_Dim!$A$2</f>
        <v>CUST1000</v>
      </c>
      <c r="G977" t="str">
        <f>_xlfn.XLOOKUP(E977,Store_Dim!A:A,Store_Dim!B:B,"Not Found")</f>
        <v>Moore, Padilla and Butler</v>
      </c>
      <c r="H977" t="str">
        <f>_xlfn.XLOOKUP(D977,Product_Dim!A:A,Product_Dim!C:C,"Not Found")</f>
        <v>Not Found</v>
      </c>
      <c r="I977" t="str">
        <f>_xlfn.XLOOKUP(E977,Store_Dim!A:A,Store_Dim!C:C,"Not Found")</f>
        <v>South</v>
      </c>
      <c r="J977" t="str">
        <f>_xlfn.XLOOKUP(C977,Customer_Dim!A:A,Customer_Dim!B:B,"Not Found")</f>
        <v>John Sloan</v>
      </c>
      <c r="K977">
        <f>Table511[[#This Row],[Total_Amount]]/(L977*(1-Table511[[#This Row],[Discount]]))</f>
        <v>1.9999999999999998</v>
      </c>
      <c r="L977" s="5">
        <v>61.42</v>
      </c>
      <c r="M977">
        <v>0.08</v>
      </c>
      <c r="N977" t="s">
        <v>1351</v>
      </c>
      <c r="O977" s="5">
        <v>113.0128</v>
      </c>
    </row>
    <row r="978" spans="1:15">
      <c r="A978" t="s">
        <v>2327</v>
      </c>
      <c r="B978" s="7">
        <v>45693</v>
      </c>
      <c r="C978" t="s">
        <v>561</v>
      </c>
      <c r="D978" t="s">
        <v>1111</v>
      </c>
      <c r="E978" t="s">
        <v>1314</v>
      </c>
      <c r="F978" t="str">
        <f>[1]Raw_Customer_Dim!$A$2</f>
        <v>CUST1000</v>
      </c>
      <c r="G978" t="str">
        <f>_xlfn.XLOOKUP(E978,Store_Dim!A:A,Store_Dim!B:B,"Not Found")</f>
        <v>Hill, Wagner and Ballard</v>
      </c>
      <c r="H978" t="str">
        <f>_xlfn.XLOOKUP(D978,Product_Dim!A:A,Product_Dim!C:C,"Not Found")</f>
        <v>Sports</v>
      </c>
      <c r="I978" t="str">
        <f>_xlfn.XLOOKUP(E978,Store_Dim!A:A,Store_Dim!C:C,"Not Found")</f>
        <v>East</v>
      </c>
      <c r="J978" t="str">
        <f>_xlfn.XLOOKUP(C978,Customer_Dim!A:A,Customer_Dim!B:B,"Not Found")</f>
        <v>Lauren George</v>
      </c>
      <c r="K978">
        <f>Table511[[#This Row],[Total_Amount]]/(L978*(1-Table511[[#This Row],[Discount]]))</f>
        <v>2</v>
      </c>
      <c r="L978" s="5">
        <v>466.42</v>
      </c>
      <c r="M978">
        <v>0.12</v>
      </c>
      <c r="N978" t="s">
        <v>1351</v>
      </c>
      <c r="O978" s="5">
        <v>820.89920000000006</v>
      </c>
    </row>
    <row r="979" spans="1:15">
      <c r="A979" t="s">
        <v>2328</v>
      </c>
      <c r="B979" s="7">
        <v>45857</v>
      </c>
      <c r="C979" t="s">
        <v>256</v>
      </c>
      <c r="D979" t="s">
        <v>1135</v>
      </c>
      <c r="E979" t="s">
        <v>1298</v>
      </c>
      <c r="F979" t="str">
        <f>[1]Raw_Customer_Dim!$A$2</f>
        <v>CUST1000</v>
      </c>
      <c r="G979" t="str">
        <f>_xlfn.XLOOKUP(E979,Store_Dim!A:A,Store_Dim!B:B,"Not Found")</f>
        <v>Gray Ltd</v>
      </c>
      <c r="H979" t="str">
        <f>_xlfn.XLOOKUP(D979,Product_Dim!A:A,Product_Dim!C:C,"Not Found")</f>
        <v>Sports</v>
      </c>
      <c r="I979" t="str">
        <f>_xlfn.XLOOKUP(E979,Store_Dim!A:A,Store_Dim!C:C,"Not Found")</f>
        <v>North</v>
      </c>
      <c r="J979" t="str">
        <f>_xlfn.XLOOKUP(C979,Customer_Dim!A:A,Customer_Dim!B:B,"Not Found")</f>
        <v>Sheila Wilson</v>
      </c>
      <c r="K979">
        <f>Table511[[#This Row],[Total_Amount]]/(L979*(1-Table511[[#This Row],[Discount]]))</f>
        <v>3.9999999999999996</v>
      </c>
      <c r="L979" s="5">
        <v>540.69000000000005</v>
      </c>
      <c r="M979">
        <v>0.09</v>
      </c>
      <c r="N979" t="s">
        <v>1354</v>
      </c>
      <c r="O979" s="5">
        <v>1968.1116</v>
      </c>
    </row>
    <row r="980" spans="1:15">
      <c r="A980" t="s">
        <v>2329</v>
      </c>
      <c r="B980" s="7">
        <v>45737</v>
      </c>
      <c r="C980" t="s">
        <v>660</v>
      </c>
      <c r="D980" t="s">
        <v>1111</v>
      </c>
      <c r="E980" t="s">
        <v>1322</v>
      </c>
      <c r="F980" t="str">
        <f>[1]Raw_Customer_Dim!$A$2</f>
        <v>CUST1000</v>
      </c>
      <c r="G980" t="str">
        <f>_xlfn.XLOOKUP(E980,Store_Dim!A:A,Store_Dim!B:B,"Not Found")</f>
        <v>Gardner, Humphrey and Contreras</v>
      </c>
      <c r="H980" t="str">
        <f>_xlfn.XLOOKUP(D980,Product_Dim!A:A,Product_Dim!C:C,"Not Found")</f>
        <v>Sports</v>
      </c>
      <c r="I980" t="str">
        <f>_xlfn.XLOOKUP(E980,Store_Dim!A:A,Store_Dim!C:C,"Not Found")</f>
        <v>East</v>
      </c>
      <c r="J980" t="str">
        <f>_xlfn.XLOOKUP(C980,Customer_Dim!A:A,Customer_Dim!B:B,"Not Found")</f>
        <v>Tracy Stephens</v>
      </c>
      <c r="K980">
        <f>Table511[[#This Row],[Total_Amount]]/(L980*(1-Table511[[#This Row],[Discount]]))</f>
        <v>3</v>
      </c>
      <c r="L980" s="5">
        <v>677.46</v>
      </c>
      <c r="M980">
        <v>0.05</v>
      </c>
      <c r="N980" t="s">
        <v>1349</v>
      </c>
      <c r="O980" s="5">
        <v>1930.761</v>
      </c>
    </row>
    <row r="981" spans="1:15">
      <c r="A981" t="s">
        <v>2330</v>
      </c>
      <c r="B981" s="7">
        <v>45771</v>
      </c>
      <c r="C981" t="s">
        <v>720</v>
      </c>
      <c r="D981" t="s">
        <v>1115</v>
      </c>
      <c r="E981" t="s">
        <v>1282</v>
      </c>
      <c r="F981" t="str">
        <f>[1]Raw_Customer_Dim!$A$2</f>
        <v>CUST1000</v>
      </c>
      <c r="G981" t="str">
        <f>_xlfn.XLOOKUP(E981,Store_Dim!A:A,Store_Dim!B:B,"Not Found")</f>
        <v>Martinez, Adkins and Johnson</v>
      </c>
      <c r="H981" t="str">
        <f>_xlfn.XLOOKUP(D981,Product_Dim!A:A,Product_Dim!C:C,"Not Found")</f>
        <v>Home</v>
      </c>
      <c r="I981" t="str">
        <f>_xlfn.XLOOKUP(E981,Store_Dim!A:A,Store_Dim!C:C,"Not Found")</f>
        <v>North</v>
      </c>
      <c r="J981" t="str">
        <f>_xlfn.XLOOKUP(C981,Customer_Dim!A:A,Customer_Dim!B:B,"Not Found")</f>
        <v>Mario Harvey Jr.</v>
      </c>
      <c r="K981">
        <f>Table511[[#This Row],[Total_Amount]]/(L981*(1-Table511[[#This Row],[Discount]]))</f>
        <v>3</v>
      </c>
      <c r="L981" s="5">
        <v>614.63</v>
      </c>
      <c r="M981">
        <v>0.06</v>
      </c>
      <c r="N981" t="s">
        <v>1351</v>
      </c>
      <c r="O981" s="5">
        <v>1733.2565999999999</v>
      </c>
    </row>
    <row r="982" spans="1:15">
      <c r="A982" t="s">
        <v>2331</v>
      </c>
      <c r="B982" s="7">
        <v>45272</v>
      </c>
      <c r="C982" t="s">
        <v>527</v>
      </c>
      <c r="D982" t="s">
        <v>1205</v>
      </c>
      <c r="E982" t="s">
        <v>1307</v>
      </c>
      <c r="F982" t="str">
        <f>[1]Raw_Customer_Dim!$A$2</f>
        <v>CUST1000</v>
      </c>
      <c r="G982" t="str">
        <f>_xlfn.XLOOKUP(E982,Store_Dim!A:A,Store_Dim!B:B,"Not Found")</f>
        <v>Bean, Jones and Park</v>
      </c>
      <c r="H982" t="str">
        <f>_xlfn.XLOOKUP(D982,Product_Dim!A:A,Product_Dim!C:C,"Not Found")</f>
        <v>Beauty</v>
      </c>
      <c r="I982" t="str">
        <f>_xlfn.XLOOKUP(E982,Store_Dim!A:A,Store_Dim!C:C,"Not Found")</f>
        <v>West</v>
      </c>
      <c r="J982" t="str">
        <f>_xlfn.XLOOKUP(C982,Customer_Dim!A:A,Customer_Dim!B:B,"Not Found")</f>
        <v>Christy Hill</v>
      </c>
      <c r="K982">
        <f>Table511[[#This Row],[Total_Amount]]/(L982*(1-Table511[[#This Row],[Discount]]))</f>
        <v>4</v>
      </c>
      <c r="L982" s="5">
        <v>649.52</v>
      </c>
      <c r="M982">
        <v>0.11</v>
      </c>
      <c r="N982" t="s">
        <v>1349</v>
      </c>
      <c r="O982" s="5">
        <v>2312.2912000000001</v>
      </c>
    </row>
    <row r="983" spans="1:15">
      <c r="A983" t="s">
        <v>2332</v>
      </c>
      <c r="B983" s="7">
        <v>45481</v>
      </c>
      <c r="C983" t="s">
        <v>953</v>
      </c>
      <c r="D983" t="s">
        <v>1243</v>
      </c>
      <c r="E983" t="s">
        <v>1307</v>
      </c>
      <c r="F983" t="str">
        <f>[1]Raw_Customer_Dim!$A$2</f>
        <v>CUST1000</v>
      </c>
      <c r="G983" t="str">
        <f>_xlfn.XLOOKUP(E983,Store_Dim!A:A,Store_Dim!B:B,"Not Found")</f>
        <v>Bean, Jones and Park</v>
      </c>
      <c r="H983" t="str">
        <f>_xlfn.XLOOKUP(D983,Product_Dim!A:A,Product_Dim!C:C,"Not Found")</f>
        <v>Clothing</v>
      </c>
      <c r="I983" t="str">
        <f>_xlfn.XLOOKUP(E983,Store_Dim!A:A,Store_Dim!C:C,"Not Found")</f>
        <v>West</v>
      </c>
      <c r="J983" t="str">
        <f>_xlfn.XLOOKUP(C983,Customer_Dim!A:A,Customer_Dim!B:B,"Not Found")</f>
        <v>Gene Lee</v>
      </c>
      <c r="K983">
        <f>Table511[[#This Row],[Total_Amount]]/(L983*(1-Table511[[#This Row],[Discount]]))</f>
        <v>2</v>
      </c>
      <c r="L983" s="5">
        <v>943.93</v>
      </c>
      <c r="M983">
        <v>0.22</v>
      </c>
      <c r="N983" t="s">
        <v>1351</v>
      </c>
      <c r="O983" s="5">
        <v>1472.5308</v>
      </c>
    </row>
    <row r="984" spans="1:15">
      <c r="A984" t="s">
        <v>2333</v>
      </c>
      <c r="B984" s="7">
        <v>45228</v>
      </c>
      <c r="C984" t="s">
        <v>391</v>
      </c>
      <c r="D984" t="s">
        <v>1135</v>
      </c>
      <c r="E984" t="s">
        <v>1307</v>
      </c>
      <c r="F984" t="str">
        <f>[1]Raw_Customer_Dim!$A$2</f>
        <v>CUST1000</v>
      </c>
      <c r="G984" t="str">
        <f>_xlfn.XLOOKUP(E984,Store_Dim!A:A,Store_Dim!B:B,"Not Found")</f>
        <v>Bean, Jones and Park</v>
      </c>
      <c r="H984" t="str">
        <f>_xlfn.XLOOKUP(D984,Product_Dim!A:A,Product_Dim!C:C,"Not Found")</f>
        <v>Sports</v>
      </c>
      <c r="I984" t="str">
        <f>_xlfn.XLOOKUP(E984,Store_Dim!A:A,Store_Dim!C:C,"Not Found")</f>
        <v>West</v>
      </c>
      <c r="J984" t="str">
        <f>_xlfn.XLOOKUP(C984,Customer_Dim!A:A,Customer_Dim!B:B,"Not Found")</f>
        <v>Jason Wheeler</v>
      </c>
      <c r="K984">
        <f>Table511[[#This Row],[Total_Amount]]/(L984*(1-Table511[[#This Row],[Discount]]))</f>
        <v>4</v>
      </c>
      <c r="L984" s="5">
        <v>538.73</v>
      </c>
      <c r="M984">
        <v>0.03</v>
      </c>
      <c r="N984" t="s">
        <v>1349</v>
      </c>
      <c r="O984" s="5">
        <v>2090.2723999999998</v>
      </c>
    </row>
    <row r="985" spans="1:15">
      <c r="A985" t="s">
        <v>2334</v>
      </c>
      <c r="B985" s="7">
        <v>45432</v>
      </c>
      <c r="C985" t="s">
        <v>232</v>
      </c>
      <c r="D985" t="s">
        <v>1205</v>
      </c>
      <c r="E985" t="s">
        <v>1307</v>
      </c>
      <c r="F985" t="str">
        <f>[1]Raw_Customer_Dim!$A$2</f>
        <v>CUST1000</v>
      </c>
      <c r="G985" t="str">
        <f>_xlfn.XLOOKUP(E985,Store_Dim!A:A,Store_Dim!B:B,"Not Found")</f>
        <v>Bean, Jones and Park</v>
      </c>
      <c r="H985" t="str">
        <f>_xlfn.XLOOKUP(D985,Product_Dim!A:A,Product_Dim!C:C,"Not Found")</f>
        <v>Beauty</v>
      </c>
      <c r="I985" t="str">
        <f>_xlfn.XLOOKUP(E985,Store_Dim!A:A,Store_Dim!C:C,"Not Found")</f>
        <v>West</v>
      </c>
      <c r="J985" t="str">
        <f>_xlfn.XLOOKUP(C985,Customer_Dim!A:A,Customer_Dim!B:B,"Not Found")</f>
        <v>Timothy Wright</v>
      </c>
      <c r="K985">
        <f>Table511[[#This Row],[Total_Amount]]/(L985*(1-Table511[[#This Row],[Discount]]))</f>
        <v>2.0000000000000004</v>
      </c>
      <c r="L985" s="5">
        <v>853.93</v>
      </c>
      <c r="M985">
        <v>0.01</v>
      </c>
      <c r="N985" t="s">
        <v>1351</v>
      </c>
      <c r="O985" s="5">
        <v>1690.7814000000001</v>
      </c>
    </row>
    <row r="986" spans="1:15">
      <c r="A986" t="s">
        <v>2335</v>
      </c>
      <c r="B986" s="7">
        <v>45914</v>
      </c>
      <c r="C986" t="s">
        <v>1043</v>
      </c>
      <c r="D986" t="s">
        <v>1131</v>
      </c>
      <c r="E986" t="s">
        <v>1294</v>
      </c>
      <c r="F986" t="str">
        <f>[1]Raw_Customer_Dim!$A$2</f>
        <v>CUST1000</v>
      </c>
      <c r="G986" t="str">
        <f>_xlfn.XLOOKUP(E986,Store_Dim!A:A,Store_Dim!B:B,"Not Found")</f>
        <v>Alexander Group</v>
      </c>
      <c r="H986" t="str">
        <f>_xlfn.XLOOKUP(D986,Product_Dim!A:A,Product_Dim!C:C,"Not Found")</f>
        <v>Home</v>
      </c>
      <c r="I986" t="str">
        <f>_xlfn.XLOOKUP(E986,Store_Dim!A:A,Store_Dim!C:C,"Not Found")</f>
        <v>South</v>
      </c>
      <c r="J986" t="str">
        <f>_xlfn.XLOOKUP(C986,Customer_Dim!A:A,Customer_Dim!B:B,"Not Found")</f>
        <v>Not Found</v>
      </c>
      <c r="K986">
        <f>Table511[[#This Row],[Total_Amount]]/(L986*(1-Table511[[#This Row],[Discount]]))</f>
        <v>4</v>
      </c>
      <c r="L986" s="5">
        <v>465.42</v>
      </c>
      <c r="M986">
        <v>0.26</v>
      </c>
      <c r="N986" t="s">
        <v>1354</v>
      </c>
      <c r="O986" s="5">
        <v>1377.6432</v>
      </c>
    </row>
    <row r="987" spans="1:15">
      <c r="A987" t="s">
        <v>2336</v>
      </c>
      <c r="B987" s="7">
        <v>45758</v>
      </c>
      <c r="C987" t="s">
        <v>155</v>
      </c>
      <c r="D987" t="s">
        <v>1071</v>
      </c>
      <c r="E987" t="s">
        <v>1317</v>
      </c>
      <c r="F987" t="str">
        <f>[1]Raw_Customer_Dim!$A$2</f>
        <v>CUST1000</v>
      </c>
      <c r="G987" t="str">
        <f>_xlfn.XLOOKUP(E987,Store_Dim!A:A,Store_Dim!B:B,"Not Found")</f>
        <v>Aguirre-Keller</v>
      </c>
      <c r="H987" t="str">
        <f>_xlfn.XLOOKUP(D987,Product_Dim!A:A,Product_Dim!C:C,"Not Found")</f>
        <v>Clothing</v>
      </c>
      <c r="I987" t="str">
        <f>_xlfn.XLOOKUP(E987,Store_Dim!A:A,Store_Dim!C:C,"Not Found")</f>
        <v>South</v>
      </c>
      <c r="J987" t="str">
        <f>_xlfn.XLOOKUP(C987,Customer_Dim!A:A,Customer_Dim!B:B,"Not Found")</f>
        <v>Wayne Mcpherson</v>
      </c>
      <c r="K987">
        <f>Table511[[#This Row],[Total_Amount]]/(L987*(1-Table511[[#This Row],[Discount]]))</f>
        <v>4</v>
      </c>
      <c r="L987" s="5">
        <v>880.26</v>
      </c>
      <c r="M987">
        <v>0.11</v>
      </c>
      <c r="N987" t="s">
        <v>1354</v>
      </c>
      <c r="O987" s="5">
        <v>3133.7256000000002</v>
      </c>
    </row>
    <row r="988" spans="1:15">
      <c r="A988" t="s">
        <v>2337</v>
      </c>
      <c r="B988" s="7">
        <v>45429</v>
      </c>
      <c r="C988" t="s">
        <v>1028</v>
      </c>
      <c r="D988" t="s">
        <v>1175</v>
      </c>
      <c r="E988" t="s">
        <v>1317</v>
      </c>
      <c r="F988" t="str">
        <f>[1]Raw_Customer_Dim!$A$2</f>
        <v>CUST1000</v>
      </c>
      <c r="G988" t="str">
        <f>_xlfn.XLOOKUP(E988,Store_Dim!A:A,Store_Dim!B:B,"Not Found")</f>
        <v>Aguirre-Keller</v>
      </c>
      <c r="H988" t="str">
        <f>_xlfn.XLOOKUP(D988,Product_Dim!A:A,Product_Dim!C:C,"Not Found")</f>
        <v>Electronics</v>
      </c>
      <c r="I988" t="str">
        <f>_xlfn.XLOOKUP(E988,Store_Dim!A:A,Store_Dim!C:C,"Not Found")</f>
        <v>South</v>
      </c>
      <c r="J988" t="str">
        <f>_xlfn.XLOOKUP(C988,Customer_Dim!A:A,Customer_Dim!B:B,"Not Found")</f>
        <v>Sarah Smith</v>
      </c>
      <c r="K988">
        <f>Table511[[#This Row],[Total_Amount]]/(L988*(1-Table511[[#This Row],[Discount]]))</f>
        <v>3</v>
      </c>
      <c r="L988" s="5">
        <v>461.02</v>
      </c>
      <c r="M988">
        <v>0.28999999999999998</v>
      </c>
      <c r="N988" t="s">
        <v>1351</v>
      </c>
      <c r="O988" s="5">
        <v>981.97259999999994</v>
      </c>
    </row>
    <row r="989" spans="1:15">
      <c r="A989" t="s">
        <v>2338</v>
      </c>
      <c r="B989" s="7">
        <v>45578</v>
      </c>
      <c r="C989" t="s">
        <v>84</v>
      </c>
      <c r="D989" t="s">
        <v>1123</v>
      </c>
      <c r="E989" t="s">
        <v>1322</v>
      </c>
      <c r="F989" t="str">
        <f>[1]Raw_Customer_Dim!$A$2</f>
        <v>CUST1000</v>
      </c>
      <c r="G989" t="str">
        <f>_xlfn.XLOOKUP(E989,Store_Dim!A:A,Store_Dim!B:B,"Not Found")</f>
        <v>Gardner, Humphrey and Contreras</v>
      </c>
      <c r="H989" t="str">
        <f>_xlfn.XLOOKUP(D989,Product_Dim!A:A,Product_Dim!C:C,"Not Found")</f>
        <v>Clothing</v>
      </c>
      <c r="I989" t="str">
        <f>_xlfn.XLOOKUP(E989,Store_Dim!A:A,Store_Dim!C:C,"Not Found")</f>
        <v>East</v>
      </c>
      <c r="J989" t="str">
        <f>_xlfn.XLOOKUP(C989,Customer_Dim!A:A,Customer_Dim!B:B,"Not Found")</f>
        <v>Amber Carlson</v>
      </c>
      <c r="K989">
        <f>Table511[[#This Row],[Total_Amount]]/(L989*(1-Table511[[#This Row],[Discount]]))</f>
        <v>1</v>
      </c>
      <c r="L989" s="5">
        <v>531.99</v>
      </c>
      <c r="M989">
        <v>0.17</v>
      </c>
      <c r="N989" t="s">
        <v>1351</v>
      </c>
      <c r="O989" s="5">
        <v>441.55169999999998</v>
      </c>
    </row>
    <row r="990" spans="1:15">
      <c r="A990" t="s">
        <v>2339</v>
      </c>
      <c r="B990" s="7">
        <v>45486</v>
      </c>
      <c r="C990" t="s">
        <v>23</v>
      </c>
      <c r="D990" t="s">
        <v>1167</v>
      </c>
      <c r="E990" t="s">
        <v>1332</v>
      </c>
      <c r="F990" t="str">
        <f>[1]Raw_Customer_Dim!$A$2</f>
        <v>CUST1000</v>
      </c>
      <c r="G990" t="str">
        <f>_xlfn.XLOOKUP(E990,Store_Dim!A:A,Store_Dim!B:B,"Not Found")</f>
        <v>Holloway Ltd</v>
      </c>
      <c r="H990" t="str">
        <f>_xlfn.XLOOKUP(D990,Product_Dim!A:A,Product_Dim!C:C,"Not Found")</f>
        <v>Beauty</v>
      </c>
      <c r="I990" t="str">
        <f>_xlfn.XLOOKUP(E990,Store_Dim!A:A,Store_Dim!C:C,"Not Found")</f>
        <v>North</v>
      </c>
      <c r="J990" t="str">
        <f>_xlfn.XLOOKUP(C990,Customer_Dim!A:A,Customer_Dim!B:B,"Not Found")</f>
        <v>Caroline Collins</v>
      </c>
      <c r="K990">
        <f>Table511[[#This Row],[Total_Amount]]/(L990*(1-Table511[[#This Row],[Discount]]))</f>
        <v>2.0000000000000004</v>
      </c>
      <c r="L990" s="5">
        <v>274.08999999999997</v>
      </c>
      <c r="M990">
        <v>0.13</v>
      </c>
      <c r="N990" t="s">
        <v>1351</v>
      </c>
      <c r="O990" s="5">
        <v>476.91660000000002</v>
      </c>
    </row>
    <row r="991" spans="1:15">
      <c r="A991" t="s">
        <v>2340</v>
      </c>
      <c r="B991" s="7">
        <v>45694</v>
      </c>
      <c r="C991" t="s">
        <v>949</v>
      </c>
      <c r="D991" t="s">
        <v>1249</v>
      </c>
      <c r="E991" t="s">
        <v>1314</v>
      </c>
      <c r="F991" t="str">
        <f>[1]Raw_Customer_Dim!$A$2</f>
        <v>CUST1000</v>
      </c>
      <c r="G991" t="str">
        <f>_xlfn.XLOOKUP(E991,Store_Dim!A:A,Store_Dim!B:B,"Not Found")</f>
        <v>Hill, Wagner and Ballard</v>
      </c>
      <c r="H991" t="str">
        <f>_xlfn.XLOOKUP(D991,Product_Dim!A:A,Product_Dim!C:C,"Not Found")</f>
        <v>Sports</v>
      </c>
      <c r="I991" t="str">
        <f>_xlfn.XLOOKUP(E991,Store_Dim!A:A,Store_Dim!C:C,"Not Found")</f>
        <v>East</v>
      </c>
      <c r="J991" t="str">
        <f>_xlfn.XLOOKUP(C991,Customer_Dim!A:A,Customer_Dim!B:B,"Not Found")</f>
        <v>Adam Castro</v>
      </c>
      <c r="K991">
        <f>Table511[[#This Row],[Total_Amount]]/(L991*(1-Table511[[#This Row],[Discount]]))</f>
        <v>1</v>
      </c>
      <c r="L991" s="5">
        <v>66.14</v>
      </c>
      <c r="M991">
        <v>0.14000000000000001</v>
      </c>
      <c r="N991" t="s">
        <v>1354</v>
      </c>
      <c r="O991" s="5">
        <v>56.880400000000002</v>
      </c>
    </row>
    <row r="992" spans="1:15">
      <c r="A992" t="s">
        <v>2341</v>
      </c>
      <c r="B992" s="7">
        <v>45875</v>
      </c>
      <c r="C992" t="s">
        <v>206</v>
      </c>
      <c r="D992" t="s">
        <v>1113</v>
      </c>
      <c r="E992" t="s">
        <v>1311</v>
      </c>
      <c r="F992" t="str">
        <f>[1]Raw_Customer_Dim!$A$2</f>
        <v>CUST1000</v>
      </c>
      <c r="G992" t="str">
        <f>_xlfn.XLOOKUP(E992,Store_Dim!A:A,Store_Dim!B:B,"Not Found")</f>
        <v>Moore, Padilla and Butler</v>
      </c>
      <c r="H992" t="str">
        <f>_xlfn.XLOOKUP(D992,Product_Dim!A:A,Product_Dim!C:C,"Not Found")</f>
        <v>Sports</v>
      </c>
      <c r="I992" t="str">
        <f>_xlfn.XLOOKUP(E992,Store_Dim!A:A,Store_Dim!C:C,"Not Found")</f>
        <v>South</v>
      </c>
      <c r="J992" t="str">
        <f>_xlfn.XLOOKUP(C992,Customer_Dim!A:A,Customer_Dim!B:B,"Not Found")</f>
        <v>Katherine Young</v>
      </c>
      <c r="K992">
        <f>Table511[[#This Row],[Total_Amount]]/(L992*(1-Table511[[#This Row],[Discount]]))</f>
        <v>3</v>
      </c>
      <c r="L992" s="5">
        <v>955.82</v>
      </c>
      <c r="M992">
        <v>0.16</v>
      </c>
      <c r="N992" t="s">
        <v>1354</v>
      </c>
      <c r="O992" s="5">
        <v>2408.6664000000001</v>
      </c>
    </row>
    <row r="993" spans="1:15">
      <c r="A993" t="s">
        <v>2342</v>
      </c>
      <c r="B993" s="7">
        <v>45432</v>
      </c>
      <c r="C993" t="s">
        <v>702</v>
      </c>
      <c r="D993" t="s">
        <v>1117</v>
      </c>
      <c r="E993" t="s">
        <v>1319</v>
      </c>
      <c r="F993" t="str">
        <f>[1]Raw_Customer_Dim!$A$2</f>
        <v>CUST1000</v>
      </c>
      <c r="G993" t="str">
        <f>_xlfn.XLOOKUP(E993,Store_Dim!A:A,Store_Dim!B:B,"Not Found")</f>
        <v>Thomas, Bridges and Harris</v>
      </c>
      <c r="H993" t="str">
        <f>_xlfn.XLOOKUP(D993,Product_Dim!A:A,Product_Dim!C:C,"Not Found")</f>
        <v>Sports</v>
      </c>
      <c r="I993" t="str">
        <f>_xlfn.XLOOKUP(E993,Store_Dim!A:A,Store_Dim!C:C,"Not Found")</f>
        <v>North</v>
      </c>
      <c r="J993" t="str">
        <f>_xlfn.XLOOKUP(C993,Customer_Dim!A:A,Customer_Dim!B:B,"Not Found")</f>
        <v>Casey Simpson</v>
      </c>
      <c r="K993">
        <f>Table511[[#This Row],[Total_Amount]]/(L993*(1-Table511[[#This Row],[Discount]]))</f>
        <v>1</v>
      </c>
      <c r="L993" s="5">
        <v>904.92</v>
      </c>
      <c r="M993">
        <v>0.13</v>
      </c>
      <c r="N993" t="s">
        <v>1349</v>
      </c>
      <c r="O993" s="5">
        <v>787.28039999999999</v>
      </c>
    </row>
    <row r="994" spans="1:15">
      <c r="A994" t="s">
        <v>2343</v>
      </c>
      <c r="B994" s="7">
        <v>45575</v>
      </c>
      <c r="C994" t="s">
        <v>8</v>
      </c>
      <c r="D994" t="s">
        <v>1153</v>
      </c>
      <c r="E994" t="s">
        <v>1304</v>
      </c>
      <c r="F994" t="str">
        <f>[1]Raw_Customer_Dim!$A$2</f>
        <v>CUST1000</v>
      </c>
      <c r="G994" t="str">
        <f>_xlfn.XLOOKUP(E994,Store_Dim!A:A,Store_Dim!B:B,"Not Found")</f>
        <v>Martinez-Mullins</v>
      </c>
      <c r="H994" t="str">
        <f>_xlfn.XLOOKUP(D994,Product_Dim!A:A,Product_Dim!C:C,"Not Found")</f>
        <v>Electronics</v>
      </c>
      <c r="I994" t="str">
        <f>_xlfn.XLOOKUP(E994,Store_Dim!A:A,Store_Dim!C:C,"Not Found")</f>
        <v>South</v>
      </c>
      <c r="J994" t="str">
        <f>_xlfn.XLOOKUP(C994,Customer_Dim!A:A,Customer_Dim!B:B,"Not Found")</f>
        <v xml:space="preserve">  sheena bonilla  </v>
      </c>
      <c r="K994">
        <f>Table511[[#This Row],[Total_Amount]]/(L994*(1-Table511[[#This Row],[Discount]]))</f>
        <v>3</v>
      </c>
      <c r="L994" s="5">
        <v>490.02</v>
      </c>
      <c r="M994">
        <v>0.26</v>
      </c>
      <c r="N994" t="s">
        <v>1349</v>
      </c>
      <c r="O994" s="5">
        <v>1087.8444</v>
      </c>
    </row>
    <row r="995" spans="1:15">
      <c r="A995" t="s">
        <v>2344</v>
      </c>
      <c r="B995" s="7">
        <v>45340</v>
      </c>
      <c r="C995" t="s">
        <v>789</v>
      </c>
      <c r="D995" t="s">
        <v>1111</v>
      </c>
      <c r="E995" t="s">
        <v>1301</v>
      </c>
      <c r="F995" t="str">
        <f>[1]Raw_Customer_Dim!$A$2</f>
        <v>CUST1000</v>
      </c>
      <c r="G995" t="str">
        <f>_xlfn.XLOOKUP(E995,Store_Dim!A:A,Store_Dim!B:B,"Not Found")</f>
        <v>Benson-Elliott</v>
      </c>
      <c r="H995" t="str">
        <f>_xlfn.XLOOKUP(D995,Product_Dim!A:A,Product_Dim!C:C,"Not Found")</f>
        <v>Sports</v>
      </c>
      <c r="I995" t="str">
        <f>_xlfn.XLOOKUP(E995,Store_Dim!A:A,Store_Dim!C:C,"Not Found")</f>
        <v>East</v>
      </c>
      <c r="J995" t="str">
        <f>_xlfn.XLOOKUP(C995,Customer_Dim!A:A,Customer_Dim!B:B,"Not Found")</f>
        <v>Elizabeth Smith</v>
      </c>
      <c r="K995">
        <f>Table511[[#This Row],[Total_Amount]]/(L995*(1-Table511[[#This Row],[Discount]]))</f>
        <v>2</v>
      </c>
      <c r="L995" s="5">
        <v>957.54</v>
      </c>
      <c r="M995">
        <v>0.1</v>
      </c>
      <c r="N995" t="s">
        <v>1354</v>
      </c>
      <c r="O995" s="5">
        <v>1723.5719999999999</v>
      </c>
    </row>
    <row r="996" spans="1:15">
      <c r="A996" t="s">
        <v>2345</v>
      </c>
      <c r="B996" s="7">
        <v>45926</v>
      </c>
      <c r="C996" t="s">
        <v>722</v>
      </c>
      <c r="D996" t="s">
        <v>1271</v>
      </c>
      <c r="E996" t="s">
        <v>1322</v>
      </c>
      <c r="F996" t="str">
        <f>[1]Raw_Customer_Dim!$A$2</f>
        <v>CUST1000</v>
      </c>
      <c r="G996" t="str">
        <f>_xlfn.XLOOKUP(E996,Store_Dim!A:A,Store_Dim!B:B,"Not Found")</f>
        <v>Gardner, Humphrey and Contreras</v>
      </c>
      <c r="H996" t="str">
        <f>_xlfn.XLOOKUP(D996,Product_Dim!A:A,Product_Dim!C:C,"Not Found")</f>
        <v>Home</v>
      </c>
      <c r="I996" t="str">
        <f>_xlfn.XLOOKUP(E996,Store_Dim!A:A,Store_Dim!C:C,"Not Found")</f>
        <v>East</v>
      </c>
      <c r="J996" t="str">
        <f>_xlfn.XLOOKUP(C996,Customer_Dim!A:A,Customer_Dim!B:B,"Not Found")</f>
        <v>Victor Mcintosh</v>
      </c>
      <c r="K996">
        <f>Table511[[#This Row],[Total_Amount]]/(L996*(1-Table511[[#This Row],[Discount]]))</f>
        <v>2</v>
      </c>
      <c r="L996" s="5">
        <v>314.39999999999998</v>
      </c>
      <c r="M996">
        <v>7.0000000000000007E-2</v>
      </c>
      <c r="N996" t="s">
        <v>1351</v>
      </c>
      <c r="O996" s="5">
        <v>584.78399999999988</v>
      </c>
    </row>
    <row r="997" spans="1:15">
      <c r="A997" t="s">
        <v>2346</v>
      </c>
      <c r="B997" s="7">
        <v>45373</v>
      </c>
      <c r="C997" t="s">
        <v>851</v>
      </c>
      <c r="D997" t="s">
        <v>1121</v>
      </c>
      <c r="E997" t="s">
        <v>1301</v>
      </c>
      <c r="F997" t="str">
        <f>[1]Raw_Customer_Dim!$A$2</f>
        <v>CUST1000</v>
      </c>
      <c r="G997" t="str">
        <f>_xlfn.XLOOKUP(E997,Store_Dim!A:A,Store_Dim!B:B,"Not Found")</f>
        <v>Benson-Elliott</v>
      </c>
      <c r="H997" t="str">
        <f>_xlfn.XLOOKUP(D997,Product_Dim!A:A,Product_Dim!C:C,"Not Found")</f>
        <v>Sports</v>
      </c>
      <c r="I997" t="str">
        <f>_xlfn.XLOOKUP(E997,Store_Dim!A:A,Store_Dim!C:C,"Not Found")</f>
        <v>East</v>
      </c>
      <c r="J997" t="str">
        <f>_xlfn.XLOOKUP(C997,Customer_Dim!A:A,Customer_Dim!B:B,"Not Found")</f>
        <v>Alejandro Evans</v>
      </c>
      <c r="K997">
        <f>Table511[[#This Row],[Total_Amount]]/(L997*(1-Table511[[#This Row],[Discount]]))</f>
        <v>3</v>
      </c>
      <c r="L997" s="5">
        <v>480.11</v>
      </c>
      <c r="M997">
        <v>0.11</v>
      </c>
      <c r="N997" t="s">
        <v>1351</v>
      </c>
      <c r="O997" s="5">
        <v>1281.8937000000001</v>
      </c>
    </row>
    <row r="998" spans="1:15">
      <c r="A998" t="s">
        <v>2347</v>
      </c>
      <c r="B998" s="7">
        <v>45579</v>
      </c>
      <c r="C998" t="s">
        <v>839</v>
      </c>
      <c r="D998" t="s">
        <v>1169</v>
      </c>
      <c r="E998" t="s">
        <v>1301</v>
      </c>
      <c r="F998" t="str">
        <f>[1]Raw_Customer_Dim!$A$2</f>
        <v>CUST1000</v>
      </c>
      <c r="G998" t="str">
        <f>_xlfn.XLOOKUP(E998,Store_Dim!A:A,Store_Dim!B:B,"Not Found")</f>
        <v>Benson-Elliott</v>
      </c>
      <c r="H998" t="str">
        <f>_xlfn.XLOOKUP(D998,Product_Dim!A:A,Product_Dim!C:C,"Not Found")</f>
        <v>Electronics</v>
      </c>
      <c r="I998" t="str">
        <f>_xlfn.XLOOKUP(E998,Store_Dim!A:A,Store_Dim!C:C,"Not Found")</f>
        <v>East</v>
      </c>
      <c r="J998" t="str">
        <f>_xlfn.XLOOKUP(C998,Customer_Dim!A:A,Customer_Dim!B:B,"Not Found")</f>
        <v>Timothy Valenzuela</v>
      </c>
      <c r="K998">
        <f>Table511[[#This Row],[Total_Amount]]/(L998*(1-Table511[[#This Row],[Discount]]))</f>
        <v>4</v>
      </c>
      <c r="L998" s="5">
        <v>826.55</v>
      </c>
      <c r="M998">
        <v>0.28000000000000003</v>
      </c>
      <c r="N998" t="s">
        <v>1349</v>
      </c>
      <c r="O998" s="5">
        <v>2380.4639999999999</v>
      </c>
    </row>
    <row r="999" spans="1:15">
      <c r="A999" t="s">
        <v>2348</v>
      </c>
      <c r="B999" s="7">
        <v>45805</v>
      </c>
      <c r="C999" t="s">
        <v>442</v>
      </c>
      <c r="D999" t="s">
        <v>1127</v>
      </c>
      <c r="E999" t="s">
        <v>1291</v>
      </c>
      <c r="F999" t="str">
        <f>[1]Raw_Customer_Dim!$A$2</f>
        <v>CUST1000</v>
      </c>
      <c r="G999" t="str">
        <f>_xlfn.XLOOKUP(E999,Store_Dim!A:A,Store_Dim!B:B,"Not Found")</f>
        <v>Johnson-Wright</v>
      </c>
      <c r="H999" t="str">
        <f>_xlfn.XLOOKUP(D999,Product_Dim!A:A,Product_Dim!C:C,"Not Found")</f>
        <v>Home</v>
      </c>
      <c r="I999" t="str">
        <f>_xlfn.XLOOKUP(E999,Store_Dim!A:A,Store_Dim!C:C,"Not Found")</f>
        <v>North</v>
      </c>
      <c r="J999" t="str">
        <f>_xlfn.XLOOKUP(C999,Customer_Dim!A:A,Customer_Dim!B:B,"Not Found")</f>
        <v>Christopher Stewart</v>
      </c>
      <c r="K999">
        <f>Table511[[#This Row],[Total_Amount]]/(L999*(1-Table511[[#This Row],[Discount]]))</f>
        <v>3</v>
      </c>
      <c r="L999" s="5">
        <v>530.16999999999996</v>
      </c>
      <c r="M999">
        <v>0.18</v>
      </c>
      <c r="N999" t="s">
        <v>1351</v>
      </c>
      <c r="O999" s="5">
        <v>1304.2182</v>
      </c>
    </row>
    <row r="1000" spans="1:15">
      <c r="A1000" t="s">
        <v>2349</v>
      </c>
      <c r="B1000" s="7">
        <v>45522</v>
      </c>
      <c r="C1000" t="s">
        <v>877</v>
      </c>
      <c r="D1000" t="s">
        <v>1141</v>
      </c>
      <c r="E1000" t="s">
        <v>1332</v>
      </c>
      <c r="F1000" t="str">
        <f>[1]Raw_Customer_Dim!$A$2</f>
        <v>CUST1000</v>
      </c>
      <c r="G1000" t="str">
        <f>_xlfn.XLOOKUP(E1000,Store_Dim!A:A,Store_Dim!B:B,"Not Found")</f>
        <v>Holloway Ltd</v>
      </c>
      <c r="H1000" t="str">
        <f>_xlfn.XLOOKUP(D1000,Product_Dim!A:A,Product_Dim!C:C,"Not Found")</f>
        <v>Electronics</v>
      </c>
      <c r="I1000" t="str">
        <f>_xlfn.XLOOKUP(E1000,Store_Dim!A:A,Store_Dim!C:C,"Not Found")</f>
        <v>North</v>
      </c>
      <c r="J1000" t="str">
        <f>_xlfn.XLOOKUP(C1000,Customer_Dim!A:A,Customer_Dim!B:B,"Not Found")</f>
        <v>Joseph Mendoza</v>
      </c>
      <c r="K1000">
        <f>Table511[[#This Row],[Total_Amount]]/(L1000*(1-Table511[[#This Row],[Discount]]))</f>
        <v>2.9999999999999996</v>
      </c>
      <c r="L1000" s="5">
        <v>336.17</v>
      </c>
      <c r="M1000">
        <v>0.04</v>
      </c>
      <c r="N1000" t="s">
        <v>1354</v>
      </c>
      <c r="O1000" s="5">
        <v>968.16959999999995</v>
      </c>
    </row>
    <row r="1001" spans="1:15">
      <c r="A1001" t="s">
        <v>2350</v>
      </c>
      <c r="B1001" s="7">
        <v>45304</v>
      </c>
      <c r="C1001" t="s">
        <v>905</v>
      </c>
      <c r="D1001" t="s">
        <v>1235</v>
      </c>
      <c r="E1001" t="s">
        <v>1307</v>
      </c>
      <c r="F1001" t="str">
        <f>[1]Raw_Customer_Dim!$A$2</f>
        <v>CUST1000</v>
      </c>
      <c r="G1001" t="str">
        <f>_xlfn.XLOOKUP(E1001,Store_Dim!A:A,Store_Dim!B:B,"Not Found")</f>
        <v>Bean, Jones and Park</v>
      </c>
      <c r="H1001" t="str">
        <f>_xlfn.XLOOKUP(D1001,Product_Dim!A:A,Product_Dim!C:C,"Not Found")</f>
        <v>Sports</v>
      </c>
      <c r="I1001" t="str">
        <f>_xlfn.XLOOKUP(E1001,Store_Dim!A:A,Store_Dim!C:C,"Not Found")</f>
        <v>West</v>
      </c>
      <c r="J1001" t="str">
        <f>_xlfn.XLOOKUP(C1001,Customer_Dim!A:A,Customer_Dim!B:B,"Not Found")</f>
        <v>Holly Robinson</v>
      </c>
      <c r="K1001">
        <f>Table511[[#This Row],[Total_Amount]]/(L1001*(1-Table511[[#This Row],[Discount]]))</f>
        <v>4</v>
      </c>
      <c r="L1001" s="5">
        <v>22.51</v>
      </c>
      <c r="M1001">
        <v>0.27</v>
      </c>
      <c r="N1001" t="s">
        <v>1351</v>
      </c>
      <c r="O1001" s="5">
        <v>65.729200000000006</v>
      </c>
    </row>
    <row r="1002" spans="1:15">
      <c r="A1002" t="s">
        <v>2351</v>
      </c>
      <c r="B1002" s="7">
        <v>45456</v>
      </c>
      <c r="C1002" t="s">
        <v>442</v>
      </c>
      <c r="D1002" t="s">
        <v>1191</v>
      </c>
      <c r="E1002" t="s">
        <v>1286</v>
      </c>
      <c r="F1002" t="str">
        <f>[1]Raw_Customer_Dim!$A$2</f>
        <v>CUST1000</v>
      </c>
      <c r="G1002" t="str">
        <f>_xlfn.XLOOKUP(E1002,Store_Dim!A:A,Store_Dim!B:B,"Not Found")</f>
        <v>Black-Horn</v>
      </c>
      <c r="H1002" t="str">
        <f>_xlfn.XLOOKUP(D1002,Product_Dim!A:A,Product_Dim!C:C,"Not Found")</f>
        <v>Beauty</v>
      </c>
      <c r="I1002" t="str">
        <f>_xlfn.XLOOKUP(E1002,Store_Dim!A:A,Store_Dim!C:C,"Not Found")</f>
        <v>South</v>
      </c>
      <c r="J1002" t="str">
        <f>_xlfn.XLOOKUP(C1002,Customer_Dim!A:A,Customer_Dim!B:B,"Not Found")</f>
        <v>Christopher Stewart</v>
      </c>
      <c r="K1002">
        <f>Table511[[#This Row],[Total_Amount]]/(L1002*(1-Table511[[#This Row],[Discount]]))</f>
        <v>2.0000000000000004</v>
      </c>
      <c r="L1002" s="5">
        <v>909.51</v>
      </c>
      <c r="M1002">
        <v>0.27</v>
      </c>
      <c r="N1002" t="s">
        <v>1349</v>
      </c>
      <c r="O1002" s="5">
        <v>1327.8846000000001</v>
      </c>
    </row>
    <row r="1003" spans="1:15">
      <c r="A1003" t="s">
        <v>2352</v>
      </c>
      <c r="B1003" s="7">
        <v>45776</v>
      </c>
      <c r="C1003" t="s">
        <v>147</v>
      </c>
      <c r="D1003" t="s">
        <v>1211</v>
      </c>
      <c r="E1003" t="s">
        <v>1324</v>
      </c>
      <c r="F1003" t="str">
        <f>[1]Raw_Customer_Dim!$A$2</f>
        <v>CUST1000</v>
      </c>
      <c r="G1003" t="str">
        <f>_xlfn.XLOOKUP(E1003,Store_Dim!A:A,Store_Dim!B:B,"Not Found")</f>
        <v>Mcdonald Inc</v>
      </c>
      <c r="H1003" t="str">
        <f>_xlfn.XLOOKUP(D1003,Product_Dim!A:A,Product_Dim!C:C,"Not Found")</f>
        <v>Clothing</v>
      </c>
      <c r="I1003" t="str">
        <f>_xlfn.XLOOKUP(E1003,Store_Dim!A:A,Store_Dim!C:C,"Not Found")</f>
        <v>South</v>
      </c>
      <c r="J1003" t="str">
        <f>_xlfn.XLOOKUP(C1003,Customer_Dim!A:A,Customer_Dim!B:B,"Not Found")</f>
        <v>Debra Liu</v>
      </c>
      <c r="K1003">
        <f>Table511[[#This Row],[Total_Amount]]/(L1003*(1-Table511[[#This Row],[Discount]]))</f>
        <v>3.9999999999999996</v>
      </c>
      <c r="L1003" s="5">
        <v>593.84</v>
      </c>
      <c r="M1003">
        <v>0.24</v>
      </c>
      <c r="N1003" t="s">
        <v>1351</v>
      </c>
      <c r="O1003" s="5">
        <v>1805.2736</v>
      </c>
    </row>
    <row r="1004" spans="1:15">
      <c r="A1004" t="s">
        <v>2353</v>
      </c>
      <c r="B1004" s="7">
        <v>45566</v>
      </c>
      <c r="C1004" t="s">
        <v>277</v>
      </c>
      <c r="D1004" t="s">
        <v>1219</v>
      </c>
      <c r="E1004" t="s">
        <v>1314</v>
      </c>
      <c r="F1004" t="str">
        <f>[1]Raw_Customer_Dim!$A$2</f>
        <v>CUST1000</v>
      </c>
      <c r="G1004" t="str">
        <f>_xlfn.XLOOKUP(E1004,Store_Dim!A:A,Store_Dim!B:B,"Not Found")</f>
        <v>Hill, Wagner and Ballard</v>
      </c>
      <c r="H1004" t="str">
        <f>_xlfn.XLOOKUP(D1004,Product_Dim!A:A,Product_Dim!C:C,"Not Found")</f>
        <v>Sports</v>
      </c>
      <c r="I1004" t="str">
        <f>_xlfn.XLOOKUP(E1004,Store_Dim!A:A,Store_Dim!C:C,"Not Found")</f>
        <v>East</v>
      </c>
      <c r="J1004" t="str">
        <f>_xlfn.XLOOKUP(C1004,Customer_Dim!A:A,Customer_Dim!B:B,"Not Found")</f>
        <v>Amy Walker</v>
      </c>
      <c r="K1004">
        <f>Table511[[#This Row],[Total_Amount]]/(L1004*(1-Table511[[#This Row],[Discount]]))</f>
        <v>3</v>
      </c>
      <c r="L1004" s="5">
        <v>909.11</v>
      </c>
      <c r="M1004">
        <v>0.23</v>
      </c>
      <c r="N1004" t="s">
        <v>1354</v>
      </c>
      <c r="O1004" s="5">
        <v>2100.0441000000001</v>
      </c>
    </row>
    <row r="1005" spans="1:15">
      <c r="A1005" t="s">
        <v>2354</v>
      </c>
      <c r="B1005" s="7">
        <v>45542</v>
      </c>
      <c r="C1005" t="s">
        <v>861</v>
      </c>
      <c r="D1005" t="s">
        <v>1121</v>
      </c>
      <c r="E1005" t="s">
        <v>1282</v>
      </c>
      <c r="F1005" t="str">
        <f>[1]Raw_Customer_Dim!$A$2</f>
        <v>CUST1000</v>
      </c>
      <c r="G1005" t="str">
        <f>_xlfn.XLOOKUP(E1005,Store_Dim!A:A,Store_Dim!B:B,"Not Found")</f>
        <v>Martinez, Adkins and Johnson</v>
      </c>
      <c r="H1005" t="str">
        <f>_xlfn.XLOOKUP(D1005,Product_Dim!A:A,Product_Dim!C:C,"Not Found")</f>
        <v>Sports</v>
      </c>
      <c r="I1005" t="str">
        <f>_xlfn.XLOOKUP(E1005,Store_Dim!A:A,Store_Dim!C:C,"Not Found")</f>
        <v>North</v>
      </c>
      <c r="J1005" t="str">
        <f>_xlfn.XLOOKUP(C1005,Customer_Dim!A:A,Customer_Dim!B:B,"Not Found")</f>
        <v>John Donaldson</v>
      </c>
      <c r="K1005">
        <f>Table511[[#This Row],[Total_Amount]]/(L1005*(1-Table511[[#This Row],[Discount]]))</f>
        <v>4</v>
      </c>
      <c r="L1005" s="5">
        <v>996.85</v>
      </c>
      <c r="M1005">
        <v>0.24</v>
      </c>
      <c r="N1005" t="s">
        <v>1351</v>
      </c>
      <c r="O1005" s="5">
        <v>3030.424</v>
      </c>
    </row>
    <row r="1006" spans="1:15">
      <c r="A1006" t="s">
        <v>2355</v>
      </c>
      <c r="B1006" s="7">
        <v>45834</v>
      </c>
      <c r="C1006" t="s">
        <v>664</v>
      </c>
      <c r="D1006" t="s">
        <v>1068</v>
      </c>
      <c r="E1006" t="s">
        <v>1332</v>
      </c>
      <c r="F1006" t="str">
        <f>[1]Raw_Customer_Dim!$A$2</f>
        <v>CUST1000</v>
      </c>
      <c r="G1006" t="str">
        <f>_xlfn.XLOOKUP(E1006,Store_Dim!A:A,Store_Dim!B:B,"Not Found")</f>
        <v>Holloway Ltd</v>
      </c>
      <c r="H1006" t="str">
        <f>_xlfn.XLOOKUP(D1006,Product_Dim!A:A,Product_Dim!C:C,"Not Found")</f>
        <v>Electronics</v>
      </c>
      <c r="I1006" t="str">
        <f>_xlfn.XLOOKUP(E1006,Store_Dim!A:A,Store_Dim!C:C,"Not Found")</f>
        <v>North</v>
      </c>
      <c r="J1006" t="str">
        <f>_xlfn.XLOOKUP(C1006,Customer_Dim!A:A,Customer_Dim!B:B,"Not Found")</f>
        <v>Matthew Avery</v>
      </c>
      <c r="K1006">
        <f>Table511[[#This Row],[Total_Amount]]/(L1006*(1-Table511[[#This Row],[Discount]]))</f>
        <v>1.0000000000000002</v>
      </c>
      <c r="L1006" s="5">
        <v>522.69000000000005</v>
      </c>
      <c r="M1006">
        <v>0.06</v>
      </c>
      <c r="N1006" t="s">
        <v>1354</v>
      </c>
      <c r="O1006" s="5">
        <v>491.32860000000011</v>
      </c>
    </row>
    <row r="1007" spans="1:15">
      <c r="A1007" t="s">
        <v>2356</v>
      </c>
      <c r="B1007" s="7">
        <v>45405</v>
      </c>
      <c r="C1007" t="s">
        <v>450</v>
      </c>
      <c r="D1007" t="s">
        <v>1181</v>
      </c>
      <c r="E1007" t="s">
        <v>1291</v>
      </c>
      <c r="F1007" t="str">
        <f>[1]Raw_Customer_Dim!$A$2</f>
        <v>CUST1000</v>
      </c>
      <c r="G1007" t="str">
        <f>_xlfn.XLOOKUP(E1007,Store_Dim!A:A,Store_Dim!B:B,"Not Found")</f>
        <v>Johnson-Wright</v>
      </c>
      <c r="H1007" t="str">
        <f>_xlfn.XLOOKUP(D1007,Product_Dim!A:A,Product_Dim!C:C,"Not Found")</f>
        <v>Sports</v>
      </c>
      <c r="I1007" t="str">
        <f>_xlfn.XLOOKUP(E1007,Store_Dim!A:A,Store_Dim!C:C,"Not Found")</f>
        <v>North</v>
      </c>
      <c r="J1007" t="str">
        <f>_xlfn.XLOOKUP(C1007,Customer_Dim!A:A,Customer_Dim!B:B,"Not Found")</f>
        <v>Ashley Ferguson</v>
      </c>
      <c r="K1007">
        <f>Table511[[#This Row],[Total_Amount]]/(L1007*(1-Table511[[#This Row],[Discount]]))</f>
        <v>3.0000000000000004</v>
      </c>
      <c r="L1007" s="5">
        <v>261.05</v>
      </c>
      <c r="M1007">
        <v>0.12</v>
      </c>
      <c r="N1007" t="s">
        <v>1351</v>
      </c>
      <c r="O1007" s="5">
        <v>689.17200000000014</v>
      </c>
    </row>
    <row r="1008" spans="1:15">
      <c r="A1008" t="s">
        <v>2357</v>
      </c>
      <c r="B1008" s="7">
        <v>45918</v>
      </c>
      <c r="C1008" t="s">
        <v>229</v>
      </c>
      <c r="D1008" t="s">
        <v>1119</v>
      </c>
      <c r="E1008" t="s">
        <v>1332</v>
      </c>
      <c r="F1008" t="str">
        <f>[1]Raw_Customer_Dim!$A$2</f>
        <v>CUST1000</v>
      </c>
      <c r="G1008" t="str">
        <f>_xlfn.XLOOKUP(E1008,Store_Dim!A:A,Store_Dim!B:B,"Not Found")</f>
        <v>Holloway Ltd</v>
      </c>
      <c r="H1008" t="str">
        <f>_xlfn.XLOOKUP(D1008,Product_Dim!A:A,Product_Dim!C:C,"Not Found")</f>
        <v>Clothing</v>
      </c>
      <c r="I1008" t="str">
        <f>_xlfn.XLOOKUP(E1008,Store_Dim!A:A,Store_Dim!C:C,"Not Found")</f>
        <v>North</v>
      </c>
      <c r="J1008" t="str">
        <f>_xlfn.XLOOKUP(C1008,Customer_Dim!A:A,Customer_Dim!B:B,"Not Found")</f>
        <v>Melissa Duffy MD</v>
      </c>
      <c r="K1008">
        <f>Table511[[#This Row],[Total_Amount]]/(L1008*(1-Table511[[#This Row],[Discount]]))</f>
        <v>3</v>
      </c>
      <c r="L1008" s="5">
        <v>644.73</v>
      </c>
      <c r="M1008">
        <v>0.01</v>
      </c>
      <c r="N1008" t="s">
        <v>1354</v>
      </c>
      <c r="O1008" s="5">
        <v>1914.8480999999999</v>
      </c>
    </row>
    <row r="1009" spans="1:15">
      <c r="A1009" t="s">
        <v>2358</v>
      </c>
      <c r="B1009" s="7">
        <v>45217</v>
      </c>
      <c r="C1009" t="s">
        <v>458</v>
      </c>
      <c r="D1009" t="s">
        <v>1223</v>
      </c>
      <c r="E1009" t="s">
        <v>1286</v>
      </c>
      <c r="F1009" t="str">
        <f>[1]Raw_Customer_Dim!$A$2</f>
        <v>CUST1000</v>
      </c>
      <c r="G1009" t="str">
        <f>_xlfn.XLOOKUP(E1009,Store_Dim!A:A,Store_Dim!B:B,"Not Found")</f>
        <v>Black-Horn</v>
      </c>
      <c r="H1009" t="str">
        <f>_xlfn.XLOOKUP(D1009,Product_Dim!A:A,Product_Dim!C:C,"Not Found")</f>
        <v>Clothing</v>
      </c>
      <c r="I1009" t="str">
        <f>_xlfn.XLOOKUP(E1009,Store_Dim!A:A,Store_Dim!C:C,"Not Found")</f>
        <v>South</v>
      </c>
      <c r="J1009" t="str">
        <f>_xlfn.XLOOKUP(C1009,Customer_Dim!A:A,Customer_Dim!B:B,"Not Found")</f>
        <v>Wanda Snyder</v>
      </c>
      <c r="K1009">
        <f>Table511[[#This Row],[Total_Amount]]/(L1009*(1-Table511[[#This Row],[Discount]]))</f>
        <v>2</v>
      </c>
      <c r="L1009" s="5">
        <v>541.52</v>
      </c>
      <c r="M1009">
        <v>0.26</v>
      </c>
      <c r="N1009" t="s">
        <v>1351</v>
      </c>
      <c r="O1009" s="5">
        <v>801.44959999999992</v>
      </c>
    </row>
    <row r="1010" spans="1:15">
      <c r="A1010" t="s">
        <v>2359</v>
      </c>
      <c r="B1010" s="7">
        <v>45259</v>
      </c>
      <c r="C1010" t="s">
        <v>915</v>
      </c>
      <c r="D1010" t="s">
        <v>1199</v>
      </c>
      <c r="E1010" t="s">
        <v>1314</v>
      </c>
      <c r="F1010" t="str">
        <f>[1]Raw_Customer_Dim!$A$2</f>
        <v>CUST1000</v>
      </c>
      <c r="G1010" t="str">
        <f>_xlfn.XLOOKUP(E1010,Store_Dim!A:A,Store_Dim!B:B,"Not Found")</f>
        <v>Hill, Wagner and Ballard</v>
      </c>
      <c r="H1010" t="str">
        <f>_xlfn.XLOOKUP(D1010,Product_Dim!A:A,Product_Dim!C:C,"Not Found")</f>
        <v>Beauty</v>
      </c>
      <c r="I1010" t="str">
        <f>_xlfn.XLOOKUP(E1010,Store_Dim!A:A,Store_Dim!C:C,"Not Found")</f>
        <v>East</v>
      </c>
      <c r="J1010" t="str">
        <f>_xlfn.XLOOKUP(C1010,Customer_Dim!A:A,Customer_Dim!B:B,"Not Found")</f>
        <v>Jeanette Nichols</v>
      </c>
      <c r="K1010">
        <f>Table511[[#This Row],[Total_Amount]]/(L1010*(1-Table511[[#This Row],[Discount]]))</f>
        <v>1</v>
      </c>
      <c r="L1010" s="5">
        <v>395.18</v>
      </c>
      <c r="M1010">
        <v>0.09</v>
      </c>
      <c r="N1010" t="s">
        <v>1351</v>
      </c>
      <c r="O1010" s="5">
        <v>359.61380000000003</v>
      </c>
    </row>
    <row r="1011" spans="1:15">
      <c r="A1011" t="s">
        <v>2360</v>
      </c>
      <c r="B1011" s="7">
        <v>45740</v>
      </c>
      <c r="C1011" t="s">
        <v>258</v>
      </c>
      <c r="D1011" t="s">
        <v>1087</v>
      </c>
      <c r="E1011" t="s">
        <v>1307</v>
      </c>
      <c r="F1011" t="str">
        <f>[1]Raw_Customer_Dim!$A$2</f>
        <v>CUST1000</v>
      </c>
      <c r="G1011" t="str">
        <f>_xlfn.XLOOKUP(E1011,Store_Dim!A:A,Store_Dim!B:B,"Not Found")</f>
        <v>Bean, Jones and Park</v>
      </c>
      <c r="H1011" t="str">
        <f>_xlfn.XLOOKUP(D1011,Product_Dim!A:A,Product_Dim!C:C,"Not Found")</f>
        <v>Electronics</v>
      </c>
      <c r="I1011" t="str">
        <f>_xlfn.XLOOKUP(E1011,Store_Dim!A:A,Store_Dim!C:C,"Not Found")</f>
        <v>West</v>
      </c>
      <c r="J1011" t="str">
        <f>_xlfn.XLOOKUP(C1011,Customer_Dim!A:A,Customer_Dim!B:B,"Not Found")</f>
        <v>Diane Watson</v>
      </c>
      <c r="K1011">
        <f>Table511[[#This Row],[Total_Amount]]/(L1011*(1-Table511[[#This Row],[Discount]]))</f>
        <v>4.0000000000000009</v>
      </c>
      <c r="L1011" s="5">
        <v>56.37</v>
      </c>
      <c r="M1011">
        <v>0.17</v>
      </c>
      <c r="N1011" t="s">
        <v>1349</v>
      </c>
      <c r="O1011" s="5">
        <v>187.14840000000001</v>
      </c>
    </row>
    <row r="1012" spans="1:15">
      <c r="A1012" t="s">
        <v>2361</v>
      </c>
      <c r="B1012" s="7">
        <v>45908</v>
      </c>
      <c r="C1012" t="s">
        <v>480</v>
      </c>
      <c r="D1012" t="s">
        <v>1231</v>
      </c>
      <c r="E1012" t="s">
        <v>1311</v>
      </c>
      <c r="F1012" t="str">
        <f>[1]Raw_Customer_Dim!$A$2</f>
        <v>CUST1000</v>
      </c>
      <c r="G1012" t="str">
        <f>_xlfn.XLOOKUP(E1012,Store_Dim!A:A,Store_Dim!B:B,"Not Found")</f>
        <v>Moore, Padilla and Butler</v>
      </c>
      <c r="H1012" t="str">
        <f>_xlfn.XLOOKUP(D1012,Product_Dim!A:A,Product_Dim!C:C,"Not Found")</f>
        <v>Home</v>
      </c>
      <c r="I1012" t="str">
        <f>_xlfn.XLOOKUP(E1012,Store_Dim!A:A,Store_Dim!C:C,"Not Found")</f>
        <v>South</v>
      </c>
      <c r="J1012" t="str">
        <f>_xlfn.XLOOKUP(C1012,Customer_Dim!A:A,Customer_Dim!B:B,"Not Found")</f>
        <v>Joan Johnson</v>
      </c>
      <c r="K1012">
        <f>Table511[[#This Row],[Total_Amount]]/(L1012*(1-Table511[[#This Row],[Discount]]))</f>
        <v>4</v>
      </c>
      <c r="L1012" s="5">
        <v>202.59</v>
      </c>
      <c r="M1012">
        <v>0.06</v>
      </c>
      <c r="N1012" t="s">
        <v>1354</v>
      </c>
      <c r="O1012" s="5">
        <v>761.73839999999996</v>
      </c>
    </row>
    <row r="1013" spans="1:15">
      <c r="A1013" t="s">
        <v>2362</v>
      </c>
      <c r="B1013" s="7">
        <v>45601</v>
      </c>
      <c r="C1013" t="s">
        <v>23</v>
      </c>
      <c r="D1013" t="s">
        <v>1235</v>
      </c>
      <c r="E1013" t="s">
        <v>1298</v>
      </c>
      <c r="F1013" t="str">
        <f>[1]Raw_Customer_Dim!$A$2</f>
        <v>CUST1000</v>
      </c>
      <c r="G1013" t="str">
        <f>_xlfn.XLOOKUP(E1013,Store_Dim!A:A,Store_Dim!B:B,"Not Found")</f>
        <v>Gray Ltd</v>
      </c>
      <c r="H1013" t="str">
        <f>_xlfn.XLOOKUP(D1013,Product_Dim!A:A,Product_Dim!C:C,"Not Found")</f>
        <v>Sports</v>
      </c>
      <c r="I1013" t="str">
        <f>_xlfn.XLOOKUP(E1013,Store_Dim!A:A,Store_Dim!C:C,"Not Found")</f>
        <v>North</v>
      </c>
      <c r="J1013" t="str">
        <f>_xlfn.XLOOKUP(C1013,Customer_Dim!A:A,Customer_Dim!B:B,"Not Found")</f>
        <v>Caroline Collins</v>
      </c>
      <c r="K1013">
        <f>Table511[[#This Row],[Total_Amount]]/(L1013*(1-Table511[[#This Row],[Discount]]))</f>
        <v>2</v>
      </c>
      <c r="L1013" s="5">
        <v>358.36</v>
      </c>
      <c r="M1013">
        <v>0.05</v>
      </c>
      <c r="N1013" t="s">
        <v>1351</v>
      </c>
      <c r="O1013" s="5">
        <v>680.88400000000001</v>
      </c>
    </row>
    <row r="1014" spans="1:15">
      <c r="A1014" t="s">
        <v>2363</v>
      </c>
      <c r="B1014" s="7">
        <v>45535</v>
      </c>
      <c r="C1014" t="s">
        <v>194</v>
      </c>
      <c r="D1014" t="s">
        <v>1147</v>
      </c>
      <c r="E1014" t="s">
        <v>1335</v>
      </c>
      <c r="F1014" t="str">
        <f>[1]Raw_Customer_Dim!$A$2</f>
        <v>CUST1000</v>
      </c>
      <c r="G1014" t="str">
        <f>_xlfn.XLOOKUP(E1014,Store_Dim!A:A,Store_Dim!B:B,"Not Found")</f>
        <v>Guerrero-Schmitt</v>
      </c>
      <c r="H1014" t="str">
        <f>_xlfn.XLOOKUP(D1014,Product_Dim!A:A,Product_Dim!C:C,"Not Found")</f>
        <v>Clothing</v>
      </c>
      <c r="I1014" t="str">
        <f>_xlfn.XLOOKUP(E1014,Store_Dim!A:A,Store_Dim!C:C,"Not Found")</f>
        <v>East</v>
      </c>
      <c r="J1014" t="str">
        <f>_xlfn.XLOOKUP(C1014,Customer_Dim!A:A,Customer_Dim!B:B,"Not Found")</f>
        <v>Tonya Burch</v>
      </c>
      <c r="K1014">
        <f>Table511[[#This Row],[Total_Amount]]/(L1014*(1-Table511[[#This Row],[Discount]]))</f>
        <v>4</v>
      </c>
      <c r="L1014" s="5">
        <v>85.62</v>
      </c>
      <c r="M1014">
        <v>0.28000000000000003</v>
      </c>
      <c r="N1014" t="s">
        <v>1354</v>
      </c>
      <c r="O1014" s="5">
        <v>246.5856</v>
      </c>
    </row>
    <row r="1015" spans="1:15">
      <c r="A1015" t="s">
        <v>2364</v>
      </c>
      <c r="B1015" s="7">
        <v>45459</v>
      </c>
      <c r="C1015" t="s">
        <v>432</v>
      </c>
      <c r="D1015" t="s">
        <v>1085</v>
      </c>
      <c r="E1015" t="s">
        <v>1332</v>
      </c>
      <c r="F1015" t="str">
        <f>[1]Raw_Customer_Dim!$A$2</f>
        <v>CUST1000</v>
      </c>
      <c r="G1015" t="str">
        <f>_xlfn.XLOOKUP(E1015,Store_Dim!A:A,Store_Dim!B:B,"Not Found")</f>
        <v>Holloway Ltd</v>
      </c>
      <c r="H1015" t="str">
        <f>_xlfn.XLOOKUP(D1015,Product_Dim!A:A,Product_Dim!C:C,"Not Found")</f>
        <v>Home</v>
      </c>
      <c r="I1015" t="str">
        <f>_xlfn.XLOOKUP(E1015,Store_Dim!A:A,Store_Dim!C:C,"Not Found")</f>
        <v>North</v>
      </c>
      <c r="J1015" t="str">
        <f>_xlfn.XLOOKUP(C1015,Customer_Dim!A:A,Customer_Dim!B:B,"Not Found")</f>
        <v>Brent Rivas</v>
      </c>
      <c r="K1015">
        <f>Table511[[#This Row],[Total_Amount]]/(L1015*(1-Table511[[#This Row],[Discount]]))</f>
        <v>4</v>
      </c>
      <c r="L1015" s="5">
        <v>929.26</v>
      </c>
      <c r="M1015">
        <v>0.23</v>
      </c>
      <c r="N1015" t="s">
        <v>1351</v>
      </c>
      <c r="O1015" s="5">
        <v>2862.1208000000001</v>
      </c>
    </row>
    <row r="1016" spans="1:15">
      <c r="A1016" t="s">
        <v>2365</v>
      </c>
      <c r="B1016" s="7">
        <v>45681</v>
      </c>
      <c r="C1016" t="s">
        <v>682</v>
      </c>
      <c r="D1016" t="s">
        <v>1193</v>
      </c>
      <c r="E1016" t="s">
        <v>1322</v>
      </c>
      <c r="F1016" t="str">
        <f>[1]Raw_Customer_Dim!$A$2</f>
        <v>CUST1000</v>
      </c>
      <c r="G1016" t="str">
        <f>_xlfn.XLOOKUP(E1016,Store_Dim!A:A,Store_Dim!B:B,"Not Found")</f>
        <v>Gardner, Humphrey and Contreras</v>
      </c>
      <c r="H1016" t="str">
        <f>_xlfn.XLOOKUP(D1016,Product_Dim!A:A,Product_Dim!C:C,"Not Found")</f>
        <v>Beauty</v>
      </c>
      <c r="I1016" t="str">
        <f>_xlfn.XLOOKUP(E1016,Store_Dim!A:A,Store_Dim!C:C,"Not Found")</f>
        <v>East</v>
      </c>
      <c r="J1016" t="str">
        <f>_xlfn.XLOOKUP(C1016,Customer_Dim!A:A,Customer_Dim!B:B,"Not Found")</f>
        <v>Stacy Collins</v>
      </c>
      <c r="K1016">
        <f>Table511[[#This Row],[Total_Amount]]/(L1016*(1-Table511[[#This Row],[Discount]]))</f>
        <v>2</v>
      </c>
      <c r="L1016" s="5">
        <v>92.64</v>
      </c>
      <c r="M1016">
        <v>0.14000000000000001</v>
      </c>
      <c r="N1016" t="s">
        <v>1354</v>
      </c>
      <c r="O1016" s="5">
        <v>159.3408</v>
      </c>
    </row>
    <row r="1017" spans="1:15">
      <c r="A1017" t="s">
        <v>2366</v>
      </c>
      <c r="B1017" s="7">
        <v>45725</v>
      </c>
      <c r="C1017" t="s">
        <v>559</v>
      </c>
      <c r="D1017" t="s">
        <v>1197</v>
      </c>
      <c r="E1017" t="s">
        <v>1294</v>
      </c>
      <c r="F1017" t="str">
        <f>[1]Raw_Customer_Dim!$A$2</f>
        <v>CUST1000</v>
      </c>
      <c r="G1017" t="str">
        <f>_xlfn.XLOOKUP(E1017,Store_Dim!A:A,Store_Dim!B:B,"Not Found")</f>
        <v>Alexander Group</v>
      </c>
      <c r="H1017" t="str">
        <f>_xlfn.XLOOKUP(D1017,Product_Dim!A:A,Product_Dim!C:C,"Not Found")</f>
        <v>Electronics</v>
      </c>
      <c r="I1017" t="str">
        <f>_xlfn.XLOOKUP(E1017,Store_Dim!A:A,Store_Dim!C:C,"Not Found")</f>
        <v>South</v>
      </c>
      <c r="J1017" t="str">
        <f>_xlfn.XLOOKUP(C1017,Customer_Dim!A:A,Customer_Dim!B:B,"Not Found")</f>
        <v>Nicholas Webb</v>
      </c>
      <c r="K1017">
        <f>Table511[[#This Row],[Total_Amount]]/(L1017*(1-Table511[[#This Row],[Discount]]))</f>
        <v>4</v>
      </c>
      <c r="L1017" s="5">
        <v>139.05000000000001</v>
      </c>
      <c r="M1017">
        <v>0.28999999999999998</v>
      </c>
      <c r="N1017" t="s">
        <v>1354</v>
      </c>
      <c r="O1017" s="5">
        <v>394.90199999999999</v>
      </c>
    </row>
    <row r="1018" spans="1:15">
      <c r="A1018" t="s">
        <v>2367</v>
      </c>
      <c r="B1018" s="7">
        <v>45461</v>
      </c>
      <c r="C1018" t="s">
        <v>341</v>
      </c>
      <c r="D1018" t="s">
        <v>1179</v>
      </c>
      <c r="E1018" t="s">
        <v>1294</v>
      </c>
      <c r="F1018" t="str">
        <f>[1]Raw_Customer_Dim!$A$2</f>
        <v>CUST1000</v>
      </c>
      <c r="G1018" t="str">
        <f>_xlfn.XLOOKUP(E1018,Store_Dim!A:A,Store_Dim!B:B,"Not Found")</f>
        <v>Alexander Group</v>
      </c>
      <c r="H1018" t="str">
        <f>_xlfn.XLOOKUP(D1018,Product_Dim!A:A,Product_Dim!C:C,"Not Found")</f>
        <v>Clothing</v>
      </c>
      <c r="I1018" t="str">
        <f>_xlfn.XLOOKUP(E1018,Store_Dim!A:A,Store_Dim!C:C,"Not Found")</f>
        <v>South</v>
      </c>
      <c r="J1018" t="str">
        <f>_xlfn.XLOOKUP(C1018,Customer_Dim!A:A,Customer_Dim!B:B,"Not Found")</f>
        <v>Patty Francis</v>
      </c>
      <c r="K1018">
        <f>Table511[[#This Row],[Total_Amount]]/(L1018*(1-Table511[[#This Row],[Discount]]))</f>
        <v>3</v>
      </c>
      <c r="L1018" s="5">
        <v>155.87</v>
      </c>
      <c r="M1018">
        <v>0.03</v>
      </c>
      <c r="N1018" t="s">
        <v>1354</v>
      </c>
      <c r="O1018" s="5">
        <v>453.58170000000001</v>
      </c>
    </row>
    <row r="1019" spans="1:15">
      <c r="A1019" t="s">
        <v>2368</v>
      </c>
      <c r="B1019" s="7">
        <v>45837</v>
      </c>
      <c r="C1019" t="s">
        <v>947</v>
      </c>
      <c r="D1019" t="s">
        <v>1141</v>
      </c>
      <c r="E1019" t="s">
        <v>1329</v>
      </c>
      <c r="F1019" t="str">
        <f>[1]Raw_Customer_Dim!$A$2</f>
        <v>CUST1000</v>
      </c>
      <c r="G1019" t="str">
        <f>_xlfn.XLOOKUP(E1019,Store_Dim!A:A,Store_Dim!B:B,"Not Found")</f>
        <v>Frederick-Wright</v>
      </c>
      <c r="H1019" t="str">
        <f>_xlfn.XLOOKUP(D1019,Product_Dim!A:A,Product_Dim!C:C,"Not Found")</f>
        <v>Electronics</v>
      </c>
      <c r="I1019" t="str">
        <f>_xlfn.XLOOKUP(E1019,Store_Dim!A:A,Store_Dim!C:C,"Not Found")</f>
        <v>West</v>
      </c>
      <c r="J1019" t="str">
        <f>_xlfn.XLOOKUP(C1019,Customer_Dim!A:A,Customer_Dim!B:B,"Not Found")</f>
        <v>Kelli Smith</v>
      </c>
      <c r="K1019">
        <f>Table511[[#This Row],[Total_Amount]]/(L1019*(1-Table511[[#This Row],[Discount]]))</f>
        <v>4.0000000000000009</v>
      </c>
      <c r="L1019" s="5">
        <v>115.42</v>
      </c>
      <c r="M1019">
        <v>0.03</v>
      </c>
      <c r="N1019" t="s">
        <v>1354</v>
      </c>
      <c r="O1019" s="5">
        <v>447.82960000000003</v>
      </c>
    </row>
    <row r="1020" spans="1:15">
      <c r="A1020" t="s">
        <v>2369</v>
      </c>
      <c r="B1020" s="7">
        <v>45823</v>
      </c>
      <c r="C1020" t="s">
        <v>304</v>
      </c>
      <c r="D1020" t="s">
        <v>1177</v>
      </c>
      <c r="E1020" t="s">
        <v>1301</v>
      </c>
      <c r="F1020" t="str">
        <f>[1]Raw_Customer_Dim!$A$2</f>
        <v>CUST1000</v>
      </c>
      <c r="G1020" t="str">
        <f>_xlfn.XLOOKUP(E1020,Store_Dim!A:A,Store_Dim!B:B,"Not Found")</f>
        <v>Benson-Elliott</v>
      </c>
      <c r="H1020" t="str">
        <f>_xlfn.XLOOKUP(D1020,Product_Dim!A:A,Product_Dim!C:C,"Not Found")</f>
        <v>Sports</v>
      </c>
      <c r="I1020" t="str">
        <f>_xlfn.XLOOKUP(E1020,Store_Dim!A:A,Store_Dim!C:C,"Not Found")</f>
        <v>East</v>
      </c>
      <c r="J1020" t="str">
        <f>_xlfn.XLOOKUP(C1020,Customer_Dim!A:A,Customer_Dim!B:B,"Not Found")</f>
        <v>Michael Chang</v>
      </c>
      <c r="K1020">
        <f>Table511[[#This Row],[Total_Amount]]/(L1020*(1-Table511[[#This Row],[Discount]]))</f>
        <v>3</v>
      </c>
      <c r="L1020" s="5">
        <v>593.62</v>
      </c>
      <c r="M1020">
        <v>0.08</v>
      </c>
      <c r="N1020" t="s">
        <v>1349</v>
      </c>
      <c r="O1020" s="5">
        <v>1638.3912</v>
      </c>
    </row>
    <row r="1021" spans="1:15">
      <c r="A1021" t="s">
        <v>2370</v>
      </c>
      <c r="B1021" s="7">
        <v>45733</v>
      </c>
      <c r="C1021" t="s">
        <v>770</v>
      </c>
      <c r="D1021" t="s">
        <v>1163</v>
      </c>
      <c r="E1021" t="s">
        <v>1294</v>
      </c>
      <c r="F1021" t="str">
        <f>[1]Raw_Customer_Dim!$A$2</f>
        <v>CUST1000</v>
      </c>
      <c r="G1021" t="str">
        <f>_xlfn.XLOOKUP(E1021,Store_Dim!A:A,Store_Dim!B:B,"Not Found")</f>
        <v>Alexander Group</v>
      </c>
      <c r="H1021" t="str">
        <f>_xlfn.XLOOKUP(D1021,Product_Dim!A:A,Product_Dim!C:C,"Not Found")</f>
        <v>Sports</v>
      </c>
      <c r="I1021" t="str">
        <f>_xlfn.XLOOKUP(E1021,Store_Dim!A:A,Store_Dim!C:C,"Not Found")</f>
        <v>South</v>
      </c>
      <c r="J1021" t="str">
        <f>_xlfn.XLOOKUP(C1021,Customer_Dim!A:A,Customer_Dim!B:B,"Not Found")</f>
        <v xml:space="preserve">   laura green</v>
      </c>
      <c r="K1021">
        <f>Table511[[#This Row],[Total_Amount]]/(L1021*(1-Table511[[#This Row],[Discount]]))</f>
        <v>2</v>
      </c>
      <c r="L1021" s="5">
        <v>825.04</v>
      </c>
      <c r="M1021">
        <v>0.2</v>
      </c>
      <c r="N1021" t="s">
        <v>1349</v>
      </c>
      <c r="O1021" s="5">
        <v>1320.0640000000001</v>
      </c>
    </row>
    <row r="1022" spans="1:15">
      <c r="A1022" t="s">
        <v>2371</v>
      </c>
      <c r="B1022" s="7">
        <v>45322</v>
      </c>
      <c r="C1022" t="s">
        <v>990</v>
      </c>
      <c r="D1022" t="s">
        <v>1123</v>
      </c>
      <c r="E1022" t="s">
        <v>1322</v>
      </c>
      <c r="F1022" t="str">
        <f>[1]Raw_Customer_Dim!$A$2</f>
        <v>CUST1000</v>
      </c>
      <c r="G1022" t="str">
        <f>_xlfn.XLOOKUP(E1022,Store_Dim!A:A,Store_Dim!B:B,"Not Found")</f>
        <v>Gardner, Humphrey and Contreras</v>
      </c>
      <c r="H1022" t="str">
        <f>_xlfn.XLOOKUP(D1022,Product_Dim!A:A,Product_Dim!C:C,"Not Found")</f>
        <v>Clothing</v>
      </c>
      <c r="I1022" t="str">
        <f>_xlfn.XLOOKUP(E1022,Store_Dim!A:A,Store_Dim!C:C,"Not Found")</f>
        <v>East</v>
      </c>
      <c r="J1022" t="str">
        <f>_xlfn.XLOOKUP(C1022,Customer_Dim!A:A,Customer_Dim!B:B,"Not Found")</f>
        <v>Not Found</v>
      </c>
      <c r="K1022">
        <f>Table511[[#This Row],[Total_Amount]]/(L1022*(1-Table511[[#This Row],[Discount]]))</f>
        <v>1</v>
      </c>
      <c r="L1022" s="5">
        <v>963.76</v>
      </c>
      <c r="M1022">
        <v>0.14000000000000001</v>
      </c>
      <c r="N1022" t="s">
        <v>1351</v>
      </c>
      <c r="O1022" s="5">
        <v>828.83359999999993</v>
      </c>
    </row>
    <row r="1023" spans="1:15">
      <c r="A1023" t="s">
        <v>2372</v>
      </c>
      <c r="B1023" s="7">
        <v>45415</v>
      </c>
      <c r="C1023" t="s">
        <v>648</v>
      </c>
      <c r="D1023" t="s">
        <v>1183</v>
      </c>
      <c r="E1023" t="s">
        <v>1301</v>
      </c>
      <c r="F1023" t="str">
        <f>[1]Raw_Customer_Dim!$A$2</f>
        <v>CUST1000</v>
      </c>
      <c r="G1023" t="str">
        <f>_xlfn.XLOOKUP(E1023,Store_Dim!A:A,Store_Dim!B:B,"Not Found")</f>
        <v>Benson-Elliott</v>
      </c>
      <c r="H1023" t="str">
        <f>_xlfn.XLOOKUP(D1023,Product_Dim!A:A,Product_Dim!C:C,"Not Found")</f>
        <v>Home</v>
      </c>
      <c r="I1023" t="str">
        <f>_xlfn.XLOOKUP(E1023,Store_Dim!A:A,Store_Dim!C:C,"Not Found")</f>
        <v>East</v>
      </c>
      <c r="J1023" t="str">
        <f>_xlfn.XLOOKUP(C1023,Customer_Dim!A:A,Customer_Dim!B:B,"Not Found")</f>
        <v>Ricardo Jones</v>
      </c>
      <c r="K1023">
        <f>Table511[[#This Row],[Total_Amount]]/(L1023*(1-Table511[[#This Row],[Discount]]))</f>
        <v>0.99999999999999989</v>
      </c>
      <c r="L1023" s="5">
        <v>238.24</v>
      </c>
      <c r="M1023">
        <v>0.12</v>
      </c>
      <c r="N1023" t="s">
        <v>1351</v>
      </c>
      <c r="O1023" s="5">
        <v>209.65119999999999</v>
      </c>
    </row>
    <row r="1024" spans="1:15">
      <c r="A1024" t="s">
        <v>2373</v>
      </c>
      <c r="B1024" s="7">
        <v>45644</v>
      </c>
      <c r="C1024" t="s">
        <v>977</v>
      </c>
      <c r="D1024" t="s">
        <v>1237</v>
      </c>
      <c r="E1024" t="s">
        <v>1329</v>
      </c>
      <c r="F1024" t="str">
        <f>[1]Raw_Customer_Dim!$A$2</f>
        <v>CUST1000</v>
      </c>
      <c r="G1024" t="str">
        <f>_xlfn.XLOOKUP(E1024,Store_Dim!A:A,Store_Dim!B:B,"Not Found")</f>
        <v>Frederick-Wright</v>
      </c>
      <c r="H1024" t="str">
        <f>_xlfn.XLOOKUP(D1024,Product_Dim!A:A,Product_Dim!C:C,"Not Found")</f>
        <v>Sports</v>
      </c>
      <c r="I1024" t="str">
        <f>_xlfn.XLOOKUP(E1024,Store_Dim!A:A,Store_Dim!C:C,"Not Found")</f>
        <v>West</v>
      </c>
      <c r="J1024" t="str">
        <f>_xlfn.XLOOKUP(C1024,Customer_Dim!A:A,Customer_Dim!B:B,"Not Found")</f>
        <v>Christina Robertson</v>
      </c>
      <c r="K1024">
        <f>Table511[[#This Row],[Total_Amount]]/(L1024*(1-Table511[[#This Row],[Discount]]))</f>
        <v>1</v>
      </c>
      <c r="L1024" s="5">
        <v>756.63</v>
      </c>
      <c r="M1024">
        <v>0.04</v>
      </c>
      <c r="N1024" t="s">
        <v>1351</v>
      </c>
      <c r="O1024" s="5">
        <v>726.36479999999995</v>
      </c>
    </row>
    <row r="1025" spans="1:15">
      <c r="A1025" t="s">
        <v>2374</v>
      </c>
      <c r="B1025" s="7">
        <v>45845</v>
      </c>
      <c r="C1025" t="s">
        <v>66</v>
      </c>
      <c r="D1025" t="s">
        <v>1259</v>
      </c>
      <c r="E1025" t="s">
        <v>1304</v>
      </c>
      <c r="F1025" t="str">
        <f>[1]Raw_Customer_Dim!$A$2</f>
        <v>CUST1000</v>
      </c>
      <c r="G1025" t="str">
        <f>_xlfn.XLOOKUP(E1025,Store_Dim!A:A,Store_Dim!B:B,"Not Found")</f>
        <v>Martinez-Mullins</v>
      </c>
      <c r="H1025" t="str">
        <f>_xlfn.XLOOKUP(D1025,Product_Dim!A:A,Product_Dim!C:C,"Not Found")</f>
        <v>Electronics</v>
      </c>
      <c r="I1025" t="str">
        <f>_xlfn.XLOOKUP(E1025,Store_Dim!A:A,Store_Dim!C:C,"Not Found")</f>
        <v>South</v>
      </c>
      <c r="J1025" t="str">
        <f>_xlfn.XLOOKUP(C1025,Customer_Dim!A:A,Customer_Dim!B:B,"Not Found")</f>
        <v>Michael Torres</v>
      </c>
      <c r="K1025">
        <f>Table511[[#This Row],[Total_Amount]]/(L1025*(1-Table511[[#This Row],[Discount]]))</f>
        <v>3</v>
      </c>
      <c r="L1025" s="5">
        <v>159.76</v>
      </c>
      <c r="M1025">
        <v>0.22</v>
      </c>
      <c r="N1025" t="s">
        <v>1349</v>
      </c>
      <c r="O1025" s="5">
        <v>373.83839999999998</v>
      </c>
    </row>
    <row r="1026" spans="1:15">
      <c r="A1026" t="s">
        <v>2375</v>
      </c>
      <c r="B1026" s="7">
        <v>45354</v>
      </c>
      <c r="C1026" t="s">
        <v>799</v>
      </c>
      <c r="D1026" t="s">
        <v>1263</v>
      </c>
      <c r="E1026" t="s">
        <v>1307</v>
      </c>
      <c r="F1026" t="str">
        <f>[1]Raw_Customer_Dim!$A$2</f>
        <v>CUST1000</v>
      </c>
      <c r="G1026" t="str">
        <f>_xlfn.XLOOKUP(E1026,Store_Dim!A:A,Store_Dim!B:B,"Not Found")</f>
        <v>Bean, Jones and Park</v>
      </c>
      <c r="H1026" t="str">
        <f>_xlfn.XLOOKUP(D1026,Product_Dim!A:A,Product_Dim!C:C,"Not Found")</f>
        <v>Sports</v>
      </c>
      <c r="I1026" t="str">
        <f>_xlfn.XLOOKUP(E1026,Store_Dim!A:A,Store_Dim!C:C,"Not Found")</f>
        <v>West</v>
      </c>
      <c r="J1026" t="str">
        <f>_xlfn.XLOOKUP(C1026,Customer_Dim!A:A,Customer_Dim!B:B,"Not Found")</f>
        <v>Miranda King</v>
      </c>
      <c r="K1026">
        <f>Table511[[#This Row],[Total_Amount]]/(L1026*(1-Table511[[#This Row],[Discount]]))</f>
        <v>1</v>
      </c>
      <c r="L1026" s="5">
        <v>329.94</v>
      </c>
      <c r="M1026">
        <v>0.14000000000000001</v>
      </c>
      <c r="N1026" t="s">
        <v>1354</v>
      </c>
      <c r="O1026" s="5">
        <v>283.7484</v>
      </c>
    </row>
    <row r="1027" spans="1:15">
      <c r="A1027" t="s">
        <v>2376</v>
      </c>
      <c r="B1027" s="7">
        <v>45720</v>
      </c>
      <c r="C1027" t="s">
        <v>166</v>
      </c>
      <c r="D1027" t="s">
        <v>1107</v>
      </c>
      <c r="E1027" t="s">
        <v>1307</v>
      </c>
      <c r="F1027" t="str">
        <f>[1]Raw_Customer_Dim!$A$2</f>
        <v>CUST1000</v>
      </c>
      <c r="G1027" t="str">
        <f>_xlfn.XLOOKUP(E1027,Store_Dim!A:A,Store_Dim!B:B,"Not Found")</f>
        <v>Bean, Jones and Park</v>
      </c>
      <c r="H1027" t="str">
        <f>_xlfn.XLOOKUP(D1027,Product_Dim!A:A,Product_Dim!C:C,"Not Found")</f>
        <v>Sports</v>
      </c>
      <c r="I1027" t="str">
        <f>_xlfn.XLOOKUP(E1027,Store_Dim!A:A,Store_Dim!C:C,"Not Found")</f>
        <v>West</v>
      </c>
      <c r="J1027" t="str">
        <f>_xlfn.XLOOKUP(C1027,Customer_Dim!A:A,Customer_Dim!B:B,"Not Found")</f>
        <v>Dr. David Smith</v>
      </c>
      <c r="K1027">
        <f>Table511[[#This Row],[Total_Amount]]/(L1027*(1-Table511[[#This Row],[Discount]]))</f>
        <v>1</v>
      </c>
      <c r="L1027" s="5">
        <v>234.06</v>
      </c>
      <c r="M1027">
        <v>0.11</v>
      </c>
      <c r="N1027" t="s">
        <v>1351</v>
      </c>
      <c r="O1027" s="5">
        <v>208.3134</v>
      </c>
    </row>
    <row r="1028" spans="1:15">
      <c r="A1028" t="s">
        <v>2377</v>
      </c>
      <c r="B1028" s="7">
        <v>45278</v>
      </c>
      <c r="C1028" t="s">
        <v>698</v>
      </c>
      <c r="D1028" t="s">
        <v>1235</v>
      </c>
      <c r="E1028" t="s">
        <v>1277</v>
      </c>
      <c r="F1028" t="str">
        <f>[1]Raw_Customer_Dim!$A$2</f>
        <v>CUST1000</v>
      </c>
      <c r="G1028" t="str">
        <f>_xlfn.XLOOKUP(E1028,Store_Dim!A:A,Store_Dim!B:B,"Not Found")</f>
        <v>Rivera-Warner</v>
      </c>
      <c r="H1028" t="str">
        <f>_xlfn.XLOOKUP(D1028,Product_Dim!A:A,Product_Dim!C:C,"Not Found")</f>
        <v>Sports</v>
      </c>
      <c r="I1028" t="str">
        <f>_xlfn.XLOOKUP(E1028,Store_Dim!A:A,Store_Dim!C:C,"Not Found")</f>
        <v>East</v>
      </c>
      <c r="J1028" t="str">
        <f>_xlfn.XLOOKUP(C1028,Customer_Dim!A:A,Customer_Dim!B:B,"Not Found")</f>
        <v>Tiffany Williams</v>
      </c>
      <c r="K1028">
        <f>Table511[[#This Row],[Total_Amount]]/(L1028*(1-Table511[[#This Row],[Discount]]))</f>
        <v>2.0000000000000004</v>
      </c>
      <c r="L1028" s="5">
        <v>773.75</v>
      </c>
      <c r="M1028">
        <v>0.16</v>
      </c>
      <c r="N1028" t="s">
        <v>1351</v>
      </c>
      <c r="O1028" s="5">
        <v>1299.9000000000001</v>
      </c>
    </row>
    <row r="1029" spans="1:15">
      <c r="A1029" t="s">
        <v>2378</v>
      </c>
      <c r="B1029" s="7">
        <v>45422</v>
      </c>
      <c r="C1029" t="s">
        <v>935</v>
      </c>
      <c r="D1029" t="s">
        <v>1177</v>
      </c>
      <c r="E1029" t="s">
        <v>1335</v>
      </c>
      <c r="F1029" t="str">
        <f>[1]Raw_Customer_Dim!$A$2</f>
        <v>CUST1000</v>
      </c>
      <c r="G1029" t="str">
        <f>_xlfn.XLOOKUP(E1029,Store_Dim!A:A,Store_Dim!B:B,"Not Found")</f>
        <v>Guerrero-Schmitt</v>
      </c>
      <c r="H1029" t="str">
        <f>_xlfn.XLOOKUP(D1029,Product_Dim!A:A,Product_Dim!C:C,"Not Found")</f>
        <v>Sports</v>
      </c>
      <c r="I1029" t="str">
        <f>_xlfn.XLOOKUP(E1029,Store_Dim!A:A,Store_Dim!C:C,"Not Found")</f>
        <v>East</v>
      </c>
      <c r="J1029" t="str">
        <f>_xlfn.XLOOKUP(C1029,Customer_Dim!A:A,Customer_Dim!B:B,"Not Found")</f>
        <v>Sharon Simpson</v>
      </c>
      <c r="K1029">
        <f>Table511[[#This Row],[Total_Amount]]/(L1029*(1-Table511[[#This Row],[Discount]]))</f>
        <v>1</v>
      </c>
      <c r="L1029" s="5">
        <v>73.88</v>
      </c>
      <c r="M1029">
        <v>0.04</v>
      </c>
      <c r="N1029" t="s">
        <v>1349</v>
      </c>
      <c r="O1029" s="5">
        <v>70.924799999999991</v>
      </c>
    </row>
    <row r="1030" spans="1:15">
      <c r="A1030" t="s">
        <v>2379</v>
      </c>
      <c r="B1030" s="7">
        <v>45337</v>
      </c>
      <c r="C1030" t="s">
        <v>27</v>
      </c>
      <c r="D1030" t="s">
        <v>1245</v>
      </c>
      <c r="E1030" t="s">
        <v>1335</v>
      </c>
      <c r="F1030" t="str">
        <f>[1]Raw_Customer_Dim!$A$2</f>
        <v>CUST1000</v>
      </c>
      <c r="G1030" t="str">
        <f>_xlfn.XLOOKUP(E1030,Store_Dim!A:A,Store_Dim!B:B,"Not Found")</f>
        <v>Guerrero-Schmitt</v>
      </c>
      <c r="H1030" t="str">
        <f>_xlfn.XLOOKUP(D1030,Product_Dim!A:A,Product_Dim!C:C,"Not Found")</f>
        <v>Home</v>
      </c>
      <c r="I1030" t="str">
        <f>_xlfn.XLOOKUP(E1030,Store_Dim!A:A,Store_Dim!C:C,"Not Found")</f>
        <v>East</v>
      </c>
      <c r="J1030" t="str">
        <f>_xlfn.XLOOKUP(C1030,Customer_Dim!A:A,Customer_Dim!B:B,"Not Found")</f>
        <v>Christine Vaughn</v>
      </c>
      <c r="K1030">
        <f>Table511[[#This Row],[Total_Amount]]/(L1030*(1-Table511[[#This Row],[Discount]]))</f>
        <v>1</v>
      </c>
      <c r="L1030" s="5">
        <v>859.3</v>
      </c>
      <c r="M1030">
        <v>0.16</v>
      </c>
      <c r="N1030" t="s">
        <v>1351</v>
      </c>
      <c r="O1030" s="5">
        <v>721.8119999999999</v>
      </c>
    </row>
    <row r="1031" spans="1:15">
      <c r="A1031" t="s">
        <v>2380</v>
      </c>
      <c r="B1031" s="7">
        <v>45564</v>
      </c>
      <c r="C1031" t="s">
        <v>319</v>
      </c>
      <c r="D1031" t="s">
        <v>1235</v>
      </c>
      <c r="E1031" t="s">
        <v>1301</v>
      </c>
      <c r="F1031" t="str">
        <f>[1]Raw_Customer_Dim!$A$2</f>
        <v>CUST1000</v>
      </c>
      <c r="G1031" t="str">
        <f>_xlfn.XLOOKUP(E1031,Store_Dim!A:A,Store_Dim!B:B,"Not Found")</f>
        <v>Benson-Elliott</v>
      </c>
      <c r="H1031" t="str">
        <f>_xlfn.XLOOKUP(D1031,Product_Dim!A:A,Product_Dim!C:C,"Not Found")</f>
        <v>Sports</v>
      </c>
      <c r="I1031" t="str">
        <f>_xlfn.XLOOKUP(E1031,Store_Dim!A:A,Store_Dim!C:C,"Not Found")</f>
        <v>East</v>
      </c>
      <c r="J1031" t="str">
        <f>_xlfn.XLOOKUP(C1031,Customer_Dim!A:A,Customer_Dim!B:B,"Not Found")</f>
        <v>Jessica Mitchell</v>
      </c>
      <c r="K1031">
        <f>Table511[[#This Row],[Total_Amount]]/(L1031*(1-Table511[[#This Row],[Discount]]))</f>
        <v>3.9999999999999996</v>
      </c>
      <c r="L1031" s="5">
        <v>762.43</v>
      </c>
      <c r="M1031">
        <v>0.05</v>
      </c>
      <c r="N1031" t="s">
        <v>1349</v>
      </c>
      <c r="O1031" s="5">
        <v>2897.233999999999</v>
      </c>
    </row>
    <row r="1032" spans="1:15">
      <c r="A1032" t="s">
        <v>2381</v>
      </c>
      <c r="B1032" s="7">
        <v>45424</v>
      </c>
      <c r="C1032" t="s">
        <v>308</v>
      </c>
      <c r="D1032" t="s">
        <v>1219</v>
      </c>
      <c r="E1032" t="s">
        <v>1277</v>
      </c>
      <c r="F1032" t="str">
        <f>[1]Raw_Customer_Dim!$A$2</f>
        <v>CUST1000</v>
      </c>
      <c r="G1032" t="str">
        <f>_xlfn.XLOOKUP(E1032,Store_Dim!A:A,Store_Dim!B:B,"Not Found")</f>
        <v>Rivera-Warner</v>
      </c>
      <c r="H1032" t="str">
        <f>_xlfn.XLOOKUP(D1032,Product_Dim!A:A,Product_Dim!C:C,"Not Found")</f>
        <v>Sports</v>
      </c>
      <c r="I1032" t="str">
        <f>_xlfn.XLOOKUP(E1032,Store_Dim!A:A,Store_Dim!C:C,"Not Found")</f>
        <v>East</v>
      </c>
      <c r="J1032" t="str">
        <f>_xlfn.XLOOKUP(C1032,Customer_Dim!A:A,Customer_Dim!B:B,"Not Found")</f>
        <v>Donald Lee</v>
      </c>
      <c r="K1032">
        <f>Table511[[#This Row],[Total_Amount]]/(L1032*(1-Table511[[#This Row],[Discount]]))</f>
        <v>1</v>
      </c>
      <c r="L1032" s="5">
        <v>328.51</v>
      </c>
      <c r="M1032">
        <v>0.2</v>
      </c>
      <c r="N1032" t="s">
        <v>1354</v>
      </c>
      <c r="O1032" s="5">
        <v>262.80799999999999</v>
      </c>
    </row>
    <row r="1033" spans="1:15">
      <c r="A1033" t="s">
        <v>2382</v>
      </c>
      <c r="B1033" s="7">
        <v>45719</v>
      </c>
      <c r="C1033" t="s">
        <v>612</v>
      </c>
      <c r="D1033" t="s">
        <v>1161</v>
      </c>
      <c r="E1033" t="s">
        <v>1294</v>
      </c>
      <c r="F1033" t="str">
        <f>[1]Raw_Customer_Dim!$A$2</f>
        <v>CUST1000</v>
      </c>
      <c r="G1033" t="str">
        <f>_xlfn.XLOOKUP(E1033,Store_Dim!A:A,Store_Dim!B:B,"Not Found")</f>
        <v>Alexander Group</v>
      </c>
      <c r="H1033" t="str">
        <f>_xlfn.XLOOKUP(D1033,Product_Dim!A:A,Product_Dim!C:C,"Not Found")</f>
        <v>Sports</v>
      </c>
      <c r="I1033" t="str">
        <f>_xlfn.XLOOKUP(E1033,Store_Dim!A:A,Store_Dim!C:C,"Not Found")</f>
        <v>South</v>
      </c>
      <c r="J1033" t="str">
        <f>_xlfn.XLOOKUP(C1033,Customer_Dim!A:A,Customer_Dim!B:B,"Not Found")</f>
        <v>Sarah Lane</v>
      </c>
      <c r="K1033">
        <f>Table511[[#This Row],[Total_Amount]]/(L1033*(1-Table511[[#This Row],[Discount]]))</f>
        <v>1.0000000000000002</v>
      </c>
      <c r="L1033" s="5">
        <v>34.51</v>
      </c>
      <c r="M1033">
        <v>0.04</v>
      </c>
      <c r="N1033" t="s">
        <v>1354</v>
      </c>
      <c r="O1033" s="5">
        <v>33.129600000000003</v>
      </c>
    </row>
    <row r="1034" spans="1:15">
      <c r="A1034" t="s">
        <v>2383</v>
      </c>
      <c r="B1034" s="7">
        <v>45250</v>
      </c>
      <c r="C1034" t="s">
        <v>269</v>
      </c>
      <c r="D1034" t="s">
        <v>1111</v>
      </c>
      <c r="E1034" t="s">
        <v>1317</v>
      </c>
      <c r="F1034" t="str">
        <f>[1]Raw_Customer_Dim!$A$2</f>
        <v>CUST1000</v>
      </c>
      <c r="G1034" t="str">
        <f>_xlfn.XLOOKUP(E1034,Store_Dim!A:A,Store_Dim!B:B,"Not Found")</f>
        <v>Aguirre-Keller</v>
      </c>
      <c r="H1034" t="str">
        <f>_xlfn.XLOOKUP(D1034,Product_Dim!A:A,Product_Dim!C:C,"Not Found")</f>
        <v>Sports</v>
      </c>
      <c r="I1034" t="str">
        <f>_xlfn.XLOOKUP(E1034,Store_Dim!A:A,Store_Dim!C:C,"Not Found")</f>
        <v>South</v>
      </c>
      <c r="J1034" t="str">
        <f>_xlfn.XLOOKUP(C1034,Customer_Dim!A:A,Customer_Dim!B:B,"Not Found")</f>
        <v>Lance Baker</v>
      </c>
      <c r="K1034">
        <f>Table511[[#This Row],[Total_Amount]]/(L1034*(1-Table511[[#This Row],[Discount]]))</f>
        <v>3</v>
      </c>
      <c r="L1034" s="5">
        <v>663.73</v>
      </c>
      <c r="M1034">
        <v>0.06</v>
      </c>
      <c r="N1034" t="s">
        <v>1354</v>
      </c>
      <c r="O1034" s="5">
        <v>1871.7185999999999</v>
      </c>
    </row>
    <row r="1035" spans="1:15">
      <c r="A1035" t="s">
        <v>2384</v>
      </c>
      <c r="B1035" s="7">
        <v>45479</v>
      </c>
      <c r="C1035" t="s">
        <v>555</v>
      </c>
      <c r="D1035" t="s">
        <v>1139</v>
      </c>
      <c r="E1035" t="s">
        <v>1311</v>
      </c>
      <c r="F1035" t="str">
        <f>[1]Raw_Customer_Dim!$A$2</f>
        <v>CUST1000</v>
      </c>
      <c r="G1035" t="str">
        <f>_xlfn.XLOOKUP(E1035,Store_Dim!A:A,Store_Dim!B:B,"Not Found")</f>
        <v>Moore, Padilla and Butler</v>
      </c>
      <c r="H1035" t="str">
        <f>_xlfn.XLOOKUP(D1035,Product_Dim!A:A,Product_Dim!C:C,"Not Found")</f>
        <v>Home</v>
      </c>
      <c r="I1035" t="str">
        <f>_xlfn.XLOOKUP(E1035,Store_Dim!A:A,Store_Dim!C:C,"Not Found")</f>
        <v>South</v>
      </c>
      <c r="J1035" t="str">
        <f>_xlfn.XLOOKUP(C1035,Customer_Dim!A:A,Customer_Dim!B:B,"Not Found")</f>
        <v>Mary Russell</v>
      </c>
      <c r="K1035">
        <f>Table511[[#This Row],[Total_Amount]]/(L1035*(1-Table511[[#This Row],[Discount]]))</f>
        <v>0.99999999999999989</v>
      </c>
      <c r="L1035" s="5">
        <v>409.41</v>
      </c>
      <c r="M1035">
        <v>0.13</v>
      </c>
      <c r="N1035" t="s">
        <v>1351</v>
      </c>
      <c r="O1035" s="5">
        <v>356.18669999999997</v>
      </c>
    </row>
    <row r="1036" spans="1:15">
      <c r="A1036" t="s">
        <v>2385</v>
      </c>
      <c r="B1036" s="7">
        <v>45727</v>
      </c>
      <c r="C1036" t="s">
        <v>242</v>
      </c>
      <c r="D1036" t="s">
        <v>1229</v>
      </c>
      <c r="E1036" t="s">
        <v>1291</v>
      </c>
      <c r="F1036" t="str">
        <f>[1]Raw_Customer_Dim!$A$2</f>
        <v>CUST1000</v>
      </c>
      <c r="G1036" t="str">
        <f>_xlfn.XLOOKUP(E1036,Store_Dim!A:A,Store_Dim!B:B,"Not Found")</f>
        <v>Johnson-Wright</v>
      </c>
      <c r="H1036" t="str">
        <f>_xlfn.XLOOKUP(D1036,Product_Dim!A:A,Product_Dim!C:C,"Not Found")</f>
        <v>Home</v>
      </c>
      <c r="I1036" t="str">
        <f>_xlfn.XLOOKUP(E1036,Store_Dim!A:A,Store_Dim!C:C,"Not Found")</f>
        <v>North</v>
      </c>
      <c r="J1036" t="str">
        <f>_xlfn.XLOOKUP(C1036,Customer_Dim!A:A,Customer_Dim!B:B,"Not Found")</f>
        <v>Robert Jackson</v>
      </c>
      <c r="K1036">
        <f>Table511[[#This Row],[Total_Amount]]/(L1036*(1-Table511[[#This Row],[Discount]]))</f>
        <v>3.0000000000000004</v>
      </c>
      <c r="L1036" s="5">
        <v>461.03</v>
      </c>
      <c r="M1036">
        <v>0.11</v>
      </c>
      <c r="N1036" t="s">
        <v>1351</v>
      </c>
      <c r="O1036" s="5">
        <v>1230.9501</v>
      </c>
    </row>
    <row r="1037" spans="1:15">
      <c r="A1037" t="s">
        <v>2386</v>
      </c>
      <c r="B1037" s="7">
        <v>45394</v>
      </c>
      <c r="C1037" t="s">
        <v>799</v>
      </c>
      <c r="D1037" t="s">
        <v>1111</v>
      </c>
      <c r="E1037" t="s">
        <v>1324</v>
      </c>
      <c r="F1037" t="str">
        <f>[1]Raw_Customer_Dim!$A$2</f>
        <v>CUST1000</v>
      </c>
      <c r="G1037" t="str">
        <f>_xlfn.XLOOKUP(E1037,Store_Dim!A:A,Store_Dim!B:B,"Not Found")</f>
        <v>Mcdonald Inc</v>
      </c>
      <c r="H1037" t="str">
        <f>_xlfn.XLOOKUP(D1037,Product_Dim!A:A,Product_Dim!C:C,"Not Found")</f>
        <v>Sports</v>
      </c>
      <c r="I1037" t="str">
        <f>_xlfn.XLOOKUP(E1037,Store_Dim!A:A,Store_Dim!C:C,"Not Found")</f>
        <v>South</v>
      </c>
      <c r="J1037" t="str">
        <f>_xlfn.XLOOKUP(C1037,Customer_Dim!A:A,Customer_Dim!B:B,"Not Found")</f>
        <v>Miranda King</v>
      </c>
      <c r="K1037">
        <f>Table511[[#This Row],[Total_Amount]]/(L1037*(1-Table511[[#This Row],[Discount]]))</f>
        <v>2</v>
      </c>
      <c r="L1037" s="5">
        <v>760.14</v>
      </c>
      <c r="M1037">
        <v>0.02</v>
      </c>
      <c r="N1037" t="s">
        <v>1354</v>
      </c>
      <c r="O1037" s="5">
        <v>1489.8743999999999</v>
      </c>
    </row>
    <row r="1038" spans="1:15">
      <c r="A1038" t="s">
        <v>2387</v>
      </c>
      <c r="B1038" s="7">
        <v>45773</v>
      </c>
      <c r="C1038" t="s">
        <v>620</v>
      </c>
      <c r="D1038" t="s">
        <v>1119</v>
      </c>
      <c r="E1038" t="s">
        <v>1282</v>
      </c>
      <c r="F1038" t="str">
        <f>[1]Raw_Customer_Dim!$A$2</f>
        <v>CUST1000</v>
      </c>
      <c r="G1038" t="str">
        <f>_xlfn.XLOOKUP(E1038,Store_Dim!A:A,Store_Dim!B:B,"Not Found")</f>
        <v>Martinez, Adkins and Johnson</v>
      </c>
      <c r="H1038" t="str">
        <f>_xlfn.XLOOKUP(D1038,Product_Dim!A:A,Product_Dim!C:C,"Not Found")</f>
        <v>Clothing</v>
      </c>
      <c r="I1038" t="str">
        <f>_xlfn.XLOOKUP(E1038,Store_Dim!A:A,Store_Dim!C:C,"Not Found")</f>
        <v>North</v>
      </c>
      <c r="J1038" t="str">
        <f>_xlfn.XLOOKUP(C1038,Customer_Dim!A:A,Customer_Dim!B:B,"Not Found")</f>
        <v>Stephen Fowler</v>
      </c>
      <c r="K1038">
        <f>Table511[[#This Row],[Total_Amount]]/(L1038*(1-Table511[[#This Row],[Discount]]))</f>
        <v>3</v>
      </c>
      <c r="L1038" s="5">
        <v>688.76</v>
      </c>
      <c r="M1038">
        <v>0.12</v>
      </c>
      <c r="N1038" t="s">
        <v>1351</v>
      </c>
      <c r="O1038" s="5">
        <v>1818.3263999999999</v>
      </c>
    </row>
    <row r="1039" spans="1:15">
      <c r="A1039" t="s">
        <v>2388</v>
      </c>
      <c r="B1039" s="7">
        <v>45779</v>
      </c>
      <c r="C1039" t="s">
        <v>379</v>
      </c>
      <c r="D1039" t="s">
        <v>1159</v>
      </c>
      <c r="E1039" t="s">
        <v>1311</v>
      </c>
      <c r="F1039" t="str">
        <f>[1]Raw_Customer_Dim!$A$2</f>
        <v>CUST1000</v>
      </c>
      <c r="G1039" t="str">
        <f>_xlfn.XLOOKUP(E1039,Store_Dim!A:A,Store_Dim!B:B,"Not Found")</f>
        <v>Moore, Padilla and Butler</v>
      </c>
      <c r="H1039" t="str">
        <f>_xlfn.XLOOKUP(D1039,Product_Dim!A:A,Product_Dim!C:C,"Not Found")</f>
        <v>Electronics</v>
      </c>
      <c r="I1039" t="str">
        <f>_xlfn.XLOOKUP(E1039,Store_Dim!A:A,Store_Dim!C:C,"Not Found")</f>
        <v>South</v>
      </c>
      <c r="J1039" t="str">
        <f>_xlfn.XLOOKUP(C1039,Customer_Dim!A:A,Customer_Dim!B:B,"Not Found")</f>
        <v>Brian Choi</v>
      </c>
      <c r="K1039">
        <f>Table511[[#This Row],[Total_Amount]]/(L1039*(1-Table511[[#This Row],[Discount]]))</f>
        <v>2</v>
      </c>
      <c r="L1039" s="5">
        <v>257.77999999999997</v>
      </c>
      <c r="M1039">
        <v>0.05</v>
      </c>
      <c r="N1039" t="s">
        <v>1349</v>
      </c>
      <c r="O1039" s="5">
        <v>489.78199999999993</v>
      </c>
    </row>
    <row r="1040" spans="1:15">
      <c r="A1040" t="s">
        <v>2389</v>
      </c>
      <c r="B1040" s="7">
        <v>45400</v>
      </c>
      <c r="C1040" t="s">
        <v>147</v>
      </c>
      <c r="D1040" t="s">
        <v>1179</v>
      </c>
      <c r="E1040" t="s">
        <v>1304</v>
      </c>
      <c r="F1040" t="str">
        <f>[1]Raw_Customer_Dim!$A$2</f>
        <v>CUST1000</v>
      </c>
      <c r="G1040" t="str">
        <f>_xlfn.XLOOKUP(E1040,Store_Dim!A:A,Store_Dim!B:B,"Not Found")</f>
        <v>Martinez-Mullins</v>
      </c>
      <c r="H1040" t="str">
        <f>_xlfn.XLOOKUP(D1040,Product_Dim!A:A,Product_Dim!C:C,"Not Found")</f>
        <v>Clothing</v>
      </c>
      <c r="I1040" t="str">
        <f>_xlfn.XLOOKUP(E1040,Store_Dim!A:A,Store_Dim!C:C,"Not Found")</f>
        <v>South</v>
      </c>
      <c r="J1040" t="str">
        <f>_xlfn.XLOOKUP(C1040,Customer_Dim!A:A,Customer_Dim!B:B,"Not Found")</f>
        <v>Debra Liu</v>
      </c>
      <c r="K1040">
        <f>Table511[[#This Row],[Total_Amount]]/(L1040*(1-Table511[[#This Row],[Discount]]))</f>
        <v>2</v>
      </c>
      <c r="L1040" s="5">
        <v>314.29000000000002</v>
      </c>
      <c r="M1040">
        <v>0.19</v>
      </c>
      <c r="N1040" t="s">
        <v>1354</v>
      </c>
      <c r="O1040" s="5">
        <v>509.14980000000008</v>
      </c>
    </row>
    <row r="1041" spans="1:15">
      <c r="A1041" t="s">
        <v>2390</v>
      </c>
      <c r="B1041" s="7">
        <v>45520</v>
      </c>
      <c r="C1041" t="s">
        <v>371</v>
      </c>
      <c r="D1041" t="s">
        <v>1217</v>
      </c>
      <c r="E1041" t="s">
        <v>1324</v>
      </c>
      <c r="F1041" t="str">
        <f>[1]Raw_Customer_Dim!$A$2</f>
        <v>CUST1000</v>
      </c>
      <c r="G1041" t="str">
        <f>_xlfn.XLOOKUP(E1041,Store_Dim!A:A,Store_Dim!B:B,"Not Found")</f>
        <v>Mcdonald Inc</v>
      </c>
      <c r="H1041" t="str">
        <f>_xlfn.XLOOKUP(D1041,Product_Dim!A:A,Product_Dim!C:C,"Not Found")</f>
        <v>Sports</v>
      </c>
      <c r="I1041" t="str">
        <f>_xlfn.XLOOKUP(E1041,Store_Dim!A:A,Store_Dim!C:C,"Not Found")</f>
        <v>South</v>
      </c>
      <c r="J1041" t="str">
        <f>_xlfn.XLOOKUP(C1041,Customer_Dim!A:A,Customer_Dim!B:B,"Not Found")</f>
        <v>Curtis Haynes</v>
      </c>
      <c r="K1041">
        <f>Table511[[#This Row],[Total_Amount]]/(L1041*(1-Table511[[#This Row],[Discount]]))</f>
        <v>3</v>
      </c>
      <c r="L1041" s="5">
        <v>336.09</v>
      </c>
      <c r="M1041">
        <v>0.01</v>
      </c>
      <c r="N1041" t="s">
        <v>1351</v>
      </c>
      <c r="O1041" s="5">
        <v>998.18729999999994</v>
      </c>
    </row>
    <row r="1042" spans="1:15">
      <c r="A1042" t="s">
        <v>2391</v>
      </c>
      <c r="B1042" s="7">
        <v>45861</v>
      </c>
      <c r="C1042" t="s">
        <v>18</v>
      </c>
      <c r="D1042" t="s">
        <v>1223</v>
      </c>
      <c r="E1042" t="s">
        <v>1332</v>
      </c>
      <c r="F1042" t="str">
        <f>[1]Raw_Customer_Dim!$A$2</f>
        <v>CUST1000</v>
      </c>
      <c r="G1042" t="str">
        <f>_xlfn.XLOOKUP(E1042,Store_Dim!A:A,Store_Dim!B:B,"Not Found")</f>
        <v>Holloway Ltd</v>
      </c>
      <c r="H1042" t="str">
        <f>_xlfn.XLOOKUP(D1042,Product_Dim!A:A,Product_Dim!C:C,"Not Found")</f>
        <v>Clothing</v>
      </c>
      <c r="I1042" t="str">
        <f>_xlfn.XLOOKUP(E1042,Store_Dim!A:A,Store_Dim!C:C,"Not Found")</f>
        <v>North</v>
      </c>
      <c r="J1042" t="str">
        <f>_xlfn.XLOOKUP(C1042,Customer_Dim!A:A,Customer_Dim!B:B,"Not Found")</f>
        <v>dr. Benjamin Price</v>
      </c>
      <c r="K1042">
        <f>Table511[[#This Row],[Total_Amount]]/(L1042*(1-Table511[[#This Row],[Discount]]))</f>
        <v>3.0000000000000009</v>
      </c>
      <c r="L1042" s="5">
        <v>202.07</v>
      </c>
      <c r="M1042">
        <v>0.23</v>
      </c>
      <c r="N1042" t="s">
        <v>1351</v>
      </c>
      <c r="O1042" s="5">
        <v>466.78170000000011</v>
      </c>
    </row>
    <row r="1043" spans="1:15">
      <c r="A1043" t="s">
        <v>2392</v>
      </c>
      <c r="B1043" s="7">
        <v>45781</v>
      </c>
      <c r="C1043" t="s">
        <v>684</v>
      </c>
      <c r="D1043" t="s">
        <v>1107</v>
      </c>
      <c r="E1043" t="s">
        <v>1307</v>
      </c>
      <c r="F1043" t="str">
        <f>[1]Raw_Customer_Dim!$A$2</f>
        <v>CUST1000</v>
      </c>
      <c r="G1043" t="str">
        <f>_xlfn.XLOOKUP(E1043,Store_Dim!A:A,Store_Dim!B:B,"Not Found")</f>
        <v>Bean, Jones and Park</v>
      </c>
      <c r="H1043" t="str">
        <f>_xlfn.XLOOKUP(D1043,Product_Dim!A:A,Product_Dim!C:C,"Not Found")</f>
        <v>Sports</v>
      </c>
      <c r="I1043" t="str">
        <f>_xlfn.XLOOKUP(E1043,Store_Dim!A:A,Store_Dim!C:C,"Not Found")</f>
        <v>West</v>
      </c>
      <c r="J1043" t="str">
        <f>_xlfn.XLOOKUP(C1043,Customer_Dim!A:A,Customer_Dim!B:B,"Not Found")</f>
        <v>Kara Dodson</v>
      </c>
      <c r="K1043">
        <f>Table511[[#This Row],[Total_Amount]]/(L1043*(1-Table511[[#This Row],[Discount]]))</f>
        <v>2</v>
      </c>
      <c r="L1043" s="5">
        <v>485.25</v>
      </c>
      <c r="M1043">
        <v>0.28000000000000003</v>
      </c>
      <c r="N1043" t="s">
        <v>1349</v>
      </c>
      <c r="O1043" s="5">
        <v>698.76</v>
      </c>
    </row>
    <row r="1044" spans="1:15">
      <c r="A1044" t="s">
        <v>2393</v>
      </c>
      <c r="B1044" s="7">
        <v>45906</v>
      </c>
      <c r="C1044" t="s">
        <v>403</v>
      </c>
      <c r="D1044" t="s">
        <v>1223</v>
      </c>
      <c r="E1044" t="s">
        <v>1314</v>
      </c>
      <c r="F1044" t="str">
        <f>[1]Raw_Customer_Dim!$A$2</f>
        <v>CUST1000</v>
      </c>
      <c r="G1044" t="str">
        <f>_xlfn.XLOOKUP(E1044,Store_Dim!A:A,Store_Dim!B:B,"Not Found")</f>
        <v>Hill, Wagner and Ballard</v>
      </c>
      <c r="H1044" t="str">
        <f>_xlfn.XLOOKUP(D1044,Product_Dim!A:A,Product_Dim!C:C,"Not Found")</f>
        <v>Clothing</v>
      </c>
      <c r="I1044" t="str">
        <f>_xlfn.XLOOKUP(E1044,Store_Dim!A:A,Store_Dim!C:C,"Not Found")</f>
        <v>East</v>
      </c>
      <c r="J1044" t="str">
        <f>_xlfn.XLOOKUP(C1044,Customer_Dim!A:A,Customer_Dim!B:B,"Not Found")</f>
        <v>Amy Wilson</v>
      </c>
      <c r="K1044">
        <f>Table511[[#This Row],[Total_Amount]]/(L1044*(1-Table511[[#This Row],[Discount]]))</f>
        <v>4</v>
      </c>
      <c r="L1044" s="5">
        <v>552.38</v>
      </c>
      <c r="M1044">
        <v>0.1</v>
      </c>
      <c r="N1044" t="s">
        <v>1351</v>
      </c>
      <c r="O1044" s="5">
        <v>1988.568</v>
      </c>
    </row>
    <row r="1045" spans="1:15">
      <c r="A1045" t="s">
        <v>2394</v>
      </c>
      <c r="B1045" s="7">
        <v>45251</v>
      </c>
      <c r="C1045" t="s">
        <v>273</v>
      </c>
      <c r="D1045" t="s">
        <v>1189</v>
      </c>
      <c r="E1045" t="s">
        <v>1332</v>
      </c>
      <c r="F1045" t="str">
        <f>[1]Raw_Customer_Dim!$A$2</f>
        <v>CUST1000</v>
      </c>
      <c r="G1045" t="str">
        <f>_xlfn.XLOOKUP(E1045,Store_Dim!A:A,Store_Dim!B:B,"Not Found")</f>
        <v>Holloway Ltd</v>
      </c>
      <c r="H1045" t="str">
        <f>_xlfn.XLOOKUP(D1045,Product_Dim!A:A,Product_Dim!C:C,"Not Found")</f>
        <v>Clothing</v>
      </c>
      <c r="I1045" t="str">
        <f>_xlfn.XLOOKUP(E1045,Store_Dim!A:A,Store_Dim!C:C,"Not Found")</f>
        <v>North</v>
      </c>
      <c r="J1045" t="str">
        <f>_xlfn.XLOOKUP(C1045,Customer_Dim!A:A,Customer_Dim!B:B,"Not Found")</f>
        <v>Erica Carney</v>
      </c>
      <c r="K1045">
        <f>Table511[[#This Row],[Total_Amount]]/(L1045*(1-Table511[[#This Row],[Discount]]))</f>
        <v>4</v>
      </c>
      <c r="L1045" s="5">
        <v>377.26</v>
      </c>
      <c r="M1045">
        <v>0.22</v>
      </c>
      <c r="N1045" t="s">
        <v>1354</v>
      </c>
      <c r="O1045" s="5">
        <v>1177.0512000000001</v>
      </c>
    </row>
    <row r="1046" spans="1:15">
      <c r="A1046" t="s">
        <v>2395</v>
      </c>
      <c r="B1046" s="7">
        <v>45257</v>
      </c>
      <c r="C1046" t="s">
        <v>150</v>
      </c>
      <c r="D1046" t="s">
        <v>1167</v>
      </c>
      <c r="E1046" t="s">
        <v>1338</v>
      </c>
      <c r="F1046" t="str">
        <f>[1]Raw_Customer_Dim!$A$2</f>
        <v>CUST1000</v>
      </c>
      <c r="G1046" t="str">
        <f>_xlfn.XLOOKUP(E1046,Store_Dim!A:A,Store_Dim!B:B,"Not Found")</f>
        <v>Mann-Austin</v>
      </c>
      <c r="H1046" t="str">
        <f>_xlfn.XLOOKUP(D1046,Product_Dim!A:A,Product_Dim!C:C,"Not Found")</f>
        <v>Beauty</v>
      </c>
      <c r="I1046" t="str">
        <f>_xlfn.XLOOKUP(E1046,Store_Dim!A:A,Store_Dim!C:C,"Not Found")</f>
        <v>East</v>
      </c>
      <c r="J1046" t="str">
        <f>_xlfn.XLOOKUP(C1046,Customer_Dim!A:A,Customer_Dim!B:B,"Not Found")</f>
        <v>Sharon Brown</v>
      </c>
      <c r="K1046">
        <f>Table511[[#This Row],[Total_Amount]]/(L1046*(1-Table511[[#This Row],[Discount]]))</f>
        <v>4</v>
      </c>
      <c r="L1046" s="5">
        <v>189.07</v>
      </c>
      <c r="M1046">
        <v>0.1</v>
      </c>
      <c r="N1046" t="s">
        <v>1354</v>
      </c>
      <c r="O1046" s="5">
        <v>680.65200000000004</v>
      </c>
    </row>
    <row r="1047" spans="1:15">
      <c r="A1047" t="s">
        <v>2396</v>
      </c>
      <c r="B1047" s="7">
        <v>45818</v>
      </c>
      <c r="C1047" t="s">
        <v>1059</v>
      </c>
      <c r="D1047" t="s">
        <v>1133</v>
      </c>
      <c r="E1047" t="s">
        <v>1294</v>
      </c>
      <c r="F1047" t="str">
        <f>[1]Raw_Customer_Dim!$A$2</f>
        <v>CUST1000</v>
      </c>
      <c r="G1047" t="str">
        <f>_xlfn.XLOOKUP(E1047,Store_Dim!A:A,Store_Dim!B:B,"Not Found")</f>
        <v>Alexander Group</v>
      </c>
      <c r="H1047" t="str">
        <f>_xlfn.XLOOKUP(D1047,Product_Dim!A:A,Product_Dim!C:C,"Not Found")</f>
        <v>Home</v>
      </c>
      <c r="I1047" t="str">
        <f>_xlfn.XLOOKUP(E1047,Store_Dim!A:A,Store_Dim!C:C,"Not Found")</f>
        <v>South</v>
      </c>
      <c r="J1047" t="str">
        <f>_xlfn.XLOOKUP(C1047,Customer_Dim!A:A,Customer_Dim!B:B,"Not Found")</f>
        <v>Not Found</v>
      </c>
      <c r="K1047">
        <f>Table511[[#This Row],[Total_Amount]]/(L1047*(1-Table511[[#This Row],[Discount]]))</f>
        <v>3</v>
      </c>
      <c r="L1047" s="5">
        <v>272.27</v>
      </c>
      <c r="M1047">
        <v>0.01</v>
      </c>
      <c r="N1047" t="s">
        <v>1349</v>
      </c>
      <c r="O1047" s="5">
        <v>808.64189999999996</v>
      </c>
    </row>
    <row r="1048" spans="1:15">
      <c r="A1048" t="s">
        <v>2397</v>
      </c>
      <c r="B1048" s="7">
        <v>45806</v>
      </c>
      <c r="C1048" t="s">
        <v>591</v>
      </c>
      <c r="D1048" t="s">
        <v>1257</v>
      </c>
      <c r="E1048" t="s">
        <v>1317</v>
      </c>
      <c r="F1048" t="str">
        <f>[1]Raw_Customer_Dim!$A$2</f>
        <v>CUST1000</v>
      </c>
      <c r="G1048" t="str">
        <f>_xlfn.XLOOKUP(E1048,Store_Dim!A:A,Store_Dim!B:B,"Not Found")</f>
        <v>Aguirre-Keller</v>
      </c>
      <c r="H1048" t="str">
        <f>_xlfn.XLOOKUP(D1048,Product_Dim!A:A,Product_Dim!C:C,"Not Found")</f>
        <v>Home</v>
      </c>
      <c r="I1048" t="str">
        <f>_xlfn.XLOOKUP(E1048,Store_Dim!A:A,Store_Dim!C:C,"Not Found")</f>
        <v>South</v>
      </c>
      <c r="J1048" t="str">
        <f>_xlfn.XLOOKUP(C1048,Customer_Dim!A:A,Customer_Dim!B:B,"Not Found")</f>
        <v>Matthew Payne</v>
      </c>
      <c r="K1048">
        <f>Table511[[#This Row],[Total_Amount]]/(L1048*(1-Table511[[#This Row],[Discount]]))</f>
        <v>1</v>
      </c>
      <c r="L1048" s="5">
        <v>209.39</v>
      </c>
      <c r="M1048">
        <v>0.28000000000000003</v>
      </c>
      <c r="N1048" t="s">
        <v>1351</v>
      </c>
      <c r="O1048" s="5">
        <v>150.76079999999999</v>
      </c>
    </row>
    <row r="1049" spans="1:15">
      <c r="A1049" t="s">
        <v>2398</v>
      </c>
      <c r="B1049" s="7">
        <v>45288</v>
      </c>
      <c r="C1049" t="s">
        <v>150</v>
      </c>
      <c r="D1049" t="s">
        <v>1233</v>
      </c>
      <c r="E1049" t="s">
        <v>1311</v>
      </c>
      <c r="F1049" t="str">
        <f>[1]Raw_Customer_Dim!$A$2</f>
        <v>CUST1000</v>
      </c>
      <c r="G1049" t="str">
        <f>_xlfn.XLOOKUP(E1049,Store_Dim!A:A,Store_Dim!B:B,"Not Found")</f>
        <v>Moore, Padilla and Butler</v>
      </c>
      <c r="H1049" t="str">
        <f>_xlfn.XLOOKUP(D1049,Product_Dim!A:A,Product_Dim!C:C,"Not Found")</f>
        <v>Home</v>
      </c>
      <c r="I1049" t="str">
        <f>_xlfn.XLOOKUP(E1049,Store_Dim!A:A,Store_Dim!C:C,"Not Found")</f>
        <v>South</v>
      </c>
      <c r="J1049" t="str">
        <f>_xlfn.XLOOKUP(C1049,Customer_Dim!A:A,Customer_Dim!B:B,"Not Found")</f>
        <v>Sharon Brown</v>
      </c>
      <c r="K1049">
        <f>Table511[[#This Row],[Total_Amount]]/(L1049*(1-Table511[[#This Row],[Discount]]))</f>
        <v>1</v>
      </c>
      <c r="L1049" s="5">
        <v>813.87</v>
      </c>
      <c r="M1049">
        <v>0.23</v>
      </c>
      <c r="N1049" t="s">
        <v>1349</v>
      </c>
      <c r="O1049" s="5">
        <v>626.67989999999998</v>
      </c>
    </row>
    <row r="1050" spans="1:15">
      <c r="A1050" t="s">
        <v>2399</v>
      </c>
      <c r="B1050" s="7">
        <v>45783</v>
      </c>
      <c r="C1050" t="s">
        <v>577</v>
      </c>
      <c r="D1050" t="s">
        <v>1129</v>
      </c>
      <c r="E1050" t="s">
        <v>1277</v>
      </c>
      <c r="F1050" t="str">
        <f>[1]Raw_Customer_Dim!$A$2</f>
        <v>CUST1000</v>
      </c>
      <c r="G1050" t="str">
        <f>_xlfn.XLOOKUP(E1050,Store_Dim!A:A,Store_Dim!B:B,"Not Found")</f>
        <v>Rivera-Warner</v>
      </c>
      <c r="H1050" t="str">
        <f>_xlfn.XLOOKUP(D1050,Product_Dim!A:A,Product_Dim!C:C,"Not Found")</f>
        <v>Sports</v>
      </c>
      <c r="I1050" t="str">
        <f>_xlfn.XLOOKUP(E1050,Store_Dim!A:A,Store_Dim!C:C,"Not Found")</f>
        <v>East</v>
      </c>
      <c r="J1050" t="str">
        <f>_xlfn.XLOOKUP(C1050,Customer_Dim!A:A,Customer_Dim!B:B,"Not Found")</f>
        <v>Christopher David</v>
      </c>
      <c r="K1050">
        <f>Table511[[#This Row],[Total_Amount]]/(L1050*(1-Table511[[#This Row],[Discount]]))</f>
        <v>1.0000000000000002</v>
      </c>
      <c r="L1050" s="5">
        <v>143.69999999999999</v>
      </c>
      <c r="M1050">
        <v>0.19</v>
      </c>
      <c r="N1050" t="s">
        <v>1351</v>
      </c>
      <c r="O1050" s="5">
        <v>116.39700000000001</v>
      </c>
    </row>
    <row r="1051" spans="1:15">
      <c r="A1051" t="s">
        <v>2400</v>
      </c>
      <c r="B1051" s="7">
        <v>45385</v>
      </c>
      <c r="C1051" t="s">
        <v>1002</v>
      </c>
      <c r="D1051" t="s">
        <v>1165</v>
      </c>
      <c r="E1051" t="s">
        <v>1282</v>
      </c>
      <c r="F1051" t="str">
        <f>[1]Raw_Customer_Dim!$A$2</f>
        <v>CUST1000</v>
      </c>
      <c r="G1051" t="str">
        <f>_xlfn.XLOOKUP(E1051,Store_Dim!A:A,Store_Dim!B:B,"Not Found")</f>
        <v>Martinez, Adkins and Johnson</v>
      </c>
      <c r="H1051" t="str">
        <f>_xlfn.XLOOKUP(D1051,Product_Dim!A:A,Product_Dim!C:C,"Not Found")</f>
        <v>Clothing</v>
      </c>
      <c r="I1051" t="str">
        <f>_xlfn.XLOOKUP(E1051,Store_Dim!A:A,Store_Dim!C:C,"Not Found")</f>
        <v>North</v>
      </c>
      <c r="J1051" t="str">
        <f>_xlfn.XLOOKUP(C1051,Customer_Dim!A:A,Customer_Dim!B:B,"Not Found")</f>
        <v>Manuel Fisher</v>
      </c>
      <c r="K1051">
        <f>Table511[[#This Row],[Total_Amount]]/(L1051*(1-Table511[[#This Row],[Discount]]))</f>
        <v>4</v>
      </c>
      <c r="L1051" s="5">
        <v>837.34</v>
      </c>
      <c r="M1051">
        <v>0.05</v>
      </c>
      <c r="N1051" t="s">
        <v>1351</v>
      </c>
      <c r="O1051" s="5">
        <v>3181.8919999999998</v>
      </c>
    </row>
    <row r="1052" spans="1:15">
      <c r="A1052" t="s">
        <v>2401</v>
      </c>
      <c r="B1052" s="7">
        <v>45878</v>
      </c>
      <c r="C1052" t="s">
        <v>300</v>
      </c>
      <c r="D1052" t="s">
        <v>1103</v>
      </c>
      <c r="E1052" t="s">
        <v>1338</v>
      </c>
      <c r="F1052" t="str">
        <f>[1]Raw_Customer_Dim!$A$2</f>
        <v>CUST1000</v>
      </c>
      <c r="G1052" t="str">
        <f>_xlfn.XLOOKUP(E1052,Store_Dim!A:A,Store_Dim!B:B,"Not Found")</f>
        <v>Mann-Austin</v>
      </c>
      <c r="H1052" t="str">
        <f>_xlfn.XLOOKUP(D1052,Product_Dim!A:A,Product_Dim!C:C,"Not Found")</f>
        <v>Electronics</v>
      </c>
      <c r="I1052" t="str">
        <f>_xlfn.XLOOKUP(E1052,Store_Dim!A:A,Store_Dim!C:C,"Not Found")</f>
        <v>East</v>
      </c>
      <c r="J1052" t="str">
        <f>_xlfn.XLOOKUP(C1052,Customer_Dim!A:A,Customer_Dim!B:B,"Not Found")</f>
        <v>Jacob Hopkins</v>
      </c>
      <c r="K1052">
        <f>Table511[[#This Row],[Total_Amount]]/(L1052*(1-Table511[[#This Row],[Discount]]))</f>
        <v>1.0000000000000002</v>
      </c>
      <c r="L1052" s="5">
        <v>151.66</v>
      </c>
      <c r="M1052">
        <v>0.16</v>
      </c>
      <c r="N1052" t="s">
        <v>1354</v>
      </c>
      <c r="O1052" s="5">
        <v>127.3944</v>
      </c>
    </row>
    <row r="1053" spans="1:15">
      <c r="A1053" t="s">
        <v>2402</v>
      </c>
      <c r="B1053" s="7">
        <v>45720</v>
      </c>
      <c r="C1053" t="s">
        <v>1059</v>
      </c>
      <c r="D1053" t="s">
        <v>1161</v>
      </c>
      <c r="E1053" t="s">
        <v>1307</v>
      </c>
      <c r="F1053" t="str">
        <f>[1]Raw_Customer_Dim!$A$2</f>
        <v>CUST1000</v>
      </c>
      <c r="G1053" t="str">
        <f>_xlfn.XLOOKUP(E1053,Store_Dim!A:A,Store_Dim!B:B,"Not Found")</f>
        <v>Bean, Jones and Park</v>
      </c>
      <c r="H1053" t="str">
        <f>_xlfn.XLOOKUP(D1053,Product_Dim!A:A,Product_Dim!C:C,"Not Found")</f>
        <v>Sports</v>
      </c>
      <c r="I1053" t="str">
        <f>_xlfn.XLOOKUP(E1053,Store_Dim!A:A,Store_Dim!C:C,"Not Found")</f>
        <v>West</v>
      </c>
      <c r="J1053" t="str">
        <f>_xlfn.XLOOKUP(C1053,Customer_Dim!A:A,Customer_Dim!B:B,"Not Found")</f>
        <v>Not Found</v>
      </c>
      <c r="K1053">
        <f>Table511[[#This Row],[Total_Amount]]/(L1053*(1-Table511[[#This Row],[Discount]]))</f>
        <v>3.0000000000000004</v>
      </c>
      <c r="L1053" s="5">
        <v>961.4</v>
      </c>
      <c r="M1053">
        <v>0.02</v>
      </c>
      <c r="N1053" t="s">
        <v>1351</v>
      </c>
      <c r="O1053" s="5">
        <v>2826.5160000000001</v>
      </c>
    </row>
    <row r="1054" spans="1:15">
      <c r="A1054" t="s">
        <v>2403</v>
      </c>
      <c r="B1054" s="7">
        <v>45503</v>
      </c>
      <c r="C1054" t="s">
        <v>803</v>
      </c>
      <c r="D1054" t="s">
        <v>1221</v>
      </c>
      <c r="E1054" t="s">
        <v>1335</v>
      </c>
      <c r="F1054" t="str">
        <f>[1]Raw_Customer_Dim!$A$2</f>
        <v>CUST1000</v>
      </c>
      <c r="G1054" t="str">
        <f>_xlfn.XLOOKUP(E1054,Store_Dim!A:A,Store_Dim!B:B,"Not Found")</f>
        <v>Guerrero-Schmitt</v>
      </c>
      <c r="H1054" t="str">
        <f>_xlfn.XLOOKUP(D1054,Product_Dim!A:A,Product_Dim!C:C,"Not Found")</f>
        <v>Electronics</v>
      </c>
      <c r="I1054" t="str">
        <f>_xlfn.XLOOKUP(E1054,Store_Dim!A:A,Store_Dim!C:C,"Not Found")</f>
        <v>East</v>
      </c>
      <c r="J1054" t="str">
        <f>_xlfn.XLOOKUP(C1054,Customer_Dim!A:A,Customer_Dim!B:B,"Not Found")</f>
        <v>James Holloway Jr.</v>
      </c>
      <c r="K1054">
        <f>Table511[[#This Row],[Total_Amount]]/(L1054*(1-Table511[[#This Row],[Discount]]))</f>
        <v>3.9999999999999996</v>
      </c>
      <c r="L1054" s="5">
        <v>475.98</v>
      </c>
      <c r="M1054">
        <v>0.19</v>
      </c>
      <c r="N1054" t="s">
        <v>1351</v>
      </c>
      <c r="O1054" s="5">
        <v>1542.1751999999999</v>
      </c>
    </row>
    <row r="1055" spans="1:15">
      <c r="A1055" t="s">
        <v>2404</v>
      </c>
      <c r="B1055" s="7">
        <v>45551</v>
      </c>
      <c r="C1055" t="s">
        <v>823</v>
      </c>
      <c r="D1055" t="s">
        <v>1149</v>
      </c>
      <c r="E1055" t="s">
        <v>1326</v>
      </c>
      <c r="F1055" t="str">
        <f>[1]Raw_Customer_Dim!$A$2</f>
        <v>CUST1000</v>
      </c>
      <c r="G1055" t="str">
        <f>_xlfn.XLOOKUP(E1055,Store_Dim!A:A,Store_Dim!B:B,"Not Found")</f>
        <v>Shelton PLC</v>
      </c>
      <c r="H1055" t="str">
        <f>_xlfn.XLOOKUP(D1055,Product_Dim!A:A,Product_Dim!C:C,"Not Found")</f>
        <v>Sports</v>
      </c>
      <c r="I1055" t="str">
        <f>_xlfn.XLOOKUP(E1055,Store_Dim!A:A,Store_Dim!C:C,"Not Found")</f>
        <v>North</v>
      </c>
      <c r="J1055" t="str">
        <f>_xlfn.XLOOKUP(C1055,Customer_Dim!A:A,Customer_Dim!B:B,"Not Found")</f>
        <v>Shelley Ponce</v>
      </c>
      <c r="K1055">
        <f>Table511[[#This Row],[Total_Amount]]/(L1055*(1-Table511[[#This Row],[Discount]]))</f>
        <v>4.0000000000000009</v>
      </c>
      <c r="L1055" s="5">
        <v>132.88999999999999</v>
      </c>
      <c r="M1055">
        <v>0.12</v>
      </c>
      <c r="N1055" t="s">
        <v>1349</v>
      </c>
      <c r="O1055" s="5">
        <v>467.77280000000002</v>
      </c>
    </row>
    <row r="1056" spans="1:15">
      <c r="A1056" t="s">
        <v>2405</v>
      </c>
      <c r="B1056" s="7">
        <v>45850</v>
      </c>
      <c r="C1056" t="s">
        <v>937</v>
      </c>
      <c r="D1056" t="s">
        <v>1143</v>
      </c>
      <c r="E1056" t="s">
        <v>1319</v>
      </c>
      <c r="F1056" t="str">
        <f>[1]Raw_Customer_Dim!$A$2</f>
        <v>CUST1000</v>
      </c>
      <c r="G1056" t="str">
        <f>_xlfn.XLOOKUP(E1056,Store_Dim!A:A,Store_Dim!B:B,"Not Found")</f>
        <v>Thomas, Bridges and Harris</v>
      </c>
      <c r="H1056" t="str">
        <f>_xlfn.XLOOKUP(D1056,Product_Dim!A:A,Product_Dim!C:C,"Not Found")</f>
        <v>Home</v>
      </c>
      <c r="I1056" t="str">
        <f>_xlfn.XLOOKUP(E1056,Store_Dim!A:A,Store_Dim!C:C,"Not Found")</f>
        <v>North</v>
      </c>
      <c r="J1056" t="str">
        <f>_xlfn.XLOOKUP(C1056,Customer_Dim!A:A,Customer_Dim!B:B,"Not Found")</f>
        <v>Melinda Rivera</v>
      </c>
      <c r="K1056">
        <f>Table511[[#This Row],[Total_Amount]]/(L1056*(1-Table511[[#This Row],[Discount]]))</f>
        <v>3</v>
      </c>
      <c r="L1056" s="5">
        <v>471.31</v>
      </c>
      <c r="M1056">
        <v>0</v>
      </c>
      <c r="N1056" t="s">
        <v>1351</v>
      </c>
      <c r="O1056" s="5">
        <v>1413.93</v>
      </c>
    </row>
    <row r="1057" spans="1:15">
      <c r="A1057" t="s">
        <v>2406</v>
      </c>
      <c r="B1057" s="7">
        <v>45441</v>
      </c>
      <c r="C1057" t="s">
        <v>990</v>
      </c>
      <c r="D1057" t="s">
        <v>1225</v>
      </c>
      <c r="E1057" t="s">
        <v>1324</v>
      </c>
      <c r="F1057" t="str">
        <f>[1]Raw_Customer_Dim!$A$2</f>
        <v>CUST1000</v>
      </c>
      <c r="G1057" t="str">
        <f>_xlfn.XLOOKUP(E1057,Store_Dim!A:A,Store_Dim!B:B,"Not Found")</f>
        <v>Mcdonald Inc</v>
      </c>
      <c r="H1057" t="str">
        <f>_xlfn.XLOOKUP(D1057,Product_Dim!A:A,Product_Dim!C:C,"Not Found")</f>
        <v>Electronics</v>
      </c>
      <c r="I1057" t="str">
        <f>_xlfn.XLOOKUP(E1057,Store_Dim!A:A,Store_Dim!C:C,"Not Found")</f>
        <v>South</v>
      </c>
      <c r="J1057" t="str">
        <f>_xlfn.XLOOKUP(C1057,Customer_Dim!A:A,Customer_Dim!B:B,"Not Found")</f>
        <v>Not Found</v>
      </c>
      <c r="K1057">
        <f>Table511[[#This Row],[Total_Amount]]/(L1057*(1-Table511[[#This Row],[Discount]]))</f>
        <v>1.9999999999999996</v>
      </c>
      <c r="L1057" s="5">
        <v>720.32</v>
      </c>
      <c r="M1057">
        <v>0.26</v>
      </c>
      <c r="N1057" t="s">
        <v>1349</v>
      </c>
      <c r="O1057" s="5">
        <v>1066.0735999999999</v>
      </c>
    </row>
    <row r="1058" spans="1:15">
      <c r="A1058" t="s">
        <v>2407</v>
      </c>
      <c r="B1058" s="7">
        <v>45431</v>
      </c>
      <c r="C1058" t="s">
        <v>202</v>
      </c>
      <c r="D1058" t="s">
        <v>1205</v>
      </c>
      <c r="E1058" t="s">
        <v>1335</v>
      </c>
      <c r="F1058" t="str">
        <f>[1]Raw_Customer_Dim!$A$2</f>
        <v>CUST1000</v>
      </c>
      <c r="G1058" t="str">
        <f>_xlfn.XLOOKUP(E1058,Store_Dim!A:A,Store_Dim!B:B,"Not Found")</f>
        <v>Guerrero-Schmitt</v>
      </c>
      <c r="H1058" t="str">
        <f>_xlfn.XLOOKUP(D1058,Product_Dim!A:A,Product_Dim!C:C,"Not Found")</f>
        <v>Beauty</v>
      </c>
      <c r="I1058" t="str">
        <f>_xlfn.XLOOKUP(E1058,Store_Dim!A:A,Store_Dim!C:C,"Not Found")</f>
        <v>East</v>
      </c>
      <c r="J1058" t="str">
        <f>_xlfn.XLOOKUP(C1058,Customer_Dim!A:A,Customer_Dim!B:B,"Not Found")</f>
        <v>Rhonda Morales</v>
      </c>
      <c r="K1058">
        <f>Table511[[#This Row],[Total_Amount]]/(L1058*(1-Table511[[#This Row],[Discount]]))</f>
        <v>3.9999999999999996</v>
      </c>
      <c r="L1058" s="5">
        <v>99.92</v>
      </c>
      <c r="M1058">
        <v>0.11</v>
      </c>
      <c r="N1058" t="s">
        <v>1354</v>
      </c>
      <c r="O1058" s="5">
        <v>355.71519999999998</v>
      </c>
    </row>
    <row r="1059" spans="1:15">
      <c r="A1059" t="s">
        <v>2408</v>
      </c>
      <c r="B1059" s="7">
        <v>45873</v>
      </c>
      <c r="C1059" t="s">
        <v>182</v>
      </c>
      <c r="D1059" t="s">
        <v>1093</v>
      </c>
      <c r="E1059" t="s">
        <v>1291</v>
      </c>
      <c r="F1059" t="str">
        <f>[1]Raw_Customer_Dim!$A$2</f>
        <v>CUST1000</v>
      </c>
      <c r="G1059" t="str">
        <f>_xlfn.XLOOKUP(E1059,Store_Dim!A:A,Store_Dim!B:B,"Not Found")</f>
        <v>Johnson-Wright</v>
      </c>
      <c r="H1059" t="str">
        <f>_xlfn.XLOOKUP(D1059,Product_Dim!A:A,Product_Dim!C:C,"Not Found")</f>
        <v>Home</v>
      </c>
      <c r="I1059" t="str">
        <f>_xlfn.XLOOKUP(E1059,Store_Dim!A:A,Store_Dim!C:C,"Not Found")</f>
        <v>North</v>
      </c>
      <c r="J1059" t="str">
        <f>_xlfn.XLOOKUP(C1059,Customer_Dim!A:A,Customer_Dim!B:B,"Not Found")</f>
        <v>Amber Mcclain</v>
      </c>
      <c r="K1059">
        <f>Table511[[#This Row],[Total_Amount]]/(L1059*(1-Table511[[#This Row],[Discount]]))</f>
        <v>3</v>
      </c>
      <c r="L1059" s="5">
        <v>900.63</v>
      </c>
      <c r="M1059">
        <v>0.11</v>
      </c>
      <c r="N1059" t="s">
        <v>1354</v>
      </c>
      <c r="O1059" s="5">
        <v>2404.6821</v>
      </c>
    </row>
    <row r="1060" spans="1:15">
      <c r="A1060" t="s">
        <v>2409</v>
      </c>
      <c r="B1060" s="7">
        <v>45629</v>
      </c>
      <c r="C1060" t="s">
        <v>947</v>
      </c>
      <c r="D1060" t="s">
        <v>1165</v>
      </c>
      <c r="E1060" t="s">
        <v>1307</v>
      </c>
      <c r="F1060" t="str">
        <f>[1]Raw_Customer_Dim!$A$2</f>
        <v>CUST1000</v>
      </c>
      <c r="G1060" t="str">
        <f>_xlfn.XLOOKUP(E1060,Store_Dim!A:A,Store_Dim!B:B,"Not Found")</f>
        <v>Bean, Jones and Park</v>
      </c>
      <c r="H1060" t="str">
        <f>_xlfn.XLOOKUP(D1060,Product_Dim!A:A,Product_Dim!C:C,"Not Found")</f>
        <v>Clothing</v>
      </c>
      <c r="I1060" t="str">
        <f>_xlfn.XLOOKUP(E1060,Store_Dim!A:A,Store_Dim!C:C,"Not Found")</f>
        <v>West</v>
      </c>
      <c r="J1060" t="str">
        <f>_xlfn.XLOOKUP(C1060,Customer_Dim!A:A,Customer_Dim!B:B,"Not Found")</f>
        <v>Kelli Smith</v>
      </c>
      <c r="K1060">
        <f>Table511[[#This Row],[Total_Amount]]/(L1060*(1-Table511[[#This Row],[Discount]]))</f>
        <v>1</v>
      </c>
      <c r="L1060" s="5">
        <v>681.72</v>
      </c>
      <c r="M1060">
        <v>0.11</v>
      </c>
      <c r="N1060" t="s">
        <v>1351</v>
      </c>
      <c r="O1060" s="5">
        <v>606.73080000000004</v>
      </c>
    </row>
    <row r="1061" spans="1:15">
      <c r="A1061" t="s">
        <v>2410</v>
      </c>
      <c r="B1061" s="7">
        <v>45222</v>
      </c>
      <c r="C1061" t="s">
        <v>39</v>
      </c>
      <c r="D1061" t="s">
        <v>1229</v>
      </c>
      <c r="E1061" t="s">
        <v>1322</v>
      </c>
      <c r="F1061" t="str">
        <f>[1]Raw_Customer_Dim!$A$2</f>
        <v>CUST1000</v>
      </c>
      <c r="G1061" t="str">
        <f>_xlfn.XLOOKUP(E1061,Store_Dim!A:A,Store_Dim!B:B,"Not Found")</f>
        <v>Gardner, Humphrey and Contreras</v>
      </c>
      <c r="H1061" t="str">
        <f>_xlfn.XLOOKUP(D1061,Product_Dim!A:A,Product_Dim!C:C,"Not Found")</f>
        <v>Home</v>
      </c>
      <c r="I1061" t="str">
        <f>_xlfn.XLOOKUP(E1061,Store_Dim!A:A,Store_Dim!C:C,"Not Found")</f>
        <v>East</v>
      </c>
      <c r="J1061" t="str">
        <f>_xlfn.XLOOKUP(C1061,Customer_Dim!A:A,Customer_Dim!B:B,"Not Found")</f>
        <v>Ms. Maria Leach</v>
      </c>
      <c r="K1061">
        <f>Table511[[#This Row],[Total_Amount]]/(L1061*(1-Table511[[#This Row],[Discount]]))</f>
        <v>2</v>
      </c>
      <c r="L1061" s="5">
        <v>838.22</v>
      </c>
      <c r="M1061">
        <v>0.3</v>
      </c>
      <c r="N1061" t="s">
        <v>1349</v>
      </c>
      <c r="O1061" s="5">
        <v>1173.508</v>
      </c>
    </row>
    <row r="1062" spans="1:15">
      <c r="A1062" t="s">
        <v>2411</v>
      </c>
      <c r="B1062" s="7">
        <v>45797</v>
      </c>
      <c r="C1062" t="s">
        <v>450</v>
      </c>
      <c r="D1062" t="s">
        <v>1247</v>
      </c>
      <c r="E1062" t="s">
        <v>1319</v>
      </c>
      <c r="F1062" t="str">
        <f>[1]Raw_Customer_Dim!$A$2</f>
        <v>CUST1000</v>
      </c>
      <c r="G1062" t="str">
        <f>_xlfn.XLOOKUP(E1062,Store_Dim!A:A,Store_Dim!B:B,"Not Found")</f>
        <v>Thomas, Bridges and Harris</v>
      </c>
      <c r="H1062" t="str">
        <f>_xlfn.XLOOKUP(D1062,Product_Dim!A:A,Product_Dim!C:C,"Not Found")</f>
        <v>Home</v>
      </c>
      <c r="I1062" t="str">
        <f>_xlfn.XLOOKUP(E1062,Store_Dim!A:A,Store_Dim!C:C,"Not Found")</f>
        <v>North</v>
      </c>
      <c r="J1062" t="str">
        <f>_xlfn.XLOOKUP(C1062,Customer_Dim!A:A,Customer_Dim!B:B,"Not Found")</f>
        <v>Ashley Ferguson</v>
      </c>
      <c r="K1062">
        <f>Table511[[#This Row],[Total_Amount]]/(L1062*(1-Table511[[#This Row],[Discount]]))</f>
        <v>2</v>
      </c>
      <c r="L1062" s="5">
        <v>816.22</v>
      </c>
      <c r="M1062">
        <v>0.27</v>
      </c>
      <c r="N1062" t="s">
        <v>1349</v>
      </c>
      <c r="O1062" s="5">
        <v>1191.6812</v>
      </c>
    </row>
    <row r="1063" spans="1:15">
      <c r="A1063" t="s">
        <v>2412</v>
      </c>
      <c r="B1063" s="7">
        <v>45554</v>
      </c>
      <c r="C1063" t="s">
        <v>823</v>
      </c>
      <c r="D1063" t="s">
        <v>1195</v>
      </c>
      <c r="E1063" t="s">
        <v>1304</v>
      </c>
      <c r="F1063" t="str">
        <f>[1]Raw_Customer_Dim!$A$2</f>
        <v>CUST1000</v>
      </c>
      <c r="G1063" t="str">
        <f>_xlfn.XLOOKUP(E1063,Store_Dim!A:A,Store_Dim!B:B,"Not Found")</f>
        <v>Martinez-Mullins</v>
      </c>
      <c r="H1063" t="str">
        <f>_xlfn.XLOOKUP(D1063,Product_Dim!A:A,Product_Dim!C:C,"Not Found")</f>
        <v>Sports</v>
      </c>
      <c r="I1063" t="str">
        <f>_xlfn.XLOOKUP(E1063,Store_Dim!A:A,Store_Dim!C:C,"Not Found")</f>
        <v>South</v>
      </c>
      <c r="J1063" t="str">
        <f>_xlfn.XLOOKUP(C1063,Customer_Dim!A:A,Customer_Dim!B:B,"Not Found")</f>
        <v>Shelley Ponce</v>
      </c>
      <c r="K1063">
        <f>Table511[[#This Row],[Total_Amount]]/(L1063*(1-Table511[[#This Row],[Discount]]))</f>
        <v>2</v>
      </c>
      <c r="L1063" s="5">
        <v>654.12</v>
      </c>
      <c r="M1063">
        <v>0.27</v>
      </c>
      <c r="N1063" t="s">
        <v>1351</v>
      </c>
      <c r="O1063" s="5">
        <v>955.01519999999994</v>
      </c>
    </row>
    <row r="1064" spans="1:15">
      <c r="A1064" t="s">
        <v>2413</v>
      </c>
      <c r="B1064" s="7">
        <v>45385</v>
      </c>
      <c r="C1064" t="s">
        <v>269</v>
      </c>
      <c r="D1064" t="s">
        <v>1219</v>
      </c>
      <c r="E1064" t="s">
        <v>1322</v>
      </c>
      <c r="F1064" t="str">
        <f>[1]Raw_Customer_Dim!$A$2</f>
        <v>CUST1000</v>
      </c>
      <c r="G1064" t="str">
        <f>_xlfn.XLOOKUP(E1064,Store_Dim!A:A,Store_Dim!B:B,"Not Found")</f>
        <v>Gardner, Humphrey and Contreras</v>
      </c>
      <c r="H1064" t="str">
        <f>_xlfn.XLOOKUP(D1064,Product_Dim!A:A,Product_Dim!C:C,"Not Found")</f>
        <v>Sports</v>
      </c>
      <c r="I1064" t="str">
        <f>_xlfn.XLOOKUP(E1064,Store_Dim!A:A,Store_Dim!C:C,"Not Found")</f>
        <v>East</v>
      </c>
      <c r="J1064" t="str">
        <f>_xlfn.XLOOKUP(C1064,Customer_Dim!A:A,Customer_Dim!B:B,"Not Found")</f>
        <v>Lance Baker</v>
      </c>
      <c r="K1064">
        <f>Table511[[#This Row],[Total_Amount]]/(L1064*(1-Table511[[#This Row],[Discount]]))</f>
        <v>4</v>
      </c>
      <c r="L1064" s="5">
        <v>528.22</v>
      </c>
      <c r="M1064">
        <v>0.2</v>
      </c>
      <c r="N1064" t="s">
        <v>1351</v>
      </c>
      <c r="O1064" s="5">
        <v>1690.3040000000001</v>
      </c>
    </row>
    <row r="1065" spans="1:15">
      <c r="A1065" t="s">
        <v>2414</v>
      </c>
      <c r="B1065" s="7">
        <v>45704</v>
      </c>
      <c r="C1065" t="s">
        <v>505</v>
      </c>
      <c r="D1065" t="s">
        <v>1141</v>
      </c>
      <c r="E1065" t="s">
        <v>1304</v>
      </c>
      <c r="F1065" t="str">
        <f>[1]Raw_Customer_Dim!$A$2</f>
        <v>CUST1000</v>
      </c>
      <c r="G1065" t="str">
        <f>_xlfn.XLOOKUP(E1065,Store_Dim!A:A,Store_Dim!B:B,"Not Found")</f>
        <v>Martinez-Mullins</v>
      </c>
      <c r="H1065" t="str">
        <f>_xlfn.XLOOKUP(D1065,Product_Dim!A:A,Product_Dim!C:C,"Not Found")</f>
        <v>Electronics</v>
      </c>
      <c r="I1065" t="str">
        <f>_xlfn.XLOOKUP(E1065,Store_Dim!A:A,Store_Dim!C:C,"Not Found")</f>
        <v>South</v>
      </c>
      <c r="J1065" t="str">
        <f>_xlfn.XLOOKUP(C1065,Customer_Dim!A:A,Customer_Dim!B:B,"Not Found")</f>
        <v>Lisa Young</v>
      </c>
      <c r="K1065">
        <f>Table511[[#This Row],[Total_Amount]]/(L1065*(1-Table511[[#This Row],[Discount]]))</f>
        <v>4</v>
      </c>
      <c r="L1065" s="5">
        <v>36.72</v>
      </c>
      <c r="M1065">
        <v>7.0000000000000007E-2</v>
      </c>
      <c r="N1065" t="s">
        <v>1354</v>
      </c>
      <c r="O1065" s="5">
        <v>136.5984</v>
      </c>
    </row>
    <row r="1066" spans="1:15">
      <c r="A1066" t="s">
        <v>2415</v>
      </c>
      <c r="B1066" s="7">
        <v>45545</v>
      </c>
      <c r="C1066" t="s">
        <v>803</v>
      </c>
      <c r="D1066" t="s">
        <v>1229</v>
      </c>
      <c r="E1066" t="s">
        <v>1338</v>
      </c>
      <c r="F1066" t="str">
        <f>[1]Raw_Customer_Dim!$A$2</f>
        <v>CUST1000</v>
      </c>
      <c r="G1066" t="str">
        <f>_xlfn.XLOOKUP(E1066,Store_Dim!A:A,Store_Dim!B:B,"Not Found")</f>
        <v>Mann-Austin</v>
      </c>
      <c r="H1066" t="str">
        <f>_xlfn.XLOOKUP(D1066,Product_Dim!A:A,Product_Dim!C:C,"Not Found")</f>
        <v>Home</v>
      </c>
      <c r="I1066" t="str">
        <f>_xlfn.XLOOKUP(E1066,Store_Dim!A:A,Store_Dim!C:C,"Not Found")</f>
        <v>East</v>
      </c>
      <c r="J1066" t="str">
        <f>_xlfn.XLOOKUP(C1066,Customer_Dim!A:A,Customer_Dim!B:B,"Not Found")</f>
        <v>James Holloway Jr.</v>
      </c>
      <c r="K1066">
        <f>Table511[[#This Row],[Total_Amount]]/(L1066*(1-Table511[[#This Row],[Discount]]))</f>
        <v>2</v>
      </c>
      <c r="L1066" s="5">
        <v>705.97</v>
      </c>
      <c r="M1066">
        <v>0.1</v>
      </c>
      <c r="N1066" t="s">
        <v>1351</v>
      </c>
      <c r="O1066" s="5">
        <v>1270.7460000000001</v>
      </c>
    </row>
    <row r="1067" spans="1:15">
      <c r="A1067" t="s">
        <v>2416</v>
      </c>
      <c r="B1067" s="7">
        <v>45736</v>
      </c>
      <c r="C1067" t="s">
        <v>77</v>
      </c>
      <c r="D1067" t="s">
        <v>1153</v>
      </c>
      <c r="E1067" t="s">
        <v>1282</v>
      </c>
      <c r="F1067" t="str">
        <f>[1]Raw_Customer_Dim!$A$2</f>
        <v>CUST1000</v>
      </c>
      <c r="G1067" t="str">
        <f>_xlfn.XLOOKUP(E1067,Store_Dim!A:A,Store_Dim!B:B,"Not Found")</f>
        <v>Martinez, Adkins and Johnson</v>
      </c>
      <c r="H1067" t="str">
        <f>_xlfn.XLOOKUP(D1067,Product_Dim!A:A,Product_Dim!C:C,"Not Found")</f>
        <v>Electronics</v>
      </c>
      <c r="I1067" t="str">
        <f>_xlfn.XLOOKUP(E1067,Store_Dim!A:A,Store_Dim!C:C,"Not Found")</f>
        <v>North</v>
      </c>
      <c r="J1067" t="str">
        <f>_xlfn.XLOOKUP(C1067,Customer_Dim!A:A,Customer_Dim!B:B,"Not Found")</f>
        <v>Jonathan Steele</v>
      </c>
      <c r="K1067">
        <f>Table511[[#This Row],[Total_Amount]]/(L1067*(1-Table511[[#This Row],[Discount]]))</f>
        <v>2</v>
      </c>
      <c r="L1067" s="5">
        <v>994.29</v>
      </c>
      <c r="M1067">
        <v>0.01</v>
      </c>
      <c r="N1067" t="s">
        <v>1351</v>
      </c>
      <c r="O1067" s="5">
        <v>1968.6941999999999</v>
      </c>
    </row>
    <row r="1068" spans="1:15">
      <c r="A1068" t="s">
        <v>2417</v>
      </c>
      <c r="B1068" s="7">
        <v>45608</v>
      </c>
      <c r="C1068" t="s">
        <v>905</v>
      </c>
      <c r="D1068" t="s">
        <v>1257</v>
      </c>
      <c r="E1068" t="s">
        <v>1335</v>
      </c>
      <c r="F1068" t="str">
        <f>[1]Raw_Customer_Dim!$A$2</f>
        <v>CUST1000</v>
      </c>
      <c r="G1068" t="str">
        <f>_xlfn.XLOOKUP(E1068,Store_Dim!A:A,Store_Dim!B:B,"Not Found")</f>
        <v>Guerrero-Schmitt</v>
      </c>
      <c r="H1068" t="str">
        <f>_xlfn.XLOOKUP(D1068,Product_Dim!A:A,Product_Dim!C:C,"Not Found")</f>
        <v>Home</v>
      </c>
      <c r="I1068" t="str">
        <f>_xlfn.XLOOKUP(E1068,Store_Dim!A:A,Store_Dim!C:C,"Not Found")</f>
        <v>East</v>
      </c>
      <c r="J1068" t="str">
        <f>_xlfn.XLOOKUP(C1068,Customer_Dim!A:A,Customer_Dim!B:B,"Not Found")</f>
        <v>Holly Robinson</v>
      </c>
      <c r="K1068">
        <f>Table511[[#This Row],[Total_Amount]]/(L1068*(1-Table511[[#This Row],[Discount]]))</f>
        <v>1</v>
      </c>
      <c r="L1068" s="5">
        <v>909.04</v>
      </c>
      <c r="M1068">
        <v>0.11</v>
      </c>
      <c r="N1068" t="s">
        <v>1349</v>
      </c>
      <c r="O1068" s="5">
        <v>809.04560000000004</v>
      </c>
    </row>
    <row r="1069" spans="1:15">
      <c r="A1069" t="s">
        <v>2418</v>
      </c>
      <c r="B1069" s="7">
        <v>45334</v>
      </c>
      <c r="C1069" t="s">
        <v>762</v>
      </c>
      <c r="D1069" t="s">
        <v>1141</v>
      </c>
      <c r="E1069" t="s">
        <v>1317</v>
      </c>
      <c r="F1069" t="str">
        <f>[1]Raw_Customer_Dim!$A$2</f>
        <v>CUST1000</v>
      </c>
      <c r="G1069" t="str">
        <f>_xlfn.XLOOKUP(E1069,Store_Dim!A:A,Store_Dim!B:B,"Not Found")</f>
        <v>Aguirre-Keller</v>
      </c>
      <c r="H1069" t="str">
        <f>_xlfn.XLOOKUP(D1069,Product_Dim!A:A,Product_Dim!C:C,"Not Found")</f>
        <v>Electronics</v>
      </c>
      <c r="I1069" t="str">
        <f>_xlfn.XLOOKUP(E1069,Store_Dim!A:A,Store_Dim!C:C,"Not Found")</f>
        <v>South</v>
      </c>
      <c r="J1069" t="str">
        <f>_xlfn.XLOOKUP(C1069,Customer_Dim!A:A,Customer_Dim!B:B,"Not Found")</f>
        <v>Heather Valenzuela</v>
      </c>
      <c r="K1069">
        <f>Table511[[#This Row],[Total_Amount]]/(L1069*(1-Table511[[#This Row],[Discount]]))</f>
        <v>1</v>
      </c>
      <c r="L1069" s="5">
        <v>164.73</v>
      </c>
      <c r="M1069">
        <v>0.12</v>
      </c>
      <c r="N1069" t="s">
        <v>1351</v>
      </c>
      <c r="O1069" s="5">
        <v>144.9624</v>
      </c>
    </row>
    <row r="1070" spans="1:15">
      <c r="A1070" t="s">
        <v>2419</v>
      </c>
      <c r="B1070" s="7">
        <v>45690</v>
      </c>
      <c r="C1070" t="s">
        <v>170</v>
      </c>
      <c r="D1070" t="s">
        <v>1147</v>
      </c>
      <c r="E1070" t="s">
        <v>1304</v>
      </c>
      <c r="F1070" t="str">
        <f>[1]Raw_Customer_Dim!$A$2</f>
        <v>CUST1000</v>
      </c>
      <c r="G1070" t="str">
        <f>_xlfn.XLOOKUP(E1070,Store_Dim!A:A,Store_Dim!B:B,"Not Found")</f>
        <v>Martinez-Mullins</v>
      </c>
      <c r="H1070" t="str">
        <f>_xlfn.XLOOKUP(D1070,Product_Dim!A:A,Product_Dim!C:C,"Not Found")</f>
        <v>Clothing</v>
      </c>
      <c r="I1070" t="str">
        <f>_xlfn.XLOOKUP(E1070,Store_Dim!A:A,Store_Dim!C:C,"Not Found")</f>
        <v>South</v>
      </c>
      <c r="J1070" t="str">
        <f>_xlfn.XLOOKUP(C1070,Customer_Dim!A:A,Customer_Dim!B:B,"Not Found")</f>
        <v>James Bean</v>
      </c>
      <c r="K1070">
        <f>Table511[[#This Row],[Total_Amount]]/(L1070*(1-Table511[[#This Row],[Discount]]))</f>
        <v>2</v>
      </c>
      <c r="L1070" s="5">
        <v>606.35</v>
      </c>
      <c r="M1070">
        <v>0.16</v>
      </c>
      <c r="N1070" t="s">
        <v>1354</v>
      </c>
      <c r="O1070" s="5">
        <v>1018.668</v>
      </c>
    </row>
    <row r="1071" spans="1:15">
      <c r="A1071" t="s">
        <v>2420</v>
      </c>
      <c r="B1071" s="7">
        <v>45481</v>
      </c>
      <c r="C1071" t="s">
        <v>387</v>
      </c>
      <c r="D1071" t="s">
        <v>1269</v>
      </c>
      <c r="E1071" t="s">
        <v>1294</v>
      </c>
      <c r="F1071" t="str">
        <f>[1]Raw_Customer_Dim!$A$2</f>
        <v>CUST1000</v>
      </c>
      <c r="G1071" t="str">
        <f>_xlfn.XLOOKUP(E1071,Store_Dim!A:A,Store_Dim!B:B,"Not Found")</f>
        <v>Alexander Group</v>
      </c>
      <c r="H1071" t="str">
        <f>_xlfn.XLOOKUP(D1071,Product_Dim!A:A,Product_Dim!C:C,"Not Found")</f>
        <v>Electronics</v>
      </c>
      <c r="I1071" t="str">
        <f>_xlfn.XLOOKUP(E1071,Store_Dim!A:A,Store_Dim!C:C,"Not Found")</f>
        <v>South</v>
      </c>
      <c r="J1071" t="str">
        <f>_xlfn.XLOOKUP(C1071,Customer_Dim!A:A,Customer_Dim!B:B,"Not Found")</f>
        <v>Joseph Jones</v>
      </c>
      <c r="K1071">
        <f>Table511[[#This Row],[Total_Amount]]/(L1071*(1-Table511[[#This Row],[Discount]]))</f>
        <v>2.9999999999999996</v>
      </c>
      <c r="L1071" s="5">
        <v>904.19</v>
      </c>
      <c r="M1071">
        <v>0.09</v>
      </c>
      <c r="N1071" t="s">
        <v>1349</v>
      </c>
      <c r="O1071" s="5">
        <v>2468.4387000000002</v>
      </c>
    </row>
    <row r="1072" spans="1:15">
      <c r="A1072" t="s">
        <v>2421</v>
      </c>
      <c r="B1072" s="7">
        <v>45576</v>
      </c>
      <c r="C1072" t="s">
        <v>363</v>
      </c>
      <c r="D1072" t="s">
        <v>1173</v>
      </c>
      <c r="E1072" t="s">
        <v>1286</v>
      </c>
      <c r="F1072" t="str">
        <f>[1]Raw_Customer_Dim!$A$2</f>
        <v>CUST1000</v>
      </c>
      <c r="G1072" t="str">
        <f>_xlfn.XLOOKUP(E1072,Store_Dim!A:A,Store_Dim!B:B,"Not Found")</f>
        <v>Black-Horn</v>
      </c>
      <c r="H1072" t="str">
        <f>_xlfn.XLOOKUP(D1072,Product_Dim!A:A,Product_Dim!C:C,"Not Found")</f>
        <v>Sports</v>
      </c>
      <c r="I1072" t="str">
        <f>_xlfn.XLOOKUP(E1072,Store_Dim!A:A,Store_Dim!C:C,"Not Found")</f>
        <v>South</v>
      </c>
      <c r="J1072" t="str">
        <f>_xlfn.XLOOKUP(C1072,Customer_Dim!A:A,Customer_Dim!B:B,"Not Found")</f>
        <v>Michael Davies</v>
      </c>
      <c r="K1072">
        <f>Table511[[#This Row],[Total_Amount]]/(L1072*(1-Table511[[#This Row],[Discount]]))</f>
        <v>3.9999999999999991</v>
      </c>
      <c r="L1072" s="5">
        <v>694.61</v>
      </c>
      <c r="M1072">
        <v>0.18</v>
      </c>
      <c r="N1072" t="s">
        <v>1354</v>
      </c>
      <c r="O1072" s="5">
        <v>2278.3208</v>
      </c>
    </row>
    <row r="1073" spans="1:15">
      <c r="A1073" t="s">
        <v>2422</v>
      </c>
      <c r="B1073" s="7">
        <v>45215</v>
      </c>
      <c r="C1073" t="s">
        <v>513</v>
      </c>
      <c r="D1073" t="s">
        <v>1251</v>
      </c>
      <c r="E1073" t="s">
        <v>1286</v>
      </c>
      <c r="F1073" t="str">
        <f>[1]Raw_Customer_Dim!$A$2</f>
        <v>CUST1000</v>
      </c>
      <c r="G1073" t="str">
        <f>_xlfn.XLOOKUP(E1073,Store_Dim!A:A,Store_Dim!B:B,"Not Found")</f>
        <v>Black-Horn</v>
      </c>
      <c r="H1073" t="str">
        <f>_xlfn.XLOOKUP(D1073,Product_Dim!A:A,Product_Dim!C:C,"Not Found")</f>
        <v>Beauty</v>
      </c>
      <c r="I1073" t="str">
        <f>_xlfn.XLOOKUP(E1073,Store_Dim!A:A,Store_Dim!C:C,"Not Found")</f>
        <v>South</v>
      </c>
      <c r="J1073" t="str">
        <f>_xlfn.XLOOKUP(C1073,Customer_Dim!A:A,Customer_Dim!B:B,"Not Found")</f>
        <v>Elizabeth Stanley</v>
      </c>
      <c r="K1073">
        <f>Table511[[#This Row],[Total_Amount]]/(L1073*(1-Table511[[#This Row],[Discount]]))</f>
        <v>4</v>
      </c>
      <c r="L1073" s="5">
        <v>753.83</v>
      </c>
      <c r="M1073">
        <v>0.24</v>
      </c>
      <c r="N1073" t="s">
        <v>1349</v>
      </c>
      <c r="O1073" s="5">
        <v>2291.6432</v>
      </c>
    </row>
    <row r="1074" spans="1:15">
      <c r="A1074" t="s">
        <v>2423</v>
      </c>
      <c r="B1074" s="7">
        <v>45653</v>
      </c>
      <c r="C1074" t="s">
        <v>456</v>
      </c>
      <c r="D1074" t="s">
        <v>1115</v>
      </c>
      <c r="E1074" t="s">
        <v>1307</v>
      </c>
      <c r="F1074" t="str">
        <f>[1]Raw_Customer_Dim!$A$2</f>
        <v>CUST1000</v>
      </c>
      <c r="G1074" t="str">
        <f>_xlfn.XLOOKUP(E1074,Store_Dim!A:A,Store_Dim!B:B,"Not Found")</f>
        <v>Bean, Jones and Park</v>
      </c>
      <c r="H1074" t="str">
        <f>_xlfn.XLOOKUP(D1074,Product_Dim!A:A,Product_Dim!C:C,"Not Found")</f>
        <v>Home</v>
      </c>
      <c r="I1074" t="str">
        <f>_xlfn.XLOOKUP(E1074,Store_Dim!A:A,Store_Dim!C:C,"Not Found")</f>
        <v>West</v>
      </c>
      <c r="J1074" t="str">
        <f>_xlfn.XLOOKUP(C1074,Customer_Dim!A:A,Customer_Dim!B:B,"Not Found")</f>
        <v>Andrea Jacobs</v>
      </c>
      <c r="K1074">
        <f>Table511[[#This Row],[Total_Amount]]/(L1074*(1-Table511[[#This Row],[Discount]]))</f>
        <v>1</v>
      </c>
      <c r="L1074" s="5">
        <v>66.22</v>
      </c>
      <c r="M1074">
        <v>0.02</v>
      </c>
      <c r="N1074" t="s">
        <v>1349</v>
      </c>
      <c r="O1074" s="5">
        <v>64.895600000000002</v>
      </c>
    </row>
    <row r="1075" spans="1:15">
      <c r="A1075" t="s">
        <v>2424</v>
      </c>
      <c r="B1075" s="7">
        <v>45241</v>
      </c>
      <c r="C1075" t="s">
        <v>738</v>
      </c>
      <c r="D1075" t="s">
        <v>1201</v>
      </c>
      <c r="E1075" t="s">
        <v>1324</v>
      </c>
      <c r="F1075" t="str">
        <f>[1]Raw_Customer_Dim!$A$2</f>
        <v>CUST1000</v>
      </c>
      <c r="G1075" t="str">
        <f>_xlfn.XLOOKUP(E1075,Store_Dim!A:A,Store_Dim!B:B,"Not Found")</f>
        <v>Mcdonald Inc</v>
      </c>
      <c r="H1075" t="str">
        <f>_xlfn.XLOOKUP(D1075,Product_Dim!A:A,Product_Dim!C:C,"Not Found")</f>
        <v>Beauty</v>
      </c>
      <c r="I1075" t="str">
        <f>_xlfn.XLOOKUP(E1075,Store_Dim!A:A,Store_Dim!C:C,"Not Found")</f>
        <v>South</v>
      </c>
      <c r="J1075" t="str">
        <f>_xlfn.XLOOKUP(C1075,Customer_Dim!A:A,Customer_Dim!B:B,"Not Found")</f>
        <v>Carol Lewis</v>
      </c>
      <c r="K1075">
        <f>Table511[[#This Row],[Total_Amount]]/(L1075*(1-Table511[[#This Row],[Discount]]))</f>
        <v>2.0000000000000004</v>
      </c>
      <c r="L1075" s="5">
        <v>891.8</v>
      </c>
      <c r="M1075">
        <v>0.28999999999999998</v>
      </c>
      <c r="N1075" t="s">
        <v>1354</v>
      </c>
      <c r="O1075" s="5">
        <v>1266.356</v>
      </c>
    </row>
    <row r="1076" spans="1:15">
      <c r="A1076" t="s">
        <v>2425</v>
      </c>
      <c r="B1076" s="7">
        <v>45428</v>
      </c>
      <c r="C1076" t="s">
        <v>789</v>
      </c>
      <c r="D1076" t="s">
        <v>1223</v>
      </c>
      <c r="E1076" t="s">
        <v>1311</v>
      </c>
      <c r="F1076" t="str">
        <f>[1]Raw_Customer_Dim!$A$2</f>
        <v>CUST1000</v>
      </c>
      <c r="G1076" t="str">
        <f>_xlfn.XLOOKUP(E1076,Store_Dim!A:A,Store_Dim!B:B,"Not Found")</f>
        <v>Moore, Padilla and Butler</v>
      </c>
      <c r="H1076" t="str">
        <f>_xlfn.XLOOKUP(D1076,Product_Dim!A:A,Product_Dim!C:C,"Not Found")</f>
        <v>Clothing</v>
      </c>
      <c r="I1076" t="str">
        <f>_xlfn.XLOOKUP(E1076,Store_Dim!A:A,Store_Dim!C:C,"Not Found")</f>
        <v>South</v>
      </c>
      <c r="J1076" t="str">
        <f>_xlfn.XLOOKUP(C1076,Customer_Dim!A:A,Customer_Dim!B:B,"Not Found")</f>
        <v>Elizabeth Smith</v>
      </c>
      <c r="K1076">
        <f>Table511[[#This Row],[Total_Amount]]/(L1076*(1-Table511[[#This Row],[Discount]]))</f>
        <v>4</v>
      </c>
      <c r="L1076" s="5">
        <v>255.48</v>
      </c>
      <c r="M1076">
        <v>0.03</v>
      </c>
      <c r="N1076" t="s">
        <v>1354</v>
      </c>
      <c r="O1076" s="5">
        <v>991.26239999999996</v>
      </c>
    </row>
    <row r="1077" spans="1:15">
      <c r="A1077" t="s">
        <v>2426</v>
      </c>
      <c r="B1077" s="7">
        <v>45593</v>
      </c>
      <c r="C1077" t="s">
        <v>666</v>
      </c>
      <c r="D1077" t="s">
        <v>1241</v>
      </c>
      <c r="E1077" t="s">
        <v>1332</v>
      </c>
      <c r="F1077" t="str">
        <f>[1]Raw_Customer_Dim!$A$2</f>
        <v>CUST1000</v>
      </c>
      <c r="G1077" t="str">
        <f>_xlfn.XLOOKUP(E1077,Store_Dim!A:A,Store_Dim!B:B,"Not Found")</f>
        <v>Holloway Ltd</v>
      </c>
      <c r="H1077" t="str">
        <f>_xlfn.XLOOKUP(D1077,Product_Dim!A:A,Product_Dim!C:C,"Not Found")</f>
        <v>Home</v>
      </c>
      <c r="I1077" t="str">
        <f>_xlfn.XLOOKUP(E1077,Store_Dim!A:A,Store_Dim!C:C,"Not Found")</f>
        <v>North</v>
      </c>
      <c r="J1077" t="str">
        <f>_xlfn.XLOOKUP(C1077,Customer_Dim!A:A,Customer_Dim!B:B,"Not Found")</f>
        <v>Ryan Kane</v>
      </c>
      <c r="K1077">
        <f>Table511[[#This Row],[Total_Amount]]/(L1077*(1-Table511[[#This Row],[Discount]]))</f>
        <v>4</v>
      </c>
      <c r="L1077" s="5">
        <v>604.87</v>
      </c>
      <c r="M1077">
        <v>0.28000000000000003</v>
      </c>
      <c r="N1077" t="s">
        <v>1351</v>
      </c>
      <c r="O1077" s="5">
        <v>1742.0255999999999</v>
      </c>
    </row>
    <row r="1078" spans="1:15">
      <c r="A1078" t="s">
        <v>2427</v>
      </c>
      <c r="B1078" s="7">
        <v>45370</v>
      </c>
      <c r="C1078" t="s">
        <v>131</v>
      </c>
      <c r="D1078" t="s">
        <v>1139</v>
      </c>
      <c r="E1078" t="s">
        <v>1332</v>
      </c>
      <c r="F1078" t="str">
        <f>[1]Raw_Customer_Dim!$A$2</f>
        <v>CUST1000</v>
      </c>
      <c r="G1078" t="str">
        <f>_xlfn.XLOOKUP(E1078,Store_Dim!A:A,Store_Dim!B:B,"Not Found")</f>
        <v>Holloway Ltd</v>
      </c>
      <c r="H1078" t="str">
        <f>_xlfn.XLOOKUP(D1078,Product_Dim!A:A,Product_Dim!C:C,"Not Found")</f>
        <v>Home</v>
      </c>
      <c r="I1078" t="str">
        <f>_xlfn.XLOOKUP(E1078,Store_Dim!A:A,Store_Dim!C:C,"Not Found")</f>
        <v>North</v>
      </c>
      <c r="J1078" t="str">
        <f>_xlfn.XLOOKUP(C1078,Customer_Dim!A:A,Customer_Dim!B:B,"Not Found")</f>
        <v>Jordan Jackson DDS</v>
      </c>
      <c r="K1078">
        <f>Table511[[#This Row],[Total_Amount]]/(L1078*(1-Table511[[#This Row],[Discount]]))</f>
        <v>2.9999999999999996</v>
      </c>
      <c r="L1078" s="5">
        <v>623.82000000000005</v>
      </c>
      <c r="M1078">
        <v>0.13</v>
      </c>
      <c r="N1078" t="s">
        <v>1354</v>
      </c>
      <c r="O1078" s="5">
        <v>1628.1702</v>
      </c>
    </row>
    <row r="1079" spans="1:15">
      <c r="A1079" t="s">
        <v>2428</v>
      </c>
      <c r="B1079" s="7">
        <v>45882</v>
      </c>
      <c r="C1079" t="s">
        <v>337</v>
      </c>
      <c r="D1079" t="s">
        <v>1215</v>
      </c>
      <c r="E1079" t="s">
        <v>1329</v>
      </c>
      <c r="F1079" t="str">
        <f>[1]Raw_Customer_Dim!$A$2</f>
        <v>CUST1000</v>
      </c>
      <c r="G1079" t="str">
        <f>_xlfn.XLOOKUP(E1079,Store_Dim!A:A,Store_Dim!B:B,"Not Found")</f>
        <v>Frederick-Wright</v>
      </c>
      <c r="H1079" t="str">
        <f>_xlfn.XLOOKUP(D1079,Product_Dim!A:A,Product_Dim!C:C,"Not Found")</f>
        <v>Beauty</v>
      </c>
      <c r="I1079" t="str">
        <f>_xlfn.XLOOKUP(E1079,Store_Dim!A:A,Store_Dim!C:C,"Not Found")</f>
        <v>West</v>
      </c>
      <c r="J1079" t="str">
        <f>_xlfn.XLOOKUP(C1079,Customer_Dim!A:A,Customer_Dim!B:B,"Not Found")</f>
        <v>Sean Roth</v>
      </c>
      <c r="K1079">
        <f>Table511[[#This Row],[Total_Amount]]/(L1079*(1-Table511[[#This Row],[Discount]]))</f>
        <v>2.9999999999999996</v>
      </c>
      <c r="L1079" s="5">
        <v>575.24</v>
      </c>
      <c r="M1079">
        <v>0.12</v>
      </c>
      <c r="N1079" t="s">
        <v>1354</v>
      </c>
      <c r="O1079" s="5">
        <v>1518.6335999999999</v>
      </c>
    </row>
    <row r="1080" spans="1:15">
      <c r="A1080" t="s">
        <v>2429</v>
      </c>
      <c r="B1080" s="7">
        <v>45878</v>
      </c>
      <c r="C1080" t="s">
        <v>891</v>
      </c>
      <c r="D1080" t="s">
        <v>1078</v>
      </c>
      <c r="E1080" t="s">
        <v>1317</v>
      </c>
      <c r="F1080" t="str">
        <f>[1]Raw_Customer_Dim!$A$2</f>
        <v>CUST1000</v>
      </c>
      <c r="G1080" t="str">
        <f>_xlfn.XLOOKUP(E1080,Store_Dim!A:A,Store_Dim!B:B,"Not Found")</f>
        <v>Aguirre-Keller</v>
      </c>
      <c r="H1080" t="str">
        <f>_xlfn.XLOOKUP(D1080,Product_Dim!A:A,Product_Dim!C:C,"Not Found")</f>
        <v>Clothing</v>
      </c>
      <c r="I1080" t="str">
        <f>_xlfn.XLOOKUP(E1080,Store_Dim!A:A,Store_Dim!C:C,"Not Found")</f>
        <v>South</v>
      </c>
      <c r="J1080" t="str">
        <f>_xlfn.XLOOKUP(C1080,Customer_Dim!A:A,Customer_Dim!B:B,"Not Found")</f>
        <v>Melissa Valentine</v>
      </c>
      <c r="K1080">
        <f>Table511[[#This Row],[Total_Amount]]/(L1080*(1-Table511[[#This Row],[Discount]]))</f>
        <v>1</v>
      </c>
      <c r="L1080" s="5">
        <v>769.4</v>
      </c>
      <c r="M1080">
        <v>0.16</v>
      </c>
      <c r="N1080" t="s">
        <v>1349</v>
      </c>
      <c r="O1080" s="5">
        <v>646.29599999999994</v>
      </c>
    </row>
    <row r="1081" spans="1:15">
      <c r="A1081" t="s">
        <v>2430</v>
      </c>
      <c r="B1081" s="7">
        <v>45420</v>
      </c>
      <c r="C1081" t="s">
        <v>722</v>
      </c>
      <c r="D1081" t="s">
        <v>1078</v>
      </c>
      <c r="E1081" t="s">
        <v>1332</v>
      </c>
      <c r="F1081" t="str">
        <f>[1]Raw_Customer_Dim!$A$2</f>
        <v>CUST1000</v>
      </c>
      <c r="G1081" t="str">
        <f>_xlfn.XLOOKUP(E1081,Store_Dim!A:A,Store_Dim!B:B,"Not Found")</f>
        <v>Holloway Ltd</v>
      </c>
      <c r="H1081" t="str">
        <f>_xlfn.XLOOKUP(D1081,Product_Dim!A:A,Product_Dim!C:C,"Not Found")</f>
        <v>Clothing</v>
      </c>
      <c r="I1081" t="str">
        <f>_xlfn.XLOOKUP(E1081,Store_Dim!A:A,Store_Dim!C:C,"Not Found")</f>
        <v>North</v>
      </c>
      <c r="J1081" t="str">
        <f>_xlfn.XLOOKUP(C1081,Customer_Dim!A:A,Customer_Dim!B:B,"Not Found")</f>
        <v>Victor Mcintosh</v>
      </c>
      <c r="K1081">
        <f>Table511[[#This Row],[Total_Amount]]/(L1081*(1-Table511[[#This Row],[Discount]]))</f>
        <v>1</v>
      </c>
      <c r="L1081" s="5">
        <v>227.28</v>
      </c>
      <c r="M1081">
        <v>0.13</v>
      </c>
      <c r="N1081" t="s">
        <v>1354</v>
      </c>
      <c r="O1081" s="5">
        <v>197.7336</v>
      </c>
    </row>
    <row r="1082" spans="1:15">
      <c r="A1082" t="s">
        <v>2431</v>
      </c>
      <c r="B1082" s="7">
        <v>45361</v>
      </c>
      <c r="C1082" t="s">
        <v>145</v>
      </c>
      <c r="D1082" t="s">
        <v>1074</v>
      </c>
      <c r="E1082" t="s">
        <v>1332</v>
      </c>
      <c r="F1082" t="str">
        <f>[1]Raw_Customer_Dim!$A$2</f>
        <v>CUST1000</v>
      </c>
      <c r="G1082" t="str">
        <f>_xlfn.XLOOKUP(E1082,Store_Dim!A:A,Store_Dim!B:B,"Not Found")</f>
        <v>Holloway Ltd</v>
      </c>
      <c r="H1082" t="str">
        <f>_xlfn.XLOOKUP(D1082,Product_Dim!A:A,Product_Dim!C:C,"Not Found")</f>
        <v>Clothing</v>
      </c>
      <c r="I1082" t="str">
        <f>_xlfn.XLOOKUP(E1082,Store_Dim!A:A,Store_Dim!C:C,"Not Found")</f>
        <v>North</v>
      </c>
      <c r="J1082" t="str">
        <f>_xlfn.XLOOKUP(C1082,Customer_Dim!A:A,Customer_Dim!B:B,"Not Found")</f>
        <v>Sarah Rodgers</v>
      </c>
      <c r="K1082">
        <f>Table511[[#This Row],[Total_Amount]]/(L1082*(1-Table511[[#This Row],[Discount]]))</f>
        <v>4</v>
      </c>
      <c r="L1082" s="5">
        <v>127.58</v>
      </c>
      <c r="M1082">
        <v>0.15</v>
      </c>
      <c r="N1082" t="s">
        <v>1349</v>
      </c>
      <c r="O1082" s="5">
        <v>433.77199999999999</v>
      </c>
    </row>
    <row r="1083" spans="1:15">
      <c r="A1083" t="s">
        <v>2432</v>
      </c>
      <c r="B1083" s="7">
        <v>45702</v>
      </c>
      <c r="C1083" t="s">
        <v>899</v>
      </c>
      <c r="D1083" t="s">
        <v>1161</v>
      </c>
      <c r="E1083" t="s">
        <v>1291</v>
      </c>
      <c r="F1083" t="str">
        <f>[1]Raw_Customer_Dim!$A$2</f>
        <v>CUST1000</v>
      </c>
      <c r="G1083" t="str">
        <f>_xlfn.XLOOKUP(E1083,Store_Dim!A:A,Store_Dim!B:B,"Not Found")</f>
        <v>Johnson-Wright</v>
      </c>
      <c r="H1083" t="str">
        <f>_xlfn.XLOOKUP(D1083,Product_Dim!A:A,Product_Dim!C:C,"Not Found")</f>
        <v>Sports</v>
      </c>
      <c r="I1083" t="str">
        <f>_xlfn.XLOOKUP(E1083,Store_Dim!A:A,Store_Dim!C:C,"Not Found")</f>
        <v>North</v>
      </c>
      <c r="J1083" t="str">
        <f>_xlfn.XLOOKUP(C1083,Customer_Dim!A:A,Customer_Dim!B:B,"Not Found")</f>
        <v>Luke Parks</v>
      </c>
      <c r="K1083">
        <f>Table511[[#This Row],[Total_Amount]]/(L1083*(1-Table511[[#This Row],[Discount]]))</f>
        <v>1</v>
      </c>
      <c r="L1083" s="5">
        <v>793.21</v>
      </c>
      <c r="M1083">
        <v>0.09</v>
      </c>
      <c r="N1083" t="s">
        <v>1349</v>
      </c>
      <c r="O1083" s="5">
        <v>721.8211</v>
      </c>
    </row>
    <row r="1084" spans="1:15">
      <c r="A1084" t="s">
        <v>2433</v>
      </c>
      <c r="B1084" s="7">
        <v>45871</v>
      </c>
      <c r="C1084" t="s">
        <v>666</v>
      </c>
      <c r="D1084" t="s">
        <v>1239</v>
      </c>
      <c r="E1084" t="s">
        <v>1319</v>
      </c>
      <c r="F1084" t="str">
        <f>[1]Raw_Customer_Dim!$A$2</f>
        <v>CUST1000</v>
      </c>
      <c r="G1084" t="str">
        <f>_xlfn.XLOOKUP(E1084,Store_Dim!A:A,Store_Dim!B:B,"Not Found")</f>
        <v>Thomas, Bridges and Harris</v>
      </c>
      <c r="H1084" t="str">
        <f>_xlfn.XLOOKUP(D1084,Product_Dim!A:A,Product_Dim!C:C,"Not Found")</f>
        <v>Beauty</v>
      </c>
      <c r="I1084" t="str">
        <f>_xlfn.XLOOKUP(E1084,Store_Dim!A:A,Store_Dim!C:C,"Not Found")</f>
        <v>North</v>
      </c>
      <c r="J1084" t="str">
        <f>_xlfn.XLOOKUP(C1084,Customer_Dim!A:A,Customer_Dim!B:B,"Not Found")</f>
        <v>Ryan Kane</v>
      </c>
      <c r="K1084">
        <f>Table511[[#This Row],[Total_Amount]]/(L1084*(1-Table511[[#This Row],[Discount]]))</f>
        <v>3</v>
      </c>
      <c r="L1084" s="5">
        <v>435.61</v>
      </c>
      <c r="M1084">
        <v>0.03</v>
      </c>
      <c r="N1084" t="s">
        <v>1351</v>
      </c>
      <c r="O1084" s="5">
        <v>1267.6251</v>
      </c>
    </row>
    <row r="1085" spans="1:15">
      <c r="A1085" t="s">
        <v>2434</v>
      </c>
      <c r="B1085" s="7">
        <v>45531</v>
      </c>
      <c r="C1085" t="s">
        <v>833</v>
      </c>
      <c r="D1085" t="s">
        <v>1131</v>
      </c>
      <c r="E1085" t="s">
        <v>1329</v>
      </c>
      <c r="F1085" t="str">
        <f>[1]Raw_Customer_Dim!$A$2</f>
        <v>CUST1000</v>
      </c>
      <c r="G1085" t="str">
        <f>_xlfn.XLOOKUP(E1085,Store_Dim!A:A,Store_Dim!B:B,"Not Found")</f>
        <v>Frederick-Wright</v>
      </c>
      <c r="H1085" t="str">
        <f>_xlfn.XLOOKUP(D1085,Product_Dim!A:A,Product_Dim!C:C,"Not Found")</f>
        <v>Home</v>
      </c>
      <c r="I1085" t="str">
        <f>_xlfn.XLOOKUP(E1085,Store_Dim!A:A,Store_Dim!C:C,"Not Found")</f>
        <v>West</v>
      </c>
      <c r="J1085" t="str">
        <f>_xlfn.XLOOKUP(C1085,Customer_Dim!A:A,Customer_Dim!B:B,"Not Found")</f>
        <v>Tammy Brennan</v>
      </c>
      <c r="K1085">
        <f>Table511[[#This Row],[Total_Amount]]/(L1085*(1-Table511[[#This Row],[Discount]]))</f>
        <v>1</v>
      </c>
      <c r="L1085" s="5">
        <v>850.06</v>
      </c>
      <c r="M1085">
        <v>0.28999999999999998</v>
      </c>
      <c r="N1085" t="s">
        <v>1351</v>
      </c>
      <c r="O1085" s="5">
        <v>603.54259999999988</v>
      </c>
    </row>
    <row r="1086" spans="1:15">
      <c r="A1086" t="s">
        <v>2435</v>
      </c>
      <c r="B1086" s="7">
        <v>45330</v>
      </c>
      <c r="C1086" t="s">
        <v>758</v>
      </c>
      <c r="D1086" t="s">
        <v>1105</v>
      </c>
      <c r="E1086" t="s">
        <v>1329</v>
      </c>
      <c r="F1086" t="str">
        <f>[1]Raw_Customer_Dim!$A$2</f>
        <v>CUST1000</v>
      </c>
      <c r="G1086" t="str">
        <f>_xlfn.XLOOKUP(E1086,Store_Dim!A:A,Store_Dim!B:B,"Not Found")</f>
        <v>Frederick-Wright</v>
      </c>
      <c r="H1086" t="str">
        <f>_xlfn.XLOOKUP(D1086,Product_Dim!A:A,Product_Dim!C:C,"Not Found")</f>
        <v>Not Found</v>
      </c>
      <c r="I1086" t="str">
        <f>_xlfn.XLOOKUP(E1086,Store_Dim!A:A,Store_Dim!C:C,"Not Found")</f>
        <v>West</v>
      </c>
      <c r="J1086" t="str">
        <f>_xlfn.XLOOKUP(C1086,Customer_Dim!A:A,Customer_Dim!B:B,"Not Found")</f>
        <v>Justin Mason DDS</v>
      </c>
      <c r="K1086">
        <f>Table511[[#This Row],[Total_Amount]]/(L1086*(1-Table511[[#This Row],[Discount]]))</f>
        <v>2.0000000000000004</v>
      </c>
      <c r="L1086" s="5">
        <v>753.92</v>
      </c>
      <c r="M1086">
        <v>0.17</v>
      </c>
      <c r="N1086" t="s">
        <v>1351</v>
      </c>
      <c r="O1086" s="5">
        <v>1251.5072</v>
      </c>
    </row>
    <row r="1087" spans="1:15">
      <c r="A1087" t="s">
        <v>2436</v>
      </c>
      <c r="B1087" s="7">
        <v>45311</v>
      </c>
      <c r="C1087" t="s">
        <v>1037</v>
      </c>
      <c r="D1087" t="s">
        <v>1078</v>
      </c>
      <c r="E1087" t="s">
        <v>1322</v>
      </c>
      <c r="F1087" t="str">
        <f>[1]Raw_Customer_Dim!$A$2</f>
        <v>CUST1000</v>
      </c>
      <c r="G1087" t="str">
        <f>_xlfn.XLOOKUP(E1087,Store_Dim!A:A,Store_Dim!B:B,"Not Found")</f>
        <v>Gardner, Humphrey and Contreras</v>
      </c>
      <c r="H1087" t="str">
        <f>_xlfn.XLOOKUP(D1087,Product_Dim!A:A,Product_Dim!C:C,"Not Found")</f>
        <v>Clothing</v>
      </c>
      <c r="I1087" t="str">
        <f>_xlfn.XLOOKUP(E1087,Store_Dim!A:A,Store_Dim!C:C,"Not Found")</f>
        <v>East</v>
      </c>
      <c r="J1087" t="str">
        <f>_xlfn.XLOOKUP(C1087,Customer_Dim!A:A,Customer_Dim!B:B,"Not Found")</f>
        <v>Zachary Andrade</v>
      </c>
      <c r="K1087">
        <f>Table511[[#This Row],[Total_Amount]]/(L1087*(1-Table511[[#This Row],[Discount]]))</f>
        <v>3</v>
      </c>
      <c r="L1087" s="5">
        <v>408.99</v>
      </c>
      <c r="M1087">
        <v>0.27</v>
      </c>
      <c r="N1087" t="s">
        <v>1351</v>
      </c>
      <c r="O1087" s="5">
        <v>895.68809999999996</v>
      </c>
    </row>
    <row r="1088" spans="1:15">
      <c r="A1088" t="s">
        <v>2437</v>
      </c>
      <c r="B1088" s="7">
        <v>45567</v>
      </c>
      <c r="C1088" t="s">
        <v>634</v>
      </c>
      <c r="D1088" t="s">
        <v>1187</v>
      </c>
      <c r="E1088" t="s">
        <v>1298</v>
      </c>
      <c r="F1088" t="str">
        <f>[1]Raw_Customer_Dim!$A$2</f>
        <v>CUST1000</v>
      </c>
      <c r="G1088" t="str">
        <f>_xlfn.XLOOKUP(E1088,Store_Dim!A:A,Store_Dim!B:B,"Not Found")</f>
        <v>Gray Ltd</v>
      </c>
      <c r="H1088" t="str">
        <f>_xlfn.XLOOKUP(D1088,Product_Dim!A:A,Product_Dim!C:C,"Not Found")</f>
        <v>Sports</v>
      </c>
      <c r="I1088" t="str">
        <f>_xlfn.XLOOKUP(E1088,Store_Dim!A:A,Store_Dim!C:C,"Not Found")</f>
        <v>North</v>
      </c>
      <c r="J1088" t="str">
        <f>_xlfn.XLOOKUP(C1088,Customer_Dim!A:A,Customer_Dim!B:B,"Not Found")</f>
        <v>Donna Guerra</v>
      </c>
      <c r="K1088">
        <f>Table511[[#This Row],[Total_Amount]]/(L1088*(1-Table511[[#This Row],[Discount]]))</f>
        <v>3.0000000000000004</v>
      </c>
      <c r="L1088" s="5">
        <v>404.5</v>
      </c>
      <c r="M1088">
        <v>0.22</v>
      </c>
      <c r="N1088" t="s">
        <v>1351</v>
      </c>
      <c r="O1088" s="5">
        <v>946.53000000000009</v>
      </c>
    </row>
    <row r="1089" spans="1:15">
      <c r="A1089" t="s">
        <v>2438</v>
      </c>
      <c r="B1089" s="7">
        <v>45239</v>
      </c>
      <c r="C1089" t="s">
        <v>823</v>
      </c>
      <c r="D1089" t="s">
        <v>1151</v>
      </c>
      <c r="E1089" t="s">
        <v>1291</v>
      </c>
      <c r="F1089" t="str">
        <f>[1]Raw_Customer_Dim!$A$2</f>
        <v>CUST1000</v>
      </c>
      <c r="G1089" t="str">
        <f>_xlfn.XLOOKUP(E1089,Store_Dim!A:A,Store_Dim!B:B,"Not Found")</f>
        <v>Johnson-Wright</v>
      </c>
      <c r="H1089" t="str">
        <f>_xlfn.XLOOKUP(D1089,Product_Dim!A:A,Product_Dim!C:C,"Not Found")</f>
        <v>Electronics</v>
      </c>
      <c r="I1089" t="str">
        <f>_xlfn.XLOOKUP(E1089,Store_Dim!A:A,Store_Dim!C:C,"Not Found")</f>
        <v>North</v>
      </c>
      <c r="J1089" t="str">
        <f>_xlfn.XLOOKUP(C1089,Customer_Dim!A:A,Customer_Dim!B:B,"Not Found")</f>
        <v>Shelley Ponce</v>
      </c>
      <c r="K1089">
        <f>Table511[[#This Row],[Total_Amount]]/(L1089*(1-Table511[[#This Row],[Discount]]))</f>
        <v>3</v>
      </c>
      <c r="L1089" s="5">
        <v>717.81</v>
      </c>
      <c r="M1089">
        <v>0.17</v>
      </c>
      <c r="N1089" t="s">
        <v>1354</v>
      </c>
      <c r="O1089" s="5">
        <v>1787.3469</v>
      </c>
    </row>
    <row r="1090" spans="1:15">
      <c r="A1090" t="s">
        <v>2439</v>
      </c>
      <c r="B1090" s="7">
        <v>45284</v>
      </c>
      <c r="C1090" t="s">
        <v>565</v>
      </c>
      <c r="D1090" t="s">
        <v>1241</v>
      </c>
      <c r="E1090" t="s">
        <v>1282</v>
      </c>
      <c r="F1090" t="str">
        <f>[1]Raw_Customer_Dim!$A$2</f>
        <v>CUST1000</v>
      </c>
      <c r="G1090" t="str">
        <f>_xlfn.XLOOKUP(E1090,Store_Dim!A:A,Store_Dim!B:B,"Not Found")</f>
        <v>Martinez, Adkins and Johnson</v>
      </c>
      <c r="H1090" t="str">
        <f>_xlfn.XLOOKUP(D1090,Product_Dim!A:A,Product_Dim!C:C,"Not Found")</f>
        <v>Home</v>
      </c>
      <c r="I1090" t="str">
        <f>_xlfn.XLOOKUP(E1090,Store_Dim!A:A,Store_Dim!C:C,"Not Found")</f>
        <v>North</v>
      </c>
      <c r="J1090" t="str">
        <f>_xlfn.XLOOKUP(C1090,Customer_Dim!A:A,Customer_Dim!B:B,"Not Found")</f>
        <v>Tyler Garner</v>
      </c>
      <c r="K1090">
        <f>Table511[[#This Row],[Total_Amount]]/(L1090*(1-Table511[[#This Row],[Discount]]))</f>
        <v>3</v>
      </c>
      <c r="L1090" s="5">
        <v>204.77</v>
      </c>
      <c r="M1090">
        <v>0.14000000000000001</v>
      </c>
      <c r="N1090" t="s">
        <v>1349</v>
      </c>
      <c r="O1090" s="5">
        <v>528.3066</v>
      </c>
    </row>
    <row r="1091" spans="1:15">
      <c r="A1091" t="s">
        <v>2440</v>
      </c>
      <c r="B1091" s="7">
        <v>45686</v>
      </c>
      <c r="C1091" t="s">
        <v>115</v>
      </c>
      <c r="D1091" t="s">
        <v>1169</v>
      </c>
      <c r="E1091" t="s">
        <v>1335</v>
      </c>
      <c r="F1091" t="str">
        <f>[1]Raw_Customer_Dim!$A$2</f>
        <v>CUST1000</v>
      </c>
      <c r="G1091" t="str">
        <f>_xlfn.XLOOKUP(E1091,Store_Dim!A:A,Store_Dim!B:B,"Not Found")</f>
        <v>Guerrero-Schmitt</v>
      </c>
      <c r="H1091" t="str">
        <f>_xlfn.XLOOKUP(D1091,Product_Dim!A:A,Product_Dim!C:C,"Not Found")</f>
        <v>Electronics</v>
      </c>
      <c r="I1091" t="str">
        <f>_xlfn.XLOOKUP(E1091,Store_Dim!A:A,Store_Dim!C:C,"Not Found")</f>
        <v>East</v>
      </c>
      <c r="J1091" t="str">
        <f>_xlfn.XLOOKUP(C1091,Customer_Dim!A:A,Customer_Dim!B:B,"Not Found")</f>
        <v>Tonya Reynolds</v>
      </c>
      <c r="K1091">
        <f>Table511[[#This Row],[Total_Amount]]/(L1091*(1-Table511[[#This Row],[Discount]]))</f>
        <v>4</v>
      </c>
      <c r="L1091" s="5">
        <v>106.23</v>
      </c>
      <c r="M1091">
        <v>0.28000000000000003</v>
      </c>
      <c r="N1091" t="s">
        <v>1354</v>
      </c>
      <c r="O1091" s="5">
        <v>305.94240000000002</v>
      </c>
    </row>
    <row r="1092" spans="1:15">
      <c r="A1092" t="s">
        <v>2441</v>
      </c>
      <c r="B1092" s="7">
        <v>45824</v>
      </c>
      <c r="C1092" t="s">
        <v>714</v>
      </c>
      <c r="D1092" t="s">
        <v>1205</v>
      </c>
      <c r="E1092" t="s">
        <v>1298</v>
      </c>
      <c r="F1092" t="str">
        <f>[1]Raw_Customer_Dim!$A$2</f>
        <v>CUST1000</v>
      </c>
      <c r="G1092" t="str">
        <f>_xlfn.XLOOKUP(E1092,Store_Dim!A:A,Store_Dim!B:B,"Not Found")</f>
        <v>Gray Ltd</v>
      </c>
      <c r="H1092" t="str">
        <f>_xlfn.XLOOKUP(D1092,Product_Dim!A:A,Product_Dim!C:C,"Not Found")</f>
        <v>Beauty</v>
      </c>
      <c r="I1092" t="str">
        <f>_xlfn.XLOOKUP(E1092,Store_Dim!A:A,Store_Dim!C:C,"Not Found")</f>
        <v>North</v>
      </c>
      <c r="J1092" t="str">
        <f>_xlfn.XLOOKUP(C1092,Customer_Dim!A:A,Customer_Dim!B:B,"Not Found")</f>
        <v>Andrew Smith</v>
      </c>
      <c r="K1092">
        <f>Table511[[#This Row],[Total_Amount]]/(L1092*(1-Table511[[#This Row],[Discount]]))</f>
        <v>2</v>
      </c>
      <c r="L1092" s="5">
        <v>769.48</v>
      </c>
      <c r="M1092">
        <v>0.11</v>
      </c>
      <c r="N1092" t="s">
        <v>1351</v>
      </c>
      <c r="O1092" s="5">
        <v>1369.6744000000001</v>
      </c>
    </row>
    <row r="1093" spans="1:15">
      <c r="A1093" t="s">
        <v>2442</v>
      </c>
      <c r="B1093" s="7">
        <v>45867</v>
      </c>
      <c r="C1093" t="s">
        <v>573</v>
      </c>
      <c r="D1093" t="s">
        <v>1187</v>
      </c>
      <c r="E1093" t="s">
        <v>1322</v>
      </c>
      <c r="F1093" t="str">
        <f>[1]Raw_Customer_Dim!$A$2</f>
        <v>CUST1000</v>
      </c>
      <c r="G1093" t="str">
        <f>_xlfn.XLOOKUP(E1093,Store_Dim!A:A,Store_Dim!B:B,"Not Found")</f>
        <v>Gardner, Humphrey and Contreras</v>
      </c>
      <c r="H1093" t="str">
        <f>_xlfn.XLOOKUP(D1093,Product_Dim!A:A,Product_Dim!C:C,"Not Found")</f>
        <v>Sports</v>
      </c>
      <c r="I1093" t="str">
        <f>_xlfn.XLOOKUP(E1093,Store_Dim!A:A,Store_Dim!C:C,"Not Found")</f>
        <v>East</v>
      </c>
      <c r="J1093" t="str">
        <f>_xlfn.XLOOKUP(C1093,Customer_Dim!A:A,Customer_Dim!B:B,"Not Found")</f>
        <v>Damon Perez</v>
      </c>
      <c r="K1093">
        <f>Table511[[#This Row],[Total_Amount]]/(L1093*(1-Table511[[#This Row],[Discount]]))</f>
        <v>2</v>
      </c>
      <c r="L1093" s="5">
        <v>714.21</v>
      </c>
      <c r="M1093">
        <v>0.14000000000000001</v>
      </c>
      <c r="N1093" t="s">
        <v>1349</v>
      </c>
      <c r="O1093" s="5">
        <v>1228.4412</v>
      </c>
    </row>
    <row r="1094" spans="1:15">
      <c r="A1094" t="s">
        <v>2443</v>
      </c>
      <c r="B1094" s="7">
        <v>45578</v>
      </c>
      <c r="C1094" t="s">
        <v>606</v>
      </c>
      <c r="D1094" t="s">
        <v>1095</v>
      </c>
      <c r="E1094" t="s">
        <v>1326</v>
      </c>
      <c r="F1094" t="str">
        <f>[1]Raw_Customer_Dim!$A$2</f>
        <v>CUST1000</v>
      </c>
      <c r="G1094" t="str">
        <f>_xlfn.XLOOKUP(E1094,Store_Dim!A:A,Store_Dim!B:B,"Not Found")</f>
        <v>Shelton PLC</v>
      </c>
      <c r="H1094" t="str">
        <f>_xlfn.XLOOKUP(D1094,Product_Dim!A:A,Product_Dim!C:C,"Not Found")</f>
        <v>Electronics</v>
      </c>
      <c r="I1094" t="str">
        <f>_xlfn.XLOOKUP(E1094,Store_Dim!A:A,Store_Dim!C:C,"Not Found")</f>
        <v>North</v>
      </c>
      <c r="J1094" t="str">
        <f>_xlfn.XLOOKUP(C1094,Customer_Dim!A:A,Customer_Dim!B:B,"Not Found")</f>
        <v>Daisy Johnson DDS</v>
      </c>
      <c r="K1094">
        <f>Table511[[#This Row],[Total_Amount]]/(L1094*(1-Table511[[#This Row],[Discount]]))</f>
        <v>4</v>
      </c>
      <c r="L1094" s="5">
        <v>632.24</v>
      </c>
      <c r="M1094">
        <v>0.25</v>
      </c>
      <c r="N1094" t="s">
        <v>1351</v>
      </c>
      <c r="O1094" s="5">
        <v>1896.72</v>
      </c>
    </row>
    <row r="1095" spans="1:15">
      <c r="A1095" t="s">
        <v>2444</v>
      </c>
      <c r="B1095" s="7">
        <v>45575</v>
      </c>
      <c r="C1095" t="s">
        <v>383</v>
      </c>
      <c r="D1095" t="s">
        <v>1229</v>
      </c>
      <c r="E1095" t="s">
        <v>1291</v>
      </c>
      <c r="F1095" t="str">
        <f>[1]Raw_Customer_Dim!$A$2</f>
        <v>CUST1000</v>
      </c>
      <c r="G1095" t="str">
        <f>_xlfn.XLOOKUP(E1095,Store_Dim!A:A,Store_Dim!B:B,"Not Found")</f>
        <v>Johnson-Wright</v>
      </c>
      <c r="H1095" t="str">
        <f>_xlfn.XLOOKUP(D1095,Product_Dim!A:A,Product_Dim!C:C,"Not Found")</f>
        <v>Home</v>
      </c>
      <c r="I1095" t="str">
        <f>_xlfn.XLOOKUP(E1095,Store_Dim!A:A,Store_Dim!C:C,"Not Found")</f>
        <v>North</v>
      </c>
      <c r="J1095" t="str">
        <f>_xlfn.XLOOKUP(C1095,Customer_Dim!A:A,Customer_Dim!B:B,"Not Found")</f>
        <v>Cynthia Morris</v>
      </c>
      <c r="K1095">
        <f>Table511[[#This Row],[Total_Amount]]/(L1095*(1-Table511[[#This Row],[Discount]]))</f>
        <v>2</v>
      </c>
      <c r="L1095" s="5">
        <v>845.27</v>
      </c>
      <c r="M1095">
        <v>0.18</v>
      </c>
      <c r="N1095" t="s">
        <v>1351</v>
      </c>
      <c r="O1095" s="5">
        <v>1386.2428</v>
      </c>
    </row>
    <row r="1096" spans="1:15">
      <c r="A1096" t="s">
        <v>2445</v>
      </c>
      <c r="B1096" s="7">
        <v>45816</v>
      </c>
      <c r="C1096" t="s">
        <v>1055</v>
      </c>
      <c r="D1096" t="s">
        <v>1247</v>
      </c>
      <c r="E1096" t="s">
        <v>1322</v>
      </c>
      <c r="F1096" t="str">
        <f>[1]Raw_Customer_Dim!$A$2</f>
        <v>CUST1000</v>
      </c>
      <c r="G1096" t="str">
        <f>_xlfn.XLOOKUP(E1096,Store_Dim!A:A,Store_Dim!B:B,"Not Found")</f>
        <v>Gardner, Humphrey and Contreras</v>
      </c>
      <c r="H1096" t="str">
        <f>_xlfn.XLOOKUP(D1096,Product_Dim!A:A,Product_Dim!C:C,"Not Found")</f>
        <v>Home</v>
      </c>
      <c r="I1096" t="str">
        <f>_xlfn.XLOOKUP(E1096,Store_Dim!A:A,Store_Dim!C:C,"Not Found")</f>
        <v>East</v>
      </c>
      <c r="J1096" t="str">
        <f>_xlfn.XLOOKUP(C1096,Customer_Dim!A:A,Customer_Dim!B:B,"Not Found")</f>
        <v>Sarah Marsh</v>
      </c>
      <c r="K1096">
        <f>Table511[[#This Row],[Total_Amount]]/(L1096*(1-Table511[[#This Row],[Discount]]))</f>
        <v>0.99999999999999989</v>
      </c>
      <c r="L1096" s="5">
        <v>575.94000000000005</v>
      </c>
      <c r="M1096">
        <v>0.17</v>
      </c>
      <c r="N1096" t="s">
        <v>1349</v>
      </c>
      <c r="O1096" s="5">
        <v>478.03019999999998</v>
      </c>
    </row>
    <row r="1097" spans="1:15">
      <c r="A1097" t="s">
        <v>2446</v>
      </c>
      <c r="B1097" s="7">
        <v>45620</v>
      </c>
      <c r="C1097" t="s">
        <v>565</v>
      </c>
      <c r="D1097" t="s">
        <v>1241</v>
      </c>
      <c r="E1097" t="s">
        <v>1326</v>
      </c>
      <c r="F1097" t="str">
        <f>[1]Raw_Customer_Dim!$A$2</f>
        <v>CUST1000</v>
      </c>
      <c r="G1097" t="str">
        <f>_xlfn.XLOOKUP(E1097,Store_Dim!A:A,Store_Dim!B:B,"Not Found")</f>
        <v>Shelton PLC</v>
      </c>
      <c r="H1097" t="str">
        <f>_xlfn.XLOOKUP(D1097,Product_Dim!A:A,Product_Dim!C:C,"Not Found")</f>
        <v>Home</v>
      </c>
      <c r="I1097" t="str">
        <f>_xlfn.XLOOKUP(E1097,Store_Dim!A:A,Store_Dim!C:C,"Not Found")</f>
        <v>North</v>
      </c>
      <c r="J1097" t="str">
        <f>_xlfn.XLOOKUP(C1097,Customer_Dim!A:A,Customer_Dim!B:B,"Not Found")</f>
        <v>Tyler Garner</v>
      </c>
      <c r="K1097">
        <f>Table511[[#This Row],[Total_Amount]]/(L1097*(1-Table511[[#This Row],[Discount]]))</f>
        <v>1</v>
      </c>
      <c r="L1097" s="5">
        <v>907.97</v>
      </c>
      <c r="M1097">
        <v>0.26</v>
      </c>
      <c r="N1097" t="s">
        <v>1354</v>
      </c>
      <c r="O1097" s="5">
        <v>671.89779999999996</v>
      </c>
    </row>
    <row r="1098" spans="1:15">
      <c r="A1098" t="s">
        <v>2447</v>
      </c>
      <c r="B1098" s="7">
        <v>45695</v>
      </c>
      <c r="C1098" t="s">
        <v>596</v>
      </c>
      <c r="D1098" t="s">
        <v>1113</v>
      </c>
      <c r="E1098" t="s">
        <v>1319</v>
      </c>
      <c r="F1098" t="str">
        <f>[1]Raw_Customer_Dim!$A$2</f>
        <v>CUST1000</v>
      </c>
      <c r="G1098" t="str">
        <f>_xlfn.XLOOKUP(E1098,Store_Dim!A:A,Store_Dim!B:B,"Not Found")</f>
        <v>Thomas, Bridges and Harris</v>
      </c>
      <c r="H1098" t="str">
        <f>_xlfn.XLOOKUP(D1098,Product_Dim!A:A,Product_Dim!C:C,"Not Found")</f>
        <v>Sports</v>
      </c>
      <c r="I1098" t="str">
        <f>_xlfn.XLOOKUP(E1098,Store_Dim!A:A,Store_Dim!C:C,"Not Found")</f>
        <v>North</v>
      </c>
      <c r="J1098" t="str">
        <f>_xlfn.XLOOKUP(C1098,Customer_Dim!A:A,Customer_Dim!B:B,"Not Found")</f>
        <v>Cynthia Payne</v>
      </c>
      <c r="K1098">
        <f>Table511[[#This Row],[Total_Amount]]/(L1098*(1-Table511[[#This Row],[Discount]]))</f>
        <v>1</v>
      </c>
      <c r="L1098" s="5">
        <v>99.35</v>
      </c>
      <c r="M1098">
        <v>0.08</v>
      </c>
      <c r="N1098" t="s">
        <v>1354</v>
      </c>
      <c r="O1098" s="5">
        <v>91.402000000000001</v>
      </c>
    </row>
    <row r="1099" spans="1:15">
      <c r="A1099" t="s">
        <v>2448</v>
      </c>
      <c r="B1099" s="7">
        <v>45596</v>
      </c>
      <c r="C1099" t="s">
        <v>192</v>
      </c>
      <c r="D1099" t="s">
        <v>1068</v>
      </c>
      <c r="E1099" t="s">
        <v>1291</v>
      </c>
      <c r="F1099" t="str">
        <f>[1]Raw_Customer_Dim!$A$2</f>
        <v>CUST1000</v>
      </c>
      <c r="G1099" t="str">
        <f>_xlfn.XLOOKUP(E1099,Store_Dim!A:A,Store_Dim!B:B,"Not Found")</f>
        <v>Johnson-Wright</v>
      </c>
      <c r="H1099" t="str">
        <f>_xlfn.XLOOKUP(D1099,Product_Dim!A:A,Product_Dim!C:C,"Not Found")</f>
        <v>Electronics</v>
      </c>
      <c r="I1099" t="str">
        <f>_xlfn.XLOOKUP(E1099,Store_Dim!A:A,Store_Dim!C:C,"Not Found")</f>
        <v>North</v>
      </c>
      <c r="J1099" t="str">
        <f>_xlfn.XLOOKUP(C1099,Customer_Dim!A:A,Customer_Dim!B:B,"Not Found")</f>
        <v>Andrea Perez</v>
      </c>
      <c r="K1099">
        <f>Table511[[#This Row],[Total_Amount]]/(L1099*(1-Table511[[#This Row],[Discount]]))</f>
        <v>2</v>
      </c>
      <c r="L1099" s="5">
        <v>374.42</v>
      </c>
      <c r="M1099">
        <v>0.21</v>
      </c>
      <c r="N1099" t="s">
        <v>1354</v>
      </c>
      <c r="O1099" s="5">
        <v>591.58360000000005</v>
      </c>
    </row>
    <row r="1100" spans="1:15">
      <c r="A1100" t="s">
        <v>2449</v>
      </c>
      <c r="B1100" s="7">
        <v>45869</v>
      </c>
      <c r="C1100" t="s">
        <v>1024</v>
      </c>
      <c r="D1100" t="s">
        <v>1103</v>
      </c>
      <c r="E1100" t="s">
        <v>1326</v>
      </c>
      <c r="F1100" t="str">
        <f>[1]Raw_Customer_Dim!$A$2</f>
        <v>CUST1000</v>
      </c>
      <c r="G1100" t="str">
        <f>_xlfn.XLOOKUP(E1100,Store_Dim!A:A,Store_Dim!B:B,"Not Found")</f>
        <v>Shelton PLC</v>
      </c>
      <c r="H1100" t="str">
        <f>_xlfn.XLOOKUP(D1100,Product_Dim!A:A,Product_Dim!C:C,"Not Found")</f>
        <v>Electronics</v>
      </c>
      <c r="I1100" t="str">
        <f>_xlfn.XLOOKUP(E1100,Store_Dim!A:A,Store_Dim!C:C,"Not Found")</f>
        <v>North</v>
      </c>
      <c r="J1100" t="str">
        <f>_xlfn.XLOOKUP(C1100,Customer_Dim!A:A,Customer_Dim!B:B,"Not Found")</f>
        <v>Bryan Tran</v>
      </c>
      <c r="K1100">
        <f>Table511[[#This Row],[Total_Amount]]/(L1100*(1-Table511[[#This Row],[Discount]]))</f>
        <v>2.9999999999999996</v>
      </c>
      <c r="L1100" s="5">
        <v>248.43</v>
      </c>
      <c r="M1100">
        <v>0.24</v>
      </c>
      <c r="N1100" t="s">
        <v>1354</v>
      </c>
      <c r="O1100" s="5">
        <v>566.42039999999997</v>
      </c>
    </row>
    <row r="1101" spans="1:15">
      <c r="A1101" t="s">
        <v>2450</v>
      </c>
      <c r="B1101" s="7">
        <v>45631</v>
      </c>
      <c r="C1101" t="s">
        <v>998</v>
      </c>
      <c r="D1101" t="s">
        <v>1243</v>
      </c>
      <c r="E1101" t="s">
        <v>1282</v>
      </c>
      <c r="F1101" t="str">
        <f>[1]Raw_Customer_Dim!$A$2</f>
        <v>CUST1000</v>
      </c>
      <c r="G1101" t="str">
        <f>_xlfn.XLOOKUP(E1101,Store_Dim!A:A,Store_Dim!B:B,"Not Found")</f>
        <v>Martinez, Adkins and Johnson</v>
      </c>
      <c r="H1101" t="str">
        <f>_xlfn.XLOOKUP(D1101,Product_Dim!A:A,Product_Dim!C:C,"Not Found")</f>
        <v>Clothing</v>
      </c>
      <c r="I1101" t="str">
        <f>_xlfn.XLOOKUP(E1101,Store_Dim!A:A,Store_Dim!C:C,"Not Found")</f>
        <v>North</v>
      </c>
      <c r="J1101" t="str">
        <f>_xlfn.XLOOKUP(C1101,Customer_Dim!A:A,Customer_Dim!B:B,"Not Found")</f>
        <v>Gregory Curtis</v>
      </c>
      <c r="K1101">
        <f>Table511[[#This Row],[Total_Amount]]/(L1101*(1-Table511[[#This Row],[Discount]]))</f>
        <v>1</v>
      </c>
      <c r="L1101" s="5">
        <v>784.46</v>
      </c>
      <c r="M1101">
        <v>0.14000000000000001</v>
      </c>
      <c r="N1101" t="s">
        <v>1354</v>
      </c>
      <c r="O1101" s="5">
        <v>674.63560000000007</v>
      </c>
    </row>
    <row r="1102" spans="1:15">
      <c r="A1102" t="s">
        <v>2451</v>
      </c>
      <c r="B1102" s="7">
        <v>45379</v>
      </c>
      <c r="C1102" t="s">
        <v>581</v>
      </c>
      <c r="D1102" t="s">
        <v>1177</v>
      </c>
      <c r="E1102" t="s">
        <v>1314</v>
      </c>
      <c r="F1102" t="str">
        <f>[1]Raw_Customer_Dim!$A$2</f>
        <v>CUST1000</v>
      </c>
      <c r="G1102" t="str">
        <f>_xlfn.XLOOKUP(E1102,Store_Dim!A:A,Store_Dim!B:B,"Not Found")</f>
        <v>Hill, Wagner and Ballard</v>
      </c>
      <c r="H1102" t="str">
        <f>_xlfn.XLOOKUP(D1102,Product_Dim!A:A,Product_Dim!C:C,"Not Found")</f>
        <v>Sports</v>
      </c>
      <c r="I1102" t="str">
        <f>_xlfn.XLOOKUP(E1102,Store_Dim!A:A,Store_Dim!C:C,"Not Found")</f>
        <v>East</v>
      </c>
      <c r="J1102" t="str">
        <f>_xlfn.XLOOKUP(C1102,Customer_Dim!A:A,Customer_Dim!B:B,"Not Found")</f>
        <v>Beth Allen</v>
      </c>
      <c r="K1102">
        <f>Table511[[#This Row],[Total_Amount]]/(L1102*(1-Table511[[#This Row],[Discount]]))</f>
        <v>3.0000000000000004</v>
      </c>
      <c r="L1102" s="5">
        <v>70.88</v>
      </c>
      <c r="M1102">
        <v>0.27</v>
      </c>
      <c r="N1102" t="s">
        <v>1354</v>
      </c>
      <c r="O1102" s="5">
        <v>155.22720000000001</v>
      </c>
    </row>
    <row r="1103" spans="1:15">
      <c r="A1103" t="s">
        <v>2452</v>
      </c>
      <c r="B1103" s="7">
        <v>45641</v>
      </c>
      <c r="C1103" t="s">
        <v>279</v>
      </c>
      <c r="D1103" t="s">
        <v>1087</v>
      </c>
      <c r="E1103" t="s">
        <v>1282</v>
      </c>
      <c r="F1103" t="str">
        <f>[1]Raw_Customer_Dim!$A$2</f>
        <v>CUST1000</v>
      </c>
      <c r="G1103" t="str">
        <f>_xlfn.XLOOKUP(E1103,Store_Dim!A:A,Store_Dim!B:B,"Not Found")</f>
        <v>Martinez, Adkins and Johnson</v>
      </c>
      <c r="H1103" t="str">
        <f>_xlfn.XLOOKUP(D1103,Product_Dim!A:A,Product_Dim!C:C,"Not Found")</f>
        <v>Electronics</v>
      </c>
      <c r="I1103" t="str">
        <f>_xlfn.XLOOKUP(E1103,Store_Dim!A:A,Store_Dim!C:C,"Not Found")</f>
        <v>North</v>
      </c>
      <c r="J1103" t="str">
        <f>_xlfn.XLOOKUP(C1103,Customer_Dim!A:A,Customer_Dim!B:B,"Not Found")</f>
        <v>Ashley Griffin</v>
      </c>
      <c r="K1103">
        <f>Table511[[#This Row],[Total_Amount]]/(L1103*(1-Table511[[#This Row],[Discount]]))</f>
        <v>3.0000000000000004</v>
      </c>
      <c r="L1103" s="5">
        <v>324.29000000000002</v>
      </c>
      <c r="M1103">
        <v>0.16</v>
      </c>
      <c r="N1103" t="s">
        <v>1354</v>
      </c>
      <c r="O1103" s="5">
        <v>817.21080000000006</v>
      </c>
    </row>
    <row r="1104" spans="1:15">
      <c r="A1104" t="s">
        <v>2453</v>
      </c>
      <c r="B1104" s="7">
        <v>45842</v>
      </c>
      <c r="C1104" t="s">
        <v>343</v>
      </c>
      <c r="D1104" t="s">
        <v>1103</v>
      </c>
      <c r="E1104" t="s">
        <v>1291</v>
      </c>
      <c r="F1104" t="str">
        <f>[1]Raw_Customer_Dim!$A$2</f>
        <v>CUST1000</v>
      </c>
      <c r="G1104" t="str">
        <f>_xlfn.XLOOKUP(E1104,Store_Dim!A:A,Store_Dim!B:B,"Not Found")</f>
        <v>Johnson-Wright</v>
      </c>
      <c r="H1104" t="str">
        <f>_xlfn.XLOOKUP(D1104,Product_Dim!A:A,Product_Dim!C:C,"Not Found")</f>
        <v>Electronics</v>
      </c>
      <c r="I1104" t="str">
        <f>_xlfn.XLOOKUP(E1104,Store_Dim!A:A,Store_Dim!C:C,"Not Found")</f>
        <v>North</v>
      </c>
      <c r="J1104" t="str">
        <f>_xlfn.XLOOKUP(C1104,Customer_Dim!A:A,Customer_Dim!B:B,"Not Found")</f>
        <v>Cristian Wright</v>
      </c>
      <c r="K1104">
        <f>Table511[[#This Row],[Total_Amount]]/(L1104*(1-Table511[[#This Row],[Discount]]))</f>
        <v>4</v>
      </c>
      <c r="L1104" s="5">
        <v>243.92</v>
      </c>
      <c r="M1104">
        <v>0.02</v>
      </c>
      <c r="N1104" t="s">
        <v>1351</v>
      </c>
      <c r="O1104" s="5">
        <v>956.16639999999995</v>
      </c>
    </row>
    <row r="1105" spans="1:15">
      <c r="A1105" t="s">
        <v>2454</v>
      </c>
      <c r="B1105" s="7">
        <v>45257</v>
      </c>
      <c r="C1105" t="s">
        <v>813</v>
      </c>
      <c r="D1105" t="s">
        <v>1129</v>
      </c>
      <c r="E1105" t="s">
        <v>1322</v>
      </c>
      <c r="F1105" t="str">
        <f>[1]Raw_Customer_Dim!$A$2</f>
        <v>CUST1000</v>
      </c>
      <c r="G1105" t="str">
        <f>_xlfn.XLOOKUP(E1105,Store_Dim!A:A,Store_Dim!B:B,"Not Found")</f>
        <v>Gardner, Humphrey and Contreras</v>
      </c>
      <c r="H1105" t="str">
        <f>_xlfn.XLOOKUP(D1105,Product_Dim!A:A,Product_Dim!C:C,"Not Found")</f>
        <v>Sports</v>
      </c>
      <c r="I1105" t="str">
        <f>_xlfn.XLOOKUP(E1105,Store_Dim!A:A,Store_Dim!C:C,"Not Found")</f>
        <v>East</v>
      </c>
      <c r="J1105" t="str">
        <f>_xlfn.XLOOKUP(C1105,Customer_Dim!A:A,Customer_Dim!B:B,"Not Found")</f>
        <v>Joshua Bell</v>
      </c>
      <c r="K1105">
        <f>Table511[[#This Row],[Total_Amount]]/(L1105*(1-Table511[[#This Row],[Discount]]))</f>
        <v>1</v>
      </c>
      <c r="L1105" s="5">
        <v>664.35</v>
      </c>
      <c r="M1105">
        <v>0</v>
      </c>
      <c r="N1105" t="s">
        <v>1349</v>
      </c>
      <c r="O1105" s="5">
        <v>664.35</v>
      </c>
    </row>
    <row r="1106" spans="1:15">
      <c r="A1106" t="s">
        <v>2455</v>
      </c>
      <c r="B1106" s="7">
        <v>45468</v>
      </c>
      <c r="C1106" t="s">
        <v>831</v>
      </c>
      <c r="D1106" t="s">
        <v>1115</v>
      </c>
      <c r="E1106" t="s">
        <v>1314</v>
      </c>
      <c r="F1106" t="str">
        <f>[1]Raw_Customer_Dim!$A$2</f>
        <v>CUST1000</v>
      </c>
      <c r="G1106" t="str">
        <f>_xlfn.XLOOKUP(E1106,Store_Dim!A:A,Store_Dim!B:B,"Not Found")</f>
        <v>Hill, Wagner and Ballard</v>
      </c>
      <c r="H1106" t="str">
        <f>_xlfn.XLOOKUP(D1106,Product_Dim!A:A,Product_Dim!C:C,"Not Found")</f>
        <v>Home</v>
      </c>
      <c r="I1106" t="str">
        <f>_xlfn.XLOOKUP(E1106,Store_Dim!A:A,Store_Dim!C:C,"Not Found")</f>
        <v>East</v>
      </c>
      <c r="J1106" t="str">
        <f>_xlfn.XLOOKUP(C1106,Customer_Dim!A:A,Customer_Dim!B:B,"Not Found")</f>
        <v>Andrew Mason</v>
      </c>
      <c r="K1106">
        <f>Table511[[#This Row],[Total_Amount]]/(L1106*(1-Table511[[#This Row],[Discount]]))</f>
        <v>1.9999999999999998</v>
      </c>
      <c r="L1106" s="5">
        <v>218.07</v>
      </c>
      <c r="M1106">
        <v>0.19</v>
      </c>
      <c r="N1106" t="s">
        <v>1351</v>
      </c>
      <c r="O1106" s="5">
        <v>353.27339999999998</v>
      </c>
    </row>
    <row r="1107" spans="1:15">
      <c r="A1107" t="s">
        <v>2456</v>
      </c>
      <c r="B1107" s="7">
        <v>45228</v>
      </c>
      <c r="C1107" t="s">
        <v>829</v>
      </c>
      <c r="D1107" t="s">
        <v>1103</v>
      </c>
      <c r="E1107" t="s">
        <v>1291</v>
      </c>
      <c r="F1107" t="str">
        <f>[1]Raw_Customer_Dim!$A$2</f>
        <v>CUST1000</v>
      </c>
      <c r="G1107" t="str">
        <f>_xlfn.XLOOKUP(E1107,Store_Dim!A:A,Store_Dim!B:B,"Not Found")</f>
        <v>Johnson-Wright</v>
      </c>
      <c r="H1107" t="str">
        <f>_xlfn.XLOOKUP(D1107,Product_Dim!A:A,Product_Dim!C:C,"Not Found")</f>
        <v>Electronics</v>
      </c>
      <c r="I1107" t="str">
        <f>_xlfn.XLOOKUP(E1107,Store_Dim!A:A,Store_Dim!C:C,"Not Found")</f>
        <v>North</v>
      </c>
      <c r="J1107" t="str">
        <f>_xlfn.XLOOKUP(C1107,Customer_Dim!A:A,Customer_Dim!B:B,"Not Found")</f>
        <v>Kristine Higgins</v>
      </c>
      <c r="K1107">
        <f>Table511[[#This Row],[Total_Amount]]/(L1107*(1-Table511[[#This Row],[Discount]]))</f>
        <v>3.9999999999999991</v>
      </c>
      <c r="L1107" s="5">
        <v>921.83</v>
      </c>
      <c r="M1107">
        <v>0.27</v>
      </c>
      <c r="N1107" t="s">
        <v>1349</v>
      </c>
      <c r="O1107" s="5">
        <v>2691.7435999999998</v>
      </c>
    </row>
    <row r="1108" spans="1:15">
      <c r="A1108" t="s">
        <v>2457</v>
      </c>
      <c r="B1108" s="7">
        <v>45661</v>
      </c>
      <c r="C1108" t="s">
        <v>397</v>
      </c>
      <c r="D1108" t="s">
        <v>1173</v>
      </c>
      <c r="E1108" t="s">
        <v>1282</v>
      </c>
      <c r="F1108" t="str">
        <f>[1]Raw_Customer_Dim!$A$2</f>
        <v>CUST1000</v>
      </c>
      <c r="G1108" t="str">
        <f>_xlfn.XLOOKUP(E1108,Store_Dim!A:A,Store_Dim!B:B,"Not Found")</f>
        <v>Martinez, Adkins and Johnson</v>
      </c>
      <c r="H1108" t="str">
        <f>_xlfn.XLOOKUP(D1108,Product_Dim!A:A,Product_Dim!C:C,"Not Found")</f>
        <v>Sports</v>
      </c>
      <c r="I1108" t="str">
        <f>_xlfn.XLOOKUP(E1108,Store_Dim!A:A,Store_Dim!C:C,"Not Found")</f>
        <v>North</v>
      </c>
      <c r="J1108" t="str">
        <f>_xlfn.XLOOKUP(C1108,Customer_Dim!A:A,Customer_Dim!B:B,"Not Found")</f>
        <v>Daniel Contreras</v>
      </c>
      <c r="K1108">
        <f>Table511[[#This Row],[Total_Amount]]/(L1108*(1-Table511[[#This Row],[Discount]]))</f>
        <v>3</v>
      </c>
      <c r="L1108" s="5">
        <v>326.2</v>
      </c>
      <c r="M1108">
        <v>0.22</v>
      </c>
      <c r="N1108" t="s">
        <v>1354</v>
      </c>
      <c r="O1108" s="5">
        <v>763.30799999999999</v>
      </c>
    </row>
    <row r="1109" spans="1:15">
      <c r="A1109" t="s">
        <v>2458</v>
      </c>
      <c r="B1109" s="7">
        <v>45701</v>
      </c>
      <c r="C1109" t="s">
        <v>979</v>
      </c>
      <c r="D1109" t="s">
        <v>1107</v>
      </c>
      <c r="E1109" t="s">
        <v>1338</v>
      </c>
      <c r="F1109" t="str">
        <f>[1]Raw_Customer_Dim!$A$2</f>
        <v>CUST1000</v>
      </c>
      <c r="G1109" t="str">
        <f>_xlfn.XLOOKUP(E1109,Store_Dim!A:A,Store_Dim!B:B,"Not Found")</f>
        <v>Mann-Austin</v>
      </c>
      <c r="H1109" t="str">
        <f>_xlfn.XLOOKUP(D1109,Product_Dim!A:A,Product_Dim!C:C,"Not Found")</f>
        <v>Sports</v>
      </c>
      <c r="I1109" t="str">
        <f>_xlfn.XLOOKUP(E1109,Store_Dim!A:A,Store_Dim!C:C,"Not Found")</f>
        <v>East</v>
      </c>
      <c r="J1109" t="str">
        <f>_xlfn.XLOOKUP(C1109,Customer_Dim!A:A,Customer_Dim!B:B,"Not Found")</f>
        <v>Kelly Garrett</v>
      </c>
      <c r="K1109">
        <f>Table511[[#This Row],[Total_Amount]]/(L1109*(1-Table511[[#This Row],[Discount]]))</f>
        <v>1</v>
      </c>
      <c r="L1109" s="5">
        <v>244.25</v>
      </c>
      <c r="M1109">
        <v>0.09</v>
      </c>
      <c r="N1109" t="s">
        <v>1351</v>
      </c>
      <c r="O1109" s="5">
        <v>222.26750000000001</v>
      </c>
    </row>
    <row r="1110" spans="1:15">
      <c r="A1110" t="s">
        <v>2459</v>
      </c>
      <c r="B1110" s="7">
        <v>45448</v>
      </c>
      <c r="C1110" t="s">
        <v>801</v>
      </c>
      <c r="D1110" t="s">
        <v>1195</v>
      </c>
      <c r="E1110" t="s">
        <v>1314</v>
      </c>
      <c r="F1110" t="str">
        <f>[1]Raw_Customer_Dim!$A$2</f>
        <v>CUST1000</v>
      </c>
      <c r="G1110" t="str">
        <f>_xlfn.XLOOKUP(E1110,Store_Dim!A:A,Store_Dim!B:B,"Not Found")</f>
        <v>Hill, Wagner and Ballard</v>
      </c>
      <c r="H1110" t="str">
        <f>_xlfn.XLOOKUP(D1110,Product_Dim!A:A,Product_Dim!C:C,"Not Found")</f>
        <v>Sports</v>
      </c>
      <c r="I1110" t="str">
        <f>_xlfn.XLOOKUP(E1110,Store_Dim!A:A,Store_Dim!C:C,"Not Found")</f>
        <v>East</v>
      </c>
      <c r="J1110" t="str">
        <f>_xlfn.XLOOKUP(C1110,Customer_Dim!A:A,Customer_Dim!B:B,"Not Found")</f>
        <v>Gregory Allen</v>
      </c>
      <c r="K1110">
        <f>Table511[[#This Row],[Total_Amount]]/(L1110*(1-Table511[[#This Row],[Discount]]))</f>
        <v>3</v>
      </c>
      <c r="L1110" s="5">
        <v>808.87</v>
      </c>
      <c r="M1110">
        <v>0.12</v>
      </c>
      <c r="N1110" t="s">
        <v>1354</v>
      </c>
      <c r="O1110" s="5">
        <v>2135.4168</v>
      </c>
    </row>
    <row r="1111" spans="1:15">
      <c r="A1111" t="s">
        <v>2460</v>
      </c>
      <c r="B1111" s="7">
        <v>45387</v>
      </c>
      <c r="C1111" t="s">
        <v>740</v>
      </c>
      <c r="D1111" t="s">
        <v>1135</v>
      </c>
      <c r="E1111" t="s">
        <v>1286</v>
      </c>
      <c r="F1111" t="str">
        <f>[1]Raw_Customer_Dim!$A$2</f>
        <v>CUST1000</v>
      </c>
      <c r="G1111" t="str">
        <f>_xlfn.XLOOKUP(E1111,Store_Dim!A:A,Store_Dim!B:B,"Not Found")</f>
        <v>Black-Horn</v>
      </c>
      <c r="H1111" t="str">
        <f>_xlfn.XLOOKUP(D1111,Product_Dim!A:A,Product_Dim!C:C,"Not Found")</f>
        <v>Sports</v>
      </c>
      <c r="I1111" t="str">
        <f>_xlfn.XLOOKUP(E1111,Store_Dim!A:A,Store_Dim!C:C,"Not Found")</f>
        <v>South</v>
      </c>
      <c r="J1111" t="str">
        <f>_xlfn.XLOOKUP(C1111,Customer_Dim!A:A,Customer_Dim!B:B,"Not Found")</f>
        <v>Jasmine Snyder</v>
      </c>
      <c r="K1111">
        <f>Table511[[#This Row],[Total_Amount]]/(L1111*(1-Table511[[#This Row],[Discount]]))</f>
        <v>3</v>
      </c>
      <c r="L1111" s="5">
        <v>826.15</v>
      </c>
      <c r="M1111">
        <v>0</v>
      </c>
      <c r="N1111" t="s">
        <v>1351</v>
      </c>
      <c r="O1111" s="5">
        <v>2478.4499999999998</v>
      </c>
    </row>
    <row r="1112" spans="1:15">
      <c r="A1112" t="s">
        <v>2461</v>
      </c>
      <c r="B1112" s="7">
        <v>45652</v>
      </c>
      <c r="C1112" t="s">
        <v>436</v>
      </c>
      <c r="D1112" t="s">
        <v>1121</v>
      </c>
      <c r="E1112" t="s">
        <v>1338</v>
      </c>
      <c r="F1112" t="str">
        <f>[1]Raw_Customer_Dim!$A$2</f>
        <v>CUST1000</v>
      </c>
      <c r="G1112" t="str">
        <f>_xlfn.XLOOKUP(E1112,Store_Dim!A:A,Store_Dim!B:B,"Not Found")</f>
        <v>Mann-Austin</v>
      </c>
      <c r="H1112" t="str">
        <f>_xlfn.XLOOKUP(D1112,Product_Dim!A:A,Product_Dim!C:C,"Not Found")</f>
        <v>Sports</v>
      </c>
      <c r="I1112" t="str">
        <f>_xlfn.XLOOKUP(E1112,Store_Dim!A:A,Store_Dim!C:C,"Not Found")</f>
        <v>East</v>
      </c>
      <c r="J1112" t="str">
        <f>_xlfn.XLOOKUP(C1112,Customer_Dim!A:A,Customer_Dim!B:B,"Not Found")</f>
        <v>Dr. Suzanne Bullock</v>
      </c>
      <c r="K1112">
        <f>Table511[[#This Row],[Total_Amount]]/(L1112*(1-Table511[[#This Row],[Discount]]))</f>
        <v>2.9999999999999996</v>
      </c>
      <c r="L1112" s="5">
        <v>631.20000000000005</v>
      </c>
      <c r="M1112">
        <v>0.24</v>
      </c>
      <c r="N1112" t="s">
        <v>1349</v>
      </c>
      <c r="O1112" s="5">
        <v>1439.136</v>
      </c>
    </row>
    <row r="1113" spans="1:15">
      <c r="A1113" t="s">
        <v>2462</v>
      </c>
      <c r="B1113" s="7">
        <v>45316</v>
      </c>
      <c r="C1113" t="s">
        <v>612</v>
      </c>
      <c r="D1113" t="s">
        <v>1189</v>
      </c>
      <c r="E1113" t="s">
        <v>1314</v>
      </c>
      <c r="F1113" t="str">
        <f>[1]Raw_Customer_Dim!$A$2</f>
        <v>CUST1000</v>
      </c>
      <c r="G1113" t="str">
        <f>_xlfn.XLOOKUP(E1113,Store_Dim!A:A,Store_Dim!B:B,"Not Found")</f>
        <v>Hill, Wagner and Ballard</v>
      </c>
      <c r="H1113" t="str">
        <f>_xlfn.XLOOKUP(D1113,Product_Dim!A:A,Product_Dim!C:C,"Not Found")</f>
        <v>Clothing</v>
      </c>
      <c r="I1113" t="str">
        <f>_xlfn.XLOOKUP(E1113,Store_Dim!A:A,Store_Dim!C:C,"Not Found")</f>
        <v>East</v>
      </c>
      <c r="J1113" t="str">
        <f>_xlfn.XLOOKUP(C1113,Customer_Dim!A:A,Customer_Dim!B:B,"Not Found")</f>
        <v>Sarah Lane</v>
      </c>
      <c r="K1113">
        <f>Table511[[#This Row],[Total_Amount]]/(L1113*(1-Table511[[#This Row],[Discount]]))</f>
        <v>1</v>
      </c>
      <c r="L1113" s="5">
        <v>937.01</v>
      </c>
      <c r="M1113">
        <v>7.0000000000000007E-2</v>
      </c>
      <c r="N1113" t="s">
        <v>1349</v>
      </c>
      <c r="O1113" s="5">
        <v>871.41929999999991</v>
      </c>
    </row>
    <row r="1114" spans="1:15">
      <c r="A1114" t="s">
        <v>2463</v>
      </c>
      <c r="B1114" s="7">
        <v>45316</v>
      </c>
      <c r="C1114" t="s">
        <v>363</v>
      </c>
      <c r="D1114" t="s">
        <v>1219</v>
      </c>
      <c r="E1114" t="s">
        <v>1298</v>
      </c>
      <c r="F1114" t="str">
        <f>[1]Raw_Customer_Dim!$A$2</f>
        <v>CUST1000</v>
      </c>
      <c r="G1114" t="str">
        <f>_xlfn.XLOOKUP(E1114,Store_Dim!A:A,Store_Dim!B:B,"Not Found")</f>
        <v>Gray Ltd</v>
      </c>
      <c r="H1114" t="str">
        <f>_xlfn.XLOOKUP(D1114,Product_Dim!A:A,Product_Dim!C:C,"Not Found")</f>
        <v>Sports</v>
      </c>
      <c r="I1114" t="str">
        <f>_xlfn.XLOOKUP(E1114,Store_Dim!A:A,Store_Dim!C:C,"Not Found")</f>
        <v>North</v>
      </c>
      <c r="J1114" t="str">
        <f>_xlfn.XLOOKUP(C1114,Customer_Dim!A:A,Customer_Dim!B:B,"Not Found")</f>
        <v>Michael Davies</v>
      </c>
      <c r="K1114">
        <f>Table511[[#This Row],[Total_Amount]]/(L1114*(1-Table511[[#This Row],[Discount]]))</f>
        <v>2</v>
      </c>
      <c r="L1114" s="5">
        <v>644</v>
      </c>
      <c r="M1114">
        <v>0.04</v>
      </c>
      <c r="N1114" t="s">
        <v>1351</v>
      </c>
      <c r="O1114" s="5">
        <v>1236.48</v>
      </c>
    </row>
    <row r="1115" spans="1:15">
      <c r="A1115" t="s">
        <v>2464</v>
      </c>
      <c r="B1115" s="7">
        <v>45888</v>
      </c>
      <c r="C1115" t="s">
        <v>246</v>
      </c>
      <c r="D1115" t="s">
        <v>1255</v>
      </c>
      <c r="E1115" t="s">
        <v>1298</v>
      </c>
      <c r="F1115" t="str">
        <f>[1]Raw_Customer_Dim!$A$2</f>
        <v>CUST1000</v>
      </c>
      <c r="G1115" t="str">
        <f>_xlfn.XLOOKUP(E1115,Store_Dim!A:A,Store_Dim!B:B,"Not Found")</f>
        <v>Gray Ltd</v>
      </c>
      <c r="H1115" t="str">
        <f>_xlfn.XLOOKUP(D1115,Product_Dim!A:A,Product_Dim!C:C,"Not Found")</f>
        <v>Clothing</v>
      </c>
      <c r="I1115" t="str">
        <f>_xlfn.XLOOKUP(E1115,Store_Dim!A:A,Store_Dim!C:C,"Not Found")</f>
        <v>North</v>
      </c>
      <c r="J1115" t="str">
        <f>_xlfn.XLOOKUP(C1115,Customer_Dim!A:A,Customer_Dim!B:B,"Not Found")</f>
        <v>David Patterson</v>
      </c>
      <c r="K1115">
        <f>Table511[[#This Row],[Total_Amount]]/(L1115*(1-Table511[[#This Row],[Discount]]))</f>
        <v>3</v>
      </c>
      <c r="L1115" s="5">
        <v>629.58000000000004</v>
      </c>
      <c r="M1115">
        <v>0.05</v>
      </c>
      <c r="N1115" t="s">
        <v>1349</v>
      </c>
      <c r="O1115" s="5">
        <v>1794.3030000000001</v>
      </c>
    </row>
    <row r="1116" spans="1:15">
      <c r="A1116" t="s">
        <v>2465</v>
      </c>
      <c r="B1116" s="7">
        <v>45791</v>
      </c>
      <c r="C1116" t="s">
        <v>994</v>
      </c>
      <c r="D1116" t="s">
        <v>1247</v>
      </c>
      <c r="E1116" t="s">
        <v>1286</v>
      </c>
      <c r="F1116" t="str">
        <f>[1]Raw_Customer_Dim!$A$2</f>
        <v>CUST1000</v>
      </c>
      <c r="G1116" t="str">
        <f>_xlfn.XLOOKUP(E1116,Store_Dim!A:A,Store_Dim!B:B,"Not Found")</f>
        <v>Black-Horn</v>
      </c>
      <c r="H1116" t="str">
        <f>_xlfn.XLOOKUP(D1116,Product_Dim!A:A,Product_Dim!C:C,"Not Found")</f>
        <v>Home</v>
      </c>
      <c r="I1116" t="str">
        <f>_xlfn.XLOOKUP(E1116,Store_Dim!A:A,Store_Dim!C:C,"Not Found")</f>
        <v>South</v>
      </c>
      <c r="J1116" t="str">
        <f>_xlfn.XLOOKUP(C1116,Customer_Dim!A:A,Customer_Dim!B:B,"Not Found")</f>
        <v>Cynthia Parrish</v>
      </c>
      <c r="K1116">
        <f>Table511[[#This Row],[Total_Amount]]/(L1116*(1-Table511[[#This Row],[Discount]]))</f>
        <v>2</v>
      </c>
      <c r="L1116" s="5">
        <v>121.52</v>
      </c>
      <c r="M1116">
        <v>0.18</v>
      </c>
      <c r="N1116" t="s">
        <v>1354</v>
      </c>
      <c r="O1116" s="5">
        <v>199.2928</v>
      </c>
    </row>
    <row r="1117" spans="1:15">
      <c r="A1117" t="s">
        <v>2466</v>
      </c>
      <c r="B1117" s="7">
        <v>45420</v>
      </c>
      <c r="C1117" t="s">
        <v>865</v>
      </c>
      <c r="D1117" t="s">
        <v>1203</v>
      </c>
      <c r="E1117" t="s">
        <v>1338</v>
      </c>
      <c r="F1117" t="str">
        <f>[1]Raw_Customer_Dim!$A$2</f>
        <v>CUST1000</v>
      </c>
      <c r="G1117" t="str">
        <f>_xlfn.XLOOKUP(E1117,Store_Dim!A:A,Store_Dim!B:B,"Not Found")</f>
        <v>Mann-Austin</v>
      </c>
      <c r="H1117" t="str">
        <f>_xlfn.XLOOKUP(D1117,Product_Dim!A:A,Product_Dim!C:C,"Not Found")</f>
        <v>Sports</v>
      </c>
      <c r="I1117" t="str">
        <f>_xlfn.XLOOKUP(E1117,Store_Dim!A:A,Store_Dim!C:C,"Not Found")</f>
        <v>East</v>
      </c>
      <c r="J1117" t="str">
        <f>_xlfn.XLOOKUP(C1117,Customer_Dim!A:A,Customer_Dim!B:B,"Not Found")</f>
        <v>Terry Moses</v>
      </c>
      <c r="K1117">
        <f>Table511[[#This Row],[Total_Amount]]/(L1117*(1-Table511[[#This Row],[Discount]]))</f>
        <v>2</v>
      </c>
      <c r="L1117" s="5">
        <v>549.83000000000004</v>
      </c>
      <c r="M1117">
        <v>7.0000000000000007E-2</v>
      </c>
      <c r="N1117" t="s">
        <v>1351</v>
      </c>
      <c r="O1117" s="5">
        <v>1022.6838</v>
      </c>
    </row>
    <row r="1118" spans="1:15">
      <c r="A1118" t="s">
        <v>2467</v>
      </c>
      <c r="B1118" s="7">
        <v>45219</v>
      </c>
      <c r="C1118" t="s">
        <v>341</v>
      </c>
      <c r="D1118" t="s">
        <v>1099</v>
      </c>
      <c r="E1118" t="s">
        <v>1307</v>
      </c>
      <c r="F1118" t="str">
        <f>[1]Raw_Customer_Dim!$A$2</f>
        <v>CUST1000</v>
      </c>
      <c r="G1118" t="str">
        <f>_xlfn.XLOOKUP(E1118,Store_Dim!A:A,Store_Dim!B:B,"Not Found")</f>
        <v>Bean, Jones and Park</v>
      </c>
      <c r="H1118" t="str">
        <f>_xlfn.XLOOKUP(D1118,Product_Dim!A:A,Product_Dim!C:C,"Not Found")</f>
        <v>Electronics</v>
      </c>
      <c r="I1118" t="str">
        <f>_xlfn.XLOOKUP(E1118,Store_Dim!A:A,Store_Dim!C:C,"Not Found")</f>
        <v>West</v>
      </c>
      <c r="J1118" t="str">
        <f>_xlfn.XLOOKUP(C1118,Customer_Dim!A:A,Customer_Dim!B:B,"Not Found")</f>
        <v>Patty Francis</v>
      </c>
      <c r="K1118">
        <f>Table511[[#This Row],[Total_Amount]]/(L1118*(1-Table511[[#This Row],[Discount]]))</f>
        <v>3</v>
      </c>
      <c r="L1118" s="5">
        <v>278.38</v>
      </c>
      <c r="M1118">
        <v>0.03</v>
      </c>
      <c r="N1118" t="s">
        <v>1349</v>
      </c>
      <c r="O1118" s="5">
        <v>810.08579999999995</v>
      </c>
    </row>
    <row r="1119" spans="1:15">
      <c r="A1119" t="s">
        <v>2468</v>
      </c>
      <c r="B1119" s="7">
        <v>45510</v>
      </c>
      <c r="C1119" t="s">
        <v>937</v>
      </c>
      <c r="D1119" t="s">
        <v>1265</v>
      </c>
      <c r="E1119" t="s">
        <v>1291</v>
      </c>
      <c r="F1119" t="str">
        <f>[1]Raw_Customer_Dim!$A$2</f>
        <v>CUST1000</v>
      </c>
      <c r="G1119" t="str">
        <f>_xlfn.XLOOKUP(E1119,Store_Dim!A:A,Store_Dim!B:B,"Not Found")</f>
        <v>Johnson-Wright</v>
      </c>
      <c r="H1119" t="str">
        <f>_xlfn.XLOOKUP(D1119,Product_Dim!A:A,Product_Dim!C:C,"Not Found")</f>
        <v>Clothing</v>
      </c>
      <c r="I1119" t="str">
        <f>_xlfn.XLOOKUP(E1119,Store_Dim!A:A,Store_Dim!C:C,"Not Found")</f>
        <v>North</v>
      </c>
      <c r="J1119" t="str">
        <f>_xlfn.XLOOKUP(C1119,Customer_Dim!A:A,Customer_Dim!B:B,"Not Found")</f>
        <v>Melinda Rivera</v>
      </c>
      <c r="K1119">
        <f>Table511[[#This Row],[Total_Amount]]/(L1119*(1-Table511[[#This Row],[Discount]]))</f>
        <v>4</v>
      </c>
      <c r="L1119" s="5">
        <v>723.66</v>
      </c>
      <c r="M1119">
        <v>0.03</v>
      </c>
      <c r="N1119" t="s">
        <v>1351</v>
      </c>
      <c r="O1119" s="5">
        <v>2807.8008</v>
      </c>
    </row>
    <row r="1120" spans="1:15">
      <c r="A1120" t="s">
        <v>2469</v>
      </c>
      <c r="B1120" s="7">
        <v>45687</v>
      </c>
      <c r="C1120" t="s">
        <v>472</v>
      </c>
      <c r="D1120" t="s">
        <v>1217</v>
      </c>
      <c r="E1120" t="s">
        <v>1311</v>
      </c>
      <c r="F1120" t="str">
        <f>[1]Raw_Customer_Dim!$A$2</f>
        <v>CUST1000</v>
      </c>
      <c r="G1120" t="str">
        <f>_xlfn.XLOOKUP(E1120,Store_Dim!A:A,Store_Dim!B:B,"Not Found")</f>
        <v>Moore, Padilla and Butler</v>
      </c>
      <c r="H1120" t="str">
        <f>_xlfn.XLOOKUP(D1120,Product_Dim!A:A,Product_Dim!C:C,"Not Found")</f>
        <v>Sports</v>
      </c>
      <c r="I1120" t="str">
        <f>_xlfn.XLOOKUP(E1120,Store_Dim!A:A,Store_Dim!C:C,"Not Found")</f>
        <v>South</v>
      </c>
      <c r="J1120" t="str">
        <f>_xlfn.XLOOKUP(C1120,Customer_Dim!A:A,Customer_Dim!B:B,"Not Found")</f>
        <v>Michelle Carpenter</v>
      </c>
      <c r="K1120">
        <f>Table511[[#This Row],[Total_Amount]]/(L1120*(1-Table511[[#This Row],[Discount]]))</f>
        <v>1</v>
      </c>
      <c r="L1120" s="5">
        <v>724.74</v>
      </c>
      <c r="M1120">
        <v>0.15</v>
      </c>
      <c r="N1120" t="s">
        <v>1351</v>
      </c>
      <c r="O1120" s="5">
        <v>616.029</v>
      </c>
    </row>
    <row r="1121" spans="1:15">
      <c r="A1121" t="s">
        <v>2470</v>
      </c>
      <c r="B1121" s="7">
        <v>45271</v>
      </c>
      <c r="C1121" t="s">
        <v>973</v>
      </c>
      <c r="D1121" t="s">
        <v>1115</v>
      </c>
      <c r="E1121" t="s">
        <v>1294</v>
      </c>
      <c r="F1121" t="str">
        <f>[1]Raw_Customer_Dim!$A$2</f>
        <v>CUST1000</v>
      </c>
      <c r="G1121" t="str">
        <f>_xlfn.XLOOKUP(E1121,Store_Dim!A:A,Store_Dim!B:B,"Not Found")</f>
        <v>Alexander Group</v>
      </c>
      <c r="H1121" t="str">
        <f>_xlfn.XLOOKUP(D1121,Product_Dim!A:A,Product_Dim!C:C,"Not Found")</f>
        <v>Home</v>
      </c>
      <c r="I1121" t="str">
        <f>_xlfn.XLOOKUP(E1121,Store_Dim!A:A,Store_Dim!C:C,"Not Found")</f>
        <v>South</v>
      </c>
      <c r="J1121" t="str">
        <f>_xlfn.XLOOKUP(C1121,Customer_Dim!A:A,Customer_Dim!B:B,"Not Found")</f>
        <v>Tyler Weber</v>
      </c>
      <c r="K1121">
        <f>Table511[[#This Row],[Total_Amount]]/(L1121*(1-Table511[[#This Row],[Discount]]))</f>
        <v>2</v>
      </c>
      <c r="L1121" s="5">
        <v>961.84</v>
      </c>
      <c r="M1121">
        <v>0.25</v>
      </c>
      <c r="N1121" t="s">
        <v>1351</v>
      </c>
      <c r="O1121" s="5">
        <v>1442.76</v>
      </c>
    </row>
    <row r="1122" spans="1:15">
      <c r="A1122" t="s">
        <v>2471</v>
      </c>
      <c r="B1122" s="7">
        <v>45446</v>
      </c>
      <c r="C1122" t="s">
        <v>69</v>
      </c>
      <c r="D1122" t="s">
        <v>1147</v>
      </c>
      <c r="E1122" t="s">
        <v>1329</v>
      </c>
      <c r="F1122" t="str">
        <f>[1]Raw_Customer_Dim!$A$2</f>
        <v>CUST1000</v>
      </c>
      <c r="G1122" t="str">
        <f>_xlfn.XLOOKUP(E1122,Store_Dim!A:A,Store_Dim!B:B,"Not Found")</f>
        <v>Frederick-Wright</v>
      </c>
      <c r="H1122" t="str">
        <f>_xlfn.XLOOKUP(D1122,Product_Dim!A:A,Product_Dim!C:C,"Not Found")</f>
        <v>Clothing</v>
      </c>
      <c r="I1122" t="str">
        <f>_xlfn.XLOOKUP(E1122,Store_Dim!A:A,Store_Dim!C:C,"Not Found")</f>
        <v>West</v>
      </c>
      <c r="J1122" t="str">
        <f>_xlfn.XLOOKUP(C1122,Customer_Dim!A:A,Customer_Dim!B:B,"Not Found")</f>
        <v>Bridget Allen</v>
      </c>
      <c r="K1122">
        <f>Table511[[#This Row],[Total_Amount]]/(L1122*(1-Table511[[#This Row],[Discount]]))</f>
        <v>4</v>
      </c>
      <c r="L1122" s="5">
        <v>21.12</v>
      </c>
      <c r="M1122">
        <v>0.18</v>
      </c>
      <c r="N1122" t="s">
        <v>1354</v>
      </c>
      <c r="O1122" s="5">
        <v>69.273600000000002</v>
      </c>
    </row>
    <row r="1123" spans="1:15">
      <c r="A1123" t="s">
        <v>2472</v>
      </c>
      <c r="B1123" s="7">
        <v>45579</v>
      </c>
      <c r="C1123" t="s">
        <v>702</v>
      </c>
      <c r="D1123" t="s">
        <v>1068</v>
      </c>
      <c r="E1123" t="s">
        <v>1294</v>
      </c>
      <c r="F1123" t="str">
        <f>[1]Raw_Customer_Dim!$A$2</f>
        <v>CUST1000</v>
      </c>
      <c r="G1123" t="str">
        <f>_xlfn.XLOOKUP(E1123,Store_Dim!A:A,Store_Dim!B:B,"Not Found")</f>
        <v>Alexander Group</v>
      </c>
      <c r="H1123" t="str">
        <f>_xlfn.XLOOKUP(D1123,Product_Dim!A:A,Product_Dim!C:C,"Not Found")</f>
        <v>Electronics</v>
      </c>
      <c r="I1123" t="str">
        <f>_xlfn.XLOOKUP(E1123,Store_Dim!A:A,Store_Dim!C:C,"Not Found")</f>
        <v>South</v>
      </c>
      <c r="J1123" t="str">
        <f>_xlfn.XLOOKUP(C1123,Customer_Dim!A:A,Customer_Dim!B:B,"Not Found")</f>
        <v>Casey Simpson</v>
      </c>
      <c r="K1123">
        <f>Table511[[#This Row],[Total_Amount]]/(L1123*(1-Table511[[#This Row],[Discount]]))</f>
        <v>3</v>
      </c>
      <c r="L1123" s="5">
        <v>819.93</v>
      </c>
      <c r="M1123">
        <v>0.08</v>
      </c>
      <c r="N1123" t="s">
        <v>1351</v>
      </c>
      <c r="O1123" s="5">
        <v>2263.0068000000001</v>
      </c>
    </row>
    <row r="1124" spans="1:15">
      <c r="A1124" t="s">
        <v>2473</v>
      </c>
      <c r="B1124" s="7">
        <v>45725</v>
      </c>
      <c r="C1124" t="s">
        <v>652</v>
      </c>
      <c r="D1124" t="s">
        <v>1157</v>
      </c>
      <c r="E1124" t="s">
        <v>1277</v>
      </c>
      <c r="F1124" t="str">
        <f>[1]Raw_Customer_Dim!$A$2</f>
        <v>CUST1000</v>
      </c>
      <c r="G1124" t="str">
        <f>_xlfn.XLOOKUP(E1124,Store_Dim!A:A,Store_Dim!B:B,"Not Found")</f>
        <v>Rivera-Warner</v>
      </c>
      <c r="H1124" t="str">
        <f>_xlfn.XLOOKUP(D1124,Product_Dim!A:A,Product_Dim!C:C,"Not Found")</f>
        <v>Electronics</v>
      </c>
      <c r="I1124" t="str">
        <f>_xlfn.XLOOKUP(E1124,Store_Dim!A:A,Store_Dim!C:C,"Not Found")</f>
        <v>East</v>
      </c>
      <c r="J1124" t="str">
        <f>_xlfn.XLOOKUP(C1124,Customer_Dim!A:A,Customer_Dim!B:B,"Not Found")</f>
        <v>Lisa Chandler</v>
      </c>
      <c r="K1124">
        <f>Table511[[#This Row],[Total_Amount]]/(L1124*(1-Table511[[#This Row],[Discount]]))</f>
        <v>1.9999999999999996</v>
      </c>
      <c r="L1124" s="5">
        <v>700.95</v>
      </c>
      <c r="M1124">
        <v>0.18</v>
      </c>
      <c r="N1124" t="s">
        <v>1349</v>
      </c>
      <c r="O1124" s="5">
        <v>1149.558</v>
      </c>
    </row>
    <row r="1125" spans="1:15">
      <c r="A1125" t="s">
        <v>2474</v>
      </c>
      <c r="B1125" s="7">
        <v>45910</v>
      </c>
      <c r="C1125" t="s">
        <v>343</v>
      </c>
      <c r="D1125" t="s">
        <v>1107</v>
      </c>
      <c r="E1125" t="s">
        <v>1324</v>
      </c>
      <c r="F1125" t="str">
        <f>[1]Raw_Customer_Dim!$A$2</f>
        <v>CUST1000</v>
      </c>
      <c r="G1125" t="str">
        <f>_xlfn.XLOOKUP(E1125,Store_Dim!A:A,Store_Dim!B:B,"Not Found")</f>
        <v>Mcdonald Inc</v>
      </c>
      <c r="H1125" t="str">
        <f>_xlfn.XLOOKUP(D1125,Product_Dim!A:A,Product_Dim!C:C,"Not Found")</f>
        <v>Sports</v>
      </c>
      <c r="I1125" t="str">
        <f>_xlfn.XLOOKUP(E1125,Store_Dim!A:A,Store_Dim!C:C,"Not Found")</f>
        <v>South</v>
      </c>
      <c r="J1125" t="str">
        <f>_xlfn.XLOOKUP(C1125,Customer_Dim!A:A,Customer_Dim!B:B,"Not Found")</f>
        <v>Cristian Wright</v>
      </c>
      <c r="K1125">
        <f>Table511[[#This Row],[Total_Amount]]/(L1125*(1-Table511[[#This Row],[Discount]]))</f>
        <v>2</v>
      </c>
      <c r="L1125" s="5">
        <v>456.38</v>
      </c>
      <c r="M1125">
        <v>0.12</v>
      </c>
      <c r="N1125" t="s">
        <v>1349</v>
      </c>
      <c r="O1125" s="5">
        <v>803.22879999999998</v>
      </c>
    </row>
    <row r="1126" spans="1:15">
      <c r="A1126" t="s">
        <v>2475</v>
      </c>
      <c r="B1126" s="7">
        <v>45447</v>
      </c>
      <c r="C1126" t="s">
        <v>785</v>
      </c>
      <c r="D1126" t="s">
        <v>1225</v>
      </c>
      <c r="E1126" t="s">
        <v>1324</v>
      </c>
      <c r="F1126" t="str">
        <f>[1]Raw_Customer_Dim!$A$2</f>
        <v>CUST1000</v>
      </c>
      <c r="G1126" t="str">
        <f>_xlfn.XLOOKUP(E1126,Store_Dim!A:A,Store_Dim!B:B,"Not Found")</f>
        <v>Mcdonald Inc</v>
      </c>
      <c r="H1126" t="str">
        <f>_xlfn.XLOOKUP(D1126,Product_Dim!A:A,Product_Dim!C:C,"Not Found")</f>
        <v>Electronics</v>
      </c>
      <c r="I1126" t="str">
        <f>_xlfn.XLOOKUP(E1126,Store_Dim!A:A,Store_Dim!C:C,"Not Found")</f>
        <v>South</v>
      </c>
      <c r="J1126" t="str">
        <f>_xlfn.XLOOKUP(C1126,Customer_Dim!A:A,Customer_Dim!B:B,"Not Found")</f>
        <v>Natalie Johnson</v>
      </c>
      <c r="K1126">
        <f>Table511[[#This Row],[Total_Amount]]/(L1126*(1-Table511[[#This Row],[Discount]]))</f>
        <v>3.0000000000000004</v>
      </c>
      <c r="L1126" s="5">
        <v>291.05</v>
      </c>
      <c r="M1126">
        <v>0.3</v>
      </c>
      <c r="N1126" t="s">
        <v>1349</v>
      </c>
      <c r="O1126" s="5">
        <v>611.20500000000004</v>
      </c>
    </row>
    <row r="1127" spans="1:15">
      <c r="A1127" t="s">
        <v>2476</v>
      </c>
      <c r="B1127" s="7">
        <v>45307</v>
      </c>
      <c r="C1127" t="s">
        <v>529</v>
      </c>
      <c r="D1127" t="s">
        <v>1263</v>
      </c>
      <c r="E1127" t="s">
        <v>1326</v>
      </c>
      <c r="F1127" t="str">
        <f>[1]Raw_Customer_Dim!$A$2</f>
        <v>CUST1000</v>
      </c>
      <c r="G1127" t="str">
        <f>_xlfn.XLOOKUP(E1127,Store_Dim!A:A,Store_Dim!B:B,"Not Found")</f>
        <v>Shelton PLC</v>
      </c>
      <c r="H1127" t="str">
        <f>_xlfn.XLOOKUP(D1127,Product_Dim!A:A,Product_Dim!C:C,"Not Found")</f>
        <v>Sports</v>
      </c>
      <c r="I1127" t="str">
        <f>_xlfn.XLOOKUP(E1127,Store_Dim!A:A,Store_Dim!C:C,"Not Found")</f>
        <v>North</v>
      </c>
      <c r="J1127" t="str">
        <f>_xlfn.XLOOKUP(C1127,Customer_Dim!A:A,Customer_Dim!B:B,"Not Found")</f>
        <v>Michelle Gonzalez</v>
      </c>
      <c r="K1127">
        <f>Table511[[#This Row],[Total_Amount]]/(L1127*(1-Table511[[#This Row],[Discount]]))</f>
        <v>2</v>
      </c>
      <c r="L1127" s="5">
        <v>463.52</v>
      </c>
      <c r="M1127">
        <v>0.27</v>
      </c>
      <c r="N1127" t="s">
        <v>1351</v>
      </c>
      <c r="O1127" s="5">
        <v>676.73919999999998</v>
      </c>
    </row>
    <row r="1128" spans="1:15">
      <c r="A1128" t="s">
        <v>2477</v>
      </c>
      <c r="B1128" s="7">
        <v>45653</v>
      </c>
      <c r="C1128" t="s">
        <v>821</v>
      </c>
      <c r="D1128" t="s">
        <v>1068</v>
      </c>
      <c r="E1128" t="s">
        <v>1332</v>
      </c>
      <c r="F1128" t="str">
        <f>[1]Raw_Customer_Dim!$A$2</f>
        <v>CUST1000</v>
      </c>
      <c r="G1128" t="str">
        <f>_xlfn.XLOOKUP(E1128,Store_Dim!A:A,Store_Dim!B:B,"Not Found")</f>
        <v>Holloway Ltd</v>
      </c>
      <c r="H1128" t="str">
        <f>_xlfn.XLOOKUP(D1128,Product_Dim!A:A,Product_Dim!C:C,"Not Found")</f>
        <v>Electronics</v>
      </c>
      <c r="I1128" t="str">
        <f>_xlfn.XLOOKUP(E1128,Store_Dim!A:A,Store_Dim!C:C,"Not Found")</f>
        <v>North</v>
      </c>
      <c r="J1128" t="str">
        <f>_xlfn.XLOOKUP(C1128,Customer_Dim!A:A,Customer_Dim!B:B,"Not Found")</f>
        <v>Tanya Lopez</v>
      </c>
      <c r="K1128">
        <f>Table511[[#This Row],[Total_Amount]]/(L1128*(1-Table511[[#This Row],[Discount]]))</f>
        <v>3</v>
      </c>
      <c r="L1128" s="5">
        <v>241.64</v>
      </c>
      <c r="M1128">
        <v>0.28999999999999998</v>
      </c>
      <c r="N1128" t="s">
        <v>1351</v>
      </c>
      <c r="O1128" s="5">
        <v>514.69319999999993</v>
      </c>
    </row>
    <row r="1129" spans="1:15">
      <c r="A1129" t="s">
        <v>2478</v>
      </c>
      <c r="B1129" s="7">
        <v>45817</v>
      </c>
      <c r="C1129" t="s">
        <v>1028</v>
      </c>
      <c r="D1129" t="s">
        <v>1133</v>
      </c>
      <c r="E1129" t="s">
        <v>1314</v>
      </c>
      <c r="F1129" t="str">
        <f>[1]Raw_Customer_Dim!$A$2</f>
        <v>CUST1000</v>
      </c>
      <c r="G1129" t="str">
        <f>_xlfn.XLOOKUP(E1129,Store_Dim!A:A,Store_Dim!B:B,"Not Found")</f>
        <v>Hill, Wagner and Ballard</v>
      </c>
      <c r="H1129" t="str">
        <f>_xlfn.XLOOKUP(D1129,Product_Dim!A:A,Product_Dim!C:C,"Not Found")</f>
        <v>Home</v>
      </c>
      <c r="I1129" t="str">
        <f>_xlfn.XLOOKUP(E1129,Store_Dim!A:A,Store_Dim!C:C,"Not Found")</f>
        <v>East</v>
      </c>
      <c r="J1129" t="str">
        <f>_xlfn.XLOOKUP(C1129,Customer_Dim!A:A,Customer_Dim!B:B,"Not Found")</f>
        <v>Sarah Smith</v>
      </c>
      <c r="K1129">
        <f>Table511[[#This Row],[Total_Amount]]/(L1129*(1-Table511[[#This Row],[Discount]]))</f>
        <v>2</v>
      </c>
      <c r="L1129" s="5">
        <v>47.86</v>
      </c>
      <c r="M1129">
        <v>0.03</v>
      </c>
      <c r="N1129" t="s">
        <v>1351</v>
      </c>
      <c r="O1129" s="5">
        <v>92.848399999999998</v>
      </c>
    </row>
    <row r="1130" spans="1:15">
      <c r="A1130" t="s">
        <v>2479</v>
      </c>
      <c r="B1130" s="7">
        <v>45509</v>
      </c>
      <c r="C1130" t="s">
        <v>752</v>
      </c>
      <c r="D1130" t="s">
        <v>1257</v>
      </c>
      <c r="E1130" t="s">
        <v>1291</v>
      </c>
      <c r="F1130" t="str">
        <f>[1]Raw_Customer_Dim!$A$2</f>
        <v>CUST1000</v>
      </c>
      <c r="G1130" t="str">
        <f>_xlfn.XLOOKUP(E1130,Store_Dim!A:A,Store_Dim!B:B,"Not Found")</f>
        <v>Johnson-Wright</v>
      </c>
      <c r="H1130" t="str">
        <f>_xlfn.XLOOKUP(D1130,Product_Dim!A:A,Product_Dim!C:C,"Not Found")</f>
        <v>Home</v>
      </c>
      <c r="I1130" t="str">
        <f>_xlfn.XLOOKUP(E1130,Store_Dim!A:A,Store_Dim!C:C,"Not Found")</f>
        <v>North</v>
      </c>
      <c r="J1130" t="str">
        <f>_xlfn.XLOOKUP(C1130,Customer_Dim!A:A,Customer_Dim!B:B,"Not Found")</f>
        <v>Evelyn Brown</v>
      </c>
      <c r="K1130">
        <f>Table511[[#This Row],[Total_Amount]]/(L1130*(1-Table511[[#This Row],[Discount]]))</f>
        <v>1</v>
      </c>
      <c r="L1130" s="5">
        <v>805.07</v>
      </c>
      <c r="M1130">
        <v>0.06</v>
      </c>
      <c r="N1130" t="s">
        <v>1354</v>
      </c>
      <c r="O1130" s="5">
        <v>756.76580000000001</v>
      </c>
    </row>
    <row r="1131" spans="1:15">
      <c r="A1131" t="s">
        <v>2480</v>
      </c>
      <c r="B1131" s="7">
        <v>45753</v>
      </c>
      <c r="C1131" t="s">
        <v>809</v>
      </c>
      <c r="D1131" t="s">
        <v>1141</v>
      </c>
      <c r="E1131" t="s">
        <v>1282</v>
      </c>
      <c r="F1131" t="str">
        <f>[1]Raw_Customer_Dim!$A$2</f>
        <v>CUST1000</v>
      </c>
      <c r="G1131" t="str">
        <f>_xlfn.XLOOKUP(E1131,Store_Dim!A:A,Store_Dim!B:B,"Not Found")</f>
        <v>Martinez, Adkins and Johnson</v>
      </c>
      <c r="H1131" t="str">
        <f>_xlfn.XLOOKUP(D1131,Product_Dim!A:A,Product_Dim!C:C,"Not Found")</f>
        <v>Electronics</v>
      </c>
      <c r="I1131" t="str">
        <f>_xlfn.XLOOKUP(E1131,Store_Dim!A:A,Store_Dim!C:C,"Not Found")</f>
        <v>North</v>
      </c>
      <c r="J1131" t="str">
        <f>_xlfn.XLOOKUP(C1131,Customer_Dim!A:A,Customer_Dim!B:B,"Not Found")</f>
        <v>James Orozco</v>
      </c>
      <c r="K1131">
        <f>Table511[[#This Row],[Total_Amount]]/(L1131*(1-Table511[[#This Row],[Discount]]))</f>
        <v>3</v>
      </c>
      <c r="L1131" s="5">
        <v>848.48</v>
      </c>
      <c r="M1131">
        <v>0</v>
      </c>
      <c r="N1131" t="s">
        <v>1354</v>
      </c>
      <c r="O1131" s="5">
        <v>2545.44</v>
      </c>
    </row>
    <row r="1132" spans="1:15">
      <c r="A1132" t="s">
        <v>2481</v>
      </c>
      <c r="B1132" s="7">
        <v>45512</v>
      </c>
      <c r="C1132" t="s">
        <v>551</v>
      </c>
      <c r="D1132" t="s">
        <v>1179</v>
      </c>
      <c r="E1132" t="s">
        <v>1307</v>
      </c>
      <c r="F1132" t="str">
        <f>[1]Raw_Customer_Dim!$A$2</f>
        <v>CUST1000</v>
      </c>
      <c r="G1132" t="str">
        <f>_xlfn.XLOOKUP(E1132,Store_Dim!A:A,Store_Dim!B:B,"Not Found")</f>
        <v>Bean, Jones and Park</v>
      </c>
      <c r="H1132" t="str">
        <f>_xlfn.XLOOKUP(D1132,Product_Dim!A:A,Product_Dim!C:C,"Not Found")</f>
        <v>Clothing</v>
      </c>
      <c r="I1132" t="str">
        <f>_xlfn.XLOOKUP(E1132,Store_Dim!A:A,Store_Dim!C:C,"Not Found")</f>
        <v>West</v>
      </c>
      <c r="J1132" t="str">
        <f>_xlfn.XLOOKUP(C1132,Customer_Dim!A:A,Customer_Dim!B:B,"Not Found")</f>
        <v>Nancy Page</v>
      </c>
      <c r="K1132">
        <f>Table511[[#This Row],[Total_Amount]]/(L1132*(1-Table511[[#This Row],[Discount]]))</f>
        <v>2</v>
      </c>
      <c r="L1132" s="5">
        <v>568.95000000000005</v>
      </c>
      <c r="M1132">
        <v>0.22</v>
      </c>
      <c r="N1132" t="s">
        <v>1349</v>
      </c>
      <c r="O1132" s="5">
        <v>887.56200000000013</v>
      </c>
    </row>
    <row r="1133" spans="1:15">
      <c r="A1133" t="s">
        <v>2482</v>
      </c>
      <c r="B1133" s="7">
        <v>45764</v>
      </c>
      <c r="C1133" t="s">
        <v>385</v>
      </c>
      <c r="D1133" t="s">
        <v>1179</v>
      </c>
      <c r="E1133" t="s">
        <v>1317</v>
      </c>
      <c r="F1133" t="str">
        <f>[1]Raw_Customer_Dim!$A$2</f>
        <v>CUST1000</v>
      </c>
      <c r="G1133" t="str">
        <f>_xlfn.XLOOKUP(E1133,Store_Dim!A:A,Store_Dim!B:B,"Not Found")</f>
        <v>Aguirre-Keller</v>
      </c>
      <c r="H1133" t="str">
        <f>_xlfn.XLOOKUP(D1133,Product_Dim!A:A,Product_Dim!C:C,"Not Found")</f>
        <v>Clothing</v>
      </c>
      <c r="I1133" t="str">
        <f>_xlfn.XLOOKUP(E1133,Store_Dim!A:A,Store_Dim!C:C,"Not Found")</f>
        <v>South</v>
      </c>
      <c r="J1133" t="str">
        <f>_xlfn.XLOOKUP(C1133,Customer_Dim!A:A,Customer_Dim!B:B,"Not Found")</f>
        <v>Mariah Brown</v>
      </c>
      <c r="K1133">
        <f>Table511[[#This Row],[Total_Amount]]/(L1133*(1-Table511[[#This Row],[Discount]]))</f>
        <v>3.0000000000000004</v>
      </c>
      <c r="L1133" s="5">
        <v>269.83999999999997</v>
      </c>
      <c r="M1133">
        <v>0.05</v>
      </c>
      <c r="N1133" t="s">
        <v>1351</v>
      </c>
      <c r="O1133" s="5">
        <v>769.04399999999998</v>
      </c>
    </row>
    <row r="1134" spans="1:15">
      <c r="A1134" t="s">
        <v>2483</v>
      </c>
      <c r="B1134" s="7">
        <v>45746</v>
      </c>
      <c r="C1134" t="s">
        <v>682</v>
      </c>
      <c r="D1134" t="s">
        <v>1197</v>
      </c>
      <c r="E1134" t="s">
        <v>1322</v>
      </c>
      <c r="F1134" t="str">
        <f>[1]Raw_Customer_Dim!$A$2</f>
        <v>CUST1000</v>
      </c>
      <c r="G1134" t="str">
        <f>_xlfn.XLOOKUP(E1134,Store_Dim!A:A,Store_Dim!B:B,"Not Found")</f>
        <v>Gardner, Humphrey and Contreras</v>
      </c>
      <c r="H1134" t="str">
        <f>_xlfn.XLOOKUP(D1134,Product_Dim!A:A,Product_Dim!C:C,"Not Found")</f>
        <v>Electronics</v>
      </c>
      <c r="I1134" t="str">
        <f>_xlfn.XLOOKUP(E1134,Store_Dim!A:A,Store_Dim!C:C,"Not Found")</f>
        <v>East</v>
      </c>
      <c r="J1134" t="str">
        <f>_xlfn.XLOOKUP(C1134,Customer_Dim!A:A,Customer_Dim!B:B,"Not Found")</f>
        <v>Stacy Collins</v>
      </c>
      <c r="K1134">
        <f>Table511[[#This Row],[Total_Amount]]/(L1134*(1-Table511[[#This Row],[Discount]]))</f>
        <v>4</v>
      </c>
      <c r="L1134" s="5">
        <v>267.36</v>
      </c>
      <c r="M1134">
        <v>0.27</v>
      </c>
      <c r="N1134" t="s">
        <v>1351</v>
      </c>
      <c r="O1134" s="5">
        <v>780.69119999999998</v>
      </c>
    </row>
    <row r="1135" spans="1:15">
      <c r="A1135" t="s">
        <v>2484</v>
      </c>
      <c r="B1135" s="7">
        <v>45647</v>
      </c>
      <c r="C1135" t="s">
        <v>288</v>
      </c>
      <c r="D1135" t="s">
        <v>1147</v>
      </c>
      <c r="E1135" t="s">
        <v>1282</v>
      </c>
      <c r="F1135" t="str">
        <f>[1]Raw_Customer_Dim!$A$2</f>
        <v>CUST1000</v>
      </c>
      <c r="G1135" t="str">
        <f>_xlfn.XLOOKUP(E1135,Store_Dim!A:A,Store_Dim!B:B,"Not Found")</f>
        <v>Martinez, Adkins and Johnson</v>
      </c>
      <c r="H1135" t="str">
        <f>_xlfn.XLOOKUP(D1135,Product_Dim!A:A,Product_Dim!C:C,"Not Found")</f>
        <v>Clothing</v>
      </c>
      <c r="I1135" t="str">
        <f>_xlfn.XLOOKUP(E1135,Store_Dim!A:A,Store_Dim!C:C,"Not Found")</f>
        <v>North</v>
      </c>
      <c r="J1135" t="str">
        <f>_xlfn.XLOOKUP(C1135,Customer_Dim!A:A,Customer_Dim!B:B,"Not Found")</f>
        <v>Ryan Hernandez</v>
      </c>
      <c r="K1135">
        <f>Table511[[#This Row],[Total_Amount]]/(L1135*(1-Table511[[#This Row],[Discount]]))</f>
        <v>1.0000000000000002</v>
      </c>
      <c r="L1135" s="5">
        <v>438.41</v>
      </c>
      <c r="M1135">
        <v>0.09</v>
      </c>
      <c r="N1135" t="s">
        <v>1349</v>
      </c>
      <c r="O1135" s="5">
        <v>398.95310000000012</v>
      </c>
    </row>
    <row r="1136" spans="1:15">
      <c r="A1136" t="s">
        <v>2485</v>
      </c>
      <c r="B1136" s="7">
        <v>45443</v>
      </c>
      <c r="C1136" t="s">
        <v>389</v>
      </c>
      <c r="D1136" t="s">
        <v>1175</v>
      </c>
      <c r="E1136" t="s">
        <v>1335</v>
      </c>
      <c r="F1136" t="str">
        <f>[1]Raw_Customer_Dim!$A$2</f>
        <v>CUST1000</v>
      </c>
      <c r="G1136" t="str">
        <f>_xlfn.XLOOKUP(E1136,Store_Dim!A:A,Store_Dim!B:B,"Not Found")</f>
        <v>Guerrero-Schmitt</v>
      </c>
      <c r="H1136" t="str">
        <f>_xlfn.XLOOKUP(D1136,Product_Dim!A:A,Product_Dim!C:C,"Not Found")</f>
        <v>Electronics</v>
      </c>
      <c r="I1136" t="str">
        <f>_xlfn.XLOOKUP(E1136,Store_Dim!A:A,Store_Dim!C:C,"Not Found")</f>
        <v>East</v>
      </c>
      <c r="J1136" t="str">
        <f>_xlfn.XLOOKUP(C1136,Customer_Dim!A:A,Customer_Dim!B:B,"Not Found")</f>
        <v>Daniel Rivas</v>
      </c>
      <c r="K1136">
        <f>Table511[[#This Row],[Total_Amount]]/(L1136*(1-Table511[[#This Row],[Discount]]))</f>
        <v>2.0000000000000004</v>
      </c>
      <c r="L1136" s="5">
        <v>86.72</v>
      </c>
      <c r="M1136">
        <v>0.28000000000000003</v>
      </c>
      <c r="N1136" t="s">
        <v>1354</v>
      </c>
      <c r="O1136" s="5">
        <v>124.8768</v>
      </c>
    </row>
    <row r="1137" spans="1:15">
      <c r="A1137" t="s">
        <v>2486</v>
      </c>
      <c r="B1137" s="7">
        <v>45722</v>
      </c>
      <c r="C1137" t="s">
        <v>913</v>
      </c>
      <c r="D1137" t="s">
        <v>1251</v>
      </c>
      <c r="E1137" t="s">
        <v>1301</v>
      </c>
      <c r="F1137" t="str">
        <f>[1]Raw_Customer_Dim!$A$2</f>
        <v>CUST1000</v>
      </c>
      <c r="G1137" t="str">
        <f>_xlfn.XLOOKUP(E1137,Store_Dim!A:A,Store_Dim!B:B,"Not Found")</f>
        <v>Benson-Elliott</v>
      </c>
      <c r="H1137" t="str">
        <f>_xlfn.XLOOKUP(D1137,Product_Dim!A:A,Product_Dim!C:C,"Not Found")</f>
        <v>Beauty</v>
      </c>
      <c r="I1137" t="str">
        <f>_xlfn.XLOOKUP(E1137,Store_Dim!A:A,Store_Dim!C:C,"Not Found")</f>
        <v>East</v>
      </c>
      <c r="J1137" t="str">
        <f>_xlfn.XLOOKUP(C1137,Customer_Dim!A:A,Customer_Dim!B:B,"Not Found")</f>
        <v>Bryce Hawkins</v>
      </c>
      <c r="K1137">
        <f>Table511[[#This Row],[Total_Amount]]/(L1137*(1-Table511[[#This Row],[Discount]]))</f>
        <v>4</v>
      </c>
      <c r="L1137" s="5">
        <v>630.21</v>
      </c>
      <c r="M1137">
        <v>0.14000000000000001</v>
      </c>
      <c r="N1137" t="s">
        <v>1354</v>
      </c>
      <c r="O1137" s="5">
        <v>2167.9223999999999</v>
      </c>
    </row>
    <row r="1138" spans="1:15">
      <c r="A1138" t="s">
        <v>2487</v>
      </c>
      <c r="B1138" s="7">
        <v>45575</v>
      </c>
      <c r="C1138" t="s">
        <v>781</v>
      </c>
      <c r="D1138" t="s">
        <v>1191</v>
      </c>
      <c r="E1138" t="s">
        <v>1301</v>
      </c>
      <c r="F1138" t="str">
        <f>[1]Raw_Customer_Dim!$A$2</f>
        <v>CUST1000</v>
      </c>
      <c r="G1138" t="str">
        <f>_xlfn.XLOOKUP(E1138,Store_Dim!A:A,Store_Dim!B:B,"Not Found")</f>
        <v>Benson-Elliott</v>
      </c>
      <c r="H1138" t="str">
        <f>_xlfn.XLOOKUP(D1138,Product_Dim!A:A,Product_Dim!C:C,"Not Found")</f>
        <v>Beauty</v>
      </c>
      <c r="I1138" t="str">
        <f>_xlfn.XLOOKUP(E1138,Store_Dim!A:A,Store_Dim!C:C,"Not Found")</f>
        <v>East</v>
      </c>
      <c r="J1138" t="str">
        <f>_xlfn.XLOOKUP(C1138,Customer_Dim!A:A,Customer_Dim!B:B,"Not Found")</f>
        <v>Melanie Lam</v>
      </c>
      <c r="K1138">
        <f>Table511[[#This Row],[Total_Amount]]/(L1138*(1-Table511[[#This Row],[Discount]]))</f>
        <v>3</v>
      </c>
      <c r="L1138" s="5">
        <v>180.84</v>
      </c>
      <c r="M1138">
        <v>0.03</v>
      </c>
      <c r="N1138" t="s">
        <v>1351</v>
      </c>
      <c r="O1138" s="5">
        <v>526.24439999999993</v>
      </c>
    </row>
    <row r="1139" spans="1:15">
      <c r="A1139" t="s">
        <v>2488</v>
      </c>
      <c r="B1139" s="7">
        <v>45441</v>
      </c>
      <c r="C1139" t="s">
        <v>23</v>
      </c>
      <c r="D1139" t="s">
        <v>1201</v>
      </c>
      <c r="E1139" t="s">
        <v>1329</v>
      </c>
      <c r="F1139" t="str">
        <f>[1]Raw_Customer_Dim!$A$2</f>
        <v>CUST1000</v>
      </c>
      <c r="G1139" t="str">
        <f>_xlfn.XLOOKUP(E1139,Store_Dim!A:A,Store_Dim!B:B,"Not Found")</f>
        <v>Frederick-Wright</v>
      </c>
      <c r="H1139" t="str">
        <f>_xlfn.XLOOKUP(D1139,Product_Dim!A:A,Product_Dim!C:C,"Not Found")</f>
        <v>Beauty</v>
      </c>
      <c r="I1139" t="str">
        <f>_xlfn.XLOOKUP(E1139,Store_Dim!A:A,Store_Dim!C:C,"Not Found")</f>
        <v>West</v>
      </c>
      <c r="J1139" t="str">
        <f>_xlfn.XLOOKUP(C1139,Customer_Dim!A:A,Customer_Dim!B:B,"Not Found")</f>
        <v>Caroline Collins</v>
      </c>
      <c r="K1139">
        <f>Table511[[#This Row],[Total_Amount]]/(L1139*(1-Table511[[#This Row],[Discount]]))</f>
        <v>1</v>
      </c>
      <c r="L1139" s="5">
        <v>453.41</v>
      </c>
      <c r="M1139">
        <v>0.04</v>
      </c>
      <c r="N1139" t="s">
        <v>1354</v>
      </c>
      <c r="O1139" s="5">
        <v>435.27359999999999</v>
      </c>
    </row>
    <row r="1140" spans="1:15">
      <c r="A1140" t="s">
        <v>2489</v>
      </c>
      <c r="B1140" s="7">
        <v>45940</v>
      </c>
      <c r="C1140" t="s">
        <v>79</v>
      </c>
      <c r="D1140" t="s">
        <v>1175</v>
      </c>
      <c r="E1140" t="s">
        <v>1301</v>
      </c>
      <c r="F1140" t="str">
        <f>[1]Raw_Customer_Dim!$A$2</f>
        <v>CUST1000</v>
      </c>
      <c r="G1140" t="str">
        <f>_xlfn.XLOOKUP(E1140,Store_Dim!A:A,Store_Dim!B:B,"Not Found")</f>
        <v>Benson-Elliott</v>
      </c>
      <c r="H1140" t="str">
        <f>_xlfn.XLOOKUP(D1140,Product_Dim!A:A,Product_Dim!C:C,"Not Found")</f>
        <v>Electronics</v>
      </c>
      <c r="I1140" t="str">
        <f>_xlfn.XLOOKUP(E1140,Store_Dim!A:A,Store_Dim!C:C,"Not Found")</f>
        <v>East</v>
      </c>
      <c r="J1140" t="str">
        <f>_xlfn.XLOOKUP(C1140,Customer_Dim!A:A,Customer_Dim!B:B,"Not Found")</f>
        <v>Heather Collins</v>
      </c>
      <c r="K1140">
        <f>Table511[[#This Row],[Total_Amount]]/(L1140*(1-Table511[[#This Row],[Discount]]))</f>
        <v>1</v>
      </c>
      <c r="L1140" s="5">
        <v>629.09</v>
      </c>
      <c r="M1140">
        <v>0.02</v>
      </c>
      <c r="N1140" t="s">
        <v>1349</v>
      </c>
      <c r="O1140" s="5">
        <v>616.50819999999999</v>
      </c>
    </row>
    <row r="1141" spans="1:15">
      <c r="A1141" t="s">
        <v>2490</v>
      </c>
      <c r="B1141" s="7">
        <v>45518</v>
      </c>
      <c r="C1141" t="s">
        <v>75</v>
      </c>
      <c r="D1141" t="s">
        <v>1227</v>
      </c>
      <c r="E1141" t="s">
        <v>1286</v>
      </c>
      <c r="F1141" t="str">
        <f>[1]Raw_Customer_Dim!$A$2</f>
        <v>CUST1000</v>
      </c>
      <c r="G1141" t="str">
        <f>_xlfn.XLOOKUP(E1141,Store_Dim!A:A,Store_Dim!B:B,"Not Found")</f>
        <v>Black-Horn</v>
      </c>
      <c r="H1141" t="str">
        <f>_xlfn.XLOOKUP(D1141,Product_Dim!A:A,Product_Dim!C:C,"Not Found")</f>
        <v>Electronics</v>
      </c>
      <c r="I1141" t="str">
        <f>_xlfn.XLOOKUP(E1141,Store_Dim!A:A,Store_Dim!C:C,"Not Found")</f>
        <v>South</v>
      </c>
      <c r="J1141" t="str">
        <f>_xlfn.XLOOKUP(C1141,Customer_Dim!A:A,Customer_Dim!B:B,"Not Found")</f>
        <v xml:space="preserve">   paul fox</v>
      </c>
      <c r="K1141">
        <f>Table511[[#This Row],[Total_Amount]]/(L1141*(1-Table511[[#This Row],[Discount]]))</f>
        <v>2</v>
      </c>
      <c r="L1141" s="5">
        <v>257.45</v>
      </c>
      <c r="M1141">
        <v>0</v>
      </c>
      <c r="N1141" t="s">
        <v>1354</v>
      </c>
      <c r="O1141" s="5">
        <v>514.9</v>
      </c>
    </row>
    <row r="1142" spans="1:15">
      <c r="A1142" t="s">
        <v>2491</v>
      </c>
      <c r="B1142" s="7">
        <v>45861</v>
      </c>
      <c r="C1142" t="s">
        <v>420</v>
      </c>
      <c r="D1142" t="s">
        <v>1141</v>
      </c>
      <c r="E1142" t="s">
        <v>1326</v>
      </c>
      <c r="F1142" t="str">
        <f>[1]Raw_Customer_Dim!$A$2</f>
        <v>CUST1000</v>
      </c>
      <c r="G1142" t="str">
        <f>_xlfn.XLOOKUP(E1142,Store_Dim!A:A,Store_Dim!B:B,"Not Found")</f>
        <v>Shelton PLC</v>
      </c>
      <c r="H1142" t="str">
        <f>_xlfn.XLOOKUP(D1142,Product_Dim!A:A,Product_Dim!C:C,"Not Found")</f>
        <v>Electronics</v>
      </c>
      <c r="I1142" t="str">
        <f>_xlfn.XLOOKUP(E1142,Store_Dim!A:A,Store_Dim!C:C,"Not Found")</f>
        <v>North</v>
      </c>
      <c r="J1142" t="str">
        <f>_xlfn.XLOOKUP(C1142,Customer_Dim!A:A,Customer_Dim!B:B,"Not Found")</f>
        <v>Nicholas Bradshaw</v>
      </c>
      <c r="K1142">
        <f>Table511[[#This Row],[Total_Amount]]/(L1142*(1-Table511[[#This Row],[Discount]]))</f>
        <v>2</v>
      </c>
      <c r="L1142" s="5">
        <v>696.61</v>
      </c>
      <c r="M1142">
        <v>0.17</v>
      </c>
      <c r="N1142" t="s">
        <v>1351</v>
      </c>
      <c r="O1142" s="5">
        <v>1156.3725999999999</v>
      </c>
    </row>
    <row r="1143" spans="1:15">
      <c r="A1143" t="s">
        <v>2492</v>
      </c>
      <c r="B1143" s="7">
        <v>45416</v>
      </c>
      <c r="C1143" t="s">
        <v>809</v>
      </c>
      <c r="D1143" t="s">
        <v>1165</v>
      </c>
      <c r="E1143" t="s">
        <v>1304</v>
      </c>
      <c r="F1143" t="str">
        <f>[1]Raw_Customer_Dim!$A$2</f>
        <v>CUST1000</v>
      </c>
      <c r="G1143" t="str">
        <f>_xlfn.XLOOKUP(E1143,Store_Dim!A:A,Store_Dim!B:B,"Not Found")</f>
        <v>Martinez-Mullins</v>
      </c>
      <c r="H1143" t="str">
        <f>_xlfn.XLOOKUP(D1143,Product_Dim!A:A,Product_Dim!C:C,"Not Found")</f>
        <v>Clothing</v>
      </c>
      <c r="I1143" t="str">
        <f>_xlfn.XLOOKUP(E1143,Store_Dim!A:A,Store_Dim!C:C,"Not Found")</f>
        <v>South</v>
      </c>
      <c r="J1143" t="str">
        <f>_xlfn.XLOOKUP(C1143,Customer_Dim!A:A,Customer_Dim!B:B,"Not Found")</f>
        <v>James Orozco</v>
      </c>
      <c r="K1143">
        <f>Table511[[#This Row],[Total_Amount]]/(L1143*(1-Table511[[#This Row],[Discount]]))</f>
        <v>2</v>
      </c>
      <c r="L1143" s="5">
        <v>143.79</v>
      </c>
      <c r="M1143">
        <v>0.1</v>
      </c>
      <c r="N1143" t="s">
        <v>1351</v>
      </c>
      <c r="O1143" s="5">
        <v>258.822</v>
      </c>
    </row>
    <row r="1144" spans="1:15">
      <c r="A1144" t="s">
        <v>2493</v>
      </c>
      <c r="B1144" s="7">
        <v>45608</v>
      </c>
      <c r="C1144" t="s">
        <v>656</v>
      </c>
      <c r="D1144" t="s">
        <v>1239</v>
      </c>
      <c r="E1144" t="s">
        <v>1282</v>
      </c>
      <c r="F1144" t="str">
        <f>[1]Raw_Customer_Dim!$A$2</f>
        <v>CUST1000</v>
      </c>
      <c r="G1144" t="str">
        <f>_xlfn.XLOOKUP(E1144,Store_Dim!A:A,Store_Dim!B:B,"Not Found")</f>
        <v>Martinez, Adkins and Johnson</v>
      </c>
      <c r="H1144" t="str">
        <f>_xlfn.XLOOKUP(D1144,Product_Dim!A:A,Product_Dim!C:C,"Not Found")</f>
        <v>Beauty</v>
      </c>
      <c r="I1144" t="str">
        <f>_xlfn.XLOOKUP(E1144,Store_Dim!A:A,Store_Dim!C:C,"Not Found")</f>
        <v>North</v>
      </c>
      <c r="J1144" t="str">
        <f>_xlfn.XLOOKUP(C1144,Customer_Dim!A:A,Customer_Dim!B:B,"Not Found")</f>
        <v>Jared Moran</v>
      </c>
      <c r="K1144">
        <f>Table511[[#This Row],[Total_Amount]]/(L1144*(1-Table511[[#This Row],[Discount]]))</f>
        <v>2.9999999999999996</v>
      </c>
      <c r="L1144" s="5">
        <v>460.93</v>
      </c>
      <c r="M1144">
        <v>0.19</v>
      </c>
      <c r="N1144" t="s">
        <v>1354</v>
      </c>
      <c r="O1144" s="5">
        <v>1120.0599</v>
      </c>
    </row>
    <row r="1145" spans="1:15">
      <c r="A1145" t="s">
        <v>2494</v>
      </c>
      <c r="B1145" s="7">
        <v>45301</v>
      </c>
      <c r="C1145" t="s">
        <v>1059</v>
      </c>
      <c r="D1145" t="s">
        <v>1129</v>
      </c>
      <c r="E1145" t="s">
        <v>1311</v>
      </c>
      <c r="F1145" t="str">
        <f>[1]Raw_Customer_Dim!$A$2</f>
        <v>CUST1000</v>
      </c>
      <c r="G1145" t="str">
        <f>_xlfn.XLOOKUP(E1145,Store_Dim!A:A,Store_Dim!B:B,"Not Found")</f>
        <v>Moore, Padilla and Butler</v>
      </c>
      <c r="H1145" t="str">
        <f>_xlfn.XLOOKUP(D1145,Product_Dim!A:A,Product_Dim!C:C,"Not Found")</f>
        <v>Sports</v>
      </c>
      <c r="I1145" t="str">
        <f>_xlfn.XLOOKUP(E1145,Store_Dim!A:A,Store_Dim!C:C,"Not Found")</f>
        <v>South</v>
      </c>
      <c r="J1145" t="str">
        <f>_xlfn.XLOOKUP(C1145,Customer_Dim!A:A,Customer_Dim!B:B,"Not Found")</f>
        <v>Not Found</v>
      </c>
      <c r="K1145">
        <f>Table511[[#This Row],[Total_Amount]]/(L1145*(1-Table511[[#This Row],[Discount]]))</f>
        <v>2</v>
      </c>
      <c r="L1145" s="5">
        <v>67.55</v>
      </c>
      <c r="M1145">
        <v>0.03</v>
      </c>
      <c r="N1145" t="s">
        <v>1349</v>
      </c>
      <c r="O1145" s="5">
        <v>131.047</v>
      </c>
    </row>
    <row r="1146" spans="1:15">
      <c r="A1146" t="s">
        <v>2495</v>
      </c>
      <c r="B1146" s="7">
        <v>45433</v>
      </c>
      <c r="C1146" t="s">
        <v>482</v>
      </c>
      <c r="D1146" t="s">
        <v>1171</v>
      </c>
      <c r="E1146" t="s">
        <v>1282</v>
      </c>
      <c r="F1146" t="str">
        <f>[1]Raw_Customer_Dim!$A$2</f>
        <v>CUST1000</v>
      </c>
      <c r="G1146" t="str">
        <f>_xlfn.XLOOKUP(E1146,Store_Dim!A:A,Store_Dim!B:B,"Not Found")</f>
        <v>Martinez, Adkins and Johnson</v>
      </c>
      <c r="H1146" t="str">
        <f>_xlfn.XLOOKUP(D1146,Product_Dim!A:A,Product_Dim!C:C,"Not Found")</f>
        <v>Beauty</v>
      </c>
      <c r="I1146" t="str">
        <f>_xlfn.XLOOKUP(E1146,Store_Dim!A:A,Store_Dim!C:C,"Not Found")</f>
        <v>North</v>
      </c>
      <c r="J1146" t="str">
        <f>_xlfn.XLOOKUP(C1146,Customer_Dim!A:A,Customer_Dim!B:B,"Not Found")</f>
        <v>Antonio Jones</v>
      </c>
      <c r="K1146">
        <f>Table511[[#This Row],[Total_Amount]]/(L1146*(1-Table511[[#This Row],[Discount]]))</f>
        <v>3</v>
      </c>
      <c r="L1146" s="5">
        <v>803.31</v>
      </c>
      <c r="M1146">
        <v>0.1</v>
      </c>
      <c r="N1146" t="s">
        <v>1351</v>
      </c>
      <c r="O1146" s="5">
        <v>2168.9369999999999</v>
      </c>
    </row>
    <row r="1147" spans="1:15">
      <c r="A1147" t="s">
        <v>2496</v>
      </c>
      <c r="B1147" s="7">
        <v>45821</v>
      </c>
      <c r="C1147" t="s">
        <v>927</v>
      </c>
      <c r="D1147" t="s">
        <v>1105</v>
      </c>
      <c r="E1147" t="s">
        <v>1322</v>
      </c>
      <c r="F1147" t="str">
        <f>[1]Raw_Customer_Dim!$A$2</f>
        <v>CUST1000</v>
      </c>
      <c r="G1147" t="str">
        <f>_xlfn.XLOOKUP(E1147,Store_Dim!A:A,Store_Dim!B:B,"Not Found")</f>
        <v>Gardner, Humphrey and Contreras</v>
      </c>
      <c r="H1147" t="str">
        <f>_xlfn.XLOOKUP(D1147,Product_Dim!A:A,Product_Dim!C:C,"Not Found")</f>
        <v>Not Found</v>
      </c>
      <c r="I1147" t="str">
        <f>_xlfn.XLOOKUP(E1147,Store_Dim!A:A,Store_Dim!C:C,"Not Found")</f>
        <v>East</v>
      </c>
      <c r="J1147" t="str">
        <f>_xlfn.XLOOKUP(C1147,Customer_Dim!A:A,Customer_Dim!B:B,"Not Found")</f>
        <v>Summer Weiss</v>
      </c>
      <c r="K1147">
        <f>Table511[[#This Row],[Total_Amount]]/(L1147*(1-Table511[[#This Row],[Discount]]))</f>
        <v>4</v>
      </c>
      <c r="L1147" s="5">
        <v>254.71</v>
      </c>
      <c r="M1147">
        <v>0.2</v>
      </c>
      <c r="N1147" t="s">
        <v>1354</v>
      </c>
      <c r="O1147" s="5">
        <v>815.07200000000012</v>
      </c>
    </row>
    <row r="1148" spans="1:15">
      <c r="A1148" t="s">
        <v>2497</v>
      </c>
      <c r="B1148" s="7">
        <v>45508</v>
      </c>
      <c r="C1148" t="s">
        <v>145</v>
      </c>
      <c r="D1148" t="s">
        <v>1173</v>
      </c>
      <c r="E1148" t="s">
        <v>1294</v>
      </c>
      <c r="F1148" t="str">
        <f>[1]Raw_Customer_Dim!$A$2</f>
        <v>CUST1000</v>
      </c>
      <c r="G1148" t="str">
        <f>_xlfn.XLOOKUP(E1148,Store_Dim!A:A,Store_Dim!B:B,"Not Found")</f>
        <v>Alexander Group</v>
      </c>
      <c r="H1148" t="str">
        <f>_xlfn.XLOOKUP(D1148,Product_Dim!A:A,Product_Dim!C:C,"Not Found")</f>
        <v>Sports</v>
      </c>
      <c r="I1148" t="str">
        <f>_xlfn.XLOOKUP(E1148,Store_Dim!A:A,Store_Dim!C:C,"Not Found")</f>
        <v>South</v>
      </c>
      <c r="J1148" t="str">
        <f>_xlfn.XLOOKUP(C1148,Customer_Dim!A:A,Customer_Dim!B:B,"Not Found")</f>
        <v>Sarah Rodgers</v>
      </c>
      <c r="K1148">
        <f>Table511[[#This Row],[Total_Amount]]/(L1148*(1-Table511[[#This Row],[Discount]]))</f>
        <v>4.0000000000000009</v>
      </c>
      <c r="L1148" s="5">
        <v>594.89</v>
      </c>
      <c r="M1148">
        <v>0.3</v>
      </c>
      <c r="N1148" t="s">
        <v>1351</v>
      </c>
      <c r="O1148" s="5">
        <v>1665.692</v>
      </c>
    </row>
    <row r="1149" spans="1:15">
      <c r="A1149" t="s">
        <v>2498</v>
      </c>
      <c r="B1149" s="7">
        <v>45854</v>
      </c>
      <c r="C1149" t="s">
        <v>500</v>
      </c>
      <c r="D1149" t="s">
        <v>1255</v>
      </c>
      <c r="E1149" t="s">
        <v>1277</v>
      </c>
      <c r="F1149" t="str">
        <f>[1]Raw_Customer_Dim!$A$2</f>
        <v>CUST1000</v>
      </c>
      <c r="G1149" t="str">
        <f>_xlfn.XLOOKUP(E1149,Store_Dim!A:A,Store_Dim!B:B,"Not Found")</f>
        <v>Rivera-Warner</v>
      </c>
      <c r="H1149" t="str">
        <f>_xlfn.XLOOKUP(D1149,Product_Dim!A:A,Product_Dim!C:C,"Not Found")</f>
        <v>Clothing</v>
      </c>
      <c r="I1149" t="str">
        <f>_xlfn.XLOOKUP(E1149,Store_Dim!A:A,Store_Dim!C:C,"Not Found")</f>
        <v>East</v>
      </c>
      <c r="J1149" t="str">
        <f>_xlfn.XLOOKUP(C1149,Customer_Dim!A:A,Customer_Dim!B:B,"Not Found")</f>
        <v>Jordan Wells</v>
      </c>
      <c r="K1149">
        <f>Table511[[#This Row],[Total_Amount]]/(L1149*(1-Table511[[#This Row],[Discount]]))</f>
        <v>2.0000000000000004</v>
      </c>
      <c r="L1149" s="5">
        <v>844.31</v>
      </c>
      <c r="M1149">
        <v>7.0000000000000007E-2</v>
      </c>
      <c r="N1149" t="s">
        <v>1351</v>
      </c>
      <c r="O1149" s="5">
        <v>1570.4166</v>
      </c>
    </row>
    <row r="1150" spans="1:15">
      <c r="A1150" t="s">
        <v>2499</v>
      </c>
      <c r="B1150" s="7">
        <v>45569</v>
      </c>
      <c r="C1150" t="s">
        <v>329</v>
      </c>
      <c r="D1150" t="s">
        <v>1103</v>
      </c>
      <c r="E1150" t="s">
        <v>1301</v>
      </c>
      <c r="F1150" t="str">
        <f>[1]Raw_Customer_Dim!$A$2</f>
        <v>CUST1000</v>
      </c>
      <c r="G1150" t="str">
        <f>_xlfn.XLOOKUP(E1150,Store_Dim!A:A,Store_Dim!B:B,"Not Found")</f>
        <v>Benson-Elliott</v>
      </c>
      <c r="H1150" t="str">
        <f>_xlfn.XLOOKUP(D1150,Product_Dim!A:A,Product_Dim!C:C,"Not Found")</f>
        <v>Electronics</v>
      </c>
      <c r="I1150" t="str">
        <f>_xlfn.XLOOKUP(E1150,Store_Dim!A:A,Store_Dim!C:C,"Not Found")</f>
        <v>East</v>
      </c>
      <c r="J1150" t="str">
        <f>_xlfn.XLOOKUP(C1150,Customer_Dim!A:A,Customer_Dim!B:B,"Not Found")</f>
        <v>Morgan Bowen</v>
      </c>
      <c r="K1150">
        <f>Table511[[#This Row],[Total_Amount]]/(L1150*(1-Table511[[#This Row],[Discount]]))</f>
        <v>4</v>
      </c>
      <c r="L1150" s="5">
        <v>101.33</v>
      </c>
      <c r="M1150">
        <v>0</v>
      </c>
      <c r="N1150" t="s">
        <v>1349</v>
      </c>
      <c r="O1150" s="5">
        <v>405.32</v>
      </c>
    </row>
    <row r="1151" spans="1:15">
      <c r="A1151" t="s">
        <v>2500</v>
      </c>
      <c r="B1151" s="7">
        <v>45824</v>
      </c>
      <c r="C1151" t="s">
        <v>323</v>
      </c>
      <c r="D1151" t="s">
        <v>1125</v>
      </c>
      <c r="E1151" t="s">
        <v>1307</v>
      </c>
      <c r="F1151" t="str">
        <f>[1]Raw_Customer_Dim!$A$2</f>
        <v>CUST1000</v>
      </c>
      <c r="G1151" t="str">
        <f>_xlfn.XLOOKUP(E1151,Store_Dim!A:A,Store_Dim!B:B,"Not Found")</f>
        <v>Bean, Jones and Park</v>
      </c>
      <c r="H1151" t="str">
        <f>_xlfn.XLOOKUP(D1151,Product_Dim!A:A,Product_Dim!C:C,"Not Found")</f>
        <v>Electronics</v>
      </c>
      <c r="I1151" t="str">
        <f>_xlfn.XLOOKUP(E1151,Store_Dim!A:A,Store_Dim!C:C,"Not Found")</f>
        <v>West</v>
      </c>
      <c r="J1151" t="str">
        <f>_xlfn.XLOOKUP(C1151,Customer_Dim!A:A,Customer_Dim!B:B,"Not Found")</f>
        <v>Joseph Richards</v>
      </c>
      <c r="K1151">
        <f>Table511[[#This Row],[Total_Amount]]/(L1151*(1-Table511[[#This Row],[Discount]]))</f>
        <v>3.0000000000000004</v>
      </c>
      <c r="L1151" s="5">
        <v>922.56</v>
      </c>
      <c r="M1151">
        <v>0.18</v>
      </c>
      <c r="N1151" t="s">
        <v>1351</v>
      </c>
      <c r="O1151" s="5">
        <v>2269.4976000000001</v>
      </c>
    </row>
    <row r="1152" spans="1:15">
      <c r="A1152" t="s">
        <v>2501</v>
      </c>
      <c r="B1152" s="7">
        <v>45352</v>
      </c>
      <c r="C1152" t="s">
        <v>927</v>
      </c>
      <c r="D1152" t="s">
        <v>1149</v>
      </c>
      <c r="E1152" t="s">
        <v>1324</v>
      </c>
      <c r="F1152" t="str">
        <f>[1]Raw_Customer_Dim!$A$2</f>
        <v>CUST1000</v>
      </c>
      <c r="G1152" t="str">
        <f>_xlfn.XLOOKUP(E1152,Store_Dim!A:A,Store_Dim!B:B,"Not Found")</f>
        <v>Mcdonald Inc</v>
      </c>
      <c r="H1152" t="str">
        <f>_xlfn.XLOOKUP(D1152,Product_Dim!A:A,Product_Dim!C:C,"Not Found")</f>
        <v>Sports</v>
      </c>
      <c r="I1152" t="str">
        <f>_xlfn.XLOOKUP(E1152,Store_Dim!A:A,Store_Dim!C:C,"Not Found")</f>
        <v>South</v>
      </c>
      <c r="J1152" t="str">
        <f>_xlfn.XLOOKUP(C1152,Customer_Dim!A:A,Customer_Dim!B:B,"Not Found")</f>
        <v>Summer Weiss</v>
      </c>
      <c r="K1152">
        <f>Table511[[#This Row],[Total_Amount]]/(L1152*(1-Table511[[#This Row],[Discount]]))</f>
        <v>4</v>
      </c>
      <c r="L1152" s="5">
        <v>867.19</v>
      </c>
      <c r="M1152">
        <v>7.0000000000000007E-2</v>
      </c>
      <c r="N1152" t="s">
        <v>1354</v>
      </c>
      <c r="O1152" s="5">
        <v>3225.9468000000002</v>
      </c>
    </row>
    <row r="1153" spans="1:15">
      <c r="A1153" t="s">
        <v>2502</v>
      </c>
      <c r="B1153" s="7">
        <v>45454</v>
      </c>
      <c r="C1153" t="s">
        <v>30</v>
      </c>
      <c r="D1153" t="s">
        <v>1239</v>
      </c>
      <c r="E1153" t="s">
        <v>1332</v>
      </c>
      <c r="F1153" t="str">
        <f>[1]Raw_Customer_Dim!$A$2</f>
        <v>CUST1000</v>
      </c>
      <c r="G1153" t="str">
        <f>_xlfn.XLOOKUP(E1153,Store_Dim!A:A,Store_Dim!B:B,"Not Found")</f>
        <v>Holloway Ltd</v>
      </c>
      <c r="H1153" t="str">
        <f>_xlfn.XLOOKUP(D1153,Product_Dim!A:A,Product_Dim!C:C,"Not Found")</f>
        <v>Beauty</v>
      </c>
      <c r="I1153" t="str">
        <f>_xlfn.XLOOKUP(E1153,Store_Dim!A:A,Store_Dim!C:C,"Not Found")</f>
        <v>North</v>
      </c>
      <c r="J1153" t="str">
        <f>_xlfn.XLOOKUP(C1153,Customer_Dim!A:A,Customer_Dim!B:B,"Not Found")</f>
        <v>Amber Jackson</v>
      </c>
      <c r="K1153">
        <f>Table511[[#This Row],[Total_Amount]]/(L1153*(1-Table511[[#This Row],[Discount]]))</f>
        <v>3.0000000000000004</v>
      </c>
      <c r="L1153" s="5">
        <v>816.87</v>
      </c>
      <c r="M1153">
        <v>0.14000000000000001</v>
      </c>
      <c r="N1153" t="s">
        <v>1351</v>
      </c>
      <c r="O1153" s="5">
        <v>2107.5246000000002</v>
      </c>
    </row>
    <row r="1154" spans="1:15">
      <c r="A1154" t="s">
        <v>2503</v>
      </c>
      <c r="B1154" s="7">
        <v>45924</v>
      </c>
      <c r="C1154" t="s">
        <v>1022</v>
      </c>
      <c r="D1154" t="s">
        <v>1203</v>
      </c>
      <c r="E1154" t="s">
        <v>1291</v>
      </c>
      <c r="F1154" t="str">
        <f>[1]Raw_Customer_Dim!$A$2</f>
        <v>CUST1000</v>
      </c>
      <c r="G1154" t="str">
        <f>_xlfn.XLOOKUP(E1154,Store_Dim!A:A,Store_Dim!B:B,"Not Found")</f>
        <v>Johnson-Wright</v>
      </c>
      <c r="H1154" t="str">
        <f>_xlfn.XLOOKUP(D1154,Product_Dim!A:A,Product_Dim!C:C,"Not Found")</f>
        <v>Sports</v>
      </c>
      <c r="I1154" t="str">
        <f>_xlfn.XLOOKUP(E1154,Store_Dim!A:A,Store_Dim!C:C,"Not Found")</f>
        <v>North</v>
      </c>
      <c r="J1154" t="str">
        <f>_xlfn.XLOOKUP(C1154,Customer_Dim!A:A,Customer_Dim!B:B,"Not Found")</f>
        <v>Jordan Medina</v>
      </c>
      <c r="K1154">
        <f>Table511[[#This Row],[Total_Amount]]/(L1154*(1-Table511[[#This Row],[Discount]]))</f>
        <v>3</v>
      </c>
      <c r="L1154" s="5">
        <v>258.06</v>
      </c>
      <c r="M1154">
        <v>0</v>
      </c>
      <c r="N1154" t="s">
        <v>1351</v>
      </c>
      <c r="O1154" s="5">
        <v>774.18000000000006</v>
      </c>
    </row>
    <row r="1155" spans="1:15">
      <c r="A1155" t="s">
        <v>2504</v>
      </c>
      <c r="B1155" s="7">
        <v>45694</v>
      </c>
      <c r="C1155" t="s">
        <v>688</v>
      </c>
      <c r="D1155" t="s">
        <v>1149</v>
      </c>
      <c r="E1155" t="s">
        <v>1324</v>
      </c>
      <c r="F1155" t="str">
        <f>[1]Raw_Customer_Dim!$A$2</f>
        <v>CUST1000</v>
      </c>
      <c r="G1155" t="str">
        <f>_xlfn.XLOOKUP(E1155,Store_Dim!A:A,Store_Dim!B:B,"Not Found")</f>
        <v>Mcdonald Inc</v>
      </c>
      <c r="H1155" t="str">
        <f>_xlfn.XLOOKUP(D1155,Product_Dim!A:A,Product_Dim!C:C,"Not Found")</f>
        <v>Sports</v>
      </c>
      <c r="I1155" t="str">
        <f>_xlfn.XLOOKUP(E1155,Store_Dim!A:A,Store_Dim!C:C,"Not Found")</f>
        <v>South</v>
      </c>
      <c r="J1155" t="str">
        <f>_xlfn.XLOOKUP(C1155,Customer_Dim!A:A,Customer_Dim!B:B,"Not Found")</f>
        <v>Jason Mullins</v>
      </c>
      <c r="K1155">
        <f>Table511[[#This Row],[Total_Amount]]/(L1155*(1-Table511[[#This Row],[Discount]]))</f>
        <v>2</v>
      </c>
      <c r="L1155" s="5">
        <v>574.58000000000004</v>
      </c>
      <c r="M1155">
        <v>0.06</v>
      </c>
      <c r="N1155" t="s">
        <v>1349</v>
      </c>
      <c r="O1155" s="5">
        <v>1080.2103999999999</v>
      </c>
    </row>
    <row r="1156" spans="1:15">
      <c r="A1156" t="s">
        <v>2505</v>
      </c>
      <c r="B1156" s="7">
        <v>45587</v>
      </c>
      <c r="C1156" t="s">
        <v>75</v>
      </c>
      <c r="D1156" t="s">
        <v>1239</v>
      </c>
      <c r="E1156" t="s">
        <v>1301</v>
      </c>
      <c r="F1156" t="str">
        <f>[1]Raw_Customer_Dim!$A$2</f>
        <v>CUST1000</v>
      </c>
      <c r="G1156" t="str">
        <f>_xlfn.XLOOKUP(E1156,Store_Dim!A:A,Store_Dim!B:B,"Not Found")</f>
        <v>Benson-Elliott</v>
      </c>
      <c r="H1156" t="str">
        <f>_xlfn.XLOOKUP(D1156,Product_Dim!A:A,Product_Dim!C:C,"Not Found")</f>
        <v>Beauty</v>
      </c>
      <c r="I1156" t="str">
        <f>_xlfn.XLOOKUP(E1156,Store_Dim!A:A,Store_Dim!C:C,"Not Found")</f>
        <v>East</v>
      </c>
      <c r="J1156" t="str">
        <f>_xlfn.XLOOKUP(C1156,Customer_Dim!A:A,Customer_Dim!B:B,"Not Found")</f>
        <v xml:space="preserve">   paul fox</v>
      </c>
      <c r="K1156">
        <f>Table511[[#This Row],[Total_Amount]]/(L1156*(1-Table511[[#This Row],[Discount]]))</f>
        <v>2</v>
      </c>
      <c r="L1156" s="5">
        <v>472.18</v>
      </c>
      <c r="M1156">
        <v>0.27</v>
      </c>
      <c r="N1156" t="s">
        <v>1351</v>
      </c>
      <c r="O1156" s="5">
        <v>689.38279999999997</v>
      </c>
    </row>
    <row r="1157" spans="1:15">
      <c r="A1157" t="s">
        <v>2506</v>
      </c>
      <c r="B1157" s="7">
        <v>45556</v>
      </c>
      <c r="C1157" t="s">
        <v>744</v>
      </c>
      <c r="D1157" t="s">
        <v>1155</v>
      </c>
      <c r="E1157" t="s">
        <v>1298</v>
      </c>
      <c r="F1157" t="str">
        <f>[1]Raw_Customer_Dim!$A$2</f>
        <v>CUST1000</v>
      </c>
      <c r="G1157" t="str">
        <f>_xlfn.XLOOKUP(E1157,Store_Dim!A:A,Store_Dim!B:B,"Not Found")</f>
        <v>Gray Ltd</v>
      </c>
      <c r="H1157" t="str">
        <f>_xlfn.XLOOKUP(D1157,Product_Dim!A:A,Product_Dim!C:C,"Not Found")</f>
        <v>Sports</v>
      </c>
      <c r="I1157" t="str">
        <f>_xlfn.XLOOKUP(E1157,Store_Dim!A:A,Store_Dim!C:C,"Not Found")</f>
        <v>North</v>
      </c>
      <c r="J1157" t="str">
        <f>_xlfn.XLOOKUP(C1157,Customer_Dim!A:A,Customer_Dim!B:B,"Not Found")</f>
        <v>Eric Davis</v>
      </c>
      <c r="K1157">
        <f>Table511[[#This Row],[Total_Amount]]/(L1157*(1-Table511[[#This Row],[Discount]]))</f>
        <v>2</v>
      </c>
      <c r="L1157" s="5">
        <v>20.47</v>
      </c>
      <c r="M1157">
        <v>0.12</v>
      </c>
      <c r="N1157" t="s">
        <v>1354</v>
      </c>
      <c r="O1157" s="5">
        <v>36.027200000000001</v>
      </c>
    </row>
    <row r="1158" spans="1:15">
      <c r="A1158" t="s">
        <v>2507</v>
      </c>
      <c r="B1158" s="7">
        <v>45923</v>
      </c>
      <c r="C1158" t="s">
        <v>77</v>
      </c>
      <c r="D1158" t="s">
        <v>1117</v>
      </c>
      <c r="E1158" t="s">
        <v>1304</v>
      </c>
      <c r="F1158" t="str">
        <f>[1]Raw_Customer_Dim!$A$2</f>
        <v>CUST1000</v>
      </c>
      <c r="G1158" t="str">
        <f>_xlfn.XLOOKUP(E1158,Store_Dim!A:A,Store_Dim!B:B,"Not Found")</f>
        <v>Martinez-Mullins</v>
      </c>
      <c r="H1158" t="str">
        <f>_xlfn.XLOOKUP(D1158,Product_Dim!A:A,Product_Dim!C:C,"Not Found")</f>
        <v>Sports</v>
      </c>
      <c r="I1158" t="str">
        <f>_xlfn.XLOOKUP(E1158,Store_Dim!A:A,Store_Dim!C:C,"Not Found")</f>
        <v>South</v>
      </c>
      <c r="J1158" t="str">
        <f>_xlfn.XLOOKUP(C1158,Customer_Dim!A:A,Customer_Dim!B:B,"Not Found")</f>
        <v>Jonathan Steele</v>
      </c>
      <c r="K1158">
        <f>Table511[[#This Row],[Total_Amount]]/(L1158*(1-Table511[[#This Row],[Discount]]))</f>
        <v>2.9999999999999996</v>
      </c>
      <c r="L1158" s="5">
        <v>235.41</v>
      </c>
      <c r="M1158">
        <v>0.15</v>
      </c>
      <c r="N1158" t="s">
        <v>1351</v>
      </c>
      <c r="O1158" s="5">
        <v>600.29549999999995</v>
      </c>
    </row>
    <row r="1159" spans="1:15">
      <c r="A1159" t="s">
        <v>2508</v>
      </c>
      <c r="B1159" s="7">
        <v>45811</v>
      </c>
      <c r="C1159" t="s">
        <v>523</v>
      </c>
      <c r="D1159" t="s">
        <v>1229</v>
      </c>
      <c r="E1159" t="s">
        <v>1304</v>
      </c>
      <c r="F1159" t="str">
        <f>[1]Raw_Customer_Dim!$A$2</f>
        <v>CUST1000</v>
      </c>
      <c r="G1159" t="str">
        <f>_xlfn.XLOOKUP(E1159,Store_Dim!A:A,Store_Dim!B:B,"Not Found")</f>
        <v>Martinez-Mullins</v>
      </c>
      <c r="H1159" t="str">
        <f>_xlfn.XLOOKUP(D1159,Product_Dim!A:A,Product_Dim!C:C,"Not Found")</f>
        <v>Home</v>
      </c>
      <c r="I1159" t="str">
        <f>_xlfn.XLOOKUP(E1159,Store_Dim!A:A,Store_Dim!C:C,"Not Found")</f>
        <v>South</v>
      </c>
      <c r="J1159" t="str">
        <f>_xlfn.XLOOKUP(C1159,Customer_Dim!A:A,Customer_Dim!B:B,"Not Found")</f>
        <v>Timothy Sanders</v>
      </c>
      <c r="K1159">
        <f>Table511[[#This Row],[Total_Amount]]/(L1159*(1-Table511[[#This Row],[Discount]]))</f>
        <v>3</v>
      </c>
      <c r="L1159" s="5">
        <v>744.9</v>
      </c>
      <c r="M1159">
        <v>0.27</v>
      </c>
      <c r="N1159" t="s">
        <v>1351</v>
      </c>
      <c r="O1159" s="5">
        <v>1631.3309999999999</v>
      </c>
    </row>
    <row r="1160" spans="1:15">
      <c r="A1160" t="s">
        <v>2509</v>
      </c>
      <c r="B1160" s="7">
        <v>45559</v>
      </c>
      <c r="C1160" t="s">
        <v>135</v>
      </c>
      <c r="D1160" t="s">
        <v>1109</v>
      </c>
      <c r="E1160" t="s">
        <v>1291</v>
      </c>
      <c r="F1160" t="str">
        <f>[1]Raw_Customer_Dim!$A$2</f>
        <v>CUST1000</v>
      </c>
      <c r="G1160" t="str">
        <f>_xlfn.XLOOKUP(E1160,Store_Dim!A:A,Store_Dim!B:B,"Not Found")</f>
        <v>Johnson-Wright</v>
      </c>
      <c r="H1160" t="str">
        <f>_xlfn.XLOOKUP(D1160,Product_Dim!A:A,Product_Dim!C:C,"Not Found")</f>
        <v>Clothing</v>
      </c>
      <c r="I1160" t="str">
        <f>_xlfn.XLOOKUP(E1160,Store_Dim!A:A,Store_Dim!C:C,"Not Found")</f>
        <v>North</v>
      </c>
      <c r="J1160" t="str">
        <f>_xlfn.XLOOKUP(C1160,Customer_Dim!A:A,Customer_Dim!B:B,"Not Found")</f>
        <v>Gina Knight</v>
      </c>
      <c r="K1160">
        <f>Table511[[#This Row],[Total_Amount]]/(L1160*(1-Table511[[#This Row],[Discount]]))</f>
        <v>2</v>
      </c>
      <c r="L1160" s="5">
        <v>382.2</v>
      </c>
      <c r="M1160">
        <v>0.15</v>
      </c>
      <c r="N1160" t="s">
        <v>1349</v>
      </c>
      <c r="O1160" s="5">
        <v>649.74</v>
      </c>
    </row>
    <row r="1161" spans="1:15">
      <c r="A1161" t="s">
        <v>2510</v>
      </c>
      <c r="B1161" s="7">
        <v>45881</v>
      </c>
      <c r="C1161" t="s">
        <v>756</v>
      </c>
      <c r="D1161" t="s">
        <v>1253</v>
      </c>
      <c r="E1161" t="s">
        <v>1329</v>
      </c>
      <c r="F1161" t="str">
        <f>[1]Raw_Customer_Dim!$A$2</f>
        <v>CUST1000</v>
      </c>
      <c r="G1161" t="str">
        <f>_xlfn.XLOOKUP(E1161,Store_Dim!A:A,Store_Dim!B:B,"Not Found")</f>
        <v>Frederick-Wright</v>
      </c>
      <c r="H1161" t="str">
        <f>_xlfn.XLOOKUP(D1161,Product_Dim!A:A,Product_Dim!C:C,"Not Found")</f>
        <v>Electronics</v>
      </c>
      <c r="I1161" t="str">
        <f>_xlfn.XLOOKUP(E1161,Store_Dim!A:A,Store_Dim!C:C,"Not Found")</f>
        <v>West</v>
      </c>
      <c r="J1161" t="str">
        <f>_xlfn.XLOOKUP(C1161,Customer_Dim!A:A,Customer_Dim!B:B,"Not Found")</f>
        <v>John Jordan</v>
      </c>
      <c r="K1161">
        <f>Table511[[#This Row],[Total_Amount]]/(L1161*(1-Table511[[#This Row],[Discount]]))</f>
        <v>1</v>
      </c>
      <c r="L1161" s="5">
        <v>269.25</v>
      </c>
      <c r="M1161">
        <v>0.14000000000000001</v>
      </c>
      <c r="N1161" t="s">
        <v>1351</v>
      </c>
      <c r="O1161" s="5">
        <v>231.55500000000001</v>
      </c>
    </row>
    <row r="1162" spans="1:15">
      <c r="A1162" t="s">
        <v>2511</v>
      </c>
      <c r="B1162" s="7">
        <v>45367</v>
      </c>
      <c r="C1162" t="s">
        <v>793</v>
      </c>
      <c r="D1162" t="s">
        <v>1133</v>
      </c>
      <c r="E1162" t="s">
        <v>1317</v>
      </c>
      <c r="F1162" t="str">
        <f>[1]Raw_Customer_Dim!$A$2</f>
        <v>CUST1000</v>
      </c>
      <c r="G1162" t="str">
        <f>_xlfn.XLOOKUP(E1162,Store_Dim!A:A,Store_Dim!B:B,"Not Found")</f>
        <v>Aguirre-Keller</v>
      </c>
      <c r="H1162" t="str">
        <f>_xlfn.XLOOKUP(D1162,Product_Dim!A:A,Product_Dim!C:C,"Not Found")</f>
        <v>Home</v>
      </c>
      <c r="I1162" t="str">
        <f>_xlfn.XLOOKUP(E1162,Store_Dim!A:A,Store_Dim!C:C,"Not Found")</f>
        <v>South</v>
      </c>
      <c r="J1162" t="str">
        <f>_xlfn.XLOOKUP(C1162,Customer_Dim!A:A,Customer_Dim!B:B,"Not Found")</f>
        <v>Brandon Mcbride</v>
      </c>
      <c r="K1162">
        <f>Table511[[#This Row],[Total_Amount]]/(L1162*(1-Table511[[#This Row],[Discount]]))</f>
        <v>2</v>
      </c>
      <c r="L1162" s="5">
        <v>723.75</v>
      </c>
      <c r="M1162">
        <v>0.03</v>
      </c>
      <c r="N1162" t="s">
        <v>1351</v>
      </c>
      <c r="O1162" s="5">
        <v>1404.075</v>
      </c>
    </row>
    <row r="1163" spans="1:15">
      <c r="A1163" t="s">
        <v>2512</v>
      </c>
      <c r="B1163" s="7">
        <v>45832</v>
      </c>
      <c r="C1163" t="s">
        <v>626</v>
      </c>
      <c r="D1163" t="s">
        <v>1111</v>
      </c>
      <c r="E1163" t="s">
        <v>1338</v>
      </c>
      <c r="F1163" t="str">
        <f>[1]Raw_Customer_Dim!$A$2</f>
        <v>CUST1000</v>
      </c>
      <c r="G1163" t="str">
        <f>_xlfn.XLOOKUP(E1163,Store_Dim!A:A,Store_Dim!B:B,"Not Found")</f>
        <v>Mann-Austin</v>
      </c>
      <c r="H1163" t="str">
        <f>_xlfn.XLOOKUP(D1163,Product_Dim!A:A,Product_Dim!C:C,"Not Found")</f>
        <v>Sports</v>
      </c>
      <c r="I1163" t="str">
        <f>_xlfn.XLOOKUP(E1163,Store_Dim!A:A,Store_Dim!C:C,"Not Found")</f>
        <v>East</v>
      </c>
      <c r="J1163" t="str">
        <f>_xlfn.XLOOKUP(C1163,Customer_Dim!A:A,Customer_Dim!B:B,"Not Found")</f>
        <v>Brittany Watson</v>
      </c>
      <c r="K1163">
        <f>Table511[[#This Row],[Total_Amount]]/(L1163*(1-Table511[[#This Row],[Discount]]))</f>
        <v>3.9999999999999996</v>
      </c>
      <c r="L1163" s="5">
        <v>58.92</v>
      </c>
      <c r="M1163">
        <v>0.18</v>
      </c>
      <c r="N1163" t="s">
        <v>1349</v>
      </c>
      <c r="O1163" s="5">
        <v>193.2576</v>
      </c>
    </row>
    <row r="1164" spans="1:15">
      <c r="A1164" t="s">
        <v>2513</v>
      </c>
      <c r="B1164" s="7">
        <v>45438</v>
      </c>
      <c r="C1164" t="s">
        <v>438</v>
      </c>
      <c r="D1164" t="s">
        <v>1215</v>
      </c>
      <c r="E1164" t="s">
        <v>1314</v>
      </c>
      <c r="F1164" t="str">
        <f>[1]Raw_Customer_Dim!$A$2</f>
        <v>CUST1000</v>
      </c>
      <c r="G1164" t="str">
        <f>_xlfn.XLOOKUP(E1164,Store_Dim!A:A,Store_Dim!B:B,"Not Found")</f>
        <v>Hill, Wagner and Ballard</v>
      </c>
      <c r="H1164" t="str">
        <f>_xlfn.XLOOKUP(D1164,Product_Dim!A:A,Product_Dim!C:C,"Not Found")</f>
        <v>Beauty</v>
      </c>
      <c r="I1164" t="str">
        <f>_xlfn.XLOOKUP(E1164,Store_Dim!A:A,Store_Dim!C:C,"Not Found")</f>
        <v>East</v>
      </c>
      <c r="J1164" t="str">
        <f>_xlfn.XLOOKUP(C1164,Customer_Dim!A:A,Customer_Dim!B:B,"Not Found")</f>
        <v>Kimberly Brooks</v>
      </c>
      <c r="K1164">
        <f>Table511[[#This Row],[Total_Amount]]/(L1164*(1-Table511[[#This Row],[Discount]]))</f>
        <v>2</v>
      </c>
      <c r="L1164" s="5">
        <v>913.08</v>
      </c>
      <c r="M1164">
        <v>0.26</v>
      </c>
      <c r="N1164" t="s">
        <v>1349</v>
      </c>
      <c r="O1164" s="5">
        <v>1351.3584000000001</v>
      </c>
    </row>
    <row r="1165" spans="1:15">
      <c r="A1165" t="s">
        <v>2514</v>
      </c>
      <c r="B1165" s="7">
        <v>45691</v>
      </c>
      <c r="C1165" t="s">
        <v>547</v>
      </c>
      <c r="D1165" t="s">
        <v>1235</v>
      </c>
      <c r="E1165" t="s">
        <v>1282</v>
      </c>
      <c r="F1165" t="str">
        <f>[1]Raw_Customer_Dim!$A$2</f>
        <v>CUST1000</v>
      </c>
      <c r="G1165" t="str">
        <f>_xlfn.XLOOKUP(E1165,Store_Dim!A:A,Store_Dim!B:B,"Not Found")</f>
        <v>Martinez, Adkins and Johnson</v>
      </c>
      <c r="H1165" t="str">
        <f>_xlfn.XLOOKUP(D1165,Product_Dim!A:A,Product_Dim!C:C,"Not Found")</f>
        <v>Sports</v>
      </c>
      <c r="I1165" t="str">
        <f>_xlfn.XLOOKUP(E1165,Store_Dim!A:A,Store_Dim!C:C,"Not Found")</f>
        <v>North</v>
      </c>
      <c r="J1165" t="str">
        <f>_xlfn.XLOOKUP(C1165,Customer_Dim!A:A,Customer_Dim!B:B,"Not Found")</f>
        <v>William Jackson</v>
      </c>
      <c r="K1165">
        <f>Table511[[#This Row],[Total_Amount]]/(L1165*(1-Table511[[#This Row],[Discount]]))</f>
        <v>1</v>
      </c>
      <c r="L1165" s="5">
        <v>791.83</v>
      </c>
      <c r="M1165">
        <v>0.28000000000000003</v>
      </c>
      <c r="N1165" t="s">
        <v>1351</v>
      </c>
      <c r="O1165" s="5">
        <v>570.11760000000004</v>
      </c>
    </row>
    <row r="1166" spans="1:15">
      <c r="A1166" t="s">
        <v>2515</v>
      </c>
      <c r="B1166" s="7">
        <v>45506</v>
      </c>
      <c r="C1166" t="s">
        <v>1004</v>
      </c>
      <c r="D1166" t="s">
        <v>1076</v>
      </c>
      <c r="E1166" t="s">
        <v>1326</v>
      </c>
      <c r="F1166" t="str">
        <f>[1]Raw_Customer_Dim!$A$2</f>
        <v>CUST1000</v>
      </c>
      <c r="G1166" t="str">
        <f>_xlfn.XLOOKUP(E1166,Store_Dim!A:A,Store_Dim!B:B,"Not Found")</f>
        <v>Shelton PLC</v>
      </c>
      <c r="H1166" t="str">
        <f>_xlfn.XLOOKUP(D1166,Product_Dim!A:A,Product_Dim!C:C,"Not Found")</f>
        <v>Not Found</v>
      </c>
      <c r="I1166" t="str">
        <f>_xlfn.XLOOKUP(E1166,Store_Dim!A:A,Store_Dim!C:C,"Not Found")</f>
        <v>North</v>
      </c>
      <c r="J1166" t="str">
        <f>_xlfn.XLOOKUP(C1166,Customer_Dim!A:A,Customer_Dim!B:B,"Not Found")</f>
        <v>Debra Mccullough</v>
      </c>
      <c r="K1166">
        <f>Table511[[#This Row],[Total_Amount]]/(L1166*(1-Table511[[#This Row],[Discount]]))</f>
        <v>1</v>
      </c>
      <c r="L1166" s="5">
        <v>74.290000000000006</v>
      </c>
      <c r="M1166">
        <v>0.3</v>
      </c>
      <c r="N1166" t="s">
        <v>1354</v>
      </c>
      <c r="O1166" s="5">
        <v>52.003</v>
      </c>
    </row>
    <row r="1167" spans="1:15">
      <c r="A1167" t="s">
        <v>2516</v>
      </c>
      <c r="B1167" s="7">
        <v>45251</v>
      </c>
      <c r="C1167" t="s">
        <v>549</v>
      </c>
      <c r="D1167" t="s">
        <v>1143</v>
      </c>
      <c r="E1167" t="s">
        <v>1277</v>
      </c>
      <c r="F1167" t="str">
        <f>[1]Raw_Customer_Dim!$A$2</f>
        <v>CUST1000</v>
      </c>
      <c r="G1167" t="str">
        <f>_xlfn.XLOOKUP(E1167,Store_Dim!A:A,Store_Dim!B:B,"Not Found")</f>
        <v>Rivera-Warner</v>
      </c>
      <c r="H1167" t="str">
        <f>_xlfn.XLOOKUP(D1167,Product_Dim!A:A,Product_Dim!C:C,"Not Found")</f>
        <v>Home</v>
      </c>
      <c r="I1167" t="str">
        <f>_xlfn.XLOOKUP(E1167,Store_Dim!A:A,Store_Dim!C:C,"Not Found")</f>
        <v>East</v>
      </c>
      <c r="J1167" t="str">
        <f>_xlfn.XLOOKUP(C1167,Customer_Dim!A:A,Customer_Dim!B:B,"Not Found")</f>
        <v>Brian Hammond</v>
      </c>
      <c r="K1167">
        <f>Table511[[#This Row],[Total_Amount]]/(L1167*(1-Table511[[#This Row],[Discount]]))</f>
        <v>2</v>
      </c>
      <c r="L1167" s="5">
        <v>961.68</v>
      </c>
      <c r="M1167">
        <v>0.27</v>
      </c>
      <c r="N1167" t="s">
        <v>1351</v>
      </c>
      <c r="O1167" s="5">
        <v>1404.0527999999999</v>
      </c>
    </row>
    <row r="1168" spans="1:15">
      <c r="A1168" t="s">
        <v>2517</v>
      </c>
      <c r="B1168" s="7">
        <v>45722</v>
      </c>
      <c r="C1168" t="s">
        <v>1049</v>
      </c>
      <c r="D1168" t="s">
        <v>1111</v>
      </c>
      <c r="E1168" t="s">
        <v>1324</v>
      </c>
      <c r="F1168" t="str">
        <f>[1]Raw_Customer_Dim!$A$2</f>
        <v>CUST1000</v>
      </c>
      <c r="G1168" t="str">
        <f>_xlfn.XLOOKUP(E1168,Store_Dim!A:A,Store_Dim!B:B,"Not Found")</f>
        <v>Mcdonald Inc</v>
      </c>
      <c r="H1168" t="str">
        <f>_xlfn.XLOOKUP(D1168,Product_Dim!A:A,Product_Dim!C:C,"Not Found")</f>
        <v>Sports</v>
      </c>
      <c r="I1168" t="str">
        <f>_xlfn.XLOOKUP(E1168,Store_Dim!A:A,Store_Dim!C:C,"Not Found")</f>
        <v>South</v>
      </c>
      <c r="J1168" t="str">
        <f>_xlfn.XLOOKUP(C1168,Customer_Dim!A:A,Customer_Dim!B:B,"Not Found")</f>
        <v>Justin Lopez</v>
      </c>
      <c r="K1168">
        <f>Table511[[#This Row],[Total_Amount]]/(L1168*(1-Table511[[#This Row],[Discount]]))</f>
        <v>1</v>
      </c>
      <c r="L1168" s="5">
        <v>90.72</v>
      </c>
      <c r="M1168">
        <v>0.1</v>
      </c>
      <c r="N1168" t="s">
        <v>1351</v>
      </c>
      <c r="O1168" s="5">
        <v>81.647999999999996</v>
      </c>
    </row>
    <row r="1169" spans="1:15">
      <c r="A1169" t="s">
        <v>2518</v>
      </c>
      <c r="B1169" s="7">
        <v>45689</v>
      </c>
      <c r="C1169" t="s">
        <v>166</v>
      </c>
      <c r="D1169" t="s">
        <v>1189</v>
      </c>
      <c r="E1169" t="s">
        <v>1304</v>
      </c>
      <c r="F1169" t="str">
        <f>[1]Raw_Customer_Dim!$A$2</f>
        <v>CUST1000</v>
      </c>
      <c r="G1169" t="str">
        <f>_xlfn.XLOOKUP(E1169,Store_Dim!A:A,Store_Dim!B:B,"Not Found")</f>
        <v>Martinez-Mullins</v>
      </c>
      <c r="H1169" t="str">
        <f>_xlfn.XLOOKUP(D1169,Product_Dim!A:A,Product_Dim!C:C,"Not Found")</f>
        <v>Clothing</v>
      </c>
      <c r="I1169" t="str">
        <f>_xlfn.XLOOKUP(E1169,Store_Dim!A:A,Store_Dim!C:C,"Not Found")</f>
        <v>South</v>
      </c>
      <c r="J1169" t="str">
        <f>_xlfn.XLOOKUP(C1169,Customer_Dim!A:A,Customer_Dim!B:B,"Not Found")</f>
        <v>Dr. David Smith</v>
      </c>
      <c r="K1169">
        <f>Table511[[#This Row],[Total_Amount]]/(L1169*(1-Table511[[#This Row],[Discount]]))</f>
        <v>1</v>
      </c>
      <c r="L1169" s="5">
        <v>458.69</v>
      </c>
      <c r="M1169">
        <v>0.16</v>
      </c>
      <c r="N1169" t="s">
        <v>1351</v>
      </c>
      <c r="O1169" s="5">
        <v>385.2996</v>
      </c>
    </row>
    <row r="1170" spans="1:15">
      <c r="A1170" t="s">
        <v>2519</v>
      </c>
      <c r="B1170" s="7">
        <v>45346</v>
      </c>
      <c r="C1170" t="s">
        <v>525</v>
      </c>
      <c r="D1170" t="s">
        <v>1141</v>
      </c>
      <c r="E1170" t="s">
        <v>1304</v>
      </c>
      <c r="F1170" t="str">
        <f>[1]Raw_Customer_Dim!$A$2</f>
        <v>CUST1000</v>
      </c>
      <c r="G1170" t="str">
        <f>_xlfn.XLOOKUP(E1170,Store_Dim!A:A,Store_Dim!B:B,"Not Found")</f>
        <v>Martinez-Mullins</v>
      </c>
      <c r="H1170" t="str">
        <f>_xlfn.XLOOKUP(D1170,Product_Dim!A:A,Product_Dim!C:C,"Not Found")</f>
        <v>Electronics</v>
      </c>
      <c r="I1170" t="str">
        <f>_xlfn.XLOOKUP(E1170,Store_Dim!A:A,Store_Dim!C:C,"Not Found")</f>
        <v>South</v>
      </c>
      <c r="J1170" t="str">
        <f>_xlfn.XLOOKUP(C1170,Customer_Dim!A:A,Customer_Dim!B:B,"Not Found")</f>
        <v>Timothy Juarez</v>
      </c>
      <c r="K1170">
        <f>Table511[[#This Row],[Total_Amount]]/(L1170*(1-Table511[[#This Row],[Discount]]))</f>
        <v>1</v>
      </c>
      <c r="L1170" s="5">
        <v>168.29</v>
      </c>
      <c r="M1170">
        <v>0.05</v>
      </c>
      <c r="N1170" t="s">
        <v>1351</v>
      </c>
      <c r="O1170" s="5">
        <v>159.87549999999999</v>
      </c>
    </row>
    <row r="1171" spans="1:15">
      <c r="A1171" t="s">
        <v>2520</v>
      </c>
      <c r="B1171" s="7">
        <v>45549</v>
      </c>
      <c r="C1171" t="s">
        <v>484</v>
      </c>
      <c r="D1171" t="s">
        <v>1107</v>
      </c>
      <c r="E1171" t="s">
        <v>1332</v>
      </c>
      <c r="F1171" t="str">
        <f>[1]Raw_Customer_Dim!$A$2</f>
        <v>CUST1000</v>
      </c>
      <c r="G1171" t="str">
        <f>_xlfn.XLOOKUP(E1171,Store_Dim!A:A,Store_Dim!B:B,"Not Found")</f>
        <v>Holloway Ltd</v>
      </c>
      <c r="H1171" t="str">
        <f>_xlfn.XLOOKUP(D1171,Product_Dim!A:A,Product_Dim!C:C,"Not Found")</f>
        <v>Sports</v>
      </c>
      <c r="I1171" t="str">
        <f>_xlfn.XLOOKUP(E1171,Store_Dim!A:A,Store_Dim!C:C,"Not Found")</f>
        <v>North</v>
      </c>
      <c r="J1171" t="str">
        <f>_xlfn.XLOOKUP(C1171,Customer_Dim!A:A,Customer_Dim!B:B,"Not Found")</f>
        <v>Rodney Huffman</v>
      </c>
      <c r="K1171">
        <f>Table511[[#This Row],[Total_Amount]]/(L1171*(1-Table511[[#This Row],[Discount]]))</f>
        <v>1</v>
      </c>
      <c r="L1171" s="5">
        <v>391.77</v>
      </c>
      <c r="M1171">
        <v>0.1</v>
      </c>
      <c r="N1171" t="s">
        <v>1351</v>
      </c>
      <c r="O1171" s="5">
        <v>352.59300000000002</v>
      </c>
    </row>
    <row r="1172" spans="1:15">
      <c r="A1172" t="s">
        <v>2521</v>
      </c>
      <c r="B1172" s="7">
        <v>45900</v>
      </c>
      <c r="C1172" t="s">
        <v>750</v>
      </c>
      <c r="D1172" t="s">
        <v>1097</v>
      </c>
      <c r="E1172" t="s">
        <v>1324</v>
      </c>
      <c r="F1172" t="str">
        <f>[1]Raw_Customer_Dim!$A$2</f>
        <v>CUST1000</v>
      </c>
      <c r="G1172" t="str">
        <f>_xlfn.XLOOKUP(E1172,Store_Dim!A:A,Store_Dim!B:B,"Not Found")</f>
        <v>Mcdonald Inc</v>
      </c>
      <c r="H1172" t="str">
        <f>_xlfn.XLOOKUP(D1172,Product_Dim!A:A,Product_Dim!C:C,"Not Found")</f>
        <v>Beauty</v>
      </c>
      <c r="I1172" t="str">
        <f>_xlfn.XLOOKUP(E1172,Store_Dim!A:A,Store_Dim!C:C,"Not Found")</f>
        <v>South</v>
      </c>
      <c r="J1172" t="str">
        <f>_xlfn.XLOOKUP(C1172,Customer_Dim!A:A,Customer_Dim!B:B,"Not Found")</f>
        <v>Ryan Moore</v>
      </c>
      <c r="K1172">
        <f>Table511[[#This Row],[Total_Amount]]/(L1172*(1-Table511[[#This Row],[Discount]]))</f>
        <v>1.0000000000000002</v>
      </c>
      <c r="L1172" s="5">
        <v>424.83</v>
      </c>
      <c r="M1172">
        <v>0.05</v>
      </c>
      <c r="N1172" t="s">
        <v>1354</v>
      </c>
      <c r="O1172" s="5">
        <v>403.58850000000001</v>
      </c>
    </row>
    <row r="1173" spans="1:15">
      <c r="A1173" t="s">
        <v>2522</v>
      </c>
      <c r="B1173" s="7">
        <v>45308</v>
      </c>
      <c r="C1173" t="s">
        <v>150</v>
      </c>
      <c r="D1173" t="s">
        <v>1095</v>
      </c>
      <c r="E1173" t="s">
        <v>1291</v>
      </c>
      <c r="F1173" t="str">
        <f>[1]Raw_Customer_Dim!$A$2</f>
        <v>CUST1000</v>
      </c>
      <c r="G1173" t="str">
        <f>_xlfn.XLOOKUP(E1173,Store_Dim!A:A,Store_Dim!B:B,"Not Found")</f>
        <v>Johnson-Wright</v>
      </c>
      <c r="H1173" t="str">
        <f>_xlfn.XLOOKUP(D1173,Product_Dim!A:A,Product_Dim!C:C,"Not Found")</f>
        <v>Electronics</v>
      </c>
      <c r="I1173" t="str">
        <f>_xlfn.XLOOKUP(E1173,Store_Dim!A:A,Store_Dim!C:C,"Not Found")</f>
        <v>North</v>
      </c>
      <c r="J1173" t="str">
        <f>_xlfn.XLOOKUP(C1173,Customer_Dim!A:A,Customer_Dim!B:B,"Not Found")</f>
        <v>Sharon Brown</v>
      </c>
      <c r="K1173">
        <f>Table511[[#This Row],[Total_Amount]]/(L1173*(1-Table511[[#This Row],[Discount]]))</f>
        <v>1</v>
      </c>
      <c r="L1173" s="5">
        <v>499.46</v>
      </c>
      <c r="M1173">
        <v>0.1</v>
      </c>
      <c r="N1173" t="s">
        <v>1349</v>
      </c>
      <c r="O1173" s="5">
        <v>449.51400000000001</v>
      </c>
    </row>
    <row r="1174" spans="1:15">
      <c r="A1174" t="s">
        <v>2523</v>
      </c>
      <c r="B1174" s="7">
        <v>45336</v>
      </c>
      <c r="C1174" t="s">
        <v>66</v>
      </c>
      <c r="D1174" t="s">
        <v>1271</v>
      </c>
      <c r="E1174" t="s">
        <v>1282</v>
      </c>
      <c r="F1174" t="str">
        <f>[1]Raw_Customer_Dim!$A$2</f>
        <v>CUST1000</v>
      </c>
      <c r="G1174" t="str">
        <f>_xlfn.XLOOKUP(E1174,Store_Dim!A:A,Store_Dim!B:B,"Not Found")</f>
        <v>Martinez, Adkins and Johnson</v>
      </c>
      <c r="H1174" t="str">
        <f>_xlfn.XLOOKUP(D1174,Product_Dim!A:A,Product_Dim!C:C,"Not Found")</f>
        <v>Home</v>
      </c>
      <c r="I1174" t="str">
        <f>_xlfn.XLOOKUP(E1174,Store_Dim!A:A,Store_Dim!C:C,"Not Found")</f>
        <v>North</v>
      </c>
      <c r="J1174" t="str">
        <f>_xlfn.XLOOKUP(C1174,Customer_Dim!A:A,Customer_Dim!B:B,"Not Found")</f>
        <v>Michael Torres</v>
      </c>
      <c r="K1174">
        <f>Table511[[#This Row],[Total_Amount]]/(L1174*(1-Table511[[#This Row],[Discount]]))</f>
        <v>2</v>
      </c>
      <c r="L1174" s="5">
        <v>698.34</v>
      </c>
      <c r="M1174">
        <v>0.15</v>
      </c>
      <c r="N1174" t="s">
        <v>1351</v>
      </c>
      <c r="O1174" s="5">
        <v>1187.1780000000001</v>
      </c>
    </row>
    <row r="1175" spans="1:15">
      <c r="A1175" t="s">
        <v>2524</v>
      </c>
      <c r="B1175" s="7">
        <v>45213</v>
      </c>
      <c r="C1175" t="s">
        <v>630</v>
      </c>
      <c r="D1175" t="s">
        <v>1185</v>
      </c>
      <c r="E1175" t="s">
        <v>1329</v>
      </c>
      <c r="F1175" t="str">
        <f>[1]Raw_Customer_Dim!$A$2</f>
        <v>CUST1000</v>
      </c>
      <c r="G1175" t="str">
        <f>_xlfn.XLOOKUP(E1175,Store_Dim!A:A,Store_Dim!B:B,"Not Found")</f>
        <v>Frederick-Wright</v>
      </c>
      <c r="H1175" t="str">
        <f>_xlfn.XLOOKUP(D1175,Product_Dim!A:A,Product_Dim!C:C,"Not Found")</f>
        <v>Home</v>
      </c>
      <c r="I1175" t="str">
        <f>_xlfn.XLOOKUP(E1175,Store_Dim!A:A,Store_Dim!C:C,"Not Found")</f>
        <v>West</v>
      </c>
      <c r="J1175" t="str">
        <f>_xlfn.XLOOKUP(C1175,Customer_Dim!A:A,Customer_Dim!B:B,"Not Found")</f>
        <v>Bryan Garcia</v>
      </c>
      <c r="K1175">
        <f>Table511[[#This Row],[Total_Amount]]/(L1175*(1-Table511[[#This Row],[Discount]]))</f>
        <v>2</v>
      </c>
      <c r="L1175" s="5">
        <v>805.08</v>
      </c>
      <c r="M1175">
        <v>0.27</v>
      </c>
      <c r="N1175" t="s">
        <v>1351</v>
      </c>
      <c r="O1175" s="5">
        <v>1175.4168</v>
      </c>
    </row>
    <row r="1176" spans="1:15">
      <c r="A1176" t="s">
        <v>2525</v>
      </c>
      <c r="B1176" s="7">
        <v>45742</v>
      </c>
      <c r="C1176" t="s">
        <v>994</v>
      </c>
      <c r="D1176" t="s">
        <v>1225</v>
      </c>
      <c r="E1176" t="s">
        <v>1286</v>
      </c>
      <c r="F1176" t="str">
        <f>[1]Raw_Customer_Dim!$A$2</f>
        <v>CUST1000</v>
      </c>
      <c r="G1176" t="str">
        <f>_xlfn.XLOOKUP(E1176,Store_Dim!A:A,Store_Dim!B:B,"Not Found")</f>
        <v>Black-Horn</v>
      </c>
      <c r="H1176" t="str">
        <f>_xlfn.XLOOKUP(D1176,Product_Dim!A:A,Product_Dim!C:C,"Not Found")</f>
        <v>Electronics</v>
      </c>
      <c r="I1176" t="str">
        <f>_xlfn.XLOOKUP(E1176,Store_Dim!A:A,Store_Dim!C:C,"Not Found")</f>
        <v>South</v>
      </c>
      <c r="J1176" t="str">
        <f>_xlfn.XLOOKUP(C1176,Customer_Dim!A:A,Customer_Dim!B:B,"Not Found")</f>
        <v>Cynthia Parrish</v>
      </c>
      <c r="K1176">
        <f>Table511[[#This Row],[Total_Amount]]/(L1176*(1-Table511[[#This Row],[Discount]]))</f>
        <v>4</v>
      </c>
      <c r="L1176" s="5">
        <v>934.79</v>
      </c>
      <c r="M1176">
        <v>0.08</v>
      </c>
      <c r="N1176" t="s">
        <v>1351</v>
      </c>
      <c r="O1176" s="5">
        <v>3440.0272</v>
      </c>
    </row>
    <row r="1177" spans="1:15">
      <c r="A1177" t="s">
        <v>2526</v>
      </c>
      <c r="B1177" s="7">
        <v>45932</v>
      </c>
      <c r="C1177" t="s">
        <v>66</v>
      </c>
      <c r="D1177" t="s">
        <v>1193</v>
      </c>
      <c r="E1177" t="s">
        <v>1282</v>
      </c>
      <c r="F1177" t="str">
        <f>[1]Raw_Customer_Dim!$A$2</f>
        <v>CUST1000</v>
      </c>
      <c r="G1177" t="str">
        <f>_xlfn.XLOOKUP(E1177,Store_Dim!A:A,Store_Dim!B:B,"Not Found")</f>
        <v>Martinez, Adkins and Johnson</v>
      </c>
      <c r="H1177" t="str">
        <f>_xlfn.XLOOKUP(D1177,Product_Dim!A:A,Product_Dim!C:C,"Not Found")</f>
        <v>Beauty</v>
      </c>
      <c r="I1177" t="str">
        <f>_xlfn.XLOOKUP(E1177,Store_Dim!A:A,Store_Dim!C:C,"Not Found")</f>
        <v>North</v>
      </c>
      <c r="J1177" t="str">
        <f>_xlfn.XLOOKUP(C1177,Customer_Dim!A:A,Customer_Dim!B:B,"Not Found")</f>
        <v>Michael Torres</v>
      </c>
      <c r="K1177">
        <f>Table511[[#This Row],[Total_Amount]]/(L1177*(1-Table511[[#This Row],[Discount]]))</f>
        <v>2</v>
      </c>
      <c r="L1177" s="5">
        <v>424.54</v>
      </c>
      <c r="M1177">
        <v>0.24</v>
      </c>
      <c r="N1177" t="s">
        <v>1351</v>
      </c>
      <c r="O1177" s="5">
        <v>645.30080000000009</v>
      </c>
    </row>
    <row r="1178" spans="1:15">
      <c r="A1178" t="s">
        <v>2527</v>
      </c>
      <c r="B1178" s="7">
        <v>45462</v>
      </c>
      <c r="C1178" t="s">
        <v>718</v>
      </c>
      <c r="D1178" t="s">
        <v>1241</v>
      </c>
      <c r="E1178" t="s">
        <v>1332</v>
      </c>
      <c r="F1178" t="str">
        <f>[1]Raw_Customer_Dim!$A$2</f>
        <v>CUST1000</v>
      </c>
      <c r="G1178" t="str">
        <f>_xlfn.XLOOKUP(E1178,Store_Dim!A:A,Store_Dim!B:B,"Not Found")</f>
        <v>Holloway Ltd</v>
      </c>
      <c r="H1178" t="str">
        <f>_xlfn.XLOOKUP(D1178,Product_Dim!A:A,Product_Dim!C:C,"Not Found")</f>
        <v>Home</v>
      </c>
      <c r="I1178" t="str">
        <f>_xlfn.XLOOKUP(E1178,Store_Dim!A:A,Store_Dim!C:C,"Not Found")</f>
        <v>North</v>
      </c>
      <c r="J1178" t="str">
        <f>_xlfn.XLOOKUP(C1178,Customer_Dim!A:A,Customer_Dim!B:B,"Not Found")</f>
        <v>Reginald Willis</v>
      </c>
      <c r="K1178">
        <f>Table511[[#This Row],[Total_Amount]]/(L1178*(1-Table511[[#This Row],[Discount]]))</f>
        <v>1</v>
      </c>
      <c r="L1178" s="5">
        <v>235.44</v>
      </c>
      <c r="M1178">
        <v>0.19</v>
      </c>
      <c r="N1178" t="s">
        <v>1354</v>
      </c>
      <c r="O1178" s="5">
        <v>190.7064</v>
      </c>
    </row>
    <row r="1179" spans="1:15">
      <c r="A1179" t="s">
        <v>2528</v>
      </c>
      <c r="B1179" s="7">
        <v>45568</v>
      </c>
      <c r="C1179" t="s">
        <v>606</v>
      </c>
      <c r="D1179" t="s">
        <v>1171</v>
      </c>
      <c r="E1179" t="s">
        <v>1322</v>
      </c>
      <c r="F1179" t="str">
        <f>[1]Raw_Customer_Dim!$A$2</f>
        <v>CUST1000</v>
      </c>
      <c r="G1179" t="str">
        <f>_xlfn.XLOOKUP(E1179,Store_Dim!A:A,Store_Dim!B:B,"Not Found")</f>
        <v>Gardner, Humphrey and Contreras</v>
      </c>
      <c r="H1179" t="str">
        <f>_xlfn.XLOOKUP(D1179,Product_Dim!A:A,Product_Dim!C:C,"Not Found")</f>
        <v>Beauty</v>
      </c>
      <c r="I1179" t="str">
        <f>_xlfn.XLOOKUP(E1179,Store_Dim!A:A,Store_Dim!C:C,"Not Found")</f>
        <v>East</v>
      </c>
      <c r="J1179" t="str">
        <f>_xlfn.XLOOKUP(C1179,Customer_Dim!A:A,Customer_Dim!B:B,"Not Found")</f>
        <v>Daisy Johnson DDS</v>
      </c>
      <c r="K1179">
        <f>Table511[[#This Row],[Total_Amount]]/(L1179*(1-Table511[[#This Row],[Discount]]))</f>
        <v>2</v>
      </c>
      <c r="L1179" s="5">
        <v>620.71</v>
      </c>
      <c r="M1179">
        <v>0.27</v>
      </c>
      <c r="N1179" t="s">
        <v>1349</v>
      </c>
      <c r="O1179" s="5">
        <v>906.23660000000007</v>
      </c>
    </row>
    <row r="1180" spans="1:15">
      <c r="A1180" t="s">
        <v>2529</v>
      </c>
      <c r="B1180" s="7">
        <v>45397</v>
      </c>
      <c r="C1180" t="s">
        <v>290</v>
      </c>
      <c r="D1180" t="s">
        <v>1105</v>
      </c>
      <c r="E1180" t="s">
        <v>1317</v>
      </c>
      <c r="F1180" t="str">
        <f>[1]Raw_Customer_Dim!$A$2</f>
        <v>CUST1000</v>
      </c>
      <c r="G1180" t="str">
        <f>_xlfn.XLOOKUP(E1180,Store_Dim!A:A,Store_Dim!B:B,"Not Found")</f>
        <v>Aguirre-Keller</v>
      </c>
      <c r="H1180" t="str">
        <f>_xlfn.XLOOKUP(D1180,Product_Dim!A:A,Product_Dim!C:C,"Not Found")</f>
        <v>Not Found</v>
      </c>
      <c r="I1180" t="str">
        <f>_xlfn.XLOOKUP(E1180,Store_Dim!A:A,Store_Dim!C:C,"Not Found")</f>
        <v>South</v>
      </c>
      <c r="J1180" t="str">
        <f>_xlfn.XLOOKUP(C1180,Customer_Dim!A:A,Customer_Dim!B:B,"Not Found")</f>
        <v>Tyler Conrad</v>
      </c>
      <c r="K1180">
        <f>Table511[[#This Row],[Total_Amount]]/(L1180*(1-Table511[[#This Row],[Discount]]))</f>
        <v>2</v>
      </c>
      <c r="L1180" s="5">
        <v>851.77</v>
      </c>
      <c r="M1180">
        <v>0.13</v>
      </c>
      <c r="N1180" t="s">
        <v>1351</v>
      </c>
      <c r="O1180" s="5">
        <v>1482.0798</v>
      </c>
    </row>
    <row r="1181" spans="1:15">
      <c r="A1181" t="s">
        <v>2530</v>
      </c>
      <c r="B1181" s="7">
        <v>45569</v>
      </c>
      <c r="C1181" t="s">
        <v>397</v>
      </c>
      <c r="D1181" t="s">
        <v>1163</v>
      </c>
      <c r="E1181" t="s">
        <v>1282</v>
      </c>
      <c r="F1181" t="str">
        <f>[1]Raw_Customer_Dim!$A$2</f>
        <v>CUST1000</v>
      </c>
      <c r="G1181" t="str">
        <f>_xlfn.XLOOKUP(E1181,Store_Dim!A:A,Store_Dim!B:B,"Not Found")</f>
        <v>Martinez, Adkins and Johnson</v>
      </c>
      <c r="H1181" t="str">
        <f>_xlfn.XLOOKUP(D1181,Product_Dim!A:A,Product_Dim!C:C,"Not Found")</f>
        <v>Sports</v>
      </c>
      <c r="I1181" t="str">
        <f>_xlfn.XLOOKUP(E1181,Store_Dim!A:A,Store_Dim!C:C,"Not Found")</f>
        <v>North</v>
      </c>
      <c r="J1181" t="str">
        <f>_xlfn.XLOOKUP(C1181,Customer_Dim!A:A,Customer_Dim!B:B,"Not Found")</f>
        <v>Daniel Contreras</v>
      </c>
      <c r="K1181">
        <f>Table511[[#This Row],[Total_Amount]]/(L1181*(1-Table511[[#This Row],[Discount]]))</f>
        <v>3</v>
      </c>
      <c r="L1181" s="5">
        <v>876.01</v>
      </c>
      <c r="M1181">
        <v>0.2</v>
      </c>
      <c r="N1181" t="s">
        <v>1349</v>
      </c>
      <c r="O1181" s="5">
        <v>2102.424</v>
      </c>
    </row>
    <row r="1182" spans="1:15">
      <c r="A1182" t="s">
        <v>2531</v>
      </c>
      <c r="B1182" s="7">
        <v>45353</v>
      </c>
      <c r="C1182" t="s">
        <v>616</v>
      </c>
      <c r="D1182" t="s">
        <v>1127</v>
      </c>
      <c r="E1182" t="s">
        <v>1311</v>
      </c>
      <c r="F1182" t="str">
        <f>[1]Raw_Customer_Dim!$A$2</f>
        <v>CUST1000</v>
      </c>
      <c r="G1182" t="str">
        <f>_xlfn.XLOOKUP(E1182,Store_Dim!A:A,Store_Dim!B:B,"Not Found")</f>
        <v>Moore, Padilla and Butler</v>
      </c>
      <c r="H1182" t="str">
        <f>_xlfn.XLOOKUP(D1182,Product_Dim!A:A,Product_Dim!C:C,"Not Found")</f>
        <v>Home</v>
      </c>
      <c r="I1182" t="str">
        <f>_xlfn.XLOOKUP(E1182,Store_Dim!A:A,Store_Dim!C:C,"Not Found")</f>
        <v>South</v>
      </c>
      <c r="J1182" t="str">
        <f>_xlfn.XLOOKUP(C1182,Customer_Dim!A:A,Customer_Dim!B:B,"Not Found")</f>
        <v>Arthur Warren</v>
      </c>
      <c r="K1182">
        <f>Table511[[#This Row],[Total_Amount]]/(L1182*(1-Table511[[#This Row],[Discount]]))</f>
        <v>2</v>
      </c>
      <c r="L1182" s="5">
        <v>717.21</v>
      </c>
      <c r="M1182">
        <v>0.15</v>
      </c>
      <c r="N1182" t="s">
        <v>1354</v>
      </c>
      <c r="O1182" s="5">
        <v>1219.2570000000001</v>
      </c>
    </row>
    <row r="1183" spans="1:15">
      <c r="A1183" t="s">
        <v>2532</v>
      </c>
      <c r="B1183" s="7">
        <v>45343</v>
      </c>
      <c r="C1183" t="s">
        <v>157</v>
      </c>
      <c r="D1183" t="s">
        <v>1155</v>
      </c>
      <c r="E1183" t="s">
        <v>1307</v>
      </c>
      <c r="F1183" t="str">
        <f>[1]Raw_Customer_Dim!$A$2</f>
        <v>CUST1000</v>
      </c>
      <c r="G1183" t="str">
        <f>_xlfn.XLOOKUP(E1183,Store_Dim!A:A,Store_Dim!B:B,"Not Found")</f>
        <v>Bean, Jones and Park</v>
      </c>
      <c r="H1183" t="str">
        <f>_xlfn.XLOOKUP(D1183,Product_Dim!A:A,Product_Dim!C:C,"Not Found")</f>
        <v>Sports</v>
      </c>
      <c r="I1183" t="str">
        <f>_xlfn.XLOOKUP(E1183,Store_Dim!A:A,Store_Dim!C:C,"Not Found")</f>
        <v>West</v>
      </c>
      <c r="J1183" t="str">
        <f>_xlfn.XLOOKUP(C1183,Customer_Dim!A:A,Customer_Dim!B:B,"Not Found")</f>
        <v>Christopher Sutton</v>
      </c>
      <c r="K1183">
        <f>Table511[[#This Row],[Total_Amount]]/(L1183*(1-Table511[[#This Row],[Discount]]))</f>
        <v>2.0000000000000004</v>
      </c>
      <c r="L1183" s="5">
        <v>871.43</v>
      </c>
      <c r="M1183">
        <v>0.05</v>
      </c>
      <c r="N1183" t="s">
        <v>1349</v>
      </c>
      <c r="O1183" s="5">
        <v>1655.7170000000001</v>
      </c>
    </row>
    <row r="1184" spans="1:15">
      <c r="A1184" t="s">
        <v>2533</v>
      </c>
      <c r="B1184" s="7">
        <v>45321</v>
      </c>
      <c r="C1184" t="s">
        <v>969</v>
      </c>
      <c r="D1184" t="s">
        <v>1145</v>
      </c>
      <c r="E1184" t="s">
        <v>1304</v>
      </c>
      <c r="F1184" t="str">
        <f>[1]Raw_Customer_Dim!$A$2</f>
        <v>CUST1000</v>
      </c>
      <c r="G1184" t="str">
        <f>_xlfn.XLOOKUP(E1184,Store_Dim!A:A,Store_Dim!B:B,"Not Found")</f>
        <v>Martinez-Mullins</v>
      </c>
      <c r="H1184" t="str">
        <f>_xlfn.XLOOKUP(D1184,Product_Dim!A:A,Product_Dim!C:C,"Not Found")</f>
        <v>Clothing</v>
      </c>
      <c r="I1184" t="str">
        <f>_xlfn.XLOOKUP(E1184,Store_Dim!A:A,Store_Dim!C:C,"Not Found")</f>
        <v>South</v>
      </c>
      <c r="J1184" t="str">
        <f>_xlfn.XLOOKUP(C1184,Customer_Dim!A:A,Customer_Dim!B:B,"Not Found")</f>
        <v>April Phillips</v>
      </c>
      <c r="K1184">
        <f>Table511[[#This Row],[Total_Amount]]/(L1184*(1-Table511[[#This Row],[Discount]]))</f>
        <v>0.99999999999999989</v>
      </c>
      <c r="L1184" s="5">
        <v>514.65</v>
      </c>
      <c r="M1184">
        <v>0.18</v>
      </c>
      <c r="N1184" t="s">
        <v>1349</v>
      </c>
      <c r="O1184" s="5">
        <v>422.01299999999998</v>
      </c>
    </row>
    <row r="1185" spans="1:15">
      <c r="A1185" t="s">
        <v>2534</v>
      </c>
      <c r="B1185" s="7">
        <v>45650</v>
      </c>
      <c r="C1185" t="s">
        <v>981</v>
      </c>
      <c r="D1185" t="s">
        <v>1197</v>
      </c>
      <c r="E1185" t="s">
        <v>1329</v>
      </c>
      <c r="F1185" t="str">
        <f>[1]Raw_Customer_Dim!$A$2</f>
        <v>CUST1000</v>
      </c>
      <c r="G1185" t="str">
        <f>_xlfn.XLOOKUP(E1185,Store_Dim!A:A,Store_Dim!B:B,"Not Found")</f>
        <v>Frederick-Wright</v>
      </c>
      <c r="H1185" t="str">
        <f>_xlfn.XLOOKUP(D1185,Product_Dim!A:A,Product_Dim!C:C,"Not Found")</f>
        <v>Electronics</v>
      </c>
      <c r="I1185" t="str">
        <f>_xlfn.XLOOKUP(E1185,Store_Dim!A:A,Store_Dim!C:C,"Not Found")</f>
        <v>West</v>
      </c>
      <c r="J1185" t="str">
        <f>_xlfn.XLOOKUP(C1185,Customer_Dim!A:A,Customer_Dim!B:B,"Not Found")</f>
        <v>John Perez</v>
      </c>
      <c r="K1185">
        <f>Table511[[#This Row],[Total_Amount]]/(L1185*(1-Table511[[#This Row],[Discount]]))</f>
        <v>3.0000000000000004</v>
      </c>
      <c r="L1185" s="5">
        <v>198.76</v>
      </c>
      <c r="M1185">
        <v>0.28000000000000003</v>
      </c>
      <c r="N1185" t="s">
        <v>1354</v>
      </c>
      <c r="O1185" s="5">
        <v>429.32159999999999</v>
      </c>
    </row>
    <row r="1186" spans="1:15">
      <c r="A1186" t="s">
        <v>2535</v>
      </c>
      <c r="B1186" s="7">
        <v>45811</v>
      </c>
      <c r="C1186" t="s">
        <v>513</v>
      </c>
      <c r="D1186" t="s">
        <v>1199</v>
      </c>
      <c r="E1186" t="s">
        <v>1291</v>
      </c>
      <c r="F1186" t="str">
        <f>[1]Raw_Customer_Dim!$A$2</f>
        <v>CUST1000</v>
      </c>
      <c r="G1186" t="str">
        <f>_xlfn.XLOOKUP(E1186,Store_Dim!A:A,Store_Dim!B:B,"Not Found")</f>
        <v>Johnson-Wright</v>
      </c>
      <c r="H1186" t="str">
        <f>_xlfn.XLOOKUP(D1186,Product_Dim!A:A,Product_Dim!C:C,"Not Found")</f>
        <v>Beauty</v>
      </c>
      <c r="I1186" t="str">
        <f>_xlfn.XLOOKUP(E1186,Store_Dim!A:A,Store_Dim!C:C,"Not Found")</f>
        <v>North</v>
      </c>
      <c r="J1186" t="str">
        <f>_xlfn.XLOOKUP(C1186,Customer_Dim!A:A,Customer_Dim!B:B,"Not Found")</f>
        <v>Elizabeth Stanley</v>
      </c>
      <c r="K1186">
        <f>Table511[[#This Row],[Total_Amount]]/(L1186*(1-Table511[[#This Row],[Discount]]))</f>
        <v>2</v>
      </c>
      <c r="L1186" s="5">
        <v>975.72</v>
      </c>
      <c r="M1186">
        <v>0.16</v>
      </c>
      <c r="N1186" t="s">
        <v>1354</v>
      </c>
      <c r="O1186" s="5">
        <v>1639.2095999999999</v>
      </c>
    </row>
    <row r="1187" spans="1:15">
      <c r="A1187" t="s">
        <v>2536</v>
      </c>
      <c r="B1187" s="7">
        <v>45505</v>
      </c>
      <c r="C1187" t="s">
        <v>903</v>
      </c>
      <c r="D1187" t="s">
        <v>1103</v>
      </c>
      <c r="E1187" t="s">
        <v>1282</v>
      </c>
      <c r="F1187" t="str">
        <f>[1]Raw_Customer_Dim!$A$2</f>
        <v>CUST1000</v>
      </c>
      <c r="G1187" t="str">
        <f>_xlfn.XLOOKUP(E1187,Store_Dim!A:A,Store_Dim!B:B,"Not Found")</f>
        <v>Martinez, Adkins and Johnson</v>
      </c>
      <c r="H1187" t="str">
        <f>_xlfn.XLOOKUP(D1187,Product_Dim!A:A,Product_Dim!C:C,"Not Found")</f>
        <v>Electronics</v>
      </c>
      <c r="I1187" t="str">
        <f>_xlfn.XLOOKUP(E1187,Store_Dim!A:A,Store_Dim!C:C,"Not Found")</f>
        <v>North</v>
      </c>
      <c r="J1187" t="str">
        <f>_xlfn.XLOOKUP(C1187,Customer_Dim!A:A,Customer_Dim!B:B,"Not Found")</f>
        <v>Dr. Tamara White MD</v>
      </c>
      <c r="K1187">
        <f>Table511[[#This Row],[Total_Amount]]/(L1187*(1-Table511[[#This Row],[Discount]]))</f>
        <v>1</v>
      </c>
      <c r="L1187" s="5">
        <v>86.03</v>
      </c>
      <c r="M1187">
        <v>0.01</v>
      </c>
      <c r="N1187" t="s">
        <v>1349</v>
      </c>
      <c r="O1187" s="5">
        <v>85.169700000000006</v>
      </c>
    </row>
    <row r="1188" spans="1:15">
      <c r="A1188" t="s">
        <v>2537</v>
      </c>
      <c r="B1188" s="7">
        <v>45897</v>
      </c>
      <c r="C1188" t="s">
        <v>229</v>
      </c>
      <c r="D1188" t="s">
        <v>1181</v>
      </c>
      <c r="E1188" t="s">
        <v>1319</v>
      </c>
      <c r="F1188" t="str">
        <f>[1]Raw_Customer_Dim!$A$2</f>
        <v>CUST1000</v>
      </c>
      <c r="G1188" t="str">
        <f>_xlfn.XLOOKUP(E1188,Store_Dim!A:A,Store_Dim!B:B,"Not Found")</f>
        <v>Thomas, Bridges and Harris</v>
      </c>
      <c r="H1188" t="str">
        <f>_xlfn.XLOOKUP(D1188,Product_Dim!A:A,Product_Dim!C:C,"Not Found")</f>
        <v>Sports</v>
      </c>
      <c r="I1188" t="str">
        <f>_xlfn.XLOOKUP(E1188,Store_Dim!A:A,Store_Dim!C:C,"Not Found")</f>
        <v>North</v>
      </c>
      <c r="J1188" t="str">
        <f>_xlfn.XLOOKUP(C1188,Customer_Dim!A:A,Customer_Dim!B:B,"Not Found")</f>
        <v>Melissa Duffy MD</v>
      </c>
      <c r="K1188">
        <f>Table511[[#This Row],[Total_Amount]]/(L1188*(1-Table511[[#This Row],[Discount]]))</f>
        <v>4</v>
      </c>
      <c r="L1188" s="5">
        <v>705.12</v>
      </c>
      <c r="M1188">
        <v>0.15</v>
      </c>
      <c r="N1188" t="s">
        <v>1351</v>
      </c>
      <c r="O1188" s="5">
        <v>2397.4079999999999</v>
      </c>
    </row>
    <row r="1189" spans="1:15">
      <c r="A1189" t="s">
        <v>2538</v>
      </c>
      <c r="B1189" s="7">
        <v>45602</v>
      </c>
      <c r="C1189" t="s">
        <v>805</v>
      </c>
      <c r="D1189" t="s">
        <v>1109</v>
      </c>
      <c r="E1189" t="s">
        <v>1319</v>
      </c>
      <c r="F1189" t="str">
        <f>[1]Raw_Customer_Dim!$A$2</f>
        <v>CUST1000</v>
      </c>
      <c r="G1189" t="str">
        <f>_xlfn.XLOOKUP(E1189,Store_Dim!A:A,Store_Dim!B:B,"Not Found")</f>
        <v>Thomas, Bridges and Harris</v>
      </c>
      <c r="H1189" t="str">
        <f>_xlfn.XLOOKUP(D1189,Product_Dim!A:A,Product_Dim!C:C,"Not Found")</f>
        <v>Clothing</v>
      </c>
      <c r="I1189" t="str">
        <f>_xlfn.XLOOKUP(E1189,Store_Dim!A:A,Store_Dim!C:C,"Not Found")</f>
        <v>North</v>
      </c>
      <c r="J1189" t="str">
        <f>_xlfn.XLOOKUP(C1189,Customer_Dim!A:A,Customer_Dim!B:B,"Not Found")</f>
        <v>Michael Garner</v>
      </c>
      <c r="K1189">
        <f>Table511[[#This Row],[Total_Amount]]/(L1189*(1-Table511[[#This Row],[Discount]]))</f>
        <v>2.9999999999999996</v>
      </c>
      <c r="L1189" s="5">
        <v>99.77</v>
      </c>
      <c r="M1189">
        <v>0.01</v>
      </c>
      <c r="N1189" t="s">
        <v>1351</v>
      </c>
      <c r="O1189" s="5">
        <v>296.31689999999998</v>
      </c>
    </row>
    <row r="1190" spans="1:15">
      <c r="A1190" t="s">
        <v>2539</v>
      </c>
      <c r="B1190" s="7">
        <v>45530</v>
      </c>
      <c r="C1190" t="s">
        <v>480</v>
      </c>
      <c r="D1190" t="s">
        <v>1141</v>
      </c>
      <c r="E1190" t="s">
        <v>1311</v>
      </c>
      <c r="F1190" t="str">
        <f>[1]Raw_Customer_Dim!$A$2</f>
        <v>CUST1000</v>
      </c>
      <c r="G1190" t="str">
        <f>_xlfn.XLOOKUP(E1190,Store_Dim!A:A,Store_Dim!B:B,"Not Found")</f>
        <v>Moore, Padilla and Butler</v>
      </c>
      <c r="H1190" t="str">
        <f>_xlfn.XLOOKUP(D1190,Product_Dim!A:A,Product_Dim!C:C,"Not Found")</f>
        <v>Electronics</v>
      </c>
      <c r="I1190" t="str">
        <f>_xlfn.XLOOKUP(E1190,Store_Dim!A:A,Store_Dim!C:C,"Not Found")</f>
        <v>South</v>
      </c>
      <c r="J1190" t="str">
        <f>_xlfn.XLOOKUP(C1190,Customer_Dim!A:A,Customer_Dim!B:B,"Not Found")</f>
        <v>Joan Johnson</v>
      </c>
      <c r="K1190">
        <f>Table511[[#This Row],[Total_Amount]]/(L1190*(1-Table511[[#This Row],[Discount]]))</f>
        <v>2</v>
      </c>
      <c r="L1190" s="5">
        <v>166.26</v>
      </c>
      <c r="M1190">
        <v>0.14000000000000001</v>
      </c>
      <c r="N1190" t="s">
        <v>1351</v>
      </c>
      <c r="O1190" s="5">
        <v>285.96719999999999</v>
      </c>
    </row>
    <row r="1191" spans="1:15">
      <c r="A1191" t="s">
        <v>2540</v>
      </c>
      <c r="B1191" s="7">
        <v>45729</v>
      </c>
      <c r="C1191" t="s">
        <v>981</v>
      </c>
      <c r="D1191" t="s">
        <v>1125</v>
      </c>
      <c r="E1191" t="s">
        <v>1298</v>
      </c>
      <c r="F1191" t="str">
        <f>[1]Raw_Customer_Dim!$A$2</f>
        <v>CUST1000</v>
      </c>
      <c r="G1191" t="str">
        <f>_xlfn.XLOOKUP(E1191,Store_Dim!A:A,Store_Dim!B:B,"Not Found")</f>
        <v>Gray Ltd</v>
      </c>
      <c r="H1191" t="str">
        <f>_xlfn.XLOOKUP(D1191,Product_Dim!A:A,Product_Dim!C:C,"Not Found")</f>
        <v>Electronics</v>
      </c>
      <c r="I1191" t="str">
        <f>_xlfn.XLOOKUP(E1191,Store_Dim!A:A,Store_Dim!C:C,"Not Found")</f>
        <v>North</v>
      </c>
      <c r="J1191" t="str">
        <f>_xlfn.XLOOKUP(C1191,Customer_Dim!A:A,Customer_Dim!B:B,"Not Found")</f>
        <v>John Perez</v>
      </c>
      <c r="K1191">
        <f>Table511[[#This Row],[Total_Amount]]/(L1191*(1-Table511[[#This Row],[Discount]]))</f>
        <v>1</v>
      </c>
      <c r="L1191" s="5">
        <v>429.25</v>
      </c>
      <c r="M1191">
        <v>0.28999999999999998</v>
      </c>
      <c r="N1191" t="s">
        <v>1349</v>
      </c>
      <c r="O1191" s="5">
        <v>304.76749999999998</v>
      </c>
    </row>
    <row r="1192" spans="1:15">
      <c r="A1192" t="s">
        <v>2541</v>
      </c>
      <c r="B1192" s="7">
        <v>45468</v>
      </c>
      <c r="C1192" t="s">
        <v>949</v>
      </c>
      <c r="D1192" t="s">
        <v>1068</v>
      </c>
      <c r="E1192" t="s">
        <v>1311</v>
      </c>
      <c r="F1192" t="str">
        <f>[1]Raw_Customer_Dim!$A$2</f>
        <v>CUST1000</v>
      </c>
      <c r="G1192" t="str">
        <f>_xlfn.XLOOKUP(E1192,Store_Dim!A:A,Store_Dim!B:B,"Not Found")</f>
        <v>Moore, Padilla and Butler</v>
      </c>
      <c r="H1192" t="str">
        <f>_xlfn.XLOOKUP(D1192,Product_Dim!A:A,Product_Dim!C:C,"Not Found")</f>
        <v>Electronics</v>
      </c>
      <c r="I1192" t="str">
        <f>_xlfn.XLOOKUP(E1192,Store_Dim!A:A,Store_Dim!C:C,"Not Found")</f>
        <v>South</v>
      </c>
      <c r="J1192" t="str">
        <f>_xlfn.XLOOKUP(C1192,Customer_Dim!A:A,Customer_Dim!B:B,"Not Found")</f>
        <v>Adam Castro</v>
      </c>
      <c r="K1192">
        <f>Table511[[#This Row],[Total_Amount]]/(L1192*(1-Table511[[#This Row],[Discount]]))</f>
        <v>2</v>
      </c>
      <c r="L1192" s="5">
        <v>540.48</v>
      </c>
      <c r="M1192">
        <v>0.28999999999999998</v>
      </c>
      <c r="N1192" t="s">
        <v>1349</v>
      </c>
      <c r="O1192" s="5">
        <v>767.48159999999996</v>
      </c>
    </row>
    <row r="1193" spans="1:15">
      <c r="A1193" t="s">
        <v>2542</v>
      </c>
      <c r="B1193" s="7">
        <v>45936</v>
      </c>
      <c r="C1193" t="s">
        <v>602</v>
      </c>
      <c r="D1193" t="s">
        <v>1191</v>
      </c>
      <c r="E1193" t="s">
        <v>1324</v>
      </c>
      <c r="F1193" t="str">
        <f>[1]Raw_Customer_Dim!$A$2</f>
        <v>CUST1000</v>
      </c>
      <c r="G1193" t="str">
        <f>_xlfn.XLOOKUP(E1193,Store_Dim!A:A,Store_Dim!B:B,"Not Found")</f>
        <v>Mcdonald Inc</v>
      </c>
      <c r="H1193" t="str">
        <f>_xlfn.XLOOKUP(D1193,Product_Dim!A:A,Product_Dim!C:C,"Not Found")</f>
        <v>Beauty</v>
      </c>
      <c r="I1193" t="str">
        <f>_xlfn.XLOOKUP(E1193,Store_Dim!A:A,Store_Dim!C:C,"Not Found")</f>
        <v>South</v>
      </c>
      <c r="J1193" t="str">
        <f>_xlfn.XLOOKUP(C1193,Customer_Dim!A:A,Customer_Dim!B:B,"Not Found")</f>
        <v>Tyrone Olson</v>
      </c>
      <c r="K1193">
        <f>Table511[[#This Row],[Total_Amount]]/(L1193*(1-Table511[[#This Row],[Discount]]))</f>
        <v>2</v>
      </c>
      <c r="L1193" s="5">
        <v>579.52</v>
      </c>
      <c r="M1193">
        <v>0.01</v>
      </c>
      <c r="N1193" t="s">
        <v>1351</v>
      </c>
      <c r="O1193" s="5">
        <v>1147.4495999999999</v>
      </c>
    </row>
    <row r="1194" spans="1:15">
      <c r="A1194" t="s">
        <v>2543</v>
      </c>
      <c r="B1194" s="7">
        <v>45622</v>
      </c>
      <c r="C1194" t="s">
        <v>84</v>
      </c>
      <c r="D1194" t="s">
        <v>1211</v>
      </c>
      <c r="E1194" t="s">
        <v>1332</v>
      </c>
      <c r="F1194" t="str">
        <f>[1]Raw_Customer_Dim!$A$2</f>
        <v>CUST1000</v>
      </c>
      <c r="G1194" t="str">
        <f>_xlfn.XLOOKUP(E1194,Store_Dim!A:A,Store_Dim!B:B,"Not Found")</f>
        <v>Holloway Ltd</v>
      </c>
      <c r="H1194" t="str">
        <f>_xlfn.XLOOKUP(D1194,Product_Dim!A:A,Product_Dim!C:C,"Not Found")</f>
        <v>Clothing</v>
      </c>
      <c r="I1194" t="str">
        <f>_xlfn.XLOOKUP(E1194,Store_Dim!A:A,Store_Dim!C:C,"Not Found")</f>
        <v>North</v>
      </c>
      <c r="J1194" t="str">
        <f>_xlfn.XLOOKUP(C1194,Customer_Dim!A:A,Customer_Dim!B:B,"Not Found")</f>
        <v>Amber Carlson</v>
      </c>
      <c r="K1194">
        <f>Table511[[#This Row],[Total_Amount]]/(L1194*(1-Table511[[#This Row],[Discount]]))</f>
        <v>4</v>
      </c>
      <c r="L1194" s="5">
        <v>477.52</v>
      </c>
      <c r="M1194">
        <v>7.0000000000000007E-2</v>
      </c>
      <c r="N1194" t="s">
        <v>1351</v>
      </c>
      <c r="O1194" s="5">
        <v>1776.3743999999999</v>
      </c>
    </row>
    <row r="1195" spans="1:15">
      <c r="A1195" t="s">
        <v>2544</v>
      </c>
      <c r="B1195" s="7">
        <v>45705</v>
      </c>
      <c r="C1195" t="s">
        <v>581</v>
      </c>
      <c r="D1195" t="s">
        <v>1255</v>
      </c>
      <c r="E1195" t="s">
        <v>1301</v>
      </c>
      <c r="F1195" t="str">
        <f>[1]Raw_Customer_Dim!$A$2</f>
        <v>CUST1000</v>
      </c>
      <c r="G1195" t="str">
        <f>_xlfn.XLOOKUP(E1195,Store_Dim!A:A,Store_Dim!B:B,"Not Found")</f>
        <v>Benson-Elliott</v>
      </c>
      <c r="H1195" t="str">
        <f>_xlfn.XLOOKUP(D1195,Product_Dim!A:A,Product_Dim!C:C,"Not Found")</f>
        <v>Clothing</v>
      </c>
      <c r="I1195" t="str">
        <f>_xlfn.XLOOKUP(E1195,Store_Dim!A:A,Store_Dim!C:C,"Not Found")</f>
        <v>East</v>
      </c>
      <c r="J1195" t="str">
        <f>_xlfn.XLOOKUP(C1195,Customer_Dim!A:A,Customer_Dim!B:B,"Not Found")</f>
        <v>Beth Allen</v>
      </c>
      <c r="K1195">
        <f>Table511[[#This Row],[Total_Amount]]/(L1195*(1-Table511[[#This Row],[Discount]]))</f>
        <v>3.0000000000000004</v>
      </c>
      <c r="L1195" s="5">
        <v>242.58</v>
      </c>
      <c r="M1195">
        <v>0.25</v>
      </c>
      <c r="N1195" t="s">
        <v>1349</v>
      </c>
      <c r="O1195" s="5">
        <v>545.80500000000006</v>
      </c>
    </row>
    <row r="1196" spans="1:15">
      <c r="A1196" t="s">
        <v>2545</v>
      </c>
      <c r="B1196" s="7">
        <v>45250</v>
      </c>
      <c r="C1196" t="s">
        <v>797</v>
      </c>
      <c r="D1196" t="s">
        <v>1125</v>
      </c>
      <c r="E1196" t="s">
        <v>1332</v>
      </c>
      <c r="F1196" t="str">
        <f>[1]Raw_Customer_Dim!$A$2</f>
        <v>CUST1000</v>
      </c>
      <c r="G1196" t="str">
        <f>_xlfn.XLOOKUP(E1196,Store_Dim!A:A,Store_Dim!B:B,"Not Found")</f>
        <v>Holloway Ltd</v>
      </c>
      <c r="H1196" t="str">
        <f>_xlfn.XLOOKUP(D1196,Product_Dim!A:A,Product_Dim!C:C,"Not Found")</f>
        <v>Electronics</v>
      </c>
      <c r="I1196" t="str">
        <f>_xlfn.XLOOKUP(E1196,Store_Dim!A:A,Store_Dim!C:C,"Not Found")</f>
        <v>North</v>
      </c>
      <c r="J1196" t="str">
        <f>_xlfn.XLOOKUP(C1196,Customer_Dim!A:A,Customer_Dim!B:B,"Not Found")</f>
        <v>Melinda Johnson</v>
      </c>
      <c r="K1196">
        <f>Table511[[#This Row],[Total_Amount]]/(L1196*(1-Table511[[#This Row],[Discount]]))</f>
        <v>2</v>
      </c>
      <c r="L1196" s="5">
        <v>519.29999999999995</v>
      </c>
      <c r="M1196">
        <v>0.09</v>
      </c>
      <c r="N1196" t="s">
        <v>1351</v>
      </c>
      <c r="O1196" s="5">
        <v>945.12599999999998</v>
      </c>
    </row>
    <row r="1197" spans="1:15">
      <c r="A1197" t="s">
        <v>2546</v>
      </c>
      <c r="B1197" s="7">
        <v>45684</v>
      </c>
      <c r="C1197" t="s">
        <v>1043</v>
      </c>
      <c r="D1197" t="s">
        <v>1261</v>
      </c>
      <c r="E1197" t="s">
        <v>1317</v>
      </c>
      <c r="F1197" t="str">
        <f>[1]Raw_Customer_Dim!$A$2</f>
        <v>CUST1000</v>
      </c>
      <c r="G1197" t="str">
        <f>_xlfn.XLOOKUP(E1197,Store_Dim!A:A,Store_Dim!B:B,"Not Found")</f>
        <v>Aguirre-Keller</v>
      </c>
      <c r="H1197" t="str">
        <f>_xlfn.XLOOKUP(D1197,Product_Dim!A:A,Product_Dim!C:C,"Not Found")</f>
        <v>Beauty</v>
      </c>
      <c r="I1197" t="str">
        <f>_xlfn.XLOOKUP(E1197,Store_Dim!A:A,Store_Dim!C:C,"Not Found")</f>
        <v>South</v>
      </c>
      <c r="J1197" t="str">
        <f>_xlfn.XLOOKUP(C1197,Customer_Dim!A:A,Customer_Dim!B:B,"Not Found")</f>
        <v>Not Found</v>
      </c>
      <c r="K1197">
        <f>Table511[[#This Row],[Total_Amount]]/(L1197*(1-Table511[[#This Row],[Discount]]))</f>
        <v>3.0000000000000004</v>
      </c>
      <c r="L1197" s="5">
        <v>845.67</v>
      </c>
      <c r="M1197">
        <v>0.12</v>
      </c>
      <c r="N1197" t="s">
        <v>1354</v>
      </c>
      <c r="O1197" s="5">
        <v>2232.5688</v>
      </c>
    </row>
    <row r="1198" spans="1:15">
      <c r="A1198" t="s">
        <v>2547</v>
      </c>
      <c r="B1198" s="7">
        <v>45395</v>
      </c>
      <c r="C1198" t="s">
        <v>674</v>
      </c>
      <c r="D1198" t="s">
        <v>1183</v>
      </c>
      <c r="E1198" t="s">
        <v>1329</v>
      </c>
      <c r="F1198" t="str">
        <f>[1]Raw_Customer_Dim!$A$2</f>
        <v>CUST1000</v>
      </c>
      <c r="G1198" t="str">
        <f>_xlfn.XLOOKUP(E1198,Store_Dim!A:A,Store_Dim!B:B,"Not Found")</f>
        <v>Frederick-Wright</v>
      </c>
      <c r="H1198" t="str">
        <f>_xlfn.XLOOKUP(D1198,Product_Dim!A:A,Product_Dim!C:C,"Not Found")</f>
        <v>Home</v>
      </c>
      <c r="I1198" t="str">
        <f>_xlfn.XLOOKUP(E1198,Store_Dim!A:A,Store_Dim!C:C,"Not Found")</f>
        <v>West</v>
      </c>
      <c r="J1198" t="str">
        <f>_xlfn.XLOOKUP(C1198,Customer_Dim!A:A,Customer_Dim!B:B,"Not Found")</f>
        <v>Roberta Green</v>
      </c>
      <c r="K1198">
        <f>Table511[[#This Row],[Total_Amount]]/(L1198*(1-Table511[[#This Row],[Discount]]))</f>
        <v>4</v>
      </c>
      <c r="L1198" s="5">
        <v>750.26</v>
      </c>
      <c r="M1198">
        <v>0.01</v>
      </c>
      <c r="N1198" t="s">
        <v>1351</v>
      </c>
      <c r="O1198" s="5">
        <v>2971.0295999999998</v>
      </c>
    </row>
    <row r="1199" spans="1:15">
      <c r="A1199" t="s">
        <v>2548</v>
      </c>
      <c r="B1199" s="7">
        <v>45382</v>
      </c>
      <c r="C1199" t="s">
        <v>728</v>
      </c>
      <c r="D1199" t="s">
        <v>1257</v>
      </c>
      <c r="E1199" t="s">
        <v>1319</v>
      </c>
      <c r="F1199" t="str">
        <f>[1]Raw_Customer_Dim!$A$2</f>
        <v>CUST1000</v>
      </c>
      <c r="G1199" t="str">
        <f>_xlfn.XLOOKUP(E1199,Store_Dim!A:A,Store_Dim!B:B,"Not Found")</f>
        <v>Thomas, Bridges and Harris</v>
      </c>
      <c r="H1199" t="str">
        <f>_xlfn.XLOOKUP(D1199,Product_Dim!A:A,Product_Dim!C:C,"Not Found")</f>
        <v>Home</v>
      </c>
      <c r="I1199" t="str">
        <f>_xlfn.XLOOKUP(E1199,Store_Dim!A:A,Store_Dim!C:C,"Not Found")</f>
        <v>North</v>
      </c>
      <c r="J1199" t="str">
        <f>_xlfn.XLOOKUP(C1199,Customer_Dim!A:A,Customer_Dim!B:B,"Not Found")</f>
        <v>Dr. Lindsay Hanna</v>
      </c>
      <c r="K1199">
        <f>Table511[[#This Row],[Total_Amount]]/(L1199*(1-Table511[[#This Row],[Discount]]))</f>
        <v>4</v>
      </c>
      <c r="L1199" s="5">
        <v>294.38</v>
      </c>
      <c r="M1199">
        <v>0.2</v>
      </c>
      <c r="N1199" t="s">
        <v>1349</v>
      </c>
      <c r="O1199" s="5">
        <v>942.01600000000008</v>
      </c>
    </row>
    <row r="1200" spans="1:15">
      <c r="A1200" t="s">
        <v>2549</v>
      </c>
      <c r="B1200" s="7">
        <v>45919</v>
      </c>
      <c r="C1200" t="s">
        <v>252</v>
      </c>
      <c r="D1200" t="s">
        <v>1265</v>
      </c>
      <c r="E1200" t="s">
        <v>1286</v>
      </c>
      <c r="F1200" t="str">
        <f>[1]Raw_Customer_Dim!$A$2</f>
        <v>CUST1000</v>
      </c>
      <c r="G1200" t="str">
        <f>_xlfn.XLOOKUP(E1200,Store_Dim!A:A,Store_Dim!B:B,"Not Found")</f>
        <v>Black-Horn</v>
      </c>
      <c r="H1200" t="str">
        <f>_xlfn.XLOOKUP(D1200,Product_Dim!A:A,Product_Dim!C:C,"Not Found")</f>
        <v>Clothing</v>
      </c>
      <c r="I1200" t="str">
        <f>_xlfn.XLOOKUP(E1200,Store_Dim!A:A,Store_Dim!C:C,"Not Found")</f>
        <v>South</v>
      </c>
      <c r="J1200" t="str">
        <f>_xlfn.XLOOKUP(C1200,Customer_Dim!A:A,Customer_Dim!B:B,"Not Found")</f>
        <v>David Cobb</v>
      </c>
      <c r="K1200">
        <f>Table511[[#This Row],[Total_Amount]]/(L1200*(1-Table511[[#This Row],[Discount]]))</f>
        <v>3</v>
      </c>
      <c r="L1200" s="5">
        <v>583.52</v>
      </c>
      <c r="M1200">
        <v>7.0000000000000007E-2</v>
      </c>
      <c r="N1200" t="s">
        <v>1351</v>
      </c>
      <c r="O1200" s="5">
        <v>1628.0208</v>
      </c>
    </row>
    <row r="1201" spans="1:15">
      <c r="A1201" t="s">
        <v>2550</v>
      </c>
      <c r="B1201" s="7">
        <v>45453</v>
      </c>
      <c r="C1201" t="s">
        <v>1002</v>
      </c>
      <c r="D1201" t="s">
        <v>1251</v>
      </c>
      <c r="E1201" t="s">
        <v>1329</v>
      </c>
      <c r="F1201" t="str">
        <f>[1]Raw_Customer_Dim!$A$2</f>
        <v>CUST1000</v>
      </c>
      <c r="G1201" t="str">
        <f>_xlfn.XLOOKUP(E1201,Store_Dim!A:A,Store_Dim!B:B,"Not Found")</f>
        <v>Frederick-Wright</v>
      </c>
      <c r="H1201" t="str">
        <f>_xlfn.XLOOKUP(D1201,Product_Dim!A:A,Product_Dim!C:C,"Not Found")</f>
        <v>Beauty</v>
      </c>
      <c r="I1201" t="str">
        <f>_xlfn.XLOOKUP(E1201,Store_Dim!A:A,Store_Dim!C:C,"Not Found")</f>
        <v>West</v>
      </c>
      <c r="J1201" t="str">
        <f>_xlfn.XLOOKUP(C1201,Customer_Dim!A:A,Customer_Dim!B:B,"Not Found")</f>
        <v>Manuel Fisher</v>
      </c>
      <c r="K1201">
        <f>Table511[[#This Row],[Total_Amount]]/(L1201*(1-Table511[[#This Row],[Discount]]))</f>
        <v>2</v>
      </c>
      <c r="L1201" s="5">
        <v>635.22</v>
      </c>
      <c r="M1201">
        <v>0.3</v>
      </c>
      <c r="N1201" t="s">
        <v>1354</v>
      </c>
      <c r="O1201" s="5">
        <v>889.30799999999999</v>
      </c>
    </row>
    <row r="1202" spans="1:15">
      <c r="A1202" t="s">
        <v>2551</v>
      </c>
      <c r="B1202" s="7">
        <v>45313</v>
      </c>
      <c r="C1202" t="s">
        <v>919</v>
      </c>
      <c r="D1202" t="s">
        <v>1205</v>
      </c>
      <c r="E1202" t="s">
        <v>1286</v>
      </c>
      <c r="F1202" t="str">
        <f>[1]Raw_Customer_Dim!$A$2</f>
        <v>CUST1000</v>
      </c>
      <c r="G1202" t="str">
        <f>_xlfn.XLOOKUP(E1202,Store_Dim!A:A,Store_Dim!B:B,"Not Found")</f>
        <v>Black-Horn</v>
      </c>
      <c r="H1202" t="str">
        <f>_xlfn.XLOOKUP(D1202,Product_Dim!A:A,Product_Dim!C:C,"Not Found")</f>
        <v>Beauty</v>
      </c>
      <c r="I1202" t="str">
        <f>_xlfn.XLOOKUP(E1202,Store_Dim!A:A,Store_Dim!C:C,"Not Found")</f>
        <v>South</v>
      </c>
      <c r="J1202" t="str">
        <f>_xlfn.XLOOKUP(C1202,Customer_Dim!A:A,Customer_Dim!B:B,"Not Found")</f>
        <v>Samuel Mullins</v>
      </c>
      <c r="K1202">
        <f>Table511[[#This Row],[Total_Amount]]/(L1202*(1-Table511[[#This Row],[Discount]]))</f>
        <v>1</v>
      </c>
      <c r="L1202" s="5">
        <v>743.55</v>
      </c>
      <c r="M1202">
        <v>0.11</v>
      </c>
      <c r="N1202" t="s">
        <v>1354</v>
      </c>
      <c r="O1202" s="5">
        <v>661.7595</v>
      </c>
    </row>
    <row r="1203" spans="1:15">
      <c r="A1203" t="s">
        <v>2552</v>
      </c>
      <c r="B1203" s="7">
        <v>45377</v>
      </c>
      <c r="C1203" t="s">
        <v>261</v>
      </c>
      <c r="D1203" t="s">
        <v>1161</v>
      </c>
      <c r="E1203" t="s">
        <v>1291</v>
      </c>
      <c r="F1203" t="str">
        <f>[1]Raw_Customer_Dim!$A$2</f>
        <v>CUST1000</v>
      </c>
      <c r="G1203" t="str">
        <f>_xlfn.XLOOKUP(E1203,Store_Dim!A:A,Store_Dim!B:B,"Not Found")</f>
        <v>Johnson-Wright</v>
      </c>
      <c r="H1203" t="str">
        <f>_xlfn.XLOOKUP(D1203,Product_Dim!A:A,Product_Dim!C:C,"Not Found")</f>
        <v>Sports</v>
      </c>
      <c r="I1203" t="str">
        <f>_xlfn.XLOOKUP(E1203,Store_Dim!A:A,Store_Dim!C:C,"Not Found")</f>
        <v>North</v>
      </c>
      <c r="J1203" t="str">
        <f>_xlfn.XLOOKUP(C1203,Customer_Dim!A:A,Customer_Dim!B:B,"Not Found")</f>
        <v>Colleen Maynard</v>
      </c>
      <c r="K1203">
        <f>Table511[[#This Row],[Total_Amount]]/(L1203*(1-Table511[[#This Row],[Discount]]))</f>
        <v>3.9999999999999996</v>
      </c>
      <c r="L1203" s="5">
        <v>530.45000000000005</v>
      </c>
      <c r="M1203">
        <v>0.13</v>
      </c>
      <c r="N1203" t="s">
        <v>1349</v>
      </c>
      <c r="O1203" s="5">
        <v>1845.9659999999999</v>
      </c>
    </row>
    <row r="1204" spans="1:15">
      <c r="A1204" t="s">
        <v>2553</v>
      </c>
      <c r="B1204" s="7">
        <v>45371</v>
      </c>
      <c r="C1204" t="s">
        <v>591</v>
      </c>
      <c r="D1204" t="s">
        <v>1205</v>
      </c>
      <c r="E1204" t="s">
        <v>1311</v>
      </c>
      <c r="F1204" t="str">
        <f>[1]Raw_Customer_Dim!$A$2</f>
        <v>CUST1000</v>
      </c>
      <c r="G1204" t="str">
        <f>_xlfn.XLOOKUP(E1204,Store_Dim!A:A,Store_Dim!B:B,"Not Found")</f>
        <v>Moore, Padilla and Butler</v>
      </c>
      <c r="H1204" t="str">
        <f>_xlfn.XLOOKUP(D1204,Product_Dim!A:A,Product_Dim!C:C,"Not Found")</f>
        <v>Beauty</v>
      </c>
      <c r="I1204" t="str">
        <f>_xlfn.XLOOKUP(E1204,Store_Dim!A:A,Store_Dim!C:C,"Not Found")</f>
        <v>South</v>
      </c>
      <c r="J1204" t="str">
        <f>_xlfn.XLOOKUP(C1204,Customer_Dim!A:A,Customer_Dim!B:B,"Not Found")</f>
        <v>Matthew Payne</v>
      </c>
      <c r="K1204">
        <f>Table511[[#This Row],[Total_Amount]]/(L1204*(1-Table511[[#This Row],[Discount]]))</f>
        <v>2.0000000000000004</v>
      </c>
      <c r="L1204" s="5">
        <v>972.4</v>
      </c>
      <c r="M1204">
        <v>0.06</v>
      </c>
      <c r="N1204" t="s">
        <v>1354</v>
      </c>
      <c r="O1204" s="5">
        <v>1828.1120000000001</v>
      </c>
    </row>
    <row r="1205" spans="1:15">
      <c r="A1205" t="s">
        <v>2554</v>
      </c>
      <c r="B1205" s="7">
        <v>45797</v>
      </c>
      <c r="C1205" t="s">
        <v>819</v>
      </c>
      <c r="D1205" t="s">
        <v>1103</v>
      </c>
      <c r="E1205" t="s">
        <v>1335</v>
      </c>
      <c r="F1205" t="str">
        <f>[1]Raw_Customer_Dim!$A$2</f>
        <v>CUST1000</v>
      </c>
      <c r="G1205" t="str">
        <f>_xlfn.XLOOKUP(E1205,Store_Dim!A:A,Store_Dim!B:B,"Not Found")</f>
        <v>Guerrero-Schmitt</v>
      </c>
      <c r="H1205" t="str">
        <f>_xlfn.XLOOKUP(D1205,Product_Dim!A:A,Product_Dim!C:C,"Not Found")</f>
        <v>Electronics</v>
      </c>
      <c r="I1205" t="str">
        <f>_xlfn.XLOOKUP(E1205,Store_Dim!A:A,Store_Dim!C:C,"Not Found")</f>
        <v>East</v>
      </c>
      <c r="J1205" t="str">
        <f>_xlfn.XLOOKUP(C1205,Customer_Dim!A:A,Customer_Dim!B:B,"Not Found")</f>
        <v>Frank Stewart</v>
      </c>
      <c r="K1205">
        <f>Table511[[#This Row],[Total_Amount]]/(L1205*(1-Table511[[#This Row],[Discount]]))</f>
        <v>2.9999999999999996</v>
      </c>
      <c r="L1205" s="5">
        <v>197.93</v>
      </c>
      <c r="M1205">
        <v>0</v>
      </c>
      <c r="N1205" t="s">
        <v>1354</v>
      </c>
      <c r="O1205" s="5">
        <v>593.79</v>
      </c>
    </row>
    <row r="1206" spans="1:15">
      <c r="A1206" t="s">
        <v>2555</v>
      </c>
      <c r="B1206" s="7">
        <v>45575</v>
      </c>
      <c r="C1206" t="s">
        <v>748</v>
      </c>
      <c r="D1206" t="s">
        <v>1247</v>
      </c>
      <c r="E1206" t="s">
        <v>1317</v>
      </c>
      <c r="F1206" t="str">
        <f>[1]Raw_Customer_Dim!$A$2</f>
        <v>CUST1000</v>
      </c>
      <c r="G1206" t="str">
        <f>_xlfn.XLOOKUP(E1206,Store_Dim!A:A,Store_Dim!B:B,"Not Found")</f>
        <v>Aguirre-Keller</v>
      </c>
      <c r="H1206" t="str">
        <f>_xlfn.XLOOKUP(D1206,Product_Dim!A:A,Product_Dim!C:C,"Not Found")</f>
        <v>Home</v>
      </c>
      <c r="I1206" t="str">
        <f>_xlfn.XLOOKUP(E1206,Store_Dim!A:A,Store_Dim!C:C,"Not Found")</f>
        <v>South</v>
      </c>
      <c r="J1206" t="str">
        <f>_xlfn.XLOOKUP(C1206,Customer_Dim!A:A,Customer_Dim!B:B,"Not Found")</f>
        <v>Michelle Cunningham</v>
      </c>
      <c r="K1206">
        <f>Table511[[#This Row],[Total_Amount]]/(L1206*(1-Table511[[#This Row],[Discount]]))</f>
        <v>4</v>
      </c>
      <c r="L1206" s="5">
        <v>565.51</v>
      </c>
      <c r="M1206">
        <v>0.16</v>
      </c>
      <c r="N1206" t="s">
        <v>1351</v>
      </c>
      <c r="O1206" s="5">
        <v>1900.1135999999999</v>
      </c>
    </row>
    <row r="1207" spans="1:15">
      <c r="A1207" t="s">
        <v>2556</v>
      </c>
      <c r="B1207" s="7">
        <v>45566</v>
      </c>
      <c r="C1207" t="s">
        <v>863</v>
      </c>
      <c r="D1207" t="s">
        <v>1151</v>
      </c>
      <c r="E1207" t="s">
        <v>1294</v>
      </c>
      <c r="F1207" t="str">
        <f>[1]Raw_Customer_Dim!$A$2</f>
        <v>CUST1000</v>
      </c>
      <c r="G1207" t="str">
        <f>_xlfn.XLOOKUP(E1207,Store_Dim!A:A,Store_Dim!B:B,"Not Found")</f>
        <v>Alexander Group</v>
      </c>
      <c r="H1207" t="str">
        <f>_xlfn.XLOOKUP(D1207,Product_Dim!A:A,Product_Dim!C:C,"Not Found")</f>
        <v>Electronics</v>
      </c>
      <c r="I1207" t="str">
        <f>_xlfn.XLOOKUP(E1207,Store_Dim!A:A,Store_Dim!C:C,"Not Found")</f>
        <v>South</v>
      </c>
      <c r="J1207" t="str">
        <f>_xlfn.XLOOKUP(C1207,Customer_Dim!A:A,Customer_Dim!B:B,"Not Found")</f>
        <v>Mark Rogers</v>
      </c>
      <c r="K1207">
        <f>Table511[[#This Row],[Total_Amount]]/(L1207*(1-Table511[[#This Row],[Discount]]))</f>
        <v>4</v>
      </c>
      <c r="L1207" s="5">
        <v>983.38</v>
      </c>
      <c r="M1207">
        <v>0.25</v>
      </c>
      <c r="N1207" t="s">
        <v>1354</v>
      </c>
      <c r="O1207" s="5">
        <v>2950.14</v>
      </c>
    </row>
    <row r="1208" spans="1:15">
      <c r="A1208" t="s">
        <v>2557</v>
      </c>
      <c r="B1208" s="7">
        <v>45252</v>
      </c>
      <c r="C1208" t="s">
        <v>531</v>
      </c>
      <c r="D1208" t="s">
        <v>1271</v>
      </c>
      <c r="E1208" t="s">
        <v>1311</v>
      </c>
      <c r="F1208" t="str">
        <f>[1]Raw_Customer_Dim!$A$2</f>
        <v>CUST1000</v>
      </c>
      <c r="G1208" t="str">
        <f>_xlfn.XLOOKUP(E1208,Store_Dim!A:A,Store_Dim!B:B,"Not Found")</f>
        <v>Moore, Padilla and Butler</v>
      </c>
      <c r="H1208" t="str">
        <f>_xlfn.XLOOKUP(D1208,Product_Dim!A:A,Product_Dim!C:C,"Not Found")</f>
        <v>Home</v>
      </c>
      <c r="I1208" t="str">
        <f>_xlfn.XLOOKUP(E1208,Store_Dim!A:A,Store_Dim!C:C,"Not Found")</f>
        <v>South</v>
      </c>
      <c r="J1208" t="str">
        <f>_xlfn.XLOOKUP(C1208,Customer_Dim!A:A,Customer_Dim!B:B,"Not Found")</f>
        <v>Nathaniel Hill</v>
      </c>
      <c r="K1208">
        <f>Table511[[#This Row],[Total_Amount]]/(L1208*(1-Table511[[#This Row],[Discount]]))</f>
        <v>1</v>
      </c>
      <c r="L1208" s="5">
        <v>955.06</v>
      </c>
      <c r="M1208">
        <v>0.14000000000000001</v>
      </c>
      <c r="N1208" t="s">
        <v>1349</v>
      </c>
      <c r="O1208" s="5">
        <v>821.35159999999996</v>
      </c>
    </row>
    <row r="1209" spans="1:15">
      <c r="A1209" t="s">
        <v>2558</v>
      </c>
      <c r="B1209" s="7">
        <v>45693</v>
      </c>
      <c r="C1209" t="s">
        <v>768</v>
      </c>
      <c r="D1209" t="s">
        <v>1191</v>
      </c>
      <c r="E1209" t="s">
        <v>1326</v>
      </c>
      <c r="F1209" t="str">
        <f>[1]Raw_Customer_Dim!$A$2</f>
        <v>CUST1000</v>
      </c>
      <c r="G1209" t="str">
        <f>_xlfn.XLOOKUP(E1209,Store_Dim!A:A,Store_Dim!B:B,"Not Found")</f>
        <v>Shelton PLC</v>
      </c>
      <c r="H1209" t="str">
        <f>_xlfn.XLOOKUP(D1209,Product_Dim!A:A,Product_Dim!C:C,"Not Found")</f>
        <v>Beauty</v>
      </c>
      <c r="I1209" t="str">
        <f>_xlfn.XLOOKUP(E1209,Store_Dim!A:A,Store_Dim!C:C,"Not Found")</f>
        <v>North</v>
      </c>
      <c r="J1209" t="str">
        <f>_xlfn.XLOOKUP(C1209,Customer_Dim!A:A,Customer_Dim!B:B,"Not Found")</f>
        <v>Michael Greene</v>
      </c>
      <c r="K1209">
        <f>Table511[[#This Row],[Total_Amount]]/(L1209*(1-Table511[[#This Row],[Discount]]))</f>
        <v>3</v>
      </c>
      <c r="L1209" s="5">
        <v>597.46</v>
      </c>
      <c r="M1209">
        <v>0.02</v>
      </c>
      <c r="N1209" t="s">
        <v>1351</v>
      </c>
      <c r="O1209" s="5">
        <v>1756.5324000000001</v>
      </c>
    </row>
    <row r="1210" spans="1:15">
      <c r="A1210" t="s">
        <v>2559</v>
      </c>
      <c r="B1210" s="7">
        <v>45446</v>
      </c>
      <c r="C1210" t="s">
        <v>698</v>
      </c>
      <c r="D1210" t="s">
        <v>1087</v>
      </c>
      <c r="E1210" t="s">
        <v>1329</v>
      </c>
      <c r="F1210" t="str">
        <f>[1]Raw_Customer_Dim!$A$2</f>
        <v>CUST1000</v>
      </c>
      <c r="G1210" t="str">
        <f>_xlfn.XLOOKUP(E1210,Store_Dim!A:A,Store_Dim!B:B,"Not Found")</f>
        <v>Frederick-Wright</v>
      </c>
      <c r="H1210" t="str">
        <f>_xlfn.XLOOKUP(D1210,Product_Dim!A:A,Product_Dim!C:C,"Not Found")</f>
        <v>Electronics</v>
      </c>
      <c r="I1210" t="str">
        <f>_xlfn.XLOOKUP(E1210,Store_Dim!A:A,Store_Dim!C:C,"Not Found")</f>
        <v>West</v>
      </c>
      <c r="J1210" t="str">
        <f>_xlfn.XLOOKUP(C1210,Customer_Dim!A:A,Customer_Dim!B:B,"Not Found")</f>
        <v>Tiffany Williams</v>
      </c>
      <c r="K1210">
        <f>Table511[[#This Row],[Total_Amount]]/(L1210*(1-Table511[[#This Row],[Discount]]))</f>
        <v>3</v>
      </c>
      <c r="L1210" s="5">
        <v>581.09</v>
      </c>
      <c r="M1210">
        <v>0.1</v>
      </c>
      <c r="N1210" t="s">
        <v>1354</v>
      </c>
      <c r="O1210" s="5">
        <v>1568.943</v>
      </c>
    </row>
    <row r="1211" spans="1:15">
      <c r="A1211" t="s">
        <v>2560</v>
      </c>
      <c r="B1211" s="7">
        <v>45862</v>
      </c>
      <c r="C1211" t="s">
        <v>152</v>
      </c>
      <c r="D1211" t="s">
        <v>1133</v>
      </c>
      <c r="E1211" t="s">
        <v>1294</v>
      </c>
      <c r="F1211" t="str">
        <f>[1]Raw_Customer_Dim!$A$2</f>
        <v>CUST1000</v>
      </c>
      <c r="G1211" t="str">
        <f>_xlfn.XLOOKUP(E1211,Store_Dim!A:A,Store_Dim!B:B,"Not Found")</f>
        <v>Alexander Group</v>
      </c>
      <c r="H1211" t="str">
        <f>_xlfn.XLOOKUP(D1211,Product_Dim!A:A,Product_Dim!C:C,"Not Found")</f>
        <v>Home</v>
      </c>
      <c r="I1211" t="str">
        <f>_xlfn.XLOOKUP(E1211,Store_Dim!A:A,Store_Dim!C:C,"Not Found")</f>
        <v>South</v>
      </c>
      <c r="J1211" t="str">
        <f>_xlfn.XLOOKUP(C1211,Customer_Dim!A:A,Customer_Dim!B:B,"Not Found")</f>
        <v>Katherine Dorsey</v>
      </c>
      <c r="K1211">
        <f>Table511[[#This Row],[Total_Amount]]/(L1211*(1-Table511[[#This Row],[Discount]]))</f>
        <v>4</v>
      </c>
      <c r="L1211" s="5">
        <v>153.94999999999999</v>
      </c>
      <c r="M1211">
        <v>0.11</v>
      </c>
      <c r="N1211" t="s">
        <v>1351</v>
      </c>
      <c r="O1211" s="5">
        <v>548.06200000000001</v>
      </c>
    </row>
    <row r="1212" spans="1:15">
      <c r="A1212" t="s">
        <v>2561</v>
      </c>
      <c r="B1212" s="7">
        <v>45530</v>
      </c>
      <c r="C1212" t="s">
        <v>216</v>
      </c>
      <c r="D1212" t="s">
        <v>1145</v>
      </c>
      <c r="E1212" t="s">
        <v>1307</v>
      </c>
      <c r="F1212" t="str">
        <f>[1]Raw_Customer_Dim!$A$2</f>
        <v>CUST1000</v>
      </c>
      <c r="G1212" t="str">
        <f>_xlfn.XLOOKUP(E1212,Store_Dim!A:A,Store_Dim!B:B,"Not Found")</f>
        <v>Bean, Jones and Park</v>
      </c>
      <c r="H1212" t="str">
        <f>_xlfn.XLOOKUP(D1212,Product_Dim!A:A,Product_Dim!C:C,"Not Found")</f>
        <v>Clothing</v>
      </c>
      <c r="I1212" t="str">
        <f>_xlfn.XLOOKUP(E1212,Store_Dim!A:A,Store_Dim!C:C,"Not Found")</f>
        <v>West</v>
      </c>
      <c r="J1212" t="str">
        <f>_xlfn.XLOOKUP(C1212,Customer_Dim!A:A,Customer_Dim!B:B,"Not Found")</f>
        <v>Krystal Ford</v>
      </c>
      <c r="K1212">
        <f>Table511[[#This Row],[Total_Amount]]/(L1212*(1-Table511[[#This Row],[Discount]]))</f>
        <v>4</v>
      </c>
      <c r="L1212" s="5">
        <v>271.04000000000002</v>
      </c>
      <c r="M1212">
        <v>0.12</v>
      </c>
      <c r="N1212" t="s">
        <v>1354</v>
      </c>
      <c r="O1212" s="5">
        <v>954.06080000000009</v>
      </c>
    </row>
    <row r="1213" spans="1:15">
      <c r="A1213" t="s">
        <v>2562</v>
      </c>
      <c r="B1213" s="7">
        <v>45558</v>
      </c>
      <c r="C1213" t="s">
        <v>56</v>
      </c>
      <c r="D1213" t="s">
        <v>1143</v>
      </c>
      <c r="E1213" t="s">
        <v>1301</v>
      </c>
      <c r="F1213" t="str">
        <f>[1]Raw_Customer_Dim!$A$2</f>
        <v>CUST1000</v>
      </c>
      <c r="G1213" t="str">
        <f>_xlfn.XLOOKUP(E1213,Store_Dim!A:A,Store_Dim!B:B,"Not Found")</f>
        <v>Benson-Elliott</v>
      </c>
      <c r="H1213" t="str">
        <f>_xlfn.XLOOKUP(D1213,Product_Dim!A:A,Product_Dim!C:C,"Not Found")</f>
        <v>Home</v>
      </c>
      <c r="I1213" t="str">
        <f>_xlfn.XLOOKUP(E1213,Store_Dim!A:A,Store_Dim!C:C,"Not Found")</f>
        <v>East</v>
      </c>
      <c r="J1213" t="str">
        <f>_xlfn.XLOOKUP(C1213,Customer_Dim!A:A,Customer_Dim!B:B,"Not Found")</f>
        <v>Laura Alvarez</v>
      </c>
      <c r="K1213">
        <f>Table511[[#This Row],[Total_Amount]]/(L1213*(1-Table511[[#This Row],[Discount]]))</f>
        <v>4</v>
      </c>
      <c r="L1213" s="5">
        <v>328.27</v>
      </c>
      <c r="M1213">
        <v>0.09</v>
      </c>
      <c r="N1213" t="s">
        <v>1351</v>
      </c>
      <c r="O1213" s="5">
        <v>1194.9028000000001</v>
      </c>
    </row>
    <row r="1214" spans="1:15">
      <c r="A1214" t="s">
        <v>2563</v>
      </c>
      <c r="B1214" s="7">
        <v>45472</v>
      </c>
      <c r="C1214" t="s">
        <v>1049</v>
      </c>
      <c r="D1214" t="s">
        <v>1107</v>
      </c>
      <c r="E1214" t="s">
        <v>1324</v>
      </c>
      <c r="F1214" t="str">
        <f>[1]Raw_Customer_Dim!$A$2</f>
        <v>CUST1000</v>
      </c>
      <c r="G1214" t="str">
        <f>_xlfn.XLOOKUP(E1214,Store_Dim!A:A,Store_Dim!B:B,"Not Found")</f>
        <v>Mcdonald Inc</v>
      </c>
      <c r="H1214" t="str">
        <f>_xlfn.XLOOKUP(D1214,Product_Dim!A:A,Product_Dim!C:C,"Not Found")</f>
        <v>Sports</v>
      </c>
      <c r="I1214" t="str">
        <f>_xlfn.XLOOKUP(E1214,Store_Dim!A:A,Store_Dim!C:C,"Not Found")</f>
        <v>South</v>
      </c>
      <c r="J1214" t="str">
        <f>_xlfn.XLOOKUP(C1214,Customer_Dim!A:A,Customer_Dim!B:B,"Not Found")</f>
        <v>Justin Lopez</v>
      </c>
      <c r="K1214">
        <f>Table511[[#This Row],[Total_Amount]]/(L1214*(1-Table511[[#This Row],[Discount]]))</f>
        <v>3.9999999999999996</v>
      </c>
      <c r="L1214" s="5">
        <v>884.71</v>
      </c>
      <c r="M1214">
        <v>0.09</v>
      </c>
      <c r="N1214" t="s">
        <v>1351</v>
      </c>
      <c r="O1214" s="5">
        <v>3220.3444</v>
      </c>
    </row>
    <row r="1215" spans="1:15">
      <c r="A1215" t="s">
        <v>2564</v>
      </c>
      <c r="B1215" s="7">
        <v>45809</v>
      </c>
      <c r="C1215" t="s">
        <v>561</v>
      </c>
      <c r="D1215" t="s">
        <v>1217</v>
      </c>
      <c r="E1215" t="s">
        <v>1294</v>
      </c>
      <c r="F1215" t="str">
        <f>[1]Raw_Customer_Dim!$A$2</f>
        <v>CUST1000</v>
      </c>
      <c r="G1215" t="str">
        <f>_xlfn.XLOOKUP(E1215,Store_Dim!A:A,Store_Dim!B:B,"Not Found")</f>
        <v>Alexander Group</v>
      </c>
      <c r="H1215" t="str">
        <f>_xlfn.XLOOKUP(D1215,Product_Dim!A:A,Product_Dim!C:C,"Not Found")</f>
        <v>Sports</v>
      </c>
      <c r="I1215" t="str">
        <f>_xlfn.XLOOKUP(E1215,Store_Dim!A:A,Store_Dim!C:C,"Not Found")</f>
        <v>South</v>
      </c>
      <c r="J1215" t="str">
        <f>_xlfn.XLOOKUP(C1215,Customer_Dim!A:A,Customer_Dim!B:B,"Not Found")</f>
        <v>Lauren George</v>
      </c>
      <c r="K1215">
        <f>Table511[[#This Row],[Total_Amount]]/(L1215*(1-Table511[[#This Row],[Discount]]))</f>
        <v>1</v>
      </c>
      <c r="L1215" s="5">
        <v>41.39</v>
      </c>
      <c r="M1215">
        <v>0.01</v>
      </c>
      <c r="N1215" t="s">
        <v>1349</v>
      </c>
      <c r="O1215" s="5">
        <v>40.976100000000002</v>
      </c>
    </row>
    <row r="1216" spans="1:15">
      <c r="A1216" t="s">
        <v>2565</v>
      </c>
      <c r="B1216" s="7">
        <v>45783</v>
      </c>
      <c r="C1216" t="s">
        <v>391</v>
      </c>
      <c r="D1216" t="s">
        <v>1187</v>
      </c>
      <c r="E1216" t="s">
        <v>1311</v>
      </c>
      <c r="F1216" t="str">
        <f>[1]Raw_Customer_Dim!$A$2</f>
        <v>CUST1000</v>
      </c>
      <c r="G1216" t="str">
        <f>_xlfn.XLOOKUP(E1216,Store_Dim!A:A,Store_Dim!B:B,"Not Found")</f>
        <v>Moore, Padilla and Butler</v>
      </c>
      <c r="H1216" t="str">
        <f>_xlfn.XLOOKUP(D1216,Product_Dim!A:A,Product_Dim!C:C,"Not Found")</f>
        <v>Sports</v>
      </c>
      <c r="I1216" t="str">
        <f>_xlfn.XLOOKUP(E1216,Store_Dim!A:A,Store_Dim!C:C,"Not Found")</f>
        <v>South</v>
      </c>
      <c r="J1216" t="str">
        <f>_xlfn.XLOOKUP(C1216,Customer_Dim!A:A,Customer_Dim!B:B,"Not Found")</f>
        <v>Jason Wheeler</v>
      </c>
      <c r="K1216">
        <f>Table511[[#This Row],[Total_Amount]]/(L1216*(1-Table511[[#This Row],[Discount]]))</f>
        <v>4</v>
      </c>
      <c r="L1216" s="5">
        <v>64.06</v>
      </c>
      <c r="M1216">
        <v>0.26</v>
      </c>
      <c r="N1216" t="s">
        <v>1349</v>
      </c>
      <c r="O1216" s="5">
        <v>189.61760000000001</v>
      </c>
    </row>
    <row r="1217" spans="1:15">
      <c r="A1217" t="s">
        <v>2566</v>
      </c>
      <c r="B1217" s="7">
        <v>45849</v>
      </c>
      <c r="C1217" t="s">
        <v>756</v>
      </c>
      <c r="D1217" t="s">
        <v>1165</v>
      </c>
      <c r="E1217" t="s">
        <v>1311</v>
      </c>
      <c r="F1217" t="str">
        <f>[1]Raw_Customer_Dim!$A$2</f>
        <v>CUST1000</v>
      </c>
      <c r="G1217" t="str">
        <f>_xlfn.XLOOKUP(E1217,Store_Dim!A:A,Store_Dim!B:B,"Not Found")</f>
        <v>Moore, Padilla and Butler</v>
      </c>
      <c r="H1217" t="str">
        <f>_xlfn.XLOOKUP(D1217,Product_Dim!A:A,Product_Dim!C:C,"Not Found")</f>
        <v>Clothing</v>
      </c>
      <c r="I1217" t="str">
        <f>_xlfn.XLOOKUP(E1217,Store_Dim!A:A,Store_Dim!C:C,"Not Found")</f>
        <v>South</v>
      </c>
      <c r="J1217" t="str">
        <f>_xlfn.XLOOKUP(C1217,Customer_Dim!A:A,Customer_Dim!B:B,"Not Found")</f>
        <v>John Jordan</v>
      </c>
      <c r="K1217">
        <f>Table511[[#This Row],[Total_Amount]]/(L1217*(1-Table511[[#This Row],[Discount]]))</f>
        <v>2</v>
      </c>
      <c r="L1217" s="5">
        <v>152.25</v>
      </c>
      <c r="M1217">
        <v>0.13</v>
      </c>
      <c r="N1217" t="s">
        <v>1349</v>
      </c>
      <c r="O1217" s="5">
        <v>264.91500000000002</v>
      </c>
    </row>
    <row r="1218" spans="1:15">
      <c r="A1218" t="s">
        <v>2567</v>
      </c>
      <c r="B1218" s="7">
        <v>45281</v>
      </c>
      <c r="C1218" t="s">
        <v>258</v>
      </c>
      <c r="D1218" t="s">
        <v>1099</v>
      </c>
      <c r="E1218" t="s">
        <v>1338</v>
      </c>
      <c r="F1218" t="str">
        <f>[1]Raw_Customer_Dim!$A$2</f>
        <v>CUST1000</v>
      </c>
      <c r="G1218" t="str">
        <f>_xlfn.XLOOKUP(E1218,Store_Dim!A:A,Store_Dim!B:B,"Not Found")</f>
        <v>Mann-Austin</v>
      </c>
      <c r="H1218" t="str">
        <f>_xlfn.XLOOKUP(D1218,Product_Dim!A:A,Product_Dim!C:C,"Not Found")</f>
        <v>Electronics</v>
      </c>
      <c r="I1218" t="str">
        <f>_xlfn.XLOOKUP(E1218,Store_Dim!A:A,Store_Dim!C:C,"Not Found")</f>
        <v>East</v>
      </c>
      <c r="J1218" t="str">
        <f>_xlfn.XLOOKUP(C1218,Customer_Dim!A:A,Customer_Dim!B:B,"Not Found")</f>
        <v>Diane Watson</v>
      </c>
      <c r="K1218">
        <f>Table511[[#This Row],[Total_Amount]]/(L1218*(1-Table511[[#This Row],[Discount]]))</f>
        <v>2</v>
      </c>
      <c r="L1218" s="5">
        <v>889.04</v>
      </c>
      <c r="M1218">
        <v>0.23</v>
      </c>
      <c r="N1218" t="s">
        <v>1349</v>
      </c>
      <c r="O1218" s="5">
        <v>1369.1215999999999</v>
      </c>
    </row>
    <row r="1219" spans="1:15">
      <c r="A1219" t="s">
        <v>2568</v>
      </c>
      <c r="B1219" s="7">
        <v>45322</v>
      </c>
      <c r="C1219" t="s">
        <v>383</v>
      </c>
      <c r="D1219" t="s">
        <v>1147</v>
      </c>
      <c r="E1219" t="s">
        <v>1314</v>
      </c>
      <c r="F1219" t="str">
        <f>[1]Raw_Customer_Dim!$A$2</f>
        <v>CUST1000</v>
      </c>
      <c r="G1219" t="str">
        <f>_xlfn.XLOOKUP(E1219,Store_Dim!A:A,Store_Dim!B:B,"Not Found")</f>
        <v>Hill, Wagner and Ballard</v>
      </c>
      <c r="H1219" t="str">
        <f>_xlfn.XLOOKUP(D1219,Product_Dim!A:A,Product_Dim!C:C,"Not Found")</f>
        <v>Clothing</v>
      </c>
      <c r="I1219" t="str">
        <f>_xlfn.XLOOKUP(E1219,Store_Dim!A:A,Store_Dim!C:C,"Not Found")</f>
        <v>East</v>
      </c>
      <c r="J1219" t="str">
        <f>_xlfn.XLOOKUP(C1219,Customer_Dim!A:A,Customer_Dim!B:B,"Not Found")</f>
        <v>Cynthia Morris</v>
      </c>
      <c r="K1219">
        <f>Table511[[#This Row],[Total_Amount]]/(L1219*(1-Table511[[#This Row],[Discount]]))</f>
        <v>3</v>
      </c>
      <c r="L1219" s="5">
        <v>145.25</v>
      </c>
      <c r="M1219">
        <v>0.24</v>
      </c>
      <c r="N1219" t="s">
        <v>1351</v>
      </c>
      <c r="O1219" s="5">
        <v>331.17</v>
      </c>
    </row>
    <row r="1220" spans="1:15">
      <c r="A1220" t="s">
        <v>2569</v>
      </c>
      <c r="B1220" s="7">
        <v>45560</v>
      </c>
      <c r="C1220" t="s">
        <v>157</v>
      </c>
      <c r="D1220" t="s">
        <v>1249</v>
      </c>
      <c r="E1220" t="s">
        <v>1286</v>
      </c>
      <c r="F1220" t="str">
        <f>[1]Raw_Customer_Dim!$A$2</f>
        <v>CUST1000</v>
      </c>
      <c r="G1220" t="str">
        <f>_xlfn.XLOOKUP(E1220,Store_Dim!A:A,Store_Dim!B:B,"Not Found")</f>
        <v>Black-Horn</v>
      </c>
      <c r="H1220" t="str">
        <f>_xlfn.XLOOKUP(D1220,Product_Dim!A:A,Product_Dim!C:C,"Not Found")</f>
        <v>Sports</v>
      </c>
      <c r="I1220" t="str">
        <f>_xlfn.XLOOKUP(E1220,Store_Dim!A:A,Store_Dim!C:C,"Not Found")</f>
        <v>South</v>
      </c>
      <c r="J1220" t="str">
        <f>_xlfn.XLOOKUP(C1220,Customer_Dim!A:A,Customer_Dim!B:B,"Not Found")</f>
        <v>Christopher Sutton</v>
      </c>
      <c r="K1220">
        <f>Table511[[#This Row],[Total_Amount]]/(L1220*(1-Table511[[#This Row],[Discount]]))</f>
        <v>2</v>
      </c>
      <c r="L1220" s="5">
        <v>898.45</v>
      </c>
      <c r="M1220">
        <v>0.28999999999999998</v>
      </c>
      <c r="N1220" t="s">
        <v>1354</v>
      </c>
      <c r="O1220" s="5">
        <v>1275.799</v>
      </c>
    </row>
    <row r="1221" spans="1:15">
      <c r="A1221" t="s">
        <v>2570</v>
      </c>
      <c r="B1221" s="7">
        <v>45905</v>
      </c>
      <c r="C1221" t="s">
        <v>94</v>
      </c>
      <c r="D1221" t="s">
        <v>1143</v>
      </c>
      <c r="E1221" t="s">
        <v>1326</v>
      </c>
      <c r="F1221" t="str">
        <f>[1]Raw_Customer_Dim!$A$2</f>
        <v>CUST1000</v>
      </c>
      <c r="G1221" t="str">
        <f>_xlfn.XLOOKUP(E1221,Store_Dim!A:A,Store_Dim!B:B,"Not Found")</f>
        <v>Shelton PLC</v>
      </c>
      <c r="H1221" t="str">
        <f>_xlfn.XLOOKUP(D1221,Product_Dim!A:A,Product_Dim!C:C,"Not Found")</f>
        <v>Home</v>
      </c>
      <c r="I1221" t="str">
        <f>_xlfn.XLOOKUP(E1221,Store_Dim!A:A,Store_Dim!C:C,"Not Found")</f>
        <v>North</v>
      </c>
      <c r="J1221" t="str">
        <f>_xlfn.XLOOKUP(C1221,Customer_Dim!A:A,Customer_Dim!B:B,"Not Found")</f>
        <v>Jessica Acevedo</v>
      </c>
      <c r="K1221">
        <f>Table511[[#This Row],[Total_Amount]]/(L1221*(1-Table511[[#This Row],[Discount]]))</f>
        <v>4.0000000000000009</v>
      </c>
      <c r="L1221" s="5">
        <v>642.04999999999995</v>
      </c>
      <c r="M1221">
        <v>0.25</v>
      </c>
      <c r="N1221" t="s">
        <v>1349</v>
      </c>
      <c r="O1221" s="5">
        <v>1926.15</v>
      </c>
    </row>
    <row r="1222" spans="1:15">
      <c r="A1222" t="s">
        <v>2571</v>
      </c>
      <c r="B1222" s="7">
        <v>45531</v>
      </c>
      <c r="C1222" t="s">
        <v>690</v>
      </c>
      <c r="D1222" t="s">
        <v>1241</v>
      </c>
      <c r="E1222" t="s">
        <v>1304</v>
      </c>
      <c r="F1222" t="str">
        <f>[1]Raw_Customer_Dim!$A$2</f>
        <v>CUST1000</v>
      </c>
      <c r="G1222" t="str">
        <f>_xlfn.XLOOKUP(E1222,Store_Dim!A:A,Store_Dim!B:B,"Not Found")</f>
        <v>Martinez-Mullins</v>
      </c>
      <c r="H1222" t="str">
        <f>_xlfn.XLOOKUP(D1222,Product_Dim!A:A,Product_Dim!C:C,"Not Found")</f>
        <v>Home</v>
      </c>
      <c r="I1222" t="str">
        <f>_xlfn.XLOOKUP(E1222,Store_Dim!A:A,Store_Dim!C:C,"Not Found")</f>
        <v>South</v>
      </c>
      <c r="J1222" t="str">
        <f>_xlfn.XLOOKUP(C1222,Customer_Dim!A:A,Customer_Dim!B:B,"Not Found")</f>
        <v>Elizabeth Jones</v>
      </c>
      <c r="K1222">
        <f>Table511[[#This Row],[Total_Amount]]/(L1222*(1-Table511[[#This Row],[Discount]]))</f>
        <v>4.0000000000000009</v>
      </c>
      <c r="L1222" s="5">
        <v>450.83</v>
      </c>
      <c r="M1222">
        <v>0.24</v>
      </c>
      <c r="N1222" t="s">
        <v>1349</v>
      </c>
      <c r="O1222" s="5">
        <v>1370.5232000000001</v>
      </c>
    </row>
    <row r="1223" spans="1:15">
      <c r="A1223" t="s">
        <v>2572</v>
      </c>
      <c r="B1223" s="7">
        <v>45216</v>
      </c>
      <c r="C1223" t="s">
        <v>42</v>
      </c>
      <c r="D1223" t="s">
        <v>1177</v>
      </c>
      <c r="E1223" t="s">
        <v>1338</v>
      </c>
      <c r="F1223" t="str">
        <f>[1]Raw_Customer_Dim!$A$2</f>
        <v>CUST1000</v>
      </c>
      <c r="G1223" t="str">
        <f>_xlfn.XLOOKUP(E1223,Store_Dim!A:A,Store_Dim!B:B,"Not Found")</f>
        <v>Mann-Austin</v>
      </c>
      <c r="H1223" t="str">
        <f>_xlfn.XLOOKUP(D1223,Product_Dim!A:A,Product_Dim!C:C,"Not Found")</f>
        <v>Sports</v>
      </c>
      <c r="I1223" t="str">
        <f>_xlfn.XLOOKUP(E1223,Store_Dim!A:A,Store_Dim!C:C,"Not Found")</f>
        <v>East</v>
      </c>
      <c r="J1223" t="str">
        <f>_xlfn.XLOOKUP(C1223,Customer_Dim!A:A,Customer_Dim!B:B,"Not Found")</f>
        <v>Dominic Page</v>
      </c>
      <c r="K1223">
        <f>Table511[[#This Row],[Total_Amount]]/(L1223*(1-Table511[[#This Row],[Discount]]))</f>
        <v>2</v>
      </c>
      <c r="L1223" s="5">
        <v>441.03</v>
      </c>
      <c r="M1223">
        <v>0.23</v>
      </c>
      <c r="N1223" t="s">
        <v>1354</v>
      </c>
      <c r="O1223" s="5">
        <v>679.18619999999999</v>
      </c>
    </row>
    <row r="1224" spans="1:15">
      <c r="A1224" t="s">
        <v>2573</v>
      </c>
      <c r="B1224" s="7">
        <v>45384</v>
      </c>
      <c r="C1224" t="s">
        <v>218</v>
      </c>
      <c r="D1224" t="s">
        <v>1123</v>
      </c>
      <c r="E1224" t="s">
        <v>1286</v>
      </c>
      <c r="F1224" t="str">
        <f>[1]Raw_Customer_Dim!$A$2</f>
        <v>CUST1000</v>
      </c>
      <c r="G1224" t="str">
        <f>_xlfn.XLOOKUP(E1224,Store_Dim!A:A,Store_Dim!B:B,"Not Found")</f>
        <v>Black-Horn</v>
      </c>
      <c r="H1224" t="str">
        <f>_xlfn.XLOOKUP(D1224,Product_Dim!A:A,Product_Dim!C:C,"Not Found")</f>
        <v>Clothing</v>
      </c>
      <c r="I1224" t="str">
        <f>_xlfn.XLOOKUP(E1224,Store_Dim!A:A,Store_Dim!C:C,"Not Found")</f>
        <v>South</v>
      </c>
      <c r="J1224" t="str">
        <f>_xlfn.XLOOKUP(C1224,Customer_Dim!A:A,Customer_Dim!B:B,"Not Found")</f>
        <v>George Rosario</v>
      </c>
      <c r="K1224">
        <f>Table511[[#This Row],[Total_Amount]]/(L1224*(1-Table511[[#This Row],[Discount]]))</f>
        <v>3.0000000000000004</v>
      </c>
      <c r="L1224" s="5">
        <v>377.69</v>
      </c>
      <c r="M1224">
        <v>7.0000000000000007E-2</v>
      </c>
      <c r="N1224" t="s">
        <v>1351</v>
      </c>
      <c r="O1224" s="5">
        <v>1053.7551000000001</v>
      </c>
    </row>
    <row r="1225" spans="1:15">
      <c r="A1225" t="s">
        <v>2574</v>
      </c>
      <c r="B1225" s="7">
        <v>45416</v>
      </c>
      <c r="C1225" t="s">
        <v>381</v>
      </c>
      <c r="D1225" t="s">
        <v>1093</v>
      </c>
      <c r="E1225" t="s">
        <v>1304</v>
      </c>
      <c r="F1225" t="str">
        <f>[1]Raw_Customer_Dim!$A$2</f>
        <v>CUST1000</v>
      </c>
      <c r="G1225" t="str">
        <f>_xlfn.XLOOKUP(E1225,Store_Dim!A:A,Store_Dim!B:B,"Not Found")</f>
        <v>Martinez-Mullins</v>
      </c>
      <c r="H1225" t="str">
        <f>_xlfn.XLOOKUP(D1225,Product_Dim!A:A,Product_Dim!C:C,"Not Found")</f>
        <v>Home</v>
      </c>
      <c r="I1225" t="str">
        <f>_xlfn.XLOOKUP(E1225,Store_Dim!A:A,Store_Dim!C:C,"Not Found")</f>
        <v>South</v>
      </c>
      <c r="J1225" t="str">
        <f>_xlfn.XLOOKUP(C1225,Customer_Dim!A:A,Customer_Dim!B:B,"Not Found")</f>
        <v>John Lawson</v>
      </c>
      <c r="K1225">
        <f>Table511[[#This Row],[Total_Amount]]/(L1225*(1-Table511[[#This Row],[Discount]]))</f>
        <v>1.0000000000000002</v>
      </c>
      <c r="L1225" s="5">
        <v>457.33</v>
      </c>
      <c r="M1225">
        <v>0.27</v>
      </c>
      <c r="N1225" t="s">
        <v>1349</v>
      </c>
      <c r="O1225" s="5">
        <v>333.85090000000002</v>
      </c>
    </row>
    <row r="1226" spans="1:15">
      <c r="A1226" t="s">
        <v>2575</v>
      </c>
      <c r="B1226" s="7">
        <v>45880</v>
      </c>
      <c r="C1226" t="s">
        <v>551</v>
      </c>
      <c r="D1226" t="s">
        <v>1225</v>
      </c>
      <c r="E1226" t="s">
        <v>1301</v>
      </c>
      <c r="F1226" t="str">
        <f>[1]Raw_Customer_Dim!$A$2</f>
        <v>CUST1000</v>
      </c>
      <c r="G1226" t="str">
        <f>_xlfn.XLOOKUP(E1226,Store_Dim!A:A,Store_Dim!B:B,"Not Found")</f>
        <v>Benson-Elliott</v>
      </c>
      <c r="H1226" t="str">
        <f>_xlfn.XLOOKUP(D1226,Product_Dim!A:A,Product_Dim!C:C,"Not Found")</f>
        <v>Electronics</v>
      </c>
      <c r="I1226" t="str">
        <f>_xlfn.XLOOKUP(E1226,Store_Dim!A:A,Store_Dim!C:C,"Not Found")</f>
        <v>East</v>
      </c>
      <c r="J1226" t="str">
        <f>_xlfn.XLOOKUP(C1226,Customer_Dim!A:A,Customer_Dim!B:B,"Not Found")</f>
        <v>Nancy Page</v>
      </c>
      <c r="K1226">
        <f>Table511[[#This Row],[Total_Amount]]/(L1226*(1-Table511[[#This Row],[Discount]]))</f>
        <v>4</v>
      </c>
      <c r="L1226" s="5">
        <v>218.01</v>
      </c>
      <c r="M1226">
        <v>0.06</v>
      </c>
      <c r="N1226" t="s">
        <v>1349</v>
      </c>
      <c r="O1226" s="5">
        <v>819.71759999999995</v>
      </c>
    </row>
    <row r="1227" spans="1:15">
      <c r="A1227" t="s">
        <v>2576</v>
      </c>
      <c r="B1227" s="7">
        <v>45933</v>
      </c>
      <c r="C1227" t="s">
        <v>498</v>
      </c>
      <c r="D1227" t="s">
        <v>1257</v>
      </c>
      <c r="E1227" t="s">
        <v>1335</v>
      </c>
      <c r="F1227" t="str">
        <f>[1]Raw_Customer_Dim!$A$2</f>
        <v>CUST1000</v>
      </c>
      <c r="G1227" t="str">
        <f>_xlfn.XLOOKUP(E1227,Store_Dim!A:A,Store_Dim!B:B,"Not Found")</f>
        <v>Guerrero-Schmitt</v>
      </c>
      <c r="H1227" t="str">
        <f>_xlfn.XLOOKUP(D1227,Product_Dim!A:A,Product_Dim!C:C,"Not Found")</f>
        <v>Home</v>
      </c>
      <c r="I1227" t="str">
        <f>_xlfn.XLOOKUP(E1227,Store_Dim!A:A,Store_Dim!C:C,"Not Found")</f>
        <v>East</v>
      </c>
      <c r="J1227" t="str">
        <f>_xlfn.XLOOKUP(C1227,Customer_Dim!A:A,Customer_Dim!B:B,"Not Found")</f>
        <v>Julia Jackson</v>
      </c>
      <c r="K1227">
        <f>Table511[[#This Row],[Total_Amount]]/(L1227*(1-Table511[[#This Row],[Discount]]))</f>
        <v>1.9999999999999996</v>
      </c>
      <c r="L1227" s="5">
        <v>682.7</v>
      </c>
      <c r="M1227">
        <v>0.13</v>
      </c>
      <c r="N1227" t="s">
        <v>1349</v>
      </c>
      <c r="O1227" s="5">
        <v>1187.8979999999999</v>
      </c>
    </row>
    <row r="1228" spans="1:15">
      <c r="A1228" t="s">
        <v>2577</v>
      </c>
      <c r="B1228" s="7">
        <v>45345</v>
      </c>
      <c r="C1228" t="s">
        <v>710</v>
      </c>
      <c r="D1228" t="s">
        <v>1111</v>
      </c>
      <c r="E1228" t="s">
        <v>1335</v>
      </c>
      <c r="F1228" t="str">
        <f>[1]Raw_Customer_Dim!$A$2</f>
        <v>CUST1000</v>
      </c>
      <c r="G1228" t="str">
        <f>_xlfn.XLOOKUP(E1228,Store_Dim!A:A,Store_Dim!B:B,"Not Found")</f>
        <v>Guerrero-Schmitt</v>
      </c>
      <c r="H1228" t="str">
        <f>_xlfn.XLOOKUP(D1228,Product_Dim!A:A,Product_Dim!C:C,"Not Found")</f>
        <v>Sports</v>
      </c>
      <c r="I1228" t="str">
        <f>_xlfn.XLOOKUP(E1228,Store_Dim!A:A,Store_Dim!C:C,"Not Found")</f>
        <v>East</v>
      </c>
      <c r="J1228" t="str">
        <f>_xlfn.XLOOKUP(C1228,Customer_Dim!A:A,Customer_Dim!B:B,"Not Found")</f>
        <v>Kristy Dunlap</v>
      </c>
      <c r="K1228">
        <f>Table511[[#This Row],[Total_Amount]]/(L1228*(1-Table511[[#This Row],[Discount]]))</f>
        <v>3</v>
      </c>
      <c r="L1228" s="5">
        <v>726.97</v>
      </c>
      <c r="M1228">
        <v>0.04</v>
      </c>
      <c r="N1228" t="s">
        <v>1351</v>
      </c>
      <c r="O1228" s="5">
        <v>2093.6736000000001</v>
      </c>
    </row>
    <row r="1229" spans="1:15">
      <c r="A1229" t="s">
        <v>2578</v>
      </c>
      <c r="B1229" s="7">
        <v>45681</v>
      </c>
      <c r="C1229" t="s">
        <v>879</v>
      </c>
      <c r="D1229" t="s">
        <v>1191</v>
      </c>
      <c r="E1229" t="s">
        <v>1311</v>
      </c>
      <c r="F1229" t="str">
        <f>[1]Raw_Customer_Dim!$A$2</f>
        <v>CUST1000</v>
      </c>
      <c r="G1229" t="str">
        <f>_xlfn.XLOOKUP(E1229,Store_Dim!A:A,Store_Dim!B:B,"Not Found")</f>
        <v>Moore, Padilla and Butler</v>
      </c>
      <c r="H1229" t="str">
        <f>_xlfn.XLOOKUP(D1229,Product_Dim!A:A,Product_Dim!C:C,"Not Found")</f>
        <v>Beauty</v>
      </c>
      <c r="I1229" t="str">
        <f>_xlfn.XLOOKUP(E1229,Store_Dim!A:A,Store_Dim!C:C,"Not Found")</f>
        <v>South</v>
      </c>
      <c r="J1229" t="str">
        <f>_xlfn.XLOOKUP(C1229,Customer_Dim!A:A,Customer_Dim!B:B,"Not Found")</f>
        <v>Isabel Foster</v>
      </c>
      <c r="K1229">
        <f>Table511[[#This Row],[Total_Amount]]/(L1229*(1-Table511[[#This Row],[Discount]]))</f>
        <v>2</v>
      </c>
      <c r="L1229" s="5">
        <v>107.97</v>
      </c>
      <c r="M1229">
        <v>0.06</v>
      </c>
      <c r="N1229" t="s">
        <v>1349</v>
      </c>
      <c r="O1229" s="5">
        <v>202.9836</v>
      </c>
    </row>
    <row r="1230" spans="1:15">
      <c r="A1230" t="s">
        <v>2579</v>
      </c>
      <c r="B1230" s="7">
        <v>45785</v>
      </c>
      <c r="C1230" t="s">
        <v>33</v>
      </c>
      <c r="D1230" t="s">
        <v>1080</v>
      </c>
      <c r="E1230" t="s">
        <v>1324</v>
      </c>
      <c r="F1230" t="str">
        <f>[1]Raw_Customer_Dim!$A$2</f>
        <v>CUST1000</v>
      </c>
      <c r="G1230" t="str">
        <f>_xlfn.XLOOKUP(E1230,Store_Dim!A:A,Store_Dim!B:B,"Not Found")</f>
        <v>Mcdonald Inc</v>
      </c>
      <c r="H1230" t="str">
        <f>_xlfn.XLOOKUP(D1230,Product_Dim!A:A,Product_Dim!C:C,"Not Found")</f>
        <v>Clothing</v>
      </c>
      <c r="I1230" t="str">
        <f>_xlfn.XLOOKUP(E1230,Store_Dim!A:A,Store_Dim!C:C,"Not Found")</f>
        <v>South</v>
      </c>
      <c r="J1230" t="str">
        <f>_xlfn.XLOOKUP(C1230,Customer_Dim!A:A,Customer_Dim!B:B,"Not Found")</f>
        <v>Daniel Boyd</v>
      </c>
      <c r="K1230">
        <f>Table511[[#This Row],[Total_Amount]]/(L1230*(1-Table511[[#This Row],[Discount]]))</f>
        <v>1</v>
      </c>
      <c r="L1230" s="5">
        <v>38.880000000000003</v>
      </c>
      <c r="M1230">
        <v>0.16</v>
      </c>
      <c r="N1230" t="s">
        <v>1354</v>
      </c>
      <c r="O1230" s="5">
        <v>32.659199999999998</v>
      </c>
    </row>
    <row r="1231" spans="1:15">
      <c r="A1231" t="s">
        <v>2580</v>
      </c>
      <c r="B1231" s="7">
        <v>45823</v>
      </c>
      <c r="C1231" t="s">
        <v>208</v>
      </c>
      <c r="D1231" t="s">
        <v>1105</v>
      </c>
      <c r="E1231" t="s">
        <v>1332</v>
      </c>
      <c r="F1231" t="str">
        <f>[1]Raw_Customer_Dim!$A$2</f>
        <v>CUST1000</v>
      </c>
      <c r="G1231" t="str">
        <f>_xlfn.XLOOKUP(E1231,Store_Dim!A:A,Store_Dim!B:B,"Not Found")</f>
        <v>Holloway Ltd</v>
      </c>
      <c r="H1231" t="str">
        <f>_xlfn.XLOOKUP(D1231,Product_Dim!A:A,Product_Dim!C:C,"Not Found")</f>
        <v>Not Found</v>
      </c>
      <c r="I1231" t="str">
        <f>_xlfn.XLOOKUP(E1231,Store_Dim!A:A,Store_Dim!C:C,"Not Found")</f>
        <v>North</v>
      </c>
      <c r="J1231" t="str">
        <f>_xlfn.XLOOKUP(C1231,Customer_Dim!A:A,Customer_Dim!B:B,"Not Found")</f>
        <v>Cody Blake</v>
      </c>
      <c r="K1231">
        <f>Table511[[#This Row],[Total_Amount]]/(L1231*(1-Table511[[#This Row],[Discount]]))</f>
        <v>3</v>
      </c>
      <c r="L1231" s="5">
        <v>484.39</v>
      </c>
      <c r="M1231">
        <v>0.28999999999999998</v>
      </c>
      <c r="N1231" t="s">
        <v>1354</v>
      </c>
      <c r="O1231" s="5">
        <v>1031.7507000000001</v>
      </c>
    </row>
    <row r="1232" spans="1:15">
      <c r="A1232" t="s">
        <v>2581</v>
      </c>
      <c r="B1232" s="7">
        <v>45572</v>
      </c>
      <c r="C1232" t="s">
        <v>64</v>
      </c>
      <c r="D1232" t="s">
        <v>1233</v>
      </c>
      <c r="E1232" t="s">
        <v>1326</v>
      </c>
      <c r="F1232" t="str">
        <f>[1]Raw_Customer_Dim!$A$2</f>
        <v>CUST1000</v>
      </c>
      <c r="G1232" t="str">
        <f>_xlfn.XLOOKUP(E1232,Store_Dim!A:A,Store_Dim!B:B,"Not Found")</f>
        <v>Shelton PLC</v>
      </c>
      <c r="H1232" t="str">
        <f>_xlfn.XLOOKUP(D1232,Product_Dim!A:A,Product_Dim!C:C,"Not Found")</f>
        <v>Home</v>
      </c>
      <c r="I1232" t="str">
        <f>_xlfn.XLOOKUP(E1232,Store_Dim!A:A,Store_Dim!C:C,"Not Found")</f>
        <v>North</v>
      </c>
      <c r="J1232" t="str">
        <f>_xlfn.XLOOKUP(C1232,Customer_Dim!A:A,Customer_Dim!B:B,"Not Found")</f>
        <v>Rhonda Moss</v>
      </c>
      <c r="K1232">
        <f>Table511[[#This Row],[Total_Amount]]/(L1232*(1-Table511[[#This Row],[Discount]]))</f>
        <v>2</v>
      </c>
      <c r="L1232" s="5">
        <v>949.3</v>
      </c>
      <c r="M1232">
        <v>0.08</v>
      </c>
      <c r="N1232" t="s">
        <v>1354</v>
      </c>
      <c r="O1232" s="5">
        <v>1746.712</v>
      </c>
    </row>
    <row r="1233" spans="1:15">
      <c r="A1233" t="s">
        <v>2582</v>
      </c>
      <c r="B1233" s="7">
        <v>45259</v>
      </c>
      <c r="C1233" t="s">
        <v>929</v>
      </c>
      <c r="D1233" t="s">
        <v>1215</v>
      </c>
      <c r="E1233" t="s">
        <v>1301</v>
      </c>
      <c r="F1233" t="str">
        <f>[1]Raw_Customer_Dim!$A$2</f>
        <v>CUST1000</v>
      </c>
      <c r="G1233" t="str">
        <f>_xlfn.XLOOKUP(E1233,Store_Dim!A:A,Store_Dim!B:B,"Not Found")</f>
        <v>Benson-Elliott</v>
      </c>
      <c r="H1233" t="str">
        <f>_xlfn.XLOOKUP(D1233,Product_Dim!A:A,Product_Dim!C:C,"Not Found")</f>
        <v>Beauty</v>
      </c>
      <c r="I1233" t="str">
        <f>_xlfn.XLOOKUP(E1233,Store_Dim!A:A,Store_Dim!C:C,"Not Found")</f>
        <v>East</v>
      </c>
      <c r="J1233" t="str">
        <f>_xlfn.XLOOKUP(C1233,Customer_Dim!A:A,Customer_Dim!B:B,"Not Found")</f>
        <v>Thomas Moore</v>
      </c>
      <c r="K1233">
        <f>Table511[[#This Row],[Total_Amount]]/(L1233*(1-Table511[[#This Row],[Discount]]))</f>
        <v>3</v>
      </c>
      <c r="L1233" s="5">
        <v>664.75</v>
      </c>
      <c r="M1233">
        <v>0.12</v>
      </c>
      <c r="N1233" t="s">
        <v>1349</v>
      </c>
      <c r="O1233" s="5">
        <v>1754.94</v>
      </c>
    </row>
    <row r="1234" spans="1:15">
      <c r="A1234" t="s">
        <v>2583</v>
      </c>
      <c r="B1234" s="7">
        <v>45740</v>
      </c>
      <c r="C1234" t="s">
        <v>628</v>
      </c>
      <c r="D1234" t="s">
        <v>1213</v>
      </c>
      <c r="E1234" t="s">
        <v>1332</v>
      </c>
      <c r="F1234" t="str">
        <f>[1]Raw_Customer_Dim!$A$2</f>
        <v>CUST1000</v>
      </c>
      <c r="G1234" t="str">
        <f>_xlfn.XLOOKUP(E1234,Store_Dim!A:A,Store_Dim!B:B,"Not Found")</f>
        <v>Holloway Ltd</v>
      </c>
      <c r="H1234" t="str">
        <f>_xlfn.XLOOKUP(D1234,Product_Dim!A:A,Product_Dim!C:C,"Not Found")</f>
        <v>Home</v>
      </c>
      <c r="I1234" t="str">
        <f>_xlfn.XLOOKUP(E1234,Store_Dim!A:A,Store_Dim!C:C,"Not Found")</f>
        <v>North</v>
      </c>
      <c r="J1234" t="str">
        <f>_xlfn.XLOOKUP(C1234,Customer_Dim!A:A,Customer_Dim!B:B,"Not Found")</f>
        <v>Kristi Lopez</v>
      </c>
      <c r="K1234">
        <f>Table511[[#This Row],[Total_Amount]]/(L1234*(1-Table511[[#This Row],[Discount]]))</f>
        <v>3.0000000000000004</v>
      </c>
      <c r="L1234" s="5">
        <v>190.04</v>
      </c>
      <c r="M1234">
        <v>7.0000000000000007E-2</v>
      </c>
      <c r="N1234" t="s">
        <v>1351</v>
      </c>
      <c r="O1234" s="5">
        <v>530.21159999999998</v>
      </c>
    </row>
    <row r="1235" spans="1:15">
      <c r="A1235" t="s">
        <v>2584</v>
      </c>
      <c r="B1235" s="7">
        <v>45869</v>
      </c>
      <c r="C1235" t="s">
        <v>618</v>
      </c>
      <c r="D1235" t="s">
        <v>1085</v>
      </c>
      <c r="E1235" t="s">
        <v>1326</v>
      </c>
      <c r="F1235" t="str">
        <f>[1]Raw_Customer_Dim!$A$2</f>
        <v>CUST1000</v>
      </c>
      <c r="G1235" t="str">
        <f>_xlfn.XLOOKUP(E1235,Store_Dim!A:A,Store_Dim!B:B,"Not Found")</f>
        <v>Shelton PLC</v>
      </c>
      <c r="H1235" t="str">
        <f>_xlfn.XLOOKUP(D1235,Product_Dim!A:A,Product_Dim!C:C,"Not Found")</f>
        <v>Home</v>
      </c>
      <c r="I1235" t="str">
        <f>_xlfn.XLOOKUP(E1235,Store_Dim!A:A,Store_Dim!C:C,"Not Found")</f>
        <v>North</v>
      </c>
      <c r="J1235" t="str">
        <f>_xlfn.XLOOKUP(C1235,Customer_Dim!A:A,Customer_Dim!B:B,"Not Found")</f>
        <v>Jeffrey Gomez</v>
      </c>
      <c r="K1235">
        <f>Table511[[#This Row],[Total_Amount]]/(L1235*(1-Table511[[#This Row],[Discount]]))</f>
        <v>3</v>
      </c>
      <c r="L1235" s="5">
        <v>754.02</v>
      </c>
      <c r="M1235">
        <v>0.1</v>
      </c>
      <c r="N1235" t="s">
        <v>1354</v>
      </c>
      <c r="O1235" s="5">
        <v>2035.854</v>
      </c>
    </row>
    <row r="1236" spans="1:15">
      <c r="A1236" t="s">
        <v>2585</v>
      </c>
      <c r="B1236" s="7">
        <v>45526</v>
      </c>
      <c r="C1236" t="s">
        <v>831</v>
      </c>
      <c r="D1236" t="s">
        <v>1141</v>
      </c>
      <c r="E1236" t="s">
        <v>1319</v>
      </c>
      <c r="F1236" t="str">
        <f>[1]Raw_Customer_Dim!$A$2</f>
        <v>CUST1000</v>
      </c>
      <c r="G1236" t="str">
        <f>_xlfn.XLOOKUP(E1236,Store_Dim!A:A,Store_Dim!B:B,"Not Found")</f>
        <v>Thomas, Bridges and Harris</v>
      </c>
      <c r="H1236" t="str">
        <f>_xlfn.XLOOKUP(D1236,Product_Dim!A:A,Product_Dim!C:C,"Not Found")</f>
        <v>Electronics</v>
      </c>
      <c r="I1236" t="str">
        <f>_xlfn.XLOOKUP(E1236,Store_Dim!A:A,Store_Dim!C:C,"Not Found")</f>
        <v>North</v>
      </c>
      <c r="J1236" t="str">
        <f>_xlfn.XLOOKUP(C1236,Customer_Dim!A:A,Customer_Dim!B:B,"Not Found")</f>
        <v>Andrew Mason</v>
      </c>
      <c r="K1236">
        <f>Table511[[#This Row],[Total_Amount]]/(L1236*(1-Table511[[#This Row],[Discount]]))</f>
        <v>4.0000000000000009</v>
      </c>
      <c r="L1236" s="5">
        <v>94.13</v>
      </c>
      <c r="M1236">
        <v>0.04</v>
      </c>
      <c r="N1236" t="s">
        <v>1354</v>
      </c>
      <c r="O1236" s="5">
        <v>361.45920000000001</v>
      </c>
    </row>
    <row r="1237" spans="1:15">
      <c r="A1237" t="s">
        <v>2586</v>
      </c>
      <c r="B1237" s="7">
        <v>45489</v>
      </c>
      <c r="C1237" t="s">
        <v>998</v>
      </c>
      <c r="D1237" t="s">
        <v>1071</v>
      </c>
      <c r="E1237" t="s">
        <v>1326</v>
      </c>
      <c r="F1237" t="str">
        <f>[1]Raw_Customer_Dim!$A$2</f>
        <v>CUST1000</v>
      </c>
      <c r="G1237" t="str">
        <f>_xlfn.XLOOKUP(E1237,Store_Dim!A:A,Store_Dim!B:B,"Not Found")</f>
        <v>Shelton PLC</v>
      </c>
      <c r="H1237" t="str">
        <f>_xlfn.XLOOKUP(D1237,Product_Dim!A:A,Product_Dim!C:C,"Not Found")</f>
        <v>Clothing</v>
      </c>
      <c r="I1237" t="str">
        <f>_xlfn.XLOOKUP(E1237,Store_Dim!A:A,Store_Dim!C:C,"Not Found")</f>
        <v>North</v>
      </c>
      <c r="J1237" t="str">
        <f>_xlfn.XLOOKUP(C1237,Customer_Dim!A:A,Customer_Dim!B:B,"Not Found")</f>
        <v>Gregory Curtis</v>
      </c>
      <c r="K1237">
        <f>Table511[[#This Row],[Total_Amount]]/(L1237*(1-Table511[[#This Row],[Discount]]))</f>
        <v>3.0000000000000004</v>
      </c>
      <c r="L1237" s="5">
        <v>402.3</v>
      </c>
      <c r="M1237">
        <v>0.21</v>
      </c>
      <c r="N1237" t="s">
        <v>1351</v>
      </c>
      <c r="O1237" s="5">
        <v>953.45100000000014</v>
      </c>
    </row>
    <row r="1238" spans="1:15">
      <c r="A1238" t="s">
        <v>2587</v>
      </c>
      <c r="B1238" s="7">
        <v>45908</v>
      </c>
      <c r="C1238" t="s">
        <v>541</v>
      </c>
      <c r="D1238" t="s">
        <v>1245</v>
      </c>
      <c r="E1238" t="s">
        <v>1304</v>
      </c>
      <c r="F1238" t="str">
        <f>[1]Raw_Customer_Dim!$A$2</f>
        <v>CUST1000</v>
      </c>
      <c r="G1238" t="str">
        <f>_xlfn.XLOOKUP(E1238,Store_Dim!A:A,Store_Dim!B:B,"Not Found")</f>
        <v>Martinez-Mullins</v>
      </c>
      <c r="H1238" t="str">
        <f>_xlfn.XLOOKUP(D1238,Product_Dim!A:A,Product_Dim!C:C,"Not Found")</f>
        <v>Home</v>
      </c>
      <c r="I1238" t="str">
        <f>_xlfn.XLOOKUP(E1238,Store_Dim!A:A,Store_Dim!C:C,"Not Found")</f>
        <v>South</v>
      </c>
      <c r="J1238" t="str">
        <f>_xlfn.XLOOKUP(C1238,Customer_Dim!A:A,Customer_Dim!B:B,"Not Found")</f>
        <v>Maria Hill</v>
      </c>
      <c r="K1238">
        <f>Table511[[#This Row],[Total_Amount]]/(L1238*(1-Table511[[#This Row],[Discount]]))</f>
        <v>1</v>
      </c>
      <c r="L1238" s="5">
        <v>729.05</v>
      </c>
      <c r="M1238">
        <v>0.06</v>
      </c>
      <c r="N1238" t="s">
        <v>1354</v>
      </c>
      <c r="O1238" s="5">
        <v>685.3069999999999</v>
      </c>
    </row>
    <row r="1239" spans="1:15">
      <c r="A1239" t="s">
        <v>2588</v>
      </c>
      <c r="B1239" s="7">
        <v>45912</v>
      </c>
      <c r="C1239" t="s">
        <v>329</v>
      </c>
      <c r="D1239" t="s">
        <v>1253</v>
      </c>
      <c r="E1239" t="s">
        <v>1322</v>
      </c>
      <c r="F1239" t="str">
        <f>[1]Raw_Customer_Dim!$A$2</f>
        <v>CUST1000</v>
      </c>
      <c r="G1239" t="str">
        <f>_xlfn.XLOOKUP(E1239,Store_Dim!A:A,Store_Dim!B:B,"Not Found")</f>
        <v>Gardner, Humphrey and Contreras</v>
      </c>
      <c r="H1239" t="str">
        <f>_xlfn.XLOOKUP(D1239,Product_Dim!A:A,Product_Dim!C:C,"Not Found")</f>
        <v>Electronics</v>
      </c>
      <c r="I1239" t="str">
        <f>_xlfn.XLOOKUP(E1239,Store_Dim!A:A,Store_Dim!C:C,"Not Found")</f>
        <v>East</v>
      </c>
      <c r="J1239" t="str">
        <f>_xlfn.XLOOKUP(C1239,Customer_Dim!A:A,Customer_Dim!B:B,"Not Found")</f>
        <v>Morgan Bowen</v>
      </c>
      <c r="K1239">
        <f>Table511[[#This Row],[Total_Amount]]/(L1239*(1-Table511[[#This Row],[Discount]]))</f>
        <v>1</v>
      </c>
      <c r="L1239" s="5">
        <v>822.6</v>
      </c>
      <c r="M1239">
        <v>0.28999999999999998</v>
      </c>
      <c r="N1239" t="s">
        <v>1351</v>
      </c>
      <c r="O1239" s="5">
        <v>584.04599999999994</v>
      </c>
    </row>
    <row r="1240" spans="1:15">
      <c r="A1240" t="s">
        <v>2589</v>
      </c>
      <c r="B1240" s="7">
        <v>45771</v>
      </c>
      <c r="C1240" t="s">
        <v>448</v>
      </c>
      <c r="D1240" t="s">
        <v>1239</v>
      </c>
      <c r="E1240" t="s">
        <v>1307</v>
      </c>
      <c r="F1240" t="str">
        <f>[1]Raw_Customer_Dim!$A$2</f>
        <v>CUST1000</v>
      </c>
      <c r="G1240" t="str">
        <f>_xlfn.XLOOKUP(E1240,Store_Dim!A:A,Store_Dim!B:B,"Not Found")</f>
        <v>Bean, Jones and Park</v>
      </c>
      <c r="H1240" t="str">
        <f>_xlfn.XLOOKUP(D1240,Product_Dim!A:A,Product_Dim!C:C,"Not Found")</f>
        <v>Beauty</v>
      </c>
      <c r="I1240" t="str">
        <f>_xlfn.XLOOKUP(E1240,Store_Dim!A:A,Store_Dim!C:C,"Not Found")</f>
        <v>West</v>
      </c>
      <c r="J1240" t="str">
        <f>_xlfn.XLOOKUP(C1240,Customer_Dim!A:A,Customer_Dim!B:B,"Not Found")</f>
        <v>David Roberts</v>
      </c>
      <c r="K1240">
        <f>Table511[[#This Row],[Total_Amount]]/(L1240*(1-Table511[[#This Row],[Discount]]))</f>
        <v>2</v>
      </c>
      <c r="L1240" s="5">
        <v>327.25</v>
      </c>
      <c r="M1240">
        <v>0.19</v>
      </c>
      <c r="N1240" t="s">
        <v>1351</v>
      </c>
      <c r="O1240" s="5">
        <v>530.14499999999998</v>
      </c>
    </row>
    <row r="1241" spans="1:15">
      <c r="A1241" t="s">
        <v>2590</v>
      </c>
      <c r="B1241" s="7">
        <v>45619</v>
      </c>
      <c r="C1241" t="s">
        <v>222</v>
      </c>
      <c r="D1241" t="s">
        <v>1213</v>
      </c>
      <c r="E1241" t="s">
        <v>1311</v>
      </c>
      <c r="F1241" t="str">
        <f>[1]Raw_Customer_Dim!$A$2</f>
        <v>CUST1000</v>
      </c>
      <c r="G1241" t="str">
        <f>_xlfn.XLOOKUP(E1241,Store_Dim!A:A,Store_Dim!B:B,"Not Found")</f>
        <v>Moore, Padilla and Butler</v>
      </c>
      <c r="H1241" t="str">
        <f>_xlfn.XLOOKUP(D1241,Product_Dim!A:A,Product_Dim!C:C,"Not Found")</f>
        <v>Home</v>
      </c>
      <c r="I1241" t="str">
        <f>_xlfn.XLOOKUP(E1241,Store_Dim!A:A,Store_Dim!C:C,"Not Found")</f>
        <v>South</v>
      </c>
      <c r="J1241" t="str">
        <f>_xlfn.XLOOKUP(C1241,Customer_Dim!A:A,Customer_Dim!B:B,"Not Found")</f>
        <v>Christy Hoffman</v>
      </c>
      <c r="K1241">
        <f>Table511[[#This Row],[Total_Amount]]/(L1241*(1-Table511[[#This Row],[Discount]]))</f>
        <v>4</v>
      </c>
      <c r="L1241" s="5">
        <v>930.38</v>
      </c>
      <c r="M1241">
        <v>0</v>
      </c>
      <c r="N1241" t="s">
        <v>1354</v>
      </c>
      <c r="O1241" s="5">
        <v>3721.52</v>
      </c>
    </row>
    <row r="1242" spans="1:15">
      <c r="A1242" t="s">
        <v>2591</v>
      </c>
      <c r="B1242" s="7">
        <v>45394</v>
      </c>
      <c r="C1242" t="s">
        <v>349</v>
      </c>
      <c r="D1242" t="s">
        <v>1127</v>
      </c>
      <c r="E1242" t="s">
        <v>1298</v>
      </c>
      <c r="F1242" t="str">
        <f>[1]Raw_Customer_Dim!$A$2</f>
        <v>CUST1000</v>
      </c>
      <c r="G1242" t="str">
        <f>_xlfn.XLOOKUP(E1242,Store_Dim!A:A,Store_Dim!B:B,"Not Found")</f>
        <v>Gray Ltd</v>
      </c>
      <c r="H1242" t="str">
        <f>_xlfn.XLOOKUP(D1242,Product_Dim!A:A,Product_Dim!C:C,"Not Found")</f>
        <v>Home</v>
      </c>
      <c r="I1242" t="str">
        <f>_xlfn.XLOOKUP(E1242,Store_Dim!A:A,Store_Dim!C:C,"Not Found")</f>
        <v>North</v>
      </c>
      <c r="J1242" t="str">
        <f>_xlfn.XLOOKUP(C1242,Customer_Dim!A:A,Customer_Dim!B:B,"Not Found")</f>
        <v>Justin Cross</v>
      </c>
      <c r="K1242">
        <f>Table511[[#This Row],[Total_Amount]]/(L1242*(1-Table511[[#This Row],[Discount]]))</f>
        <v>2</v>
      </c>
      <c r="L1242" s="5">
        <v>437.84</v>
      </c>
      <c r="M1242">
        <v>0.24</v>
      </c>
      <c r="N1242" t="s">
        <v>1349</v>
      </c>
      <c r="O1242" s="5">
        <v>665.51679999999999</v>
      </c>
    </row>
    <row r="1243" spans="1:15">
      <c r="A1243" t="s">
        <v>2592</v>
      </c>
      <c r="B1243" s="7">
        <v>45786</v>
      </c>
      <c r="C1243" t="s">
        <v>190</v>
      </c>
      <c r="D1243" t="s">
        <v>1105</v>
      </c>
      <c r="E1243" t="s">
        <v>1329</v>
      </c>
      <c r="F1243" t="str">
        <f>[1]Raw_Customer_Dim!$A$2</f>
        <v>CUST1000</v>
      </c>
      <c r="G1243" t="str">
        <f>_xlfn.XLOOKUP(E1243,Store_Dim!A:A,Store_Dim!B:B,"Not Found")</f>
        <v>Frederick-Wright</v>
      </c>
      <c r="H1243" t="str">
        <f>_xlfn.XLOOKUP(D1243,Product_Dim!A:A,Product_Dim!C:C,"Not Found")</f>
        <v>Not Found</v>
      </c>
      <c r="I1243" t="str">
        <f>_xlfn.XLOOKUP(E1243,Store_Dim!A:A,Store_Dim!C:C,"Not Found")</f>
        <v>West</v>
      </c>
      <c r="J1243" t="str">
        <f>_xlfn.XLOOKUP(C1243,Customer_Dim!A:A,Customer_Dim!B:B,"Not Found")</f>
        <v>Eric Singh</v>
      </c>
      <c r="K1243">
        <f>Table511[[#This Row],[Total_Amount]]/(L1243*(1-Table511[[#This Row],[Discount]]))</f>
        <v>2</v>
      </c>
      <c r="L1243" s="5">
        <v>126.02</v>
      </c>
      <c r="M1243">
        <v>0.09</v>
      </c>
      <c r="N1243" t="s">
        <v>1354</v>
      </c>
      <c r="O1243" s="5">
        <v>229.35640000000001</v>
      </c>
    </row>
    <row r="1244" spans="1:15">
      <c r="A1244" t="s">
        <v>2593</v>
      </c>
      <c r="B1244" s="7">
        <v>45692</v>
      </c>
      <c r="C1244" t="s">
        <v>937</v>
      </c>
      <c r="D1244" t="s">
        <v>1239</v>
      </c>
      <c r="E1244" t="s">
        <v>1326</v>
      </c>
      <c r="F1244" t="str">
        <f>[1]Raw_Customer_Dim!$A$2</f>
        <v>CUST1000</v>
      </c>
      <c r="G1244" t="str">
        <f>_xlfn.XLOOKUP(E1244,Store_Dim!A:A,Store_Dim!B:B,"Not Found")</f>
        <v>Shelton PLC</v>
      </c>
      <c r="H1244" t="str">
        <f>_xlfn.XLOOKUP(D1244,Product_Dim!A:A,Product_Dim!C:C,"Not Found")</f>
        <v>Beauty</v>
      </c>
      <c r="I1244" t="str">
        <f>_xlfn.XLOOKUP(E1244,Store_Dim!A:A,Store_Dim!C:C,"Not Found")</f>
        <v>North</v>
      </c>
      <c r="J1244" t="str">
        <f>_xlfn.XLOOKUP(C1244,Customer_Dim!A:A,Customer_Dim!B:B,"Not Found")</f>
        <v>Melinda Rivera</v>
      </c>
      <c r="K1244">
        <f>Table511[[#This Row],[Total_Amount]]/(L1244*(1-Table511[[#This Row],[Discount]]))</f>
        <v>1</v>
      </c>
      <c r="L1244" s="5">
        <v>860.84</v>
      </c>
      <c r="M1244">
        <v>7.0000000000000007E-2</v>
      </c>
      <c r="N1244" t="s">
        <v>1351</v>
      </c>
      <c r="O1244" s="5">
        <v>800.58119999999997</v>
      </c>
    </row>
    <row r="1245" spans="1:15">
      <c r="A1245" t="s">
        <v>2594</v>
      </c>
      <c r="B1245" s="7">
        <v>45677</v>
      </c>
      <c r="C1245" t="s">
        <v>244</v>
      </c>
      <c r="D1245" t="s">
        <v>1169</v>
      </c>
      <c r="E1245" t="s">
        <v>1322</v>
      </c>
      <c r="F1245" t="str">
        <f>[1]Raw_Customer_Dim!$A$2</f>
        <v>CUST1000</v>
      </c>
      <c r="G1245" t="str">
        <f>_xlfn.XLOOKUP(E1245,Store_Dim!A:A,Store_Dim!B:B,"Not Found")</f>
        <v>Gardner, Humphrey and Contreras</v>
      </c>
      <c r="H1245" t="str">
        <f>_xlfn.XLOOKUP(D1245,Product_Dim!A:A,Product_Dim!C:C,"Not Found")</f>
        <v>Electronics</v>
      </c>
      <c r="I1245" t="str">
        <f>_xlfn.XLOOKUP(E1245,Store_Dim!A:A,Store_Dim!C:C,"Not Found")</f>
        <v>East</v>
      </c>
      <c r="J1245" t="str">
        <f>_xlfn.XLOOKUP(C1245,Customer_Dim!A:A,Customer_Dim!B:B,"Not Found")</f>
        <v>Christy Vasquez</v>
      </c>
      <c r="K1245">
        <f>Table511[[#This Row],[Total_Amount]]/(L1245*(1-Table511[[#This Row],[Discount]]))</f>
        <v>1</v>
      </c>
      <c r="L1245" s="5">
        <v>161.80000000000001</v>
      </c>
      <c r="M1245">
        <v>0.24</v>
      </c>
      <c r="N1245" t="s">
        <v>1351</v>
      </c>
      <c r="O1245" s="5">
        <v>122.968</v>
      </c>
    </row>
    <row r="1246" spans="1:15">
      <c r="A1246" t="s">
        <v>2595</v>
      </c>
      <c r="B1246" s="7">
        <v>45669</v>
      </c>
      <c r="C1246" t="s">
        <v>833</v>
      </c>
      <c r="D1246" t="s">
        <v>1149</v>
      </c>
      <c r="E1246" t="s">
        <v>1332</v>
      </c>
      <c r="F1246" t="str">
        <f>[1]Raw_Customer_Dim!$A$2</f>
        <v>CUST1000</v>
      </c>
      <c r="G1246" t="str">
        <f>_xlfn.XLOOKUP(E1246,Store_Dim!A:A,Store_Dim!B:B,"Not Found")</f>
        <v>Holloway Ltd</v>
      </c>
      <c r="H1246" t="str">
        <f>_xlfn.XLOOKUP(D1246,Product_Dim!A:A,Product_Dim!C:C,"Not Found")</f>
        <v>Sports</v>
      </c>
      <c r="I1246" t="str">
        <f>_xlfn.XLOOKUP(E1246,Store_Dim!A:A,Store_Dim!C:C,"Not Found")</f>
        <v>North</v>
      </c>
      <c r="J1246" t="str">
        <f>_xlfn.XLOOKUP(C1246,Customer_Dim!A:A,Customer_Dim!B:B,"Not Found")</f>
        <v>Tammy Brennan</v>
      </c>
      <c r="K1246">
        <f>Table511[[#This Row],[Total_Amount]]/(L1246*(1-Table511[[#This Row],[Discount]]))</f>
        <v>4.0000000000000009</v>
      </c>
      <c r="L1246" s="5">
        <v>347.82</v>
      </c>
      <c r="M1246">
        <v>0.02</v>
      </c>
      <c r="N1246" t="s">
        <v>1354</v>
      </c>
      <c r="O1246" s="5">
        <v>1363.4544000000001</v>
      </c>
    </row>
    <row r="1247" spans="1:15">
      <c r="A1247" t="s">
        <v>2596</v>
      </c>
      <c r="B1247" s="7">
        <v>45299</v>
      </c>
      <c r="C1247" t="s">
        <v>969</v>
      </c>
      <c r="D1247" t="s">
        <v>1243</v>
      </c>
      <c r="E1247" t="s">
        <v>1329</v>
      </c>
      <c r="F1247" t="str">
        <f>[1]Raw_Customer_Dim!$A$2</f>
        <v>CUST1000</v>
      </c>
      <c r="G1247" t="str">
        <f>_xlfn.XLOOKUP(E1247,Store_Dim!A:A,Store_Dim!B:B,"Not Found")</f>
        <v>Frederick-Wright</v>
      </c>
      <c r="H1247" t="str">
        <f>_xlfn.XLOOKUP(D1247,Product_Dim!A:A,Product_Dim!C:C,"Not Found")</f>
        <v>Clothing</v>
      </c>
      <c r="I1247" t="str">
        <f>_xlfn.XLOOKUP(E1247,Store_Dim!A:A,Store_Dim!C:C,"Not Found")</f>
        <v>West</v>
      </c>
      <c r="J1247" t="str">
        <f>_xlfn.XLOOKUP(C1247,Customer_Dim!A:A,Customer_Dim!B:B,"Not Found")</f>
        <v>April Phillips</v>
      </c>
      <c r="K1247">
        <f>Table511[[#This Row],[Total_Amount]]/(L1247*(1-Table511[[#This Row],[Discount]]))</f>
        <v>3</v>
      </c>
      <c r="L1247" s="5">
        <v>416.44</v>
      </c>
      <c r="M1247">
        <v>0.27</v>
      </c>
      <c r="N1247" t="s">
        <v>1349</v>
      </c>
      <c r="O1247" s="5">
        <v>912.00359999999989</v>
      </c>
    </row>
    <row r="1248" spans="1:15">
      <c r="A1248" t="s">
        <v>2597</v>
      </c>
      <c r="B1248" s="7">
        <v>45893</v>
      </c>
      <c r="C1248" t="s">
        <v>27</v>
      </c>
      <c r="D1248" t="s">
        <v>1197</v>
      </c>
      <c r="E1248" t="s">
        <v>1277</v>
      </c>
      <c r="F1248" t="str">
        <f>[1]Raw_Customer_Dim!$A$2</f>
        <v>CUST1000</v>
      </c>
      <c r="G1248" t="str">
        <f>_xlfn.XLOOKUP(E1248,Store_Dim!A:A,Store_Dim!B:B,"Not Found")</f>
        <v>Rivera-Warner</v>
      </c>
      <c r="H1248" t="str">
        <f>_xlfn.XLOOKUP(D1248,Product_Dim!A:A,Product_Dim!C:C,"Not Found")</f>
        <v>Electronics</v>
      </c>
      <c r="I1248" t="str">
        <f>_xlfn.XLOOKUP(E1248,Store_Dim!A:A,Store_Dim!C:C,"Not Found")</f>
        <v>East</v>
      </c>
      <c r="J1248" t="str">
        <f>_xlfn.XLOOKUP(C1248,Customer_Dim!A:A,Customer_Dim!B:B,"Not Found")</f>
        <v>Christine Vaughn</v>
      </c>
      <c r="K1248">
        <f>Table511[[#This Row],[Total_Amount]]/(L1248*(1-Table511[[#This Row],[Discount]]))</f>
        <v>1</v>
      </c>
      <c r="L1248" s="5">
        <v>147.96</v>
      </c>
      <c r="M1248">
        <v>0.24</v>
      </c>
      <c r="N1248" t="s">
        <v>1354</v>
      </c>
      <c r="O1248" s="5">
        <v>112.4496</v>
      </c>
    </row>
    <row r="1249" spans="1:15">
      <c r="A1249" t="s">
        <v>2598</v>
      </c>
      <c r="B1249" s="7">
        <v>45560</v>
      </c>
      <c r="C1249" t="s">
        <v>953</v>
      </c>
      <c r="D1249" t="s">
        <v>1109</v>
      </c>
      <c r="E1249" t="s">
        <v>1307</v>
      </c>
      <c r="F1249" t="str">
        <f>[1]Raw_Customer_Dim!$A$2</f>
        <v>CUST1000</v>
      </c>
      <c r="G1249" t="str">
        <f>_xlfn.XLOOKUP(E1249,Store_Dim!A:A,Store_Dim!B:B,"Not Found")</f>
        <v>Bean, Jones and Park</v>
      </c>
      <c r="H1249" t="str">
        <f>_xlfn.XLOOKUP(D1249,Product_Dim!A:A,Product_Dim!C:C,"Not Found")</f>
        <v>Clothing</v>
      </c>
      <c r="I1249" t="str">
        <f>_xlfn.XLOOKUP(E1249,Store_Dim!A:A,Store_Dim!C:C,"Not Found")</f>
        <v>West</v>
      </c>
      <c r="J1249" t="str">
        <f>_xlfn.XLOOKUP(C1249,Customer_Dim!A:A,Customer_Dim!B:B,"Not Found")</f>
        <v>Gene Lee</v>
      </c>
      <c r="K1249">
        <f>Table511[[#This Row],[Total_Amount]]/(L1249*(1-Table511[[#This Row],[Discount]]))</f>
        <v>3</v>
      </c>
      <c r="L1249" s="5">
        <v>550.26</v>
      </c>
      <c r="M1249">
        <v>0.22</v>
      </c>
      <c r="N1249" t="s">
        <v>1349</v>
      </c>
      <c r="O1249" s="5">
        <v>1287.6084000000001</v>
      </c>
    </row>
    <row r="1250" spans="1:15">
      <c r="A1250" t="s">
        <v>2599</v>
      </c>
      <c r="B1250" s="7">
        <v>45267</v>
      </c>
      <c r="C1250" t="s">
        <v>805</v>
      </c>
      <c r="D1250" t="s">
        <v>1267</v>
      </c>
      <c r="E1250" t="s">
        <v>1304</v>
      </c>
      <c r="F1250" t="str">
        <f>[1]Raw_Customer_Dim!$A$2</f>
        <v>CUST1000</v>
      </c>
      <c r="G1250" t="str">
        <f>_xlfn.XLOOKUP(E1250,Store_Dim!A:A,Store_Dim!B:B,"Not Found")</f>
        <v>Martinez-Mullins</v>
      </c>
      <c r="H1250" t="str">
        <f>_xlfn.XLOOKUP(D1250,Product_Dim!A:A,Product_Dim!C:C,"Not Found")</f>
        <v>Sports</v>
      </c>
      <c r="I1250" t="str">
        <f>_xlfn.XLOOKUP(E1250,Store_Dim!A:A,Store_Dim!C:C,"Not Found")</f>
        <v>South</v>
      </c>
      <c r="J1250" t="str">
        <f>_xlfn.XLOOKUP(C1250,Customer_Dim!A:A,Customer_Dim!B:B,"Not Found")</f>
        <v>Michael Garner</v>
      </c>
      <c r="K1250">
        <f>Table511[[#This Row],[Total_Amount]]/(L1250*(1-Table511[[#This Row],[Discount]]))</f>
        <v>4</v>
      </c>
      <c r="L1250" s="5">
        <v>938.21</v>
      </c>
      <c r="M1250">
        <v>0.04</v>
      </c>
      <c r="N1250" t="s">
        <v>1351</v>
      </c>
      <c r="O1250" s="5">
        <v>3602.7264</v>
      </c>
    </row>
    <row r="1251" spans="1:15">
      <c r="A1251" t="s">
        <v>2600</v>
      </c>
      <c r="B1251" s="7">
        <v>45467</v>
      </c>
      <c r="C1251" t="s">
        <v>329</v>
      </c>
      <c r="D1251" t="s">
        <v>1261</v>
      </c>
      <c r="E1251" t="s">
        <v>1329</v>
      </c>
      <c r="F1251" t="str">
        <f>[1]Raw_Customer_Dim!$A$2</f>
        <v>CUST1000</v>
      </c>
      <c r="G1251" t="str">
        <f>_xlfn.XLOOKUP(E1251,Store_Dim!A:A,Store_Dim!B:B,"Not Found")</f>
        <v>Frederick-Wright</v>
      </c>
      <c r="H1251" t="str">
        <f>_xlfn.XLOOKUP(D1251,Product_Dim!A:A,Product_Dim!C:C,"Not Found")</f>
        <v>Beauty</v>
      </c>
      <c r="I1251" t="str">
        <f>_xlfn.XLOOKUP(E1251,Store_Dim!A:A,Store_Dim!C:C,"Not Found")</f>
        <v>West</v>
      </c>
      <c r="J1251" t="str">
        <f>_xlfn.XLOOKUP(C1251,Customer_Dim!A:A,Customer_Dim!B:B,"Not Found")</f>
        <v>Morgan Bowen</v>
      </c>
      <c r="K1251">
        <f>Table511[[#This Row],[Total_Amount]]/(L1251*(1-Table511[[#This Row],[Discount]]))</f>
        <v>3</v>
      </c>
      <c r="L1251" s="5">
        <v>517.98</v>
      </c>
      <c r="M1251">
        <v>0.01</v>
      </c>
      <c r="N1251" t="s">
        <v>1351</v>
      </c>
      <c r="O1251" s="5">
        <v>1538.4005999999999</v>
      </c>
    </row>
    <row r="1252" spans="1:15">
      <c r="A1252" t="s">
        <v>2601</v>
      </c>
      <c r="B1252" s="7">
        <v>45847</v>
      </c>
      <c r="C1252" t="s">
        <v>109</v>
      </c>
      <c r="D1252" t="s">
        <v>1082</v>
      </c>
      <c r="E1252" t="s">
        <v>1307</v>
      </c>
      <c r="F1252" t="str">
        <f>[1]Raw_Customer_Dim!$A$2</f>
        <v>CUST1000</v>
      </c>
      <c r="G1252" t="str">
        <f>_xlfn.XLOOKUP(E1252,Store_Dim!A:A,Store_Dim!B:B,"Not Found")</f>
        <v>Bean, Jones and Park</v>
      </c>
      <c r="H1252" t="str">
        <f>_xlfn.XLOOKUP(D1252,Product_Dim!A:A,Product_Dim!C:C,"Not Found")</f>
        <v>Beauty</v>
      </c>
      <c r="I1252" t="str">
        <f>_xlfn.XLOOKUP(E1252,Store_Dim!A:A,Store_Dim!C:C,"Not Found")</f>
        <v>West</v>
      </c>
      <c r="J1252" t="str">
        <f>_xlfn.XLOOKUP(C1252,Customer_Dim!A:A,Customer_Dim!B:B,"Not Found")</f>
        <v>Thomas Phillips</v>
      </c>
      <c r="K1252">
        <f>Table511[[#This Row],[Total_Amount]]/(L1252*(1-Table511[[#This Row],[Discount]]))</f>
        <v>1</v>
      </c>
      <c r="L1252" s="5">
        <v>98.27</v>
      </c>
      <c r="M1252">
        <v>0.16</v>
      </c>
      <c r="N1252" t="s">
        <v>1351</v>
      </c>
      <c r="O1252" s="5">
        <v>82.54679999999999</v>
      </c>
    </row>
    <row r="1253" spans="1:15">
      <c r="A1253" t="s">
        <v>2602</v>
      </c>
      <c r="B1253" s="7">
        <v>45480</v>
      </c>
      <c r="C1253" t="s">
        <v>565</v>
      </c>
      <c r="D1253" t="s">
        <v>1169</v>
      </c>
      <c r="E1253" t="s">
        <v>1317</v>
      </c>
      <c r="F1253" t="str">
        <f>[1]Raw_Customer_Dim!$A$2</f>
        <v>CUST1000</v>
      </c>
      <c r="G1253" t="str">
        <f>_xlfn.XLOOKUP(E1253,Store_Dim!A:A,Store_Dim!B:B,"Not Found")</f>
        <v>Aguirre-Keller</v>
      </c>
      <c r="H1253" t="str">
        <f>_xlfn.XLOOKUP(D1253,Product_Dim!A:A,Product_Dim!C:C,"Not Found")</f>
        <v>Electronics</v>
      </c>
      <c r="I1253" t="str">
        <f>_xlfn.XLOOKUP(E1253,Store_Dim!A:A,Store_Dim!C:C,"Not Found")</f>
        <v>South</v>
      </c>
      <c r="J1253" t="str">
        <f>_xlfn.XLOOKUP(C1253,Customer_Dim!A:A,Customer_Dim!B:B,"Not Found")</f>
        <v>Tyler Garner</v>
      </c>
      <c r="K1253">
        <f>Table511[[#This Row],[Total_Amount]]/(L1253*(1-Table511[[#This Row],[Discount]]))</f>
        <v>2</v>
      </c>
      <c r="L1253" s="5">
        <v>875.2</v>
      </c>
      <c r="M1253">
        <v>0.19</v>
      </c>
      <c r="N1253" t="s">
        <v>1349</v>
      </c>
      <c r="O1253" s="5">
        <v>1417.8240000000001</v>
      </c>
    </row>
    <row r="1254" spans="1:15">
      <c r="A1254" t="s">
        <v>2603</v>
      </c>
      <c r="B1254" s="7">
        <v>45345</v>
      </c>
      <c r="C1254" t="s">
        <v>674</v>
      </c>
      <c r="D1254" t="s">
        <v>1245</v>
      </c>
      <c r="E1254" t="s">
        <v>1277</v>
      </c>
      <c r="F1254" t="str">
        <f>[1]Raw_Customer_Dim!$A$2</f>
        <v>CUST1000</v>
      </c>
      <c r="G1254" t="str">
        <f>_xlfn.XLOOKUP(E1254,Store_Dim!A:A,Store_Dim!B:B,"Not Found")</f>
        <v>Rivera-Warner</v>
      </c>
      <c r="H1254" t="str">
        <f>_xlfn.XLOOKUP(D1254,Product_Dim!A:A,Product_Dim!C:C,"Not Found")</f>
        <v>Home</v>
      </c>
      <c r="I1254" t="str">
        <f>_xlfn.XLOOKUP(E1254,Store_Dim!A:A,Store_Dim!C:C,"Not Found")</f>
        <v>East</v>
      </c>
      <c r="J1254" t="str">
        <f>_xlfn.XLOOKUP(C1254,Customer_Dim!A:A,Customer_Dim!B:B,"Not Found")</f>
        <v>Roberta Green</v>
      </c>
      <c r="K1254">
        <f>Table511[[#This Row],[Total_Amount]]/(L1254*(1-Table511[[#This Row],[Discount]]))</f>
        <v>1.0000000000000002</v>
      </c>
      <c r="L1254" s="5">
        <v>227.35</v>
      </c>
      <c r="M1254">
        <v>0.06</v>
      </c>
      <c r="N1254" t="s">
        <v>1354</v>
      </c>
      <c r="O1254" s="5">
        <v>213.709</v>
      </c>
    </row>
    <row r="1255" spans="1:15">
      <c r="A1255" t="s">
        <v>2604</v>
      </c>
      <c r="B1255" s="7">
        <v>45235</v>
      </c>
      <c r="C1255" t="s">
        <v>482</v>
      </c>
      <c r="D1255" t="s">
        <v>1221</v>
      </c>
      <c r="E1255" t="s">
        <v>1282</v>
      </c>
      <c r="F1255" t="str">
        <f>[1]Raw_Customer_Dim!$A$2</f>
        <v>CUST1000</v>
      </c>
      <c r="G1255" t="str">
        <f>_xlfn.XLOOKUP(E1255,Store_Dim!A:A,Store_Dim!B:B,"Not Found")</f>
        <v>Martinez, Adkins and Johnson</v>
      </c>
      <c r="H1255" t="str">
        <f>_xlfn.XLOOKUP(D1255,Product_Dim!A:A,Product_Dim!C:C,"Not Found")</f>
        <v>Electronics</v>
      </c>
      <c r="I1255" t="str">
        <f>_xlfn.XLOOKUP(E1255,Store_Dim!A:A,Store_Dim!C:C,"Not Found")</f>
        <v>North</v>
      </c>
      <c r="J1255" t="str">
        <f>_xlfn.XLOOKUP(C1255,Customer_Dim!A:A,Customer_Dim!B:B,"Not Found")</f>
        <v>Antonio Jones</v>
      </c>
      <c r="K1255">
        <f>Table511[[#This Row],[Total_Amount]]/(L1255*(1-Table511[[#This Row],[Discount]]))</f>
        <v>1</v>
      </c>
      <c r="L1255" s="5">
        <v>842.46</v>
      </c>
      <c r="M1255">
        <v>0.05</v>
      </c>
      <c r="N1255" t="s">
        <v>1354</v>
      </c>
      <c r="O1255" s="5">
        <v>800.33699999999999</v>
      </c>
    </row>
    <row r="1256" spans="1:15">
      <c r="A1256" t="s">
        <v>2605</v>
      </c>
      <c r="B1256" s="7">
        <v>45543</v>
      </c>
      <c r="C1256" t="s">
        <v>486</v>
      </c>
      <c r="D1256" t="s">
        <v>1145</v>
      </c>
      <c r="E1256" t="s">
        <v>1317</v>
      </c>
      <c r="F1256" t="str">
        <f>[1]Raw_Customer_Dim!$A$2</f>
        <v>CUST1000</v>
      </c>
      <c r="G1256" t="str">
        <f>_xlfn.XLOOKUP(E1256,Store_Dim!A:A,Store_Dim!B:B,"Not Found")</f>
        <v>Aguirre-Keller</v>
      </c>
      <c r="H1256" t="str">
        <f>_xlfn.XLOOKUP(D1256,Product_Dim!A:A,Product_Dim!C:C,"Not Found")</f>
        <v>Clothing</v>
      </c>
      <c r="I1256" t="str">
        <f>_xlfn.XLOOKUP(E1256,Store_Dim!A:A,Store_Dim!C:C,"Not Found")</f>
        <v>South</v>
      </c>
      <c r="J1256" t="str">
        <f>_xlfn.XLOOKUP(C1256,Customer_Dim!A:A,Customer_Dim!B:B,"Not Found")</f>
        <v>Blake Harrison</v>
      </c>
      <c r="K1256">
        <f>Table511[[#This Row],[Total_Amount]]/(L1256*(1-Table511[[#This Row],[Discount]]))</f>
        <v>2.9999999999999996</v>
      </c>
      <c r="L1256" s="5">
        <v>120.67</v>
      </c>
      <c r="M1256">
        <v>0.08</v>
      </c>
      <c r="N1256" t="s">
        <v>1354</v>
      </c>
      <c r="O1256" s="5">
        <v>333.04919999999998</v>
      </c>
    </row>
    <row r="1257" spans="1:15">
      <c r="A1257" t="s">
        <v>2606</v>
      </c>
      <c r="B1257" s="7">
        <v>45402</v>
      </c>
      <c r="C1257" t="s">
        <v>1055</v>
      </c>
      <c r="D1257" t="s">
        <v>1113</v>
      </c>
      <c r="E1257" t="s">
        <v>1291</v>
      </c>
      <c r="F1257" t="str">
        <f>[1]Raw_Customer_Dim!$A$2</f>
        <v>CUST1000</v>
      </c>
      <c r="G1257" t="str">
        <f>_xlfn.XLOOKUP(E1257,Store_Dim!A:A,Store_Dim!B:B,"Not Found")</f>
        <v>Johnson-Wright</v>
      </c>
      <c r="H1257" t="str">
        <f>_xlfn.XLOOKUP(D1257,Product_Dim!A:A,Product_Dim!C:C,"Not Found")</f>
        <v>Sports</v>
      </c>
      <c r="I1257" t="str">
        <f>_xlfn.XLOOKUP(E1257,Store_Dim!A:A,Store_Dim!C:C,"Not Found")</f>
        <v>North</v>
      </c>
      <c r="J1257" t="str">
        <f>_xlfn.XLOOKUP(C1257,Customer_Dim!A:A,Customer_Dim!B:B,"Not Found")</f>
        <v>Sarah Marsh</v>
      </c>
      <c r="K1257">
        <f>Table511[[#This Row],[Total_Amount]]/(L1257*(1-Table511[[#This Row],[Discount]]))</f>
        <v>4</v>
      </c>
      <c r="L1257" s="5">
        <v>176.13</v>
      </c>
      <c r="M1257">
        <v>0.27</v>
      </c>
      <c r="N1257" t="s">
        <v>1351</v>
      </c>
      <c r="O1257" s="5">
        <v>514.29959999999994</v>
      </c>
    </row>
    <row r="1258" spans="1:15">
      <c r="A1258" t="s">
        <v>2607</v>
      </c>
      <c r="B1258" s="7">
        <v>45671</v>
      </c>
      <c r="C1258" t="s">
        <v>963</v>
      </c>
      <c r="D1258" t="s">
        <v>1199</v>
      </c>
      <c r="E1258" t="s">
        <v>1317</v>
      </c>
      <c r="F1258" t="str">
        <f>[1]Raw_Customer_Dim!$A$2</f>
        <v>CUST1000</v>
      </c>
      <c r="G1258" t="str">
        <f>_xlfn.XLOOKUP(E1258,Store_Dim!A:A,Store_Dim!B:B,"Not Found")</f>
        <v>Aguirre-Keller</v>
      </c>
      <c r="H1258" t="str">
        <f>_xlfn.XLOOKUP(D1258,Product_Dim!A:A,Product_Dim!C:C,"Not Found")</f>
        <v>Beauty</v>
      </c>
      <c r="I1258" t="str">
        <f>_xlfn.XLOOKUP(E1258,Store_Dim!A:A,Store_Dim!C:C,"Not Found")</f>
        <v>South</v>
      </c>
      <c r="J1258" t="str">
        <f>_xlfn.XLOOKUP(C1258,Customer_Dim!A:A,Customer_Dim!B:B,"Not Found")</f>
        <v>Shane Mills</v>
      </c>
      <c r="K1258">
        <f>Table511[[#This Row],[Total_Amount]]/(L1258*(1-Table511[[#This Row],[Discount]]))</f>
        <v>4</v>
      </c>
      <c r="L1258" s="5">
        <v>592.67999999999995</v>
      </c>
      <c r="M1258">
        <v>0.03</v>
      </c>
      <c r="N1258" t="s">
        <v>1349</v>
      </c>
      <c r="O1258" s="5">
        <v>2299.5983999999999</v>
      </c>
    </row>
    <row r="1259" spans="1:15">
      <c r="A1259" t="s">
        <v>2608</v>
      </c>
      <c r="B1259" s="7">
        <v>45367</v>
      </c>
      <c r="C1259" t="s">
        <v>413</v>
      </c>
      <c r="D1259" t="s">
        <v>1213</v>
      </c>
      <c r="E1259" t="s">
        <v>1294</v>
      </c>
      <c r="F1259" t="str">
        <f>[1]Raw_Customer_Dim!$A$2</f>
        <v>CUST1000</v>
      </c>
      <c r="G1259" t="str">
        <f>_xlfn.XLOOKUP(E1259,Store_Dim!A:A,Store_Dim!B:B,"Not Found")</f>
        <v>Alexander Group</v>
      </c>
      <c r="H1259" t="str">
        <f>_xlfn.XLOOKUP(D1259,Product_Dim!A:A,Product_Dim!C:C,"Not Found")</f>
        <v>Home</v>
      </c>
      <c r="I1259" t="str">
        <f>_xlfn.XLOOKUP(E1259,Store_Dim!A:A,Store_Dim!C:C,"Not Found")</f>
        <v>South</v>
      </c>
      <c r="J1259" t="str">
        <f>_xlfn.XLOOKUP(C1259,Customer_Dim!A:A,Customer_Dim!B:B,"Not Found")</f>
        <v>John Bradford</v>
      </c>
      <c r="K1259">
        <f>Table511[[#This Row],[Total_Amount]]/(L1259*(1-Table511[[#This Row],[Discount]]))</f>
        <v>4</v>
      </c>
      <c r="L1259" s="5">
        <v>662.43</v>
      </c>
      <c r="M1259">
        <v>0.24</v>
      </c>
      <c r="N1259" t="s">
        <v>1351</v>
      </c>
      <c r="O1259" s="5">
        <v>2013.7872</v>
      </c>
    </row>
    <row r="1260" spans="1:15">
      <c r="A1260" t="s">
        <v>2609</v>
      </c>
      <c r="B1260" s="7">
        <v>45488</v>
      </c>
      <c r="C1260" t="s">
        <v>317</v>
      </c>
      <c r="D1260" t="s">
        <v>1159</v>
      </c>
      <c r="E1260" t="s">
        <v>1307</v>
      </c>
      <c r="F1260" t="str">
        <f>[1]Raw_Customer_Dim!$A$2</f>
        <v>CUST1000</v>
      </c>
      <c r="G1260" t="str">
        <f>_xlfn.XLOOKUP(E1260,Store_Dim!A:A,Store_Dim!B:B,"Not Found")</f>
        <v>Bean, Jones and Park</v>
      </c>
      <c r="H1260" t="str">
        <f>_xlfn.XLOOKUP(D1260,Product_Dim!A:A,Product_Dim!C:C,"Not Found")</f>
        <v>Electronics</v>
      </c>
      <c r="I1260" t="str">
        <f>_xlfn.XLOOKUP(E1260,Store_Dim!A:A,Store_Dim!C:C,"Not Found")</f>
        <v>West</v>
      </c>
      <c r="J1260" t="str">
        <f>_xlfn.XLOOKUP(C1260,Customer_Dim!A:A,Customer_Dim!B:B,"Not Found")</f>
        <v>Susan Mcdonald</v>
      </c>
      <c r="K1260">
        <f>Table511[[#This Row],[Total_Amount]]/(L1260*(1-Table511[[#This Row],[Discount]]))</f>
        <v>2.9999999999999996</v>
      </c>
      <c r="L1260" s="5">
        <v>518.35</v>
      </c>
      <c r="M1260">
        <v>0.21</v>
      </c>
      <c r="N1260" t="s">
        <v>1354</v>
      </c>
      <c r="O1260" s="5">
        <v>1228.4894999999999</v>
      </c>
    </row>
    <row r="1261" spans="1:15">
      <c r="A1261" t="s">
        <v>2610</v>
      </c>
      <c r="B1261" s="7">
        <v>45509</v>
      </c>
      <c r="C1261" t="s">
        <v>684</v>
      </c>
      <c r="D1261" t="s">
        <v>1195</v>
      </c>
      <c r="E1261" t="s">
        <v>1298</v>
      </c>
      <c r="F1261" t="str">
        <f>[1]Raw_Customer_Dim!$A$2</f>
        <v>CUST1000</v>
      </c>
      <c r="G1261" t="str">
        <f>_xlfn.XLOOKUP(E1261,Store_Dim!A:A,Store_Dim!B:B,"Not Found")</f>
        <v>Gray Ltd</v>
      </c>
      <c r="H1261" t="str">
        <f>_xlfn.XLOOKUP(D1261,Product_Dim!A:A,Product_Dim!C:C,"Not Found")</f>
        <v>Sports</v>
      </c>
      <c r="I1261" t="str">
        <f>_xlfn.XLOOKUP(E1261,Store_Dim!A:A,Store_Dim!C:C,"Not Found")</f>
        <v>North</v>
      </c>
      <c r="J1261" t="str">
        <f>_xlfn.XLOOKUP(C1261,Customer_Dim!A:A,Customer_Dim!B:B,"Not Found")</f>
        <v>Kara Dodson</v>
      </c>
      <c r="K1261">
        <f>Table511[[#This Row],[Total_Amount]]/(L1261*(1-Table511[[#This Row],[Discount]]))</f>
        <v>1</v>
      </c>
      <c r="L1261" s="5">
        <v>85.58</v>
      </c>
      <c r="M1261">
        <v>0.1</v>
      </c>
      <c r="N1261" t="s">
        <v>1354</v>
      </c>
      <c r="O1261" s="5">
        <v>77.022000000000006</v>
      </c>
    </row>
    <row r="1262" spans="1:15">
      <c r="A1262" t="s">
        <v>2611</v>
      </c>
      <c r="B1262" s="7">
        <v>45323</v>
      </c>
      <c r="C1262" t="s">
        <v>789</v>
      </c>
      <c r="D1262" t="s">
        <v>1247</v>
      </c>
      <c r="E1262" t="s">
        <v>1282</v>
      </c>
      <c r="F1262" t="str">
        <f>[1]Raw_Customer_Dim!$A$2</f>
        <v>CUST1000</v>
      </c>
      <c r="G1262" t="str">
        <f>_xlfn.XLOOKUP(E1262,Store_Dim!A:A,Store_Dim!B:B,"Not Found")</f>
        <v>Martinez, Adkins and Johnson</v>
      </c>
      <c r="H1262" t="str">
        <f>_xlfn.XLOOKUP(D1262,Product_Dim!A:A,Product_Dim!C:C,"Not Found")</f>
        <v>Home</v>
      </c>
      <c r="I1262" t="str">
        <f>_xlfn.XLOOKUP(E1262,Store_Dim!A:A,Store_Dim!C:C,"Not Found")</f>
        <v>North</v>
      </c>
      <c r="J1262" t="str">
        <f>_xlfn.XLOOKUP(C1262,Customer_Dim!A:A,Customer_Dim!B:B,"Not Found")</f>
        <v>Elizabeth Smith</v>
      </c>
      <c r="K1262">
        <f>Table511[[#This Row],[Total_Amount]]/(L1262*(1-Table511[[#This Row],[Discount]]))</f>
        <v>4</v>
      </c>
      <c r="L1262" s="5">
        <v>800</v>
      </c>
      <c r="M1262">
        <v>0.2</v>
      </c>
      <c r="N1262" t="s">
        <v>1349</v>
      </c>
      <c r="O1262" s="5">
        <v>2560</v>
      </c>
    </row>
    <row r="1263" spans="1:15">
      <c r="A1263" t="s">
        <v>2612</v>
      </c>
      <c r="B1263" s="7">
        <v>45889</v>
      </c>
      <c r="C1263" t="s">
        <v>371</v>
      </c>
      <c r="D1263" t="s">
        <v>1193</v>
      </c>
      <c r="E1263" t="s">
        <v>1314</v>
      </c>
      <c r="F1263" t="str">
        <f>[1]Raw_Customer_Dim!$A$2</f>
        <v>CUST1000</v>
      </c>
      <c r="G1263" t="str">
        <f>_xlfn.XLOOKUP(E1263,Store_Dim!A:A,Store_Dim!B:B,"Not Found")</f>
        <v>Hill, Wagner and Ballard</v>
      </c>
      <c r="H1263" t="str">
        <f>_xlfn.XLOOKUP(D1263,Product_Dim!A:A,Product_Dim!C:C,"Not Found")</f>
        <v>Beauty</v>
      </c>
      <c r="I1263" t="str">
        <f>_xlfn.XLOOKUP(E1263,Store_Dim!A:A,Store_Dim!C:C,"Not Found")</f>
        <v>East</v>
      </c>
      <c r="J1263" t="str">
        <f>_xlfn.XLOOKUP(C1263,Customer_Dim!A:A,Customer_Dim!B:B,"Not Found")</f>
        <v>Curtis Haynes</v>
      </c>
      <c r="K1263">
        <f>Table511[[#This Row],[Total_Amount]]/(L1263*(1-Table511[[#This Row],[Discount]]))</f>
        <v>3</v>
      </c>
      <c r="L1263" s="5">
        <v>118.25</v>
      </c>
      <c r="M1263">
        <v>0.26</v>
      </c>
      <c r="N1263" t="s">
        <v>1351</v>
      </c>
      <c r="O1263" s="5">
        <v>262.51499999999999</v>
      </c>
    </row>
    <row r="1264" spans="1:15">
      <c r="A1264" t="s">
        <v>2613</v>
      </c>
      <c r="B1264" s="7">
        <v>45253</v>
      </c>
      <c r="C1264" t="s">
        <v>905</v>
      </c>
      <c r="D1264" t="s">
        <v>1137</v>
      </c>
      <c r="E1264" t="s">
        <v>1326</v>
      </c>
      <c r="F1264" t="str">
        <f>[1]Raw_Customer_Dim!$A$2</f>
        <v>CUST1000</v>
      </c>
      <c r="G1264" t="str">
        <f>_xlfn.XLOOKUP(E1264,Store_Dim!A:A,Store_Dim!B:B,"Not Found")</f>
        <v>Shelton PLC</v>
      </c>
      <c r="H1264" t="str">
        <f>_xlfn.XLOOKUP(D1264,Product_Dim!A:A,Product_Dim!C:C,"Not Found")</f>
        <v>Beauty</v>
      </c>
      <c r="I1264" t="str">
        <f>_xlfn.XLOOKUP(E1264,Store_Dim!A:A,Store_Dim!C:C,"Not Found")</f>
        <v>North</v>
      </c>
      <c r="J1264" t="str">
        <f>_xlfn.XLOOKUP(C1264,Customer_Dim!A:A,Customer_Dim!B:B,"Not Found")</f>
        <v>Holly Robinson</v>
      </c>
      <c r="K1264">
        <f>Table511[[#This Row],[Total_Amount]]/(L1264*(1-Table511[[#This Row],[Discount]]))</f>
        <v>1</v>
      </c>
      <c r="L1264" s="5">
        <v>223.25</v>
      </c>
      <c r="M1264">
        <v>0.28999999999999998</v>
      </c>
      <c r="N1264" t="s">
        <v>1349</v>
      </c>
      <c r="O1264" s="5">
        <v>158.50749999999999</v>
      </c>
    </row>
    <row r="1265" spans="1:15">
      <c r="A1265" t="s">
        <v>2614</v>
      </c>
      <c r="B1265" s="7">
        <v>45530</v>
      </c>
      <c r="C1265" t="s">
        <v>917</v>
      </c>
      <c r="D1265" t="s">
        <v>1137</v>
      </c>
      <c r="E1265" t="s">
        <v>1294</v>
      </c>
      <c r="F1265" t="str">
        <f>[1]Raw_Customer_Dim!$A$2</f>
        <v>CUST1000</v>
      </c>
      <c r="G1265" t="str">
        <f>_xlfn.XLOOKUP(E1265,Store_Dim!A:A,Store_Dim!B:B,"Not Found")</f>
        <v>Alexander Group</v>
      </c>
      <c r="H1265" t="str">
        <f>_xlfn.XLOOKUP(D1265,Product_Dim!A:A,Product_Dim!C:C,"Not Found")</f>
        <v>Beauty</v>
      </c>
      <c r="I1265" t="str">
        <f>_xlfn.XLOOKUP(E1265,Store_Dim!A:A,Store_Dim!C:C,"Not Found")</f>
        <v>South</v>
      </c>
      <c r="J1265" t="str">
        <f>_xlfn.XLOOKUP(C1265,Customer_Dim!A:A,Customer_Dim!B:B,"Not Found")</f>
        <v>Jose Stewart</v>
      </c>
      <c r="K1265">
        <f>Table511[[#This Row],[Total_Amount]]/(L1265*(1-Table511[[#This Row],[Discount]]))</f>
        <v>2.9999999999999996</v>
      </c>
      <c r="L1265" s="5">
        <v>918.76</v>
      </c>
      <c r="M1265">
        <v>0.2</v>
      </c>
      <c r="N1265" t="s">
        <v>1351</v>
      </c>
      <c r="O1265" s="5">
        <v>2205.0239999999999</v>
      </c>
    </row>
    <row r="1266" spans="1:15">
      <c r="A1266" t="s">
        <v>2615</v>
      </c>
      <c r="B1266" s="7">
        <v>45491</v>
      </c>
      <c r="C1266" t="s">
        <v>624</v>
      </c>
      <c r="D1266" t="s">
        <v>1241</v>
      </c>
      <c r="E1266" t="s">
        <v>1322</v>
      </c>
      <c r="F1266" t="str">
        <f>[1]Raw_Customer_Dim!$A$2</f>
        <v>CUST1000</v>
      </c>
      <c r="G1266" t="str">
        <f>_xlfn.XLOOKUP(E1266,Store_Dim!A:A,Store_Dim!B:B,"Not Found")</f>
        <v>Gardner, Humphrey and Contreras</v>
      </c>
      <c r="H1266" t="str">
        <f>_xlfn.XLOOKUP(D1266,Product_Dim!A:A,Product_Dim!C:C,"Not Found")</f>
        <v>Home</v>
      </c>
      <c r="I1266" t="str">
        <f>_xlfn.XLOOKUP(E1266,Store_Dim!A:A,Store_Dim!C:C,"Not Found")</f>
        <v>East</v>
      </c>
      <c r="J1266" t="str">
        <f>_xlfn.XLOOKUP(C1266,Customer_Dim!A:A,Customer_Dim!B:B,"Not Found")</f>
        <v>Antonio Leon</v>
      </c>
      <c r="K1266">
        <f>Table511[[#This Row],[Total_Amount]]/(L1266*(1-Table511[[#This Row],[Discount]]))</f>
        <v>2</v>
      </c>
      <c r="L1266" s="5">
        <v>905.26</v>
      </c>
      <c r="M1266">
        <v>0.15</v>
      </c>
      <c r="N1266" t="s">
        <v>1354</v>
      </c>
      <c r="O1266" s="5">
        <v>1538.942</v>
      </c>
    </row>
    <row r="1267" spans="1:15">
      <c r="A1267" t="s">
        <v>2616</v>
      </c>
      <c r="B1267" s="7">
        <v>45628</v>
      </c>
      <c r="C1267" t="s">
        <v>688</v>
      </c>
      <c r="D1267" t="s">
        <v>1105</v>
      </c>
      <c r="E1267" t="s">
        <v>1338</v>
      </c>
      <c r="F1267" t="str">
        <f>[1]Raw_Customer_Dim!$A$2</f>
        <v>CUST1000</v>
      </c>
      <c r="G1267" t="str">
        <f>_xlfn.XLOOKUP(E1267,Store_Dim!A:A,Store_Dim!B:B,"Not Found")</f>
        <v>Mann-Austin</v>
      </c>
      <c r="H1267" t="str">
        <f>_xlfn.XLOOKUP(D1267,Product_Dim!A:A,Product_Dim!C:C,"Not Found")</f>
        <v>Not Found</v>
      </c>
      <c r="I1267" t="str">
        <f>_xlfn.XLOOKUP(E1267,Store_Dim!A:A,Store_Dim!C:C,"Not Found")</f>
        <v>East</v>
      </c>
      <c r="J1267" t="str">
        <f>_xlfn.XLOOKUP(C1267,Customer_Dim!A:A,Customer_Dim!B:B,"Not Found")</f>
        <v>Jason Mullins</v>
      </c>
      <c r="K1267">
        <f>Table511[[#This Row],[Total_Amount]]/(L1267*(1-Table511[[#This Row],[Discount]]))</f>
        <v>4</v>
      </c>
      <c r="L1267" s="5">
        <v>295.39999999999998</v>
      </c>
      <c r="M1267">
        <v>0.23</v>
      </c>
      <c r="N1267" t="s">
        <v>1351</v>
      </c>
      <c r="O1267" s="5">
        <v>909.83199999999999</v>
      </c>
    </row>
    <row r="1268" spans="1:15">
      <c r="A1268" t="s">
        <v>2617</v>
      </c>
      <c r="B1268" s="7">
        <v>45861</v>
      </c>
      <c r="C1268" t="s">
        <v>229</v>
      </c>
      <c r="D1268" t="s">
        <v>1261</v>
      </c>
      <c r="E1268" t="s">
        <v>1298</v>
      </c>
      <c r="F1268" t="str">
        <f>[1]Raw_Customer_Dim!$A$2</f>
        <v>CUST1000</v>
      </c>
      <c r="G1268" t="str">
        <f>_xlfn.XLOOKUP(E1268,Store_Dim!A:A,Store_Dim!B:B,"Not Found")</f>
        <v>Gray Ltd</v>
      </c>
      <c r="H1268" t="str">
        <f>_xlfn.XLOOKUP(D1268,Product_Dim!A:A,Product_Dim!C:C,"Not Found")</f>
        <v>Beauty</v>
      </c>
      <c r="I1268" t="str">
        <f>_xlfn.XLOOKUP(E1268,Store_Dim!A:A,Store_Dim!C:C,"Not Found")</f>
        <v>North</v>
      </c>
      <c r="J1268" t="str">
        <f>_xlfn.XLOOKUP(C1268,Customer_Dim!A:A,Customer_Dim!B:B,"Not Found")</f>
        <v>Melissa Duffy MD</v>
      </c>
      <c r="K1268">
        <f>Table511[[#This Row],[Total_Amount]]/(L1268*(1-Table511[[#This Row],[Discount]]))</f>
        <v>0.99999999999999989</v>
      </c>
      <c r="L1268" s="5">
        <v>252.18</v>
      </c>
      <c r="M1268">
        <v>0.23</v>
      </c>
      <c r="N1268" t="s">
        <v>1351</v>
      </c>
      <c r="O1268" s="5">
        <v>194.17859999999999</v>
      </c>
    </row>
    <row r="1269" spans="1:15">
      <c r="A1269" t="s">
        <v>2618</v>
      </c>
      <c r="B1269" s="7">
        <v>45878</v>
      </c>
      <c r="C1269" t="s">
        <v>365</v>
      </c>
      <c r="D1269" t="s">
        <v>1267</v>
      </c>
      <c r="E1269" t="s">
        <v>1319</v>
      </c>
      <c r="F1269" t="str">
        <f>[1]Raw_Customer_Dim!$A$2</f>
        <v>CUST1000</v>
      </c>
      <c r="G1269" t="str">
        <f>_xlfn.XLOOKUP(E1269,Store_Dim!A:A,Store_Dim!B:B,"Not Found")</f>
        <v>Thomas, Bridges and Harris</v>
      </c>
      <c r="H1269" t="str">
        <f>_xlfn.XLOOKUP(D1269,Product_Dim!A:A,Product_Dim!C:C,"Not Found")</f>
        <v>Sports</v>
      </c>
      <c r="I1269" t="str">
        <f>_xlfn.XLOOKUP(E1269,Store_Dim!A:A,Store_Dim!C:C,"Not Found")</f>
        <v>North</v>
      </c>
      <c r="J1269" t="str">
        <f>_xlfn.XLOOKUP(C1269,Customer_Dim!A:A,Customer_Dim!B:B,"Not Found")</f>
        <v>Patrick Roberts</v>
      </c>
      <c r="K1269">
        <f>Table511[[#This Row],[Total_Amount]]/(L1269*(1-Table511[[#This Row],[Discount]]))</f>
        <v>3.9999999999999991</v>
      </c>
      <c r="L1269" s="5">
        <v>792.1</v>
      </c>
      <c r="M1269">
        <v>0.19</v>
      </c>
      <c r="N1269" t="s">
        <v>1354</v>
      </c>
      <c r="O1269" s="5">
        <v>2566.404</v>
      </c>
    </row>
    <row r="1270" spans="1:15">
      <c r="A1270" t="s">
        <v>2619</v>
      </c>
      <c r="B1270" s="7">
        <v>45426</v>
      </c>
      <c r="C1270" t="s">
        <v>204</v>
      </c>
      <c r="D1270" t="s">
        <v>1249</v>
      </c>
      <c r="E1270" t="s">
        <v>1324</v>
      </c>
      <c r="F1270" t="str">
        <f>[1]Raw_Customer_Dim!$A$2</f>
        <v>CUST1000</v>
      </c>
      <c r="G1270" t="str">
        <f>_xlfn.XLOOKUP(E1270,Store_Dim!A:A,Store_Dim!B:B,"Not Found")</f>
        <v>Mcdonald Inc</v>
      </c>
      <c r="H1270" t="str">
        <f>_xlfn.XLOOKUP(D1270,Product_Dim!A:A,Product_Dim!C:C,"Not Found")</f>
        <v>Sports</v>
      </c>
      <c r="I1270" t="str">
        <f>_xlfn.XLOOKUP(E1270,Store_Dim!A:A,Store_Dim!C:C,"Not Found")</f>
        <v>South</v>
      </c>
      <c r="J1270" t="str">
        <f>_xlfn.XLOOKUP(C1270,Customer_Dim!A:A,Customer_Dim!B:B,"Not Found")</f>
        <v>Nathan Campbell</v>
      </c>
      <c r="K1270">
        <f>Table511[[#This Row],[Total_Amount]]/(L1270*(1-Table511[[#This Row],[Discount]]))</f>
        <v>1</v>
      </c>
      <c r="L1270" s="5">
        <v>883.36</v>
      </c>
      <c r="M1270">
        <v>0.11</v>
      </c>
      <c r="N1270" t="s">
        <v>1351</v>
      </c>
      <c r="O1270" s="5">
        <v>786.19040000000007</v>
      </c>
    </row>
    <row r="1271" spans="1:15">
      <c r="A1271" t="s">
        <v>2620</v>
      </c>
      <c r="B1271" s="7">
        <v>45231</v>
      </c>
      <c r="C1271" t="s">
        <v>616</v>
      </c>
      <c r="D1271" t="s">
        <v>1211</v>
      </c>
      <c r="E1271" t="s">
        <v>1277</v>
      </c>
      <c r="F1271" t="str">
        <f>[1]Raw_Customer_Dim!$A$2</f>
        <v>CUST1000</v>
      </c>
      <c r="G1271" t="str">
        <f>_xlfn.XLOOKUP(E1271,Store_Dim!A:A,Store_Dim!B:B,"Not Found")</f>
        <v>Rivera-Warner</v>
      </c>
      <c r="H1271" t="str">
        <f>_xlfn.XLOOKUP(D1271,Product_Dim!A:A,Product_Dim!C:C,"Not Found")</f>
        <v>Clothing</v>
      </c>
      <c r="I1271" t="str">
        <f>_xlfn.XLOOKUP(E1271,Store_Dim!A:A,Store_Dim!C:C,"Not Found")</f>
        <v>East</v>
      </c>
      <c r="J1271" t="str">
        <f>_xlfn.XLOOKUP(C1271,Customer_Dim!A:A,Customer_Dim!B:B,"Not Found")</f>
        <v>Arthur Warren</v>
      </c>
      <c r="K1271">
        <f>Table511[[#This Row],[Total_Amount]]/(L1271*(1-Table511[[#This Row],[Discount]]))</f>
        <v>4</v>
      </c>
      <c r="L1271" s="5">
        <v>305.95</v>
      </c>
      <c r="M1271">
        <v>0.08</v>
      </c>
      <c r="N1271" t="s">
        <v>1351</v>
      </c>
      <c r="O1271" s="5">
        <v>1125.896</v>
      </c>
    </row>
    <row r="1272" spans="1:15">
      <c r="A1272" t="s">
        <v>2621</v>
      </c>
      <c r="B1272" s="7">
        <v>45609</v>
      </c>
      <c r="C1272" t="s">
        <v>865</v>
      </c>
      <c r="D1272" t="s">
        <v>1189</v>
      </c>
      <c r="E1272" t="s">
        <v>1304</v>
      </c>
      <c r="F1272" t="str">
        <f>[1]Raw_Customer_Dim!$A$2</f>
        <v>CUST1000</v>
      </c>
      <c r="G1272" t="str">
        <f>_xlfn.XLOOKUP(E1272,Store_Dim!A:A,Store_Dim!B:B,"Not Found")</f>
        <v>Martinez-Mullins</v>
      </c>
      <c r="H1272" t="str">
        <f>_xlfn.XLOOKUP(D1272,Product_Dim!A:A,Product_Dim!C:C,"Not Found")</f>
        <v>Clothing</v>
      </c>
      <c r="I1272" t="str">
        <f>_xlfn.XLOOKUP(E1272,Store_Dim!A:A,Store_Dim!C:C,"Not Found")</f>
        <v>South</v>
      </c>
      <c r="J1272" t="str">
        <f>_xlfn.XLOOKUP(C1272,Customer_Dim!A:A,Customer_Dim!B:B,"Not Found")</f>
        <v>Terry Moses</v>
      </c>
      <c r="K1272">
        <f>Table511[[#This Row],[Total_Amount]]/(L1272*(1-Table511[[#This Row],[Discount]]))</f>
        <v>3</v>
      </c>
      <c r="L1272" s="5">
        <v>742.45</v>
      </c>
      <c r="M1272">
        <v>0.23</v>
      </c>
      <c r="N1272" t="s">
        <v>1354</v>
      </c>
      <c r="O1272" s="5">
        <v>1715.0595000000001</v>
      </c>
    </row>
    <row r="1273" spans="1:15">
      <c r="A1273" t="s">
        <v>2622</v>
      </c>
      <c r="B1273" s="7">
        <v>45392</v>
      </c>
      <c r="C1273" t="s">
        <v>773</v>
      </c>
      <c r="D1273" t="s">
        <v>1123</v>
      </c>
      <c r="E1273" t="s">
        <v>1335</v>
      </c>
      <c r="F1273" t="str">
        <f>[1]Raw_Customer_Dim!$A$2</f>
        <v>CUST1000</v>
      </c>
      <c r="G1273" t="str">
        <f>_xlfn.XLOOKUP(E1273,Store_Dim!A:A,Store_Dim!B:B,"Not Found")</f>
        <v>Guerrero-Schmitt</v>
      </c>
      <c r="H1273" t="str">
        <f>_xlfn.XLOOKUP(D1273,Product_Dim!A:A,Product_Dim!C:C,"Not Found")</f>
        <v>Clothing</v>
      </c>
      <c r="I1273" t="str">
        <f>_xlfn.XLOOKUP(E1273,Store_Dim!A:A,Store_Dim!C:C,"Not Found")</f>
        <v>East</v>
      </c>
      <c r="J1273" t="str">
        <f>_xlfn.XLOOKUP(C1273,Customer_Dim!A:A,Customer_Dim!B:B,"Not Found")</f>
        <v>Carlos Flores</v>
      </c>
      <c r="K1273">
        <f>Table511[[#This Row],[Total_Amount]]/(L1273*(1-Table511[[#This Row],[Discount]]))</f>
        <v>3</v>
      </c>
      <c r="L1273" s="5">
        <v>336.1</v>
      </c>
      <c r="M1273">
        <v>0.12</v>
      </c>
      <c r="N1273" t="s">
        <v>1354</v>
      </c>
      <c r="O1273" s="5">
        <v>887.30400000000009</v>
      </c>
    </row>
    <row r="1274" spans="1:15">
      <c r="A1274" t="s">
        <v>2623</v>
      </c>
      <c r="B1274" s="7">
        <v>45876</v>
      </c>
      <c r="C1274" t="s">
        <v>887</v>
      </c>
      <c r="D1274" t="s">
        <v>1131</v>
      </c>
      <c r="E1274" t="s">
        <v>1304</v>
      </c>
      <c r="F1274" t="str">
        <f>[1]Raw_Customer_Dim!$A$2</f>
        <v>CUST1000</v>
      </c>
      <c r="G1274" t="str">
        <f>_xlfn.XLOOKUP(E1274,Store_Dim!A:A,Store_Dim!B:B,"Not Found")</f>
        <v>Martinez-Mullins</v>
      </c>
      <c r="H1274" t="str">
        <f>_xlfn.XLOOKUP(D1274,Product_Dim!A:A,Product_Dim!C:C,"Not Found")</f>
        <v>Home</v>
      </c>
      <c r="I1274" t="str">
        <f>_xlfn.XLOOKUP(E1274,Store_Dim!A:A,Store_Dim!C:C,"Not Found")</f>
        <v>South</v>
      </c>
      <c r="J1274" t="str">
        <f>_xlfn.XLOOKUP(C1274,Customer_Dim!A:A,Customer_Dim!B:B,"Not Found")</f>
        <v>Shane Brown</v>
      </c>
      <c r="K1274">
        <f>Table511[[#This Row],[Total_Amount]]/(L1274*(1-Table511[[#This Row],[Discount]]))</f>
        <v>3</v>
      </c>
      <c r="L1274" s="5">
        <v>310.36</v>
      </c>
      <c r="M1274">
        <v>0.14000000000000001</v>
      </c>
      <c r="N1274" t="s">
        <v>1354</v>
      </c>
      <c r="O1274" s="5">
        <v>800.72879999999998</v>
      </c>
    </row>
    <row r="1275" spans="1:15">
      <c r="A1275" t="s">
        <v>2624</v>
      </c>
      <c r="B1275" s="7">
        <v>45772</v>
      </c>
      <c r="C1275" t="s">
        <v>622</v>
      </c>
      <c r="D1275" t="s">
        <v>1269</v>
      </c>
      <c r="E1275" t="s">
        <v>1307</v>
      </c>
      <c r="F1275" t="str">
        <f>[1]Raw_Customer_Dim!$A$2</f>
        <v>CUST1000</v>
      </c>
      <c r="G1275" t="str">
        <f>_xlfn.XLOOKUP(E1275,Store_Dim!A:A,Store_Dim!B:B,"Not Found")</f>
        <v>Bean, Jones and Park</v>
      </c>
      <c r="H1275" t="str">
        <f>_xlfn.XLOOKUP(D1275,Product_Dim!A:A,Product_Dim!C:C,"Not Found")</f>
        <v>Electronics</v>
      </c>
      <c r="I1275" t="str">
        <f>_xlfn.XLOOKUP(E1275,Store_Dim!A:A,Store_Dim!C:C,"Not Found")</f>
        <v>West</v>
      </c>
      <c r="J1275" t="str">
        <f>_xlfn.XLOOKUP(C1275,Customer_Dim!A:A,Customer_Dim!B:B,"Not Found")</f>
        <v>Aaron Luna</v>
      </c>
      <c r="K1275">
        <f>Table511[[#This Row],[Total_Amount]]/(L1275*(1-Table511[[#This Row],[Discount]]))</f>
        <v>3.0000000000000004</v>
      </c>
      <c r="L1275" s="5">
        <v>992.81</v>
      </c>
      <c r="M1275">
        <v>0.04</v>
      </c>
      <c r="N1275" t="s">
        <v>1351</v>
      </c>
      <c r="O1275" s="5">
        <v>2859.2928000000002</v>
      </c>
    </row>
    <row r="1276" spans="1:15">
      <c r="A1276" t="s">
        <v>2625</v>
      </c>
      <c r="B1276" s="7">
        <v>45217</v>
      </c>
      <c r="C1276" t="s">
        <v>458</v>
      </c>
      <c r="D1276" t="s">
        <v>1193</v>
      </c>
      <c r="E1276" t="s">
        <v>1317</v>
      </c>
      <c r="F1276" t="str">
        <f>[1]Raw_Customer_Dim!$A$2</f>
        <v>CUST1000</v>
      </c>
      <c r="G1276" t="str">
        <f>_xlfn.XLOOKUP(E1276,Store_Dim!A:A,Store_Dim!B:B,"Not Found")</f>
        <v>Aguirre-Keller</v>
      </c>
      <c r="H1276" t="str">
        <f>_xlfn.XLOOKUP(D1276,Product_Dim!A:A,Product_Dim!C:C,"Not Found")</f>
        <v>Beauty</v>
      </c>
      <c r="I1276" t="str">
        <f>_xlfn.XLOOKUP(E1276,Store_Dim!A:A,Store_Dim!C:C,"Not Found")</f>
        <v>South</v>
      </c>
      <c r="J1276" t="str">
        <f>_xlfn.XLOOKUP(C1276,Customer_Dim!A:A,Customer_Dim!B:B,"Not Found")</f>
        <v>Wanda Snyder</v>
      </c>
      <c r="K1276">
        <f>Table511[[#This Row],[Total_Amount]]/(L1276*(1-Table511[[#This Row],[Discount]]))</f>
        <v>3</v>
      </c>
      <c r="L1276" s="5">
        <v>257.11</v>
      </c>
      <c r="M1276">
        <v>0.26</v>
      </c>
      <c r="N1276" t="s">
        <v>1354</v>
      </c>
      <c r="O1276" s="5">
        <v>570.78420000000006</v>
      </c>
    </row>
    <row r="1277" spans="1:15">
      <c r="A1277" t="s">
        <v>2626</v>
      </c>
      <c r="B1277" s="7">
        <v>45739</v>
      </c>
      <c r="C1277" t="s">
        <v>502</v>
      </c>
      <c r="D1277" t="s">
        <v>1263</v>
      </c>
      <c r="E1277" t="s">
        <v>1319</v>
      </c>
      <c r="F1277" t="str">
        <f>[1]Raw_Customer_Dim!$A$2</f>
        <v>CUST1000</v>
      </c>
      <c r="G1277" t="str">
        <f>_xlfn.XLOOKUP(E1277,Store_Dim!A:A,Store_Dim!B:B,"Not Found")</f>
        <v>Thomas, Bridges and Harris</v>
      </c>
      <c r="H1277" t="str">
        <f>_xlfn.XLOOKUP(D1277,Product_Dim!A:A,Product_Dim!C:C,"Not Found")</f>
        <v>Sports</v>
      </c>
      <c r="I1277" t="str">
        <f>_xlfn.XLOOKUP(E1277,Store_Dim!A:A,Store_Dim!C:C,"Not Found")</f>
        <v>North</v>
      </c>
      <c r="J1277" t="str">
        <f>_xlfn.XLOOKUP(C1277,Customer_Dim!A:A,Customer_Dim!B:B,"Not Found")</f>
        <v>George Davis</v>
      </c>
      <c r="K1277">
        <f>Table511[[#This Row],[Total_Amount]]/(L1277*(1-Table511[[#This Row],[Discount]]))</f>
        <v>4</v>
      </c>
      <c r="L1277" s="5">
        <v>816.29</v>
      </c>
      <c r="M1277">
        <v>0.24</v>
      </c>
      <c r="N1277" t="s">
        <v>1351</v>
      </c>
      <c r="O1277" s="5">
        <v>2481.5216</v>
      </c>
    </row>
    <row r="1278" spans="1:15">
      <c r="A1278" t="s">
        <v>2627</v>
      </c>
      <c r="B1278" s="7">
        <v>45272</v>
      </c>
      <c r="C1278" t="s">
        <v>304</v>
      </c>
      <c r="D1278" t="s">
        <v>1193</v>
      </c>
      <c r="E1278" t="s">
        <v>1319</v>
      </c>
      <c r="F1278" t="str">
        <f>[1]Raw_Customer_Dim!$A$2</f>
        <v>CUST1000</v>
      </c>
      <c r="G1278" t="str">
        <f>_xlfn.XLOOKUP(E1278,Store_Dim!A:A,Store_Dim!B:B,"Not Found")</f>
        <v>Thomas, Bridges and Harris</v>
      </c>
      <c r="H1278" t="str">
        <f>_xlfn.XLOOKUP(D1278,Product_Dim!A:A,Product_Dim!C:C,"Not Found")</f>
        <v>Beauty</v>
      </c>
      <c r="I1278" t="str">
        <f>_xlfn.XLOOKUP(E1278,Store_Dim!A:A,Store_Dim!C:C,"Not Found")</f>
        <v>North</v>
      </c>
      <c r="J1278" t="str">
        <f>_xlfn.XLOOKUP(C1278,Customer_Dim!A:A,Customer_Dim!B:B,"Not Found")</f>
        <v>Michael Chang</v>
      </c>
      <c r="K1278">
        <f>Table511[[#This Row],[Total_Amount]]/(L1278*(1-Table511[[#This Row],[Discount]]))</f>
        <v>3.9999999999999991</v>
      </c>
      <c r="L1278" s="5">
        <v>755.82</v>
      </c>
      <c r="M1278">
        <v>0.22</v>
      </c>
      <c r="N1278" t="s">
        <v>1354</v>
      </c>
      <c r="O1278" s="5">
        <v>2358.1583999999998</v>
      </c>
    </row>
    <row r="1279" spans="1:15">
      <c r="A1279" t="s">
        <v>2628</v>
      </c>
      <c r="B1279" s="7">
        <v>45524</v>
      </c>
      <c r="C1279" t="s">
        <v>20</v>
      </c>
      <c r="D1279" t="s">
        <v>1068</v>
      </c>
      <c r="E1279" t="s">
        <v>1324</v>
      </c>
      <c r="F1279" t="str">
        <f>[1]Raw_Customer_Dim!$A$2</f>
        <v>CUST1000</v>
      </c>
      <c r="G1279" t="str">
        <f>_xlfn.XLOOKUP(E1279,Store_Dim!A:A,Store_Dim!B:B,"Not Found")</f>
        <v>Mcdonald Inc</v>
      </c>
      <c r="H1279" t="str">
        <f>_xlfn.XLOOKUP(D1279,Product_Dim!A:A,Product_Dim!C:C,"Not Found")</f>
        <v>Electronics</v>
      </c>
      <c r="I1279" t="str">
        <f>_xlfn.XLOOKUP(E1279,Store_Dim!A:A,Store_Dim!C:C,"Not Found")</f>
        <v>South</v>
      </c>
      <c r="J1279" t="str">
        <f>_xlfn.XLOOKUP(C1279,Customer_Dim!A:A,Customer_Dim!B:B,"Not Found")</f>
        <v>jeremy harris</v>
      </c>
      <c r="K1279">
        <f>Table511[[#This Row],[Total_Amount]]/(L1279*(1-Table511[[#This Row],[Discount]]))</f>
        <v>0.99999999999999989</v>
      </c>
      <c r="L1279" s="5">
        <v>449.6</v>
      </c>
      <c r="M1279">
        <v>0.01</v>
      </c>
      <c r="N1279" t="s">
        <v>1351</v>
      </c>
      <c r="O1279" s="5">
        <v>445.10399999999998</v>
      </c>
    </row>
    <row r="1280" spans="1:15">
      <c r="A1280" t="s">
        <v>2629</v>
      </c>
      <c r="B1280" s="7">
        <v>45481</v>
      </c>
      <c r="C1280" t="s">
        <v>766</v>
      </c>
      <c r="D1280" t="s">
        <v>1101</v>
      </c>
      <c r="E1280" t="s">
        <v>1277</v>
      </c>
      <c r="F1280" t="str">
        <f>[1]Raw_Customer_Dim!$A$2</f>
        <v>CUST1000</v>
      </c>
      <c r="G1280" t="str">
        <f>_xlfn.XLOOKUP(E1280,Store_Dim!A:A,Store_Dim!B:B,"Not Found")</f>
        <v>Rivera-Warner</v>
      </c>
      <c r="H1280" t="str">
        <f>_xlfn.XLOOKUP(D1280,Product_Dim!A:A,Product_Dim!C:C,"Not Found")</f>
        <v>Home</v>
      </c>
      <c r="I1280" t="str">
        <f>_xlfn.XLOOKUP(E1280,Store_Dim!A:A,Store_Dim!C:C,"Not Found")</f>
        <v>East</v>
      </c>
      <c r="J1280" t="str">
        <f>_xlfn.XLOOKUP(C1280,Customer_Dim!A:A,Customer_Dim!B:B,"Not Found")</f>
        <v>Jeffrey Mccarthy</v>
      </c>
      <c r="K1280">
        <f>Table511[[#This Row],[Total_Amount]]/(L1280*(1-Table511[[#This Row],[Discount]]))</f>
        <v>2.0000000000000004</v>
      </c>
      <c r="L1280" s="5">
        <v>779.29</v>
      </c>
      <c r="M1280">
        <v>0.12</v>
      </c>
      <c r="N1280" t="s">
        <v>1354</v>
      </c>
      <c r="O1280" s="5">
        <v>1371.5504000000001</v>
      </c>
    </row>
    <row r="1281" spans="1:15">
      <c r="A1281" t="s">
        <v>2630</v>
      </c>
      <c r="B1281" s="7">
        <v>45267</v>
      </c>
      <c r="C1281" t="s">
        <v>990</v>
      </c>
      <c r="D1281" t="s">
        <v>1227</v>
      </c>
      <c r="E1281" t="s">
        <v>1332</v>
      </c>
      <c r="F1281" t="str">
        <f>[1]Raw_Customer_Dim!$A$2</f>
        <v>CUST1000</v>
      </c>
      <c r="G1281" t="str">
        <f>_xlfn.XLOOKUP(E1281,Store_Dim!A:A,Store_Dim!B:B,"Not Found")</f>
        <v>Holloway Ltd</v>
      </c>
      <c r="H1281" t="str">
        <f>_xlfn.XLOOKUP(D1281,Product_Dim!A:A,Product_Dim!C:C,"Not Found")</f>
        <v>Electronics</v>
      </c>
      <c r="I1281" t="str">
        <f>_xlfn.XLOOKUP(E1281,Store_Dim!A:A,Store_Dim!C:C,"Not Found")</f>
        <v>North</v>
      </c>
      <c r="J1281" t="str">
        <f>_xlfn.XLOOKUP(C1281,Customer_Dim!A:A,Customer_Dim!B:B,"Not Found")</f>
        <v>Not Found</v>
      </c>
      <c r="K1281">
        <f>Table511[[#This Row],[Total_Amount]]/(L1281*(1-Table511[[#This Row],[Discount]]))</f>
        <v>1</v>
      </c>
      <c r="L1281" s="5">
        <v>748.75</v>
      </c>
      <c r="M1281">
        <v>0.1</v>
      </c>
      <c r="N1281" t="s">
        <v>1354</v>
      </c>
      <c r="O1281" s="5">
        <v>673.875</v>
      </c>
    </row>
    <row r="1282" spans="1:15">
      <c r="A1282" t="s">
        <v>2631</v>
      </c>
      <c r="B1282" s="7">
        <v>45328</v>
      </c>
      <c r="C1282" t="s">
        <v>424</v>
      </c>
      <c r="D1282" t="s">
        <v>1251</v>
      </c>
      <c r="E1282" t="s">
        <v>1277</v>
      </c>
      <c r="F1282" t="str">
        <f>[1]Raw_Customer_Dim!$A$2</f>
        <v>CUST1000</v>
      </c>
      <c r="G1282" t="str">
        <f>_xlfn.XLOOKUP(E1282,Store_Dim!A:A,Store_Dim!B:B,"Not Found")</f>
        <v>Rivera-Warner</v>
      </c>
      <c r="H1282" t="str">
        <f>_xlfn.XLOOKUP(D1282,Product_Dim!A:A,Product_Dim!C:C,"Not Found")</f>
        <v>Beauty</v>
      </c>
      <c r="I1282" t="str">
        <f>_xlfn.XLOOKUP(E1282,Store_Dim!A:A,Store_Dim!C:C,"Not Found")</f>
        <v>East</v>
      </c>
      <c r="J1282" t="str">
        <f>_xlfn.XLOOKUP(C1282,Customer_Dim!A:A,Customer_Dim!B:B,"Not Found")</f>
        <v>Erin Ward</v>
      </c>
      <c r="K1282">
        <f>Table511[[#This Row],[Total_Amount]]/(L1282*(1-Table511[[#This Row],[Discount]]))</f>
        <v>2</v>
      </c>
      <c r="L1282" s="5">
        <v>121.67</v>
      </c>
      <c r="M1282">
        <v>0.08</v>
      </c>
      <c r="N1282" t="s">
        <v>1354</v>
      </c>
      <c r="O1282" s="5">
        <v>223.87280000000001</v>
      </c>
    </row>
    <row r="1283" spans="1:15">
      <c r="A1283" t="s">
        <v>2632</v>
      </c>
      <c r="B1283" s="7">
        <v>45787</v>
      </c>
      <c r="C1283" t="s">
        <v>1045</v>
      </c>
      <c r="D1283" t="s">
        <v>1171</v>
      </c>
      <c r="E1283" t="s">
        <v>1326</v>
      </c>
      <c r="F1283" t="str">
        <f>[1]Raw_Customer_Dim!$A$2</f>
        <v>CUST1000</v>
      </c>
      <c r="G1283" t="str">
        <f>_xlfn.XLOOKUP(E1283,Store_Dim!A:A,Store_Dim!B:B,"Not Found")</f>
        <v>Shelton PLC</v>
      </c>
      <c r="H1283" t="str">
        <f>_xlfn.XLOOKUP(D1283,Product_Dim!A:A,Product_Dim!C:C,"Not Found")</f>
        <v>Beauty</v>
      </c>
      <c r="I1283" t="str">
        <f>_xlfn.XLOOKUP(E1283,Store_Dim!A:A,Store_Dim!C:C,"Not Found")</f>
        <v>North</v>
      </c>
      <c r="J1283" t="str">
        <f>_xlfn.XLOOKUP(C1283,Customer_Dim!A:A,Customer_Dim!B:B,"Not Found")</f>
        <v>Darrell Miller</v>
      </c>
      <c r="K1283">
        <f>Table511[[#This Row],[Total_Amount]]/(L1283*(1-Table511[[#This Row],[Discount]]))</f>
        <v>3.0000000000000004</v>
      </c>
      <c r="L1283" s="5">
        <v>225.14</v>
      </c>
      <c r="M1283">
        <v>0.15</v>
      </c>
      <c r="N1283" t="s">
        <v>1354</v>
      </c>
      <c r="O1283" s="5">
        <v>574.10699999999997</v>
      </c>
    </row>
    <row r="1284" spans="1:15">
      <c r="A1284" t="s">
        <v>2633</v>
      </c>
      <c r="B1284" s="7">
        <v>45876</v>
      </c>
      <c r="C1284" t="s">
        <v>706</v>
      </c>
      <c r="D1284" t="s">
        <v>1131</v>
      </c>
      <c r="E1284" t="s">
        <v>1338</v>
      </c>
      <c r="F1284" t="str">
        <f>[1]Raw_Customer_Dim!$A$2</f>
        <v>CUST1000</v>
      </c>
      <c r="G1284" t="str">
        <f>_xlfn.XLOOKUP(E1284,Store_Dim!A:A,Store_Dim!B:B,"Not Found")</f>
        <v>Mann-Austin</v>
      </c>
      <c r="H1284" t="str">
        <f>_xlfn.XLOOKUP(D1284,Product_Dim!A:A,Product_Dim!C:C,"Not Found")</f>
        <v>Home</v>
      </c>
      <c r="I1284" t="str">
        <f>_xlfn.XLOOKUP(E1284,Store_Dim!A:A,Store_Dim!C:C,"Not Found")</f>
        <v>East</v>
      </c>
      <c r="J1284" t="str">
        <f>_xlfn.XLOOKUP(C1284,Customer_Dim!A:A,Customer_Dim!B:B,"Not Found")</f>
        <v>Darren Burton</v>
      </c>
      <c r="K1284">
        <f>Table511[[#This Row],[Total_Amount]]/(L1284*(1-Table511[[#This Row],[Discount]]))</f>
        <v>1</v>
      </c>
      <c r="L1284" s="5">
        <v>654.17999999999995</v>
      </c>
      <c r="M1284">
        <v>0.19</v>
      </c>
      <c r="N1284" t="s">
        <v>1351</v>
      </c>
      <c r="O1284" s="5">
        <v>529.88580000000002</v>
      </c>
    </row>
    <row r="1285" spans="1:15">
      <c r="A1285" t="s">
        <v>2634</v>
      </c>
      <c r="B1285" s="7">
        <v>45552</v>
      </c>
      <c r="C1285" t="s">
        <v>162</v>
      </c>
      <c r="D1285" t="s">
        <v>1215</v>
      </c>
      <c r="E1285" t="s">
        <v>1298</v>
      </c>
      <c r="F1285" t="str">
        <f>[1]Raw_Customer_Dim!$A$2</f>
        <v>CUST1000</v>
      </c>
      <c r="G1285" t="str">
        <f>_xlfn.XLOOKUP(E1285,Store_Dim!A:A,Store_Dim!B:B,"Not Found")</f>
        <v>Gray Ltd</v>
      </c>
      <c r="H1285" t="str">
        <f>_xlfn.XLOOKUP(D1285,Product_Dim!A:A,Product_Dim!C:C,"Not Found")</f>
        <v>Beauty</v>
      </c>
      <c r="I1285" t="str">
        <f>_xlfn.XLOOKUP(E1285,Store_Dim!A:A,Store_Dim!C:C,"Not Found")</f>
        <v>North</v>
      </c>
      <c r="J1285" t="str">
        <f>_xlfn.XLOOKUP(C1285,Customer_Dim!A:A,Customer_Dim!B:B,"Not Found")</f>
        <v>Cheryl Copeland</v>
      </c>
      <c r="K1285">
        <f>Table511[[#This Row],[Total_Amount]]/(L1285*(1-Table511[[#This Row],[Discount]]))</f>
        <v>2</v>
      </c>
      <c r="L1285" s="5">
        <v>504.98</v>
      </c>
      <c r="M1285">
        <v>0.08</v>
      </c>
      <c r="N1285" t="s">
        <v>1354</v>
      </c>
      <c r="O1285" s="5">
        <v>929.16320000000007</v>
      </c>
    </row>
    <row r="1286" spans="1:15">
      <c r="A1286" t="s">
        <v>2635</v>
      </c>
      <c r="B1286" s="7">
        <v>45823</v>
      </c>
      <c r="C1286" t="s">
        <v>819</v>
      </c>
      <c r="D1286" t="s">
        <v>1181</v>
      </c>
      <c r="E1286" t="s">
        <v>1307</v>
      </c>
      <c r="F1286" t="str">
        <f>[1]Raw_Customer_Dim!$A$2</f>
        <v>CUST1000</v>
      </c>
      <c r="G1286" t="str">
        <f>_xlfn.XLOOKUP(E1286,Store_Dim!A:A,Store_Dim!B:B,"Not Found")</f>
        <v>Bean, Jones and Park</v>
      </c>
      <c r="H1286" t="str">
        <f>_xlfn.XLOOKUP(D1286,Product_Dim!A:A,Product_Dim!C:C,"Not Found")</f>
        <v>Sports</v>
      </c>
      <c r="I1286" t="str">
        <f>_xlfn.XLOOKUP(E1286,Store_Dim!A:A,Store_Dim!C:C,"Not Found")</f>
        <v>West</v>
      </c>
      <c r="J1286" t="str">
        <f>_xlfn.XLOOKUP(C1286,Customer_Dim!A:A,Customer_Dim!B:B,"Not Found")</f>
        <v>Frank Stewart</v>
      </c>
      <c r="K1286">
        <f>Table511[[#This Row],[Total_Amount]]/(L1286*(1-Table511[[#This Row],[Discount]]))</f>
        <v>2</v>
      </c>
      <c r="L1286" s="5">
        <v>623.20000000000005</v>
      </c>
      <c r="M1286">
        <v>0.14000000000000001</v>
      </c>
      <c r="N1286" t="s">
        <v>1354</v>
      </c>
      <c r="O1286" s="5">
        <v>1071.904</v>
      </c>
    </row>
    <row r="1287" spans="1:15">
      <c r="A1287" t="s">
        <v>2636</v>
      </c>
      <c r="B1287" s="7">
        <v>45622</v>
      </c>
      <c r="C1287" t="s">
        <v>714</v>
      </c>
      <c r="D1287" t="s">
        <v>1080</v>
      </c>
      <c r="E1287" t="s">
        <v>1329</v>
      </c>
      <c r="F1287" t="str">
        <f>[1]Raw_Customer_Dim!$A$2</f>
        <v>CUST1000</v>
      </c>
      <c r="G1287" t="str">
        <f>_xlfn.XLOOKUP(E1287,Store_Dim!A:A,Store_Dim!B:B,"Not Found")</f>
        <v>Frederick-Wright</v>
      </c>
      <c r="H1287" t="str">
        <f>_xlfn.XLOOKUP(D1287,Product_Dim!A:A,Product_Dim!C:C,"Not Found")</f>
        <v>Clothing</v>
      </c>
      <c r="I1287" t="str">
        <f>_xlfn.XLOOKUP(E1287,Store_Dim!A:A,Store_Dim!C:C,"Not Found")</f>
        <v>West</v>
      </c>
      <c r="J1287" t="str">
        <f>_xlfn.XLOOKUP(C1287,Customer_Dim!A:A,Customer_Dim!B:B,"Not Found")</f>
        <v>Andrew Smith</v>
      </c>
      <c r="K1287">
        <f>Table511[[#This Row],[Total_Amount]]/(L1287*(1-Table511[[#This Row],[Discount]]))</f>
        <v>2</v>
      </c>
      <c r="L1287" s="5">
        <v>530.54</v>
      </c>
      <c r="M1287">
        <v>0.28000000000000003</v>
      </c>
      <c r="N1287" t="s">
        <v>1354</v>
      </c>
      <c r="O1287" s="5">
        <v>763.97759999999994</v>
      </c>
    </row>
    <row r="1288" spans="1:15">
      <c r="A1288" t="s">
        <v>2637</v>
      </c>
      <c r="B1288" s="7">
        <v>45810</v>
      </c>
      <c r="C1288" t="s">
        <v>793</v>
      </c>
      <c r="D1288" t="s">
        <v>1068</v>
      </c>
      <c r="E1288" t="s">
        <v>1329</v>
      </c>
      <c r="F1288" t="str">
        <f>[1]Raw_Customer_Dim!$A$2</f>
        <v>CUST1000</v>
      </c>
      <c r="G1288" t="str">
        <f>_xlfn.XLOOKUP(E1288,Store_Dim!A:A,Store_Dim!B:B,"Not Found")</f>
        <v>Frederick-Wright</v>
      </c>
      <c r="H1288" t="str">
        <f>_xlfn.XLOOKUP(D1288,Product_Dim!A:A,Product_Dim!C:C,"Not Found")</f>
        <v>Electronics</v>
      </c>
      <c r="I1288" t="str">
        <f>_xlfn.XLOOKUP(E1288,Store_Dim!A:A,Store_Dim!C:C,"Not Found")</f>
        <v>West</v>
      </c>
      <c r="J1288" t="str">
        <f>_xlfn.XLOOKUP(C1288,Customer_Dim!A:A,Customer_Dim!B:B,"Not Found")</f>
        <v>Brandon Mcbride</v>
      </c>
      <c r="K1288">
        <f>Table511[[#This Row],[Total_Amount]]/(L1288*(1-Table511[[#This Row],[Discount]]))</f>
        <v>2.9999999999999996</v>
      </c>
      <c r="L1288" s="5">
        <v>279.45</v>
      </c>
      <c r="M1288">
        <v>0.15</v>
      </c>
      <c r="N1288" t="s">
        <v>1354</v>
      </c>
      <c r="O1288" s="5">
        <v>712.59749999999985</v>
      </c>
    </row>
    <row r="1289" spans="1:15">
      <c r="A1289" t="s">
        <v>2638</v>
      </c>
      <c r="B1289" s="7">
        <v>45645</v>
      </c>
      <c r="C1289" t="s">
        <v>596</v>
      </c>
      <c r="D1289" t="s">
        <v>1097</v>
      </c>
      <c r="E1289" t="s">
        <v>1307</v>
      </c>
      <c r="F1289" t="str">
        <f>[1]Raw_Customer_Dim!$A$2</f>
        <v>CUST1000</v>
      </c>
      <c r="G1289" t="str">
        <f>_xlfn.XLOOKUP(E1289,Store_Dim!A:A,Store_Dim!B:B,"Not Found")</f>
        <v>Bean, Jones and Park</v>
      </c>
      <c r="H1289" t="str">
        <f>_xlfn.XLOOKUP(D1289,Product_Dim!A:A,Product_Dim!C:C,"Not Found")</f>
        <v>Beauty</v>
      </c>
      <c r="I1289" t="str">
        <f>_xlfn.XLOOKUP(E1289,Store_Dim!A:A,Store_Dim!C:C,"Not Found")</f>
        <v>West</v>
      </c>
      <c r="J1289" t="str">
        <f>_xlfn.XLOOKUP(C1289,Customer_Dim!A:A,Customer_Dim!B:B,"Not Found")</f>
        <v>Cynthia Payne</v>
      </c>
      <c r="K1289">
        <f>Table511[[#This Row],[Total_Amount]]/(L1289*(1-Table511[[#This Row],[Discount]]))</f>
        <v>3</v>
      </c>
      <c r="L1289" s="5">
        <v>906.99</v>
      </c>
      <c r="M1289">
        <v>0.26</v>
      </c>
      <c r="N1289" t="s">
        <v>1354</v>
      </c>
      <c r="O1289" s="5">
        <v>2013.5178000000001</v>
      </c>
    </row>
    <row r="1290" spans="1:15">
      <c r="A1290" t="s">
        <v>2639</v>
      </c>
      <c r="B1290" s="7">
        <v>45749</v>
      </c>
      <c r="C1290" t="s">
        <v>190</v>
      </c>
      <c r="D1290" t="s">
        <v>1233</v>
      </c>
      <c r="E1290" t="s">
        <v>1332</v>
      </c>
      <c r="F1290" t="str">
        <f>[1]Raw_Customer_Dim!$A$2</f>
        <v>CUST1000</v>
      </c>
      <c r="G1290" t="str">
        <f>_xlfn.XLOOKUP(E1290,Store_Dim!A:A,Store_Dim!B:B,"Not Found")</f>
        <v>Holloway Ltd</v>
      </c>
      <c r="H1290" t="str">
        <f>_xlfn.XLOOKUP(D1290,Product_Dim!A:A,Product_Dim!C:C,"Not Found")</f>
        <v>Home</v>
      </c>
      <c r="I1290" t="str">
        <f>_xlfn.XLOOKUP(E1290,Store_Dim!A:A,Store_Dim!C:C,"Not Found")</f>
        <v>North</v>
      </c>
      <c r="J1290" t="str">
        <f>_xlfn.XLOOKUP(C1290,Customer_Dim!A:A,Customer_Dim!B:B,"Not Found")</f>
        <v>Eric Singh</v>
      </c>
      <c r="K1290">
        <f>Table511[[#This Row],[Total_Amount]]/(L1290*(1-Table511[[#This Row],[Discount]]))</f>
        <v>4</v>
      </c>
      <c r="L1290" s="5">
        <v>408.76</v>
      </c>
      <c r="M1290">
        <v>0.12</v>
      </c>
      <c r="N1290" t="s">
        <v>1354</v>
      </c>
      <c r="O1290" s="5">
        <v>1438.8352</v>
      </c>
    </row>
    <row r="1291" spans="1:15">
      <c r="A1291" t="s">
        <v>2640</v>
      </c>
      <c r="B1291" s="7">
        <v>45537</v>
      </c>
      <c r="C1291" t="s">
        <v>415</v>
      </c>
      <c r="D1291" t="s">
        <v>1145</v>
      </c>
      <c r="E1291" t="s">
        <v>1311</v>
      </c>
      <c r="F1291" t="str">
        <f>[1]Raw_Customer_Dim!$A$2</f>
        <v>CUST1000</v>
      </c>
      <c r="G1291" t="str">
        <f>_xlfn.XLOOKUP(E1291,Store_Dim!A:A,Store_Dim!B:B,"Not Found")</f>
        <v>Moore, Padilla and Butler</v>
      </c>
      <c r="H1291" t="str">
        <f>_xlfn.XLOOKUP(D1291,Product_Dim!A:A,Product_Dim!C:C,"Not Found")</f>
        <v>Clothing</v>
      </c>
      <c r="I1291" t="str">
        <f>_xlfn.XLOOKUP(E1291,Store_Dim!A:A,Store_Dim!C:C,"Not Found")</f>
        <v>South</v>
      </c>
      <c r="J1291" t="str">
        <f>_xlfn.XLOOKUP(C1291,Customer_Dim!A:A,Customer_Dim!B:B,"Not Found")</f>
        <v>Curtis Lam</v>
      </c>
      <c r="K1291">
        <f>Table511[[#This Row],[Total_Amount]]/(L1291*(1-Table511[[#This Row],[Discount]]))</f>
        <v>1.9999999999999998</v>
      </c>
      <c r="L1291" s="5">
        <v>117.34</v>
      </c>
      <c r="M1291">
        <v>0.09</v>
      </c>
      <c r="N1291" t="s">
        <v>1351</v>
      </c>
      <c r="O1291" s="5">
        <v>213.55879999999999</v>
      </c>
    </row>
    <row r="1292" spans="1:15">
      <c r="A1292" t="s">
        <v>2641</v>
      </c>
      <c r="B1292" s="7">
        <v>45376</v>
      </c>
      <c r="C1292" t="s">
        <v>397</v>
      </c>
      <c r="D1292" t="s">
        <v>1255</v>
      </c>
      <c r="E1292" t="s">
        <v>1324</v>
      </c>
      <c r="F1292" t="str">
        <f>[1]Raw_Customer_Dim!$A$2</f>
        <v>CUST1000</v>
      </c>
      <c r="G1292" t="str">
        <f>_xlfn.XLOOKUP(E1292,Store_Dim!A:A,Store_Dim!B:B,"Not Found")</f>
        <v>Mcdonald Inc</v>
      </c>
      <c r="H1292" t="str">
        <f>_xlfn.XLOOKUP(D1292,Product_Dim!A:A,Product_Dim!C:C,"Not Found")</f>
        <v>Clothing</v>
      </c>
      <c r="I1292" t="str">
        <f>_xlfn.XLOOKUP(E1292,Store_Dim!A:A,Store_Dim!C:C,"Not Found")</f>
        <v>South</v>
      </c>
      <c r="J1292" t="str">
        <f>_xlfn.XLOOKUP(C1292,Customer_Dim!A:A,Customer_Dim!B:B,"Not Found")</f>
        <v>Daniel Contreras</v>
      </c>
      <c r="K1292">
        <f>Table511[[#This Row],[Total_Amount]]/(L1292*(1-Table511[[#This Row],[Discount]]))</f>
        <v>3</v>
      </c>
      <c r="L1292" s="5">
        <v>690.27</v>
      </c>
      <c r="M1292">
        <v>7.0000000000000007E-2</v>
      </c>
      <c r="N1292" t="s">
        <v>1351</v>
      </c>
      <c r="O1292" s="5">
        <v>1925.8533</v>
      </c>
    </row>
    <row r="1293" spans="1:15">
      <c r="A1293" t="s">
        <v>2642</v>
      </c>
      <c r="B1293" s="7">
        <v>45709</v>
      </c>
      <c r="C1293" t="s">
        <v>275</v>
      </c>
      <c r="D1293" t="s">
        <v>1129</v>
      </c>
      <c r="E1293" t="s">
        <v>1332</v>
      </c>
      <c r="F1293" t="str">
        <f>[1]Raw_Customer_Dim!$A$2</f>
        <v>CUST1000</v>
      </c>
      <c r="G1293" t="str">
        <f>_xlfn.XLOOKUP(E1293,Store_Dim!A:A,Store_Dim!B:B,"Not Found")</f>
        <v>Holloway Ltd</v>
      </c>
      <c r="H1293" t="str">
        <f>_xlfn.XLOOKUP(D1293,Product_Dim!A:A,Product_Dim!C:C,"Not Found")</f>
        <v>Sports</v>
      </c>
      <c r="I1293" t="str">
        <f>_xlfn.XLOOKUP(E1293,Store_Dim!A:A,Store_Dim!C:C,"Not Found")</f>
        <v>North</v>
      </c>
      <c r="J1293" t="str">
        <f>_xlfn.XLOOKUP(C1293,Customer_Dim!A:A,Customer_Dim!B:B,"Not Found")</f>
        <v>Travis Holland</v>
      </c>
      <c r="K1293">
        <f>Table511[[#This Row],[Total_Amount]]/(L1293*(1-Table511[[#This Row],[Discount]]))</f>
        <v>3.9999999999999991</v>
      </c>
      <c r="L1293" s="5">
        <v>377.18</v>
      </c>
      <c r="M1293">
        <v>0.24</v>
      </c>
      <c r="N1293" t="s">
        <v>1351</v>
      </c>
      <c r="O1293" s="5">
        <v>1146.6271999999999</v>
      </c>
    </row>
    <row r="1294" spans="1:15">
      <c r="A1294" t="s">
        <v>2643</v>
      </c>
      <c r="B1294" s="7">
        <v>45446</v>
      </c>
      <c r="C1294" t="s">
        <v>283</v>
      </c>
      <c r="D1294" t="s">
        <v>1153</v>
      </c>
      <c r="E1294" t="s">
        <v>1277</v>
      </c>
      <c r="F1294" t="str">
        <f>[1]Raw_Customer_Dim!$A$2</f>
        <v>CUST1000</v>
      </c>
      <c r="G1294" t="str">
        <f>_xlfn.XLOOKUP(E1294,Store_Dim!A:A,Store_Dim!B:B,"Not Found")</f>
        <v>Rivera-Warner</v>
      </c>
      <c r="H1294" t="str">
        <f>_xlfn.XLOOKUP(D1294,Product_Dim!A:A,Product_Dim!C:C,"Not Found")</f>
        <v>Electronics</v>
      </c>
      <c r="I1294" t="str">
        <f>_xlfn.XLOOKUP(E1294,Store_Dim!A:A,Store_Dim!C:C,"Not Found")</f>
        <v>East</v>
      </c>
      <c r="J1294" t="str">
        <f>_xlfn.XLOOKUP(C1294,Customer_Dim!A:A,Customer_Dim!B:B,"Not Found")</f>
        <v>David Cole</v>
      </c>
      <c r="K1294">
        <f>Table511[[#This Row],[Total_Amount]]/(L1294*(1-Table511[[#This Row],[Discount]]))</f>
        <v>1</v>
      </c>
      <c r="L1294" s="5">
        <v>70.52</v>
      </c>
      <c r="M1294">
        <v>0.08</v>
      </c>
      <c r="N1294" t="s">
        <v>1354</v>
      </c>
      <c r="O1294" s="5">
        <v>64.878399999999999</v>
      </c>
    </row>
    <row r="1295" spans="1:15">
      <c r="A1295" t="s">
        <v>2644</v>
      </c>
      <c r="B1295" s="7">
        <v>45330</v>
      </c>
      <c r="C1295" t="s">
        <v>614</v>
      </c>
      <c r="D1295" t="s">
        <v>1149</v>
      </c>
      <c r="E1295" t="s">
        <v>1311</v>
      </c>
      <c r="F1295" t="str">
        <f>[1]Raw_Customer_Dim!$A$2</f>
        <v>CUST1000</v>
      </c>
      <c r="G1295" t="str">
        <f>_xlfn.XLOOKUP(E1295,Store_Dim!A:A,Store_Dim!B:B,"Not Found")</f>
        <v>Moore, Padilla and Butler</v>
      </c>
      <c r="H1295" t="str">
        <f>_xlfn.XLOOKUP(D1295,Product_Dim!A:A,Product_Dim!C:C,"Not Found")</f>
        <v>Sports</v>
      </c>
      <c r="I1295" t="str">
        <f>_xlfn.XLOOKUP(E1295,Store_Dim!A:A,Store_Dim!C:C,"Not Found")</f>
        <v>South</v>
      </c>
      <c r="J1295" t="str">
        <f>_xlfn.XLOOKUP(C1295,Customer_Dim!A:A,Customer_Dim!B:B,"Not Found")</f>
        <v>Shannon Miller</v>
      </c>
      <c r="K1295">
        <f>Table511[[#This Row],[Total_Amount]]/(L1295*(1-Table511[[#This Row],[Discount]]))</f>
        <v>1</v>
      </c>
      <c r="L1295" s="5">
        <v>40.25</v>
      </c>
      <c r="M1295">
        <v>0.1</v>
      </c>
      <c r="N1295" t="s">
        <v>1351</v>
      </c>
      <c r="O1295" s="5">
        <v>36.225000000000001</v>
      </c>
    </row>
    <row r="1296" spans="1:15">
      <c r="A1296" t="s">
        <v>2645</v>
      </c>
      <c r="B1296" s="7">
        <v>45388</v>
      </c>
      <c r="C1296" t="s">
        <v>527</v>
      </c>
      <c r="D1296" t="s">
        <v>1251</v>
      </c>
      <c r="E1296" t="s">
        <v>1317</v>
      </c>
      <c r="F1296" t="str">
        <f>[1]Raw_Customer_Dim!$A$2</f>
        <v>CUST1000</v>
      </c>
      <c r="G1296" t="str">
        <f>_xlfn.XLOOKUP(E1296,Store_Dim!A:A,Store_Dim!B:B,"Not Found")</f>
        <v>Aguirre-Keller</v>
      </c>
      <c r="H1296" t="str">
        <f>_xlfn.XLOOKUP(D1296,Product_Dim!A:A,Product_Dim!C:C,"Not Found")</f>
        <v>Beauty</v>
      </c>
      <c r="I1296" t="str">
        <f>_xlfn.XLOOKUP(E1296,Store_Dim!A:A,Store_Dim!C:C,"Not Found")</f>
        <v>South</v>
      </c>
      <c r="J1296" t="str">
        <f>_xlfn.XLOOKUP(C1296,Customer_Dim!A:A,Customer_Dim!B:B,"Not Found")</f>
        <v>Christy Hill</v>
      </c>
      <c r="K1296">
        <f>Table511[[#This Row],[Total_Amount]]/(L1296*(1-Table511[[#This Row],[Discount]]))</f>
        <v>2.9999999999999996</v>
      </c>
      <c r="L1296" s="5">
        <v>539.44000000000005</v>
      </c>
      <c r="M1296">
        <v>0.05</v>
      </c>
      <c r="N1296" t="s">
        <v>1354</v>
      </c>
      <c r="O1296" s="5">
        <v>1537.404</v>
      </c>
    </row>
    <row r="1297" spans="1:15">
      <c r="A1297" t="s">
        <v>2646</v>
      </c>
      <c r="B1297" s="7">
        <v>45313</v>
      </c>
      <c r="C1297" t="s">
        <v>557</v>
      </c>
      <c r="D1297" t="s">
        <v>1193</v>
      </c>
      <c r="E1297" t="s">
        <v>1294</v>
      </c>
      <c r="F1297" t="str">
        <f>[1]Raw_Customer_Dim!$A$2</f>
        <v>CUST1000</v>
      </c>
      <c r="G1297" t="str">
        <f>_xlfn.XLOOKUP(E1297,Store_Dim!A:A,Store_Dim!B:B,"Not Found")</f>
        <v>Alexander Group</v>
      </c>
      <c r="H1297" t="str">
        <f>_xlfn.XLOOKUP(D1297,Product_Dim!A:A,Product_Dim!C:C,"Not Found")</f>
        <v>Beauty</v>
      </c>
      <c r="I1297" t="str">
        <f>_xlfn.XLOOKUP(E1297,Store_Dim!A:A,Store_Dim!C:C,"Not Found")</f>
        <v>South</v>
      </c>
      <c r="J1297" t="str">
        <f>_xlfn.XLOOKUP(C1297,Customer_Dim!A:A,Customer_Dim!B:B,"Not Found")</f>
        <v>Douglas Rhodes</v>
      </c>
      <c r="K1297">
        <f>Table511[[#This Row],[Total_Amount]]/(L1297*(1-Table511[[#This Row],[Discount]]))</f>
        <v>3.0000000000000004</v>
      </c>
      <c r="L1297" s="5">
        <v>543.49</v>
      </c>
      <c r="M1297">
        <v>0.05</v>
      </c>
      <c r="N1297" t="s">
        <v>1351</v>
      </c>
      <c r="O1297" s="5">
        <v>1548.9465</v>
      </c>
    </row>
    <row r="1298" spans="1:15">
      <c r="A1298" t="s">
        <v>2647</v>
      </c>
      <c r="B1298" s="7">
        <v>45221</v>
      </c>
      <c r="C1298" t="s">
        <v>712</v>
      </c>
      <c r="D1298" t="s">
        <v>1085</v>
      </c>
      <c r="E1298" t="s">
        <v>1301</v>
      </c>
      <c r="F1298" t="str">
        <f>[1]Raw_Customer_Dim!$A$2</f>
        <v>CUST1000</v>
      </c>
      <c r="G1298" t="str">
        <f>_xlfn.XLOOKUP(E1298,Store_Dim!A:A,Store_Dim!B:B,"Not Found")</f>
        <v>Benson-Elliott</v>
      </c>
      <c r="H1298" t="str">
        <f>_xlfn.XLOOKUP(D1298,Product_Dim!A:A,Product_Dim!C:C,"Not Found")</f>
        <v>Home</v>
      </c>
      <c r="I1298" t="str">
        <f>_xlfn.XLOOKUP(E1298,Store_Dim!A:A,Store_Dim!C:C,"Not Found")</f>
        <v>East</v>
      </c>
      <c r="J1298" t="str">
        <f>_xlfn.XLOOKUP(C1298,Customer_Dim!A:A,Customer_Dim!B:B,"Not Found")</f>
        <v>Alex Mann II</v>
      </c>
      <c r="K1298">
        <f>Table511[[#This Row],[Total_Amount]]/(L1298*(1-Table511[[#This Row],[Discount]]))</f>
        <v>3.9999999999999996</v>
      </c>
      <c r="L1298" s="5">
        <v>547.21</v>
      </c>
      <c r="M1298">
        <v>0.1</v>
      </c>
      <c r="N1298" t="s">
        <v>1354</v>
      </c>
      <c r="O1298" s="5">
        <v>1969.9559999999999</v>
      </c>
    </row>
    <row r="1299" spans="1:15">
      <c r="A1299" t="s">
        <v>2648</v>
      </c>
      <c r="B1299" s="7">
        <v>45619</v>
      </c>
      <c r="C1299" t="s">
        <v>545</v>
      </c>
      <c r="D1299" t="s">
        <v>1203</v>
      </c>
      <c r="E1299" t="s">
        <v>1282</v>
      </c>
      <c r="F1299" t="str">
        <f>[1]Raw_Customer_Dim!$A$2</f>
        <v>CUST1000</v>
      </c>
      <c r="G1299" t="str">
        <f>_xlfn.XLOOKUP(E1299,Store_Dim!A:A,Store_Dim!B:B,"Not Found")</f>
        <v>Martinez, Adkins and Johnson</v>
      </c>
      <c r="H1299" t="str">
        <f>_xlfn.XLOOKUP(D1299,Product_Dim!A:A,Product_Dim!C:C,"Not Found")</f>
        <v>Sports</v>
      </c>
      <c r="I1299" t="str">
        <f>_xlfn.XLOOKUP(E1299,Store_Dim!A:A,Store_Dim!C:C,"Not Found")</f>
        <v>North</v>
      </c>
      <c r="J1299" t="str">
        <f>_xlfn.XLOOKUP(C1299,Customer_Dim!A:A,Customer_Dim!B:B,"Not Found")</f>
        <v>Mr. William Horton</v>
      </c>
      <c r="K1299">
        <f>Table511[[#This Row],[Total_Amount]]/(L1299*(1-Table511[[#This Row],[Discount]]))</f>
        <v>2</v>
      </c>
      <c r="L1299" s="5">
        <v>892.46</v>
      </c>
      <c r="M1299">
        <v>7.0000000000000007E-2</v>
      </c>
      <c r="N1299" t="s">
        <v>1351</v>
      </c>
      <c r="O1299" s="5">
        <v>1659.9756</v>
      </c>
    </row>
    <row r="1300" spans="1:15">
      <c r="A1300" t="s">
        <v>2649</v>
      </c>
      <c r="B1300" s="7">
        <v>45286</v>
      </c>
      <c r="C1300" t="s">
        <v>837</v>
      </c>
      <c r="D1300" t="s">
        <v>1125</v>
      </c>
      <c r="E1300" t="s">
        <v>1307</v>
      </c>
      <c r="F1300" t="str">
        <f>[1]Raw_Customer_Dim!$A$2</f>
        <v>CUST1000</v>
      </c>
      <c r="G1300" t="str">
        <f>_xlfn.XLOOKUP(E1300,Store_Dim!A:A,Store_Dim!B:B,"Not Found")</f>
        <v>Bean, Jones and Park</v>
      </c>
      <c r="H1300" t="str">
        <f>_xlfn.XLOOKUP(D1300,Product_Dim!A:A,Product_Dim!C:C,"Not Found")</f>
        <v>Electronics</v>
      </c>
      <c r="I1300" t="str">
        <f>_xlfn.XLOOKUP(E1300,Store_Dim!A:A,Store_Dim!C:C,"Not Found")</f>
        <v>West</v>
      </c>
      <c r="J1300" t="str">
        <f>_xlfn.XLOOKUP(C1300,Customer_Dim!A:A,Customer_Dim!B:B,"Not Found")</f>
        <v>Timothy Gardner</v>
      </c>
      <c r="K1300">
        <f>Table511[[#This Row],[Total_Amount]]/(L1300*(1-Table511[[#This Row],[Discount]]))</f>
        <v>2</v>
      </c>
      <c r="L1300" s="5">
        <v>853.41</v>
      </c>
      <c r="M1300">
        <v>0.25</v>
      </c>
      <c r="N1300" t="s">
        <v>1349</v>
      </c>
      <c r="O1300" s="5">
        <v>1280.115</v>
      </c>
    </row>
    <row r="1301" spans="1:15">
      <c r="A1301" t="s">
        <v>2650</v>
      </c>
      <c r="B1301" s="7">
        <v>45451</v>
      </c>
      <c r="C1301" t="s">
        <v>279</v>
      </c>
      <c r="D1301" t="s">
        <v>1237</v>
      </c>
      <c r="E1301" t="s">
        <v>1304</v>
      </c>
      <c r="F1301" t="str">
        <f>[1]Raw_Customer_Dim!$A$2</f>
        <v>CUST1000</v>
      </c>
      <c r="G1301" t="str">
        <f>_xlfn.XLOOKUP(E1301,Store_Dim!A:A,Store_Dim!B:B,"Not Found")</f>
        <v>Martinez-Mullins</v>
      </c>
      <c r="H1301" t="str">
        <f>_xlfn.XLOOKUP(D1301,Product_Dim!A:A,Product_Dim!C:C,"Not Found")</f>
        <v>Sports</v>
      </c>
      <c r="I1301" t="str">
        <f>_xlfn.XLOOKUP(E1301,Store_Dim!A:A,Store_Dim!C:C,"Not Found")</f>
        <v>South</v>
      </c>
      <c r="J1301" t="str">
        <f>_xlfn.XLOOKUP(C1301,Customer_Dim!A:A,Customer_Dim!B:B,"Not Found")</f>
        <v>Ashley Griffin</v>
      </c>
      <c r="K1301">
        <f>Table511[[#This Row],[Total_Amount]]/(L1301*(1-Table511[[#This Row],[Discount]]))</f>
        <v>1.0000000000000002</v>
      </c>
      <c r="L1301" s="5">
        <v>162.13999999999999</v>
      </c>
      <c r="M1301">
        <v>7.0000000000000007E-2</v>
      </c>
      <c r="N1301" t="s">
        <v>1351</v>
      </c>
      <c r="O1301" s="5">
        <v>150.7902</v>
      </c>
    </row>
    <row r="1302" spans="1:15">
      <c r="A1302" t="s">
        <v>2651</v>
      </c>
      <c r="B1302" s="7">
        <v>45478</v>
      </c>
      <c r="C1302" t="s">
        <v>355</v>
      </c>
      <c r="D1302" t="s">
        <v>1265</v>
      </c>
      <c r="E1302" t="s">
        <v>1329</v>
      </c>
      <c r="F1302" t="str">
        <f>[1]Raw_Customer_Dim!$A$2</f>
        <v>CUST1000</v>
      </c>
      <c r="G1302" t="str">
        <f>_xlfn.XLOOKUP(E1302,Store_Dim!A:A,Store_Dim!B:B,"Not Found")</f>
        <v>Frederick-Wright</v>
      </c>
      <c r="H1302" t="str">
        <f>_xlfn.XLOOKUP(D1302,Product_Dim!A:A,Product_Dim!C:C,"Not Found")</f>
        <v>Clothing</v>
      </c>
      <c r="I1302" t="str">
        <f>_xlfn.XLOOKUP(E1302,Store_Dim!A:A,Store_Dim!C:C,"Not Found")</f>
        <v>West</v>
      </c>
      <c r="J1302" t="str">
        <f>_xlfn.XLOOKUP(C1302,Customer_Dim!A:A,Customer_Dim!B:B,"Not Found")</f>
        <v>Rhonda Young</v>
      </c>
      <c r="K1302">
        <f>Table511[[#This Row],[Total_Amount]]/(L1302*(1-Table511[[#This Row],[Discount]]))</f>
        <v>1</v>
      </c>
      <c r="L1302" s="5">
        <v>893.14</v>
      </c>
      <c r="M1302">
        <v>0.09</v>
      </c>
      <c r="N1302" t="s">
        <v>1349</v>
      </c>
      <c r="O1302" s="5">
        <v>812.75739999999996</v>
      </c>
    </row>
    <row r="1303" spans="1:15">
      <c r="A1303" t="s">
        <v>2652</v>
      </c>
      <c r="B1303" s="7">
        <v>45528</v>
      </c>
      <c r="C1303" t="s">
        <v>265</v>
      </c>
      <c r="D1303" t="s">
        <v>1141</v>
      </c>
      <c r="E1303" t="s">
        <v>1307</v>
      </c>
      <c r="F1303" t="str">
        <f>[1]Raw_Customer_Dim!$A$2</f>
        <v>CUST1000</v>
      </c>
      <c r="G1303" t="str">
        <f>_xlfn.XLOOKUP(E1303,Store_Dim!A:A,Store_Dim!B:B,"Not Found")</f>
        <v>Bean, Jones and Park</v>
      </c>
      <c r="H1303" t="str">
        <f>_xlfn.XLOOKUP(D1303,Product_Dim!A:A,Product_Dim!C:C,"Not Found")</f>
        <v>Electronics</v>
      </c>
      <c r="I1303" t="str">
        <f>_xlfn.XLOOKUP(E1303,Store_Dim!A:A,Store_Dim!C:C,"Not Found")</f>
        <v>West</v>
      </c>
      <c r="J1303" t="str">
        <f>_xlfn.XLOOKUP(C1303,Customer_Dim!A:A,Customer_Dim!B:B,"Not Found")</f>
        <v>Steven Stein</v>
      </c>
      <c r="K1303">
        <f>Table511[[#This Row],[Total_Amount]]/(L1303*(1-Table511[[#This Row],[Discount]]))</f>
        <v>4</v>
      </c>
      <c r="L1303" s="5">
        <v>349.07</v>
      </c>
      <c r="M1303">
        <v>0.28000000000000003</v>
      </c>
      <c r="N1303" t="s">
        <v>1349</v>
      </c>
      <c r="O1303" s="5">
        <v>1005.3216</v>
      </c>
    </row>
    <row r="1304" spans="1:15">
      <c r="A1304" t="s">
        <v>2653</v>
      </c>
      <c r="B1304" s="7">
        <v>45418</v>
      </c>
      <c r="C1304" t="s">
        <v>630</v>
      </c>
      <c r="D1304" t="s">
        <v>1235</v>
      </c>
      <c r="E1304" t="s">
        <v>1322</v>
      </c>
      <c r="F1304" t="str">
        <f>[1]Raw_Customer_Dim!$A$2</f>
        <v>CUST1000</v>
      </c>
      <c r="G1304" t="str">
        <f>_xlfn.XLOOKUP(E1304,Store_Dim!A:A,Store_Dim!B:B,"Not Found")</f>
        <v>Gardner, Humphrey and Contreras</v>
      </c>
      <c r="H1304" t="str">
        <f>_xlfn.XLOOKUP(D1304,Product_Dim!A:A,Product_Dim!C:C,"Not Found")</f>
        <v>Sports</v>
      </c>
      <c r="I1304" t="str">
        <f>_xlfn.XLOOKUP(E1304,Store_Dim!A:A,Store_Dim!C:C,"Not Found")</f>
        <v>East</v>
      </c>
      <c r="J1304" t="str">
        <f>_xlfn.XLOOKUP(C1304,Customer_Dim!A:A,Customer_Dim!B:B,"Not Found")</f>
        <v>Bryan Garcia</v>
      </c>
      <c r="K1304">
        <f>Table511[[#This Row],[Total_Amount]]/(L1304*(1-Table511[[#This Row],[Discount]]))</f>
        <v>1</v>
      </c>
      <c r="L1304" s="5">
        <v>747.9</v>
      </c>
      <c r="M1304">
        <v>0.21</v>
      </c>
      <c r="N1304" t="s">
        <v>1354</v>
      </c>
      <c r="O1304" s="5">
        <v>590.84100000000001</v>
      </c>
    </row>
    <row r="1305" spans="1:15">
      <c r="A1305" t="s">
        <v>2654</v>
      </c>
      <c r="B1305" s="7">
        <v>45478</v>
      </c>
      <c r="C1305" t="s">
        <v>96</v>
      </c>
      <c r="D1305" t="s">
        <v>1235</v>
      </c>
      <c r="E1305" t="s">
        <v>1301</v>
      </c>
      <c r="F1305" t="str">
        <f>[1]Raw_Customer_Dim!$A$2</f>
        <v>CUST1000</v>
      </c>
      <c r="G1305" t="str">
        <f>_xlfn.XLOOKUP(E1305,Store_Dim!A:A,Store_Dim!B:B,"Not Found")</f>
        <v>Benson-Elliott</v>
      </c>
      <c r="H1305" t="str">
        <f>_xlfn.XLOOKUP(D1305,Product_Dim!A:A,Product_Dim!C:C,"Not Found")</f>
        <v>Sports</v>
      </c>
      <c r="I1305" t="str">
        <f>_xlfn.XLOOKUP(E1305,Store_Dim!A:A,Store_Dim!C:C,"Not Found")</f>
        <v>East</v>
      </c>
      <c r="J1305" t="str">
        <f>_xlfn.XLOOKUP(C1305,Customer_Dim!A:A,Customer_Dim!B:B,"Not Found")</f>
        <v>Sarah Vance</v>
      </c>
      <c r="K1305">
        <f>Table511[[#This Row],[Total_Amount]]/(L1305*(1-Table511[[#This Row],[Discount]]))</f>
        <v>2.9999999999999996</v>
      </c>
      <c r="L1305" s="5">
        <v>438.92</v>
      </c>
      <c r="M1305">
        <v>0.21</v>
      </c>
      <c r="N1305" t="s">
        <v>1349</v>
      </c>
      <c r="O1305" s="5">
        <v>1040.2403999999999</v>
      </c>
    </row>
    <row r="1306" spans="1:15">
      <c r="A1306" t="s">
        <v>2655</v>
      </c>
      <c r="B1306" s="7">
        <v>45232</v>
      </c>
      <c r="C1306" t="s">
        <v>306</v>
      </c>
      <c r="D1306" t="s">
        <v>1227</v>
      </c>
      <c r="E1306" t="s">
        <v>1294</v>
      </c>
      <c r="F1306" t="str">
        <f>[1]Raw_Customer_Dim!$A$2</f>
        <v>CUST1000</v>
      </c>
      <c r="G1306" t="str">
        <f>_xlfn.XLOOKUP(E1306,Store_Dim!A:A,Store_Dim!B:B,"Not Found")</f>
        <v>Alexander Group</v>
      </c>
      <c r="H1306" t="str">
        <f>_xlfn.XLOOKUP(D1306,Product_Dim!A:A,Product_Dim!C:C,"Not Found")</f>
        <v>Electronics</v>
      </c>
      <c r="I1306" t="str">
        <f>_xlfn.XLOOKUP(E1306,Store_Dim!A:A,Store_Dim!C:C,"Not Found")</f>
        <v>South</v>
      </c>
      <c r="J1306" t="str">
        <f>_xlfn.XLOOKUP(C1306,Customer_Dim!A:A,Customer_Dim!B:B,"Not Found")</f>
        <v>Erin Hopkins</v>
      </c>
      <c r="K1306">
        <f>Table511[[#This Row],[Total_Amount]]/(L1306*(1-Table511[[#This Row],[Discount]]))</f>
        <v>3.9999999999999991</v>
      </c>
      <c r="L1306" s="5">
        <v>665.38</v>
      </c>
      <c r="M1306">
        <v>0.18</v>
      </c>
      <c r="N1306" t="s">
        <v>1349</v>
      </c>
      <c r="O1306" s="5">
        <v>2182.4463999999998</v>
      </c>
    </row>
    <row r="1307" spans="1:15">
      <c r="A1307" t="s">
        <v>2656</v>
      </c>
      <c r="B1307" s="7">
        <v>45616</v>
      </c>
      <c r="C1307" t="s">
        <v>20</v>
      </c>
      <c r="D1307" t="s">
        <v>1193</v>
      </c>
      <c r="E1307" t="s">
        <v>1335</v>
      </c>
      <c r="F1307" t="str">
        <f>[1]Raw_Customer_Dim!$A$2</f>
        <v>CUST1000</v>
      </c>
      <c r="G1307" t="str">
        <f>_xlfn.XLOOKUP(E1307,Store_Dim!A:A,Store_Dim!B:B,"Not Found")</f>
        <v>Guerrero-Schmitt</v>
      </c>
      <c r="H1307" t="str">
        <f>_xlfn.XLOOKUP(D1307,Product_Dim!A:A,Product_Dim!C:C,"Not Found")</f>
        <v>Beauty</v>
      </c>
      <c r="I1307" t="str">
        <f>_xlfn.XLOOKUP(E1307,Store_Dim!A:A,Store_Dim!C:C,"Not Found")</f>
        <v>East</v>
      </c>
      <c r="J1307" t="str">
        <f>_xlfn.XLOOKUP(C1307,Customer_Dim!A:A,Customer_Dim!B:B,"Not Found")</f>
        <v>jeremy harris</v>
      </c>
      <c r="K1307">
        <f>Table511[[#This Row],[Total_Amount]]/(L1307*(1-Table511[[#This Row],[Discount]]))</f>
        <v>1</v>
      </c>
      <c r="L1307" s="5">
        <v>146.49</v>
      </c>
      <c r="M1307">
        <v>0.28000000000000003</v>
      </c>
      <c r="N1307" t="s">
        <v>1349</v>
      </c>
      <c r="O1307" s="5">
        <v>105.47280000000001</v>
      </c>
    </row>
    <row r="1308" spans="1:15">
      <c r="A1308" t="s">
        <v>2657</v>
      </c>
      <c r="B1308" s="7">
        <v>45774</v>
      </c>
      <c r="C1308" t="s">
        <v>339</v>
      </c>
      <c r="D1308" t="s">
        <v>1149</v>
      </c>
      <c r="E1308" t="s">
        <v>1326</v>
      </c>
      <c r="F1308" t="str">
        <f>[1]Raw_Customer_Dim!$A$2</f>
        <v>CUST1000</v>
      </c>
      <c r="G1308" t="str">
        <f>_xlfn.XLOOKUP(E1308,Store_Dim!A:A,Store_Dim!B:B,"Not Found")</f>
        <v>Shelton PLC</v>
      </c>
      <c r="H1308" t="str">
        <f>_xlfn.XLOOKUP(D1308,Product_Dim!A:A,Product_Dim!C:C,"Not Found")</f>
        <v>Sports</v>
      </c>
      <c r="I1308" t="str">
        <f>_xlfn.XLOOKUP(E1308,Store_Dim!A:A,Store_Dim!C:C,"Not Found")</f>
        <v>North</v>
      </c>
      <c r="J1308" t="str">
        <f>_xlfn.XLOOKUP(C1308,Customer_Dim!A:A,Customer_Dim!B:B,"Not Found")</f>
        <v>Brian Holder</v>
      </c>
      <c r="K1308">
        <f>Table511[[#This Row],[Total_Amount]]/(L1308*(1-Table511[[#This Row],[Discount]]))</f>
        <v>2</v>
      </c>
      <c r="L1308" s="5">
        <v>235.39</v>
      </c>
      <c r="M1308">
        <v>0.27</v>
      </c>
      <c r="N1308" t="s">
        <v>1354</v>
      </c>
      <c r="O1308" s="5">
        <v>343.6694</v>
      </c>
    </row>
    <row r="1309" spans="1:15">
      <c r="A1309" t="s">
        <v>2658</v>
      </c>
      <c r="B1309" s="7">
        <v>45651</v>
      </c>
      <c r="C1309" t="s">
        <v>90</v>
      </c>
      <c r="D1309" t="s">
        <v>1195</v>
      </c>
      <c r="E1309" t="s">
        <v>1298</v>
      </c>
      <c r="F1309" t="str">
        <f>[1]Raw_Customer_Dim!$A$2</f>
        <v>CUST1000</v>
      </c>
      <c r="G1309" t="str">
        <f>_xlfn.XLOOKUP(E1309,Store_Dim!A:A,Store_Dim!B:B,"Not Found")</f>
        <v>Gray Ltd</v>
      </c>
      <c r="H1309" t="str">
        <f>_xlfn.XLOOKUP(D1309,Product_Dim!A:A,Product_Dim!C:C,"Not Found")</f>
        <v>Sports</v>
      </c>
      <c r="I1309" t="str">
        <f>_xlfn.XLOOKUP(E1309,Store_Dim!A:A,Store_Dim!C:C,"Not Found")</f>
        <v>North</v>
      </c>
      <c r="J1309" t="str">
        <f>_xlfn.XLOOKUP(C1309,Customer_Dim!A:A,Customer_Dim!B:B,"Not Found")</f>
        <v>Joshua Ryan</v>
      </c>
      <c r="K1309">
        <f>Table511[[#This Row],[Total_Amount]]/(L1309*(1-Table511[[#This Row],[Discount]]))</f>
        <v>3</v>
      </c>
      <c r="L1309" s="5">
        <v>38.07</v>
      </c>
      <c r="M1309">
        <v>0.09</v>
      </c>
      <c r="N1309" t="s">
        <v>1351</v>
      </c>
      <c r="O1309" s="5">
        <v>103.9311</v>
      </c>
    </row>
    <row r="1310" spans="1:15">
      <c r="A1310" t="s">
        <v>2659</v>
      </c>
      <c r="B1310" s="7">
        <v>45902</v>
      </c>
      <c r="C1310" t="s">
        <v>869</v>
      </c>
      <c r="D1310" t="s">
        <v>1141</v>
      </c>
      <c r="E1310" t="s">
        <v>1294</v>
      </c>
      <c r="F1310" t="str">
        <f>[1]Raw_Customer_Dim!$A$2</f>
        <v>CUST1000</v>
      </c>
      <c r="G1310" t="str">
        <f>_xlfn.XLOOKUP(E1310,Store_Dim!A:A,Store_Dim!B:B,"Not Found")</f>
        <v>Alexander Group</v>
      </c>
      <c r="H1310" t="str">
        <f>_xlfn.XLOOKUP(D1310,Product_Dim!A:A,Product_Dim!C:C,"Not Found")</f>
        <v>Electronics</v>
      </c>
      <c r="I1310" t="str">
        <f>_xlfn.XLOOKUP(E1310,Store_Dim!A:A,Store_Dim!C:C,"Not Found")</f>
        <v>South</v>
      </c>
      <c r="J1310" t="str">
        <f>_xlfn.XLOOKUP(C1310,Customer_Dim!A:A,Customer_Dim!B:B,"Not Found")</f>
        <v>Justin Ingram</v>
      </c>
      <c r="K1310">
        <f>Table511[[#This Row],[Total_Amount]]/(L1310*(1-Table511[[#This Row],[Discount]]))</f>
        <v>2</v>
      </c>
      <c r="L1310" s="5">
        <v>511.7</v>
      </c>
      <c r="M1310">
        <v>0.12</v>
      </c>
      <c r="N1310" t="s">
        <v>1354</v>
      </c>
      <c r="O1310" s="5">
        <v>900.59199999999998</v>
      </c>
    </row>
    <row r="1311" spans="1:15">
      <c r="A1311" t="s">
        <v>2660</v>
      </c>
      <c r="B1311" s="7">
        <v>45401</v>
      </c>
      <c r="C1311" t="s">
        <v>242</v>
      </c>
      <c r="D1311" t="s">
        <v>1223</v>
      </c>
      <c r="E1311" t="s">
        <v>1307</v>
      </c>
      <c r="F1311" t="str">
        <f>[1]Raw_Customer_Dim!$A$2</f>
        <v>CUST1000</v>
      </c>
      <c r="G1311" t="str">
        <f>_xlfn.XLOOKUP(E1311,Store_Dim!A:A,Store_Dim!B:B,"Not Found")</f>
        <v>Bean, Jones and Park</v>
      </c>
      <c r="H1311" t="str">
        <f>_xlfn.XLOOKUP(D1311,Product_Dim!A:A,Product_Dim!C:C,"Not Found")</f>
        <v>Clothing</v>
      </c>
      <c r="I1311" t="str">
        <f>_xlfn.XLOOKUP(E1311,Store_Dim!A:A,Store_Dim!C:C,"Not Found")</f>
        <v>West</v>
      </c>
      <c r="J1311" t="str">
        <f>_xlfn.XLOOKUP(C1311,Customer_Dim!A:A,Customer_Dim!B:B,"Not Found")</f>
        <v>Robert Jackson</v>
      </c>
      <c r="K1311">
        <f>Table511[[#This Row],[Total_Amount]]/(L1311*(1-Table511[[#This Row],[Discount]]))</f>
        <v>3.9999999999999996</v>
      </c>
      <c r="L1311" s="5">
        <v>488.72</v>
      </c>
      <c r="M1311">
        <v>0.23</v>
      </c>
      <c r="N1311" t="s">
        <v>1351</v>
      </c>
      <c r="O1311" s="5">
        <v>1505.2575999999999</v>
      </c>
    </row>
    <row r="1312" spans="1:15">
      <c r="A1312" t="s">
        <v>2661</v>
      </c>
      <c r="B1312" s="7">
        <v>45717</v>
      </c>
      <c r="C1312" t="s">
        <v>845</v>
      </c>
      <c r="D1312" t="s">
        <v>1173</v>
      </c>
      <c r="E1312" t="s">
        <v>1319</v>
      </c>
      <c r="F1312" t="str">
        <f>[1]Raw_Customer_Dim!$A$2</f>
        <v>CUST1000</v>
      </c>
      <c r="G1312" t="str">
        <f>_xlfn.XLOOKUP(E1312,Store_Dim!A:A,Store_Dim!B:B,"Not Found")</f>
        <v>Thomas, Bridges and Harris</v>
      </c>
      <c r="H1312" t="str">
        <f>_xlfn.XLOOKUP(D1312,Product_Dim!A:A,Product_Dim!C:C,"Not Found")</f>
        <v>Sports</v>
      </c>
      <c r="I1312" t="str">
        <f>_xlfn.XLOOKUP(E1312,Store_Dim!A:A,Store_Dim!C:C,"Not Found")</f>
        <v>North</v>
      </c>
      <c r="J1312" t="str">
        <f>_xlfn.XLOOKUP(C1312,Customer_Dim!A:A,Customer_Dim!B:B,"Not Found")</f>
        <v>Heidi Tyler</v>
      </c>
      <c r="K1312">
        <f>Table511[[#This Row],[Total_Amount]]/(L1312*(1-Table511[[#This Row],[Discount]]))</f>
        <v>2</v>
      </c>
      <c r="L1312" s="5">
        <v>520.45000000000005</v>
      </c>
      <c r="M1312">
        <v>0.11</v>
      </c>
      <c r="N1312" t="s">
        <v>1354</v>
      </c>
      <c r="O1312" s="5">
        <v>926.40100000000007</v>
      </c>
    </row>
    <row r="1313" spans="1:15">
      <c r="A1313" t="s">
        <v>2662</v>
      </c>
      <c r="B1313" s="7">
        <v>45376</v>
      </c>
      <c r="C1313" t="s">
        <v>927</v>
      </c>
      <c r="D1313" t="s">
        <v>1169</v>
      </c>
      <c r="E1313" t="s">
        <v>1298</v>
      </c>
      <c r="F1313" t="str">
        <f>[1]Raw_Customer_Dim!$A$2</f>
        <v>CUST1000</v>
      </c>
      <c r="G1313" t="str">
        <f>_xlfn.XLOOKUP(E1313,Store_Dim!A:A,Store_Dim!B:B,"Not Found")</f>
        <v>Gray Ltd</v>
      </c>
      <c r="H1313" t="str">
        <f>_xlfn.XLOOKUP(D1313,Product_Dim!A:A,Product_Dim!C:C,"Not Found")</f>
        <v>Electronics</v>
      </c>
      <c r="I1313" t="str">
        <f>_xlfn.XLOOKUP(E1313,Store_Dim!A:A,Store_Dim!C:C,"Not Found")</f>
        <v>North</v>
      </c>
      <c r="J1313" t="str">
        <f>_xlfn.XLOOKUP(C1313,Customer_Dim!A:A,Customer_Dim!B:B,"Not Found")</f>
        <v>Summer Weiss</v>
      </c>
      <c r="K1313">
        <f>Table511[[#This Row],[Total_Amount]]/(L1313*(1-Table511[[#This Row],[Discount]]))</f>
        <v>1.0000000000000002</v>
      </c>
      <c r="L1313" s="5">
        <v>340.9</v>
      </c>
      <c r="M1313">
        <v>0.28999999999999998</v>
      </c>
      <c r="N1313" t="s">
        <v>1349</v>
      </c>
      <c r="O1313" s="5">
        <v>242.03899999999999</v>
      </c>
    </row>
    <row r="1314" spans="1:15">
      <c r="A1314" t="s">
        <v>2663</v>
      </c>
      <c r="B1314" s="7">
        <v>45576</v>
      </c>
      <c r="C1314" t="s">
        <v>756</v>
      </c>
      <c r="D1314" t="s">
        <v>1135</v>
      </c>
      <c r="E1314" t="s">
        <v>1307</v>
      </c>
      <c r="F1314" t="str">
        <f>[1]Raw_Customer_Dim!$A$2</f>
        <v>CUST1000</v>
      </c>
      <c r="G1314" t="str">
        <f>_xlfn.XLOOKUP(E1314,Store_Dim!A:A,Store_Dim!B:B,"Not Found")</f>
        <v>Bean, Jones and Park</v>
      </c>
      <c r="H1314" t="str">
        <f>_xlfn.XLOOKUP(D1314,Product_Dim!A:A,Product_Dim!C:C,"Not Found")</f>
        <v>Sports</v>
      </c>
      <c r="I1314" t="str">
        <f>_xlfn.XLOOKUP(E1314,Store_Dim!A:A,Store_Dim!C:C,"Not Found")</f>
        <v>West</v>
      </c>
      <c r="J1314" t="str">
        <f>_xlfn.XLOOKUP(C1314,Customer_Dim!A:A,Customer_Dim!B:B,"Not Found")</f>
        <v>John Jordan</v>
      </c>
      <c r="K1314">
        <f>Table511[[#This Row],[Total_Amount]]/(L1314*(1-Table511[[#This Row],[Discount]]))</f>
        <v>3</v>
      </c>
      <c r="L1314" s="5">
        <v>653.59</v>
      </c>
      <c r="M1314">
        <v>0.17</v>
      </c>
      <c r="N1314" t="s">
        <v>1354</v>
      </c>
      <c r="O1314" s="5">
        <v>1627.4391000000001</v>
      </c>
    </row>
    <row r="1315" spans="1:15">
      <c r="A1315" t="s">
        <v>2664</v>
      </c>
      <c r="B1315" s="7">
        <v>45906</v>
      </c>
      <c r="C1315" t="s">
        <v>72</v>
      </c>
      <c r="D1315" t="s">
        <v>1125</v>
      </c>
      <c r="E1315" t="s">
        <v>1335</v>
      </c>
      <c r="F1315" t="str">
        <f>[1]Raw_Customer_Dim!$A$2</f>
        <v>CUST1000</v>
      </c>
      <c r="G1315" t="str">
        <f>_xlfn.XLOOKUP(E1315,Store_Dim!A:A,Store_Dim!B:B,"Not Found")</f>
        <v>Guerrero-Schmitt</v>
      </c>
      <c r="H1315" t="str">
        <f>_xlfn.XLOOKUP(D1315,Product_Dim!A:A,Product_Dim!C:C,"Not Found")</f>
        <v>Electronics</v>
      </c>
      <c r="I1315" t="str">
        <f>_xlfn.XLOOKUP(E1315,Store_Dim!A:A,Store_Dim!C:C,"Not Found")</f>
        <v>East</v>
      </c>
      <c r="J1315" t="str">
        <f>_xlfn.XLOOKUP(C1315,Customer_Dim!A:A,Customer_Dim!B:B,"Not Found")</f>
        <v>Jeff Martinez</v>
      </c>
      <c r="K1315">
        <f>Table511[[#This Row],[Total_Amount]]/(L1315*(1-Table511[[#This Row],[Discount]]))</f>
        <v>1</v>
      </c>
      <c r="L1315" s="5">
        <v>179.77</v>
      </c>
      <c r="M1315">
        <v>0.23</v>
      </c>
      <c r="N1315" t="s">
        <v>1354</v>
      </c>
      <c r="O1315" s="5">
        <v>138.4229</v>
      </c>
    </row>
    <row r="1316" spans="1:15">
      <c r="A1316" t="s">
        <v>2665</v>
      </c>
      <c r="B1316" s="7">
        <v>45523</v>
      </c>
      <c r="C1316" t="s">
        <v>36</v>
      </c>
      <c r="D1316" t="s">
        <v>1068</v>
      </c>
      <c r="E1316" t="s">
        <v>1311</v>
      </c>
      <c r="F1316" t="str">
        <f>[1]Raw_Customer_Dim!$A$2</f>
        <v>CUST1000</v>
      </c>
      <c r="G1316" t="str">
        <f>_xlfn.XLOOKUP(E1316,Store_Dim!A:A,Store_Dim!B:B,"Not Found")</f>
        <v>Moore, Padilla and Butler</v>
      </c>
      <c r="H1316" t="str">
        <f>_xlfn.XLOOKUP(D1316,Product_Dim!A:A,Product_Dim!C:C,"Not Found")</f>
        <v>Electronics</v>
      </c>
      <c r="I1316" t="str">
        <f>_xlfn.XLOOKUP(E1316,Store_Dim!A:A,Store_Dim!C:C,"Not Found")</f>
        <v>South</v>
      </c>
      <c r="J1316" t="str">
        <f>_xlfn.XLOOKUP(C1316,Customer_Dim!A:A,Customer_Dim!B:B,"Not Found")</f>
        <v>Melissa Howard</v>
      </c>
      <c r="K1316">
        <f>Table511[[#This Row],[Total_Amount]]/(L1316*(1-Table511[[#This Row],[Discount]]))</f>
        <v>2.0000000000000004</v>
      </c>
      <c r="L1316" s="5">
        <v>943.8</v>
      </c>
      <c r="M1316">
        <v>0.06</v>
      </c>
      <c r="N1316" t="s">
        <v>1349</v>
      </c>
      <c r="O1316" s="5">
        <v>1774.3440000000001</v>
      </c>
    </row>
    <row r="1317" spans="1:15">
      <c r="A1317" t="s">
        <v>2666</v>
      </c>
      <c r="B1317" s="7">
        <v>45234</v>
      </c>
      <c r="C1317" t="s">
        <v>881</v>
      </c>
      <c r="D1317" t="s">
        <v>1215</v>
      </c>
      <c r="E1317" t="s">
        <v>1326</v>
      </c>
      <c r="F1317" t="str">
        <f>[1]Raw_Customer_Dim!$A$2</f>
        <v>CUST1000</v>
      </c>
      <c r="G1317" t="str">
        <f>_xlfn.XLOOKUP(E1317,Store_Dim!A:A,Store_Dim!B:B,"Not Found")</f>
        <v>Shelton PLC</v>
      </c>
      <c r="H1317" t="str">
        <f>_xlfn.XLOOKUP(D1317,Product_Dim!A:A,Product_Dim!C:C,"Not Found")</f>
        <v>Beauty</v>
      </c>
      <c r="I1317" t="str">
        <f>_xlfn.XLOOKUP(E1317,Store_Dim!A:A,Store_Dim!C:C,"Not Found")</f>
        <v>North</v>
      </c>
      <c r="J1317" t="str">
        <f>_xlfn.XLOOKUP(C1317,Customer_Dim!A:A,Customer_Dim!B:B,"Not Found")</f>
        <v>Sarah Smith</v>
      </c>
      <c r="K1317">
        <f>Table511[[#This Row],[Total_Amount]]/(L1317*(1-Table511[[#This Row],[Discount]]))</f>
        <v>2</v>
      </c>
      <c r="L1317" s="5">
        <v>985</v>
      </c>
      <c r="M1317">
        <v>0.25</v>
      </c>
      <c r="N1317" t="s">
        <v>1349</v>
      </c>
      <c r="O1317" s="5">
        <v>1477.5</v>
      </c>
    </row>
    <row r="1318" spans="1:15">
      <c r="A1318" t="s">
        <v>2667</v>
      </c>
      <c r="B1318" s="7">
        <v>45405</v>
      </c>
      <c r="C1318" t="s">
        <v>1031</v>
      </c>
      <c r="D1318" t="s">
        <v>1249</v>
      </c>
      <c r="E1318" t="s">
        <v>1314</v>
      </c>
      <c r="F1318" t="str">
        <f>[1]Raw_Customer_Dim!$A$2</f>
        <v>CUST1000</v>
      </c>
      <c r="G1318" t="str">
        <f>_xlfn.XLOOKUP(E1318,Store_Dim!A:A,Store_Dim!B:B,"Not Found")</f>
        <v>Hill, Wagner and Ballard</v>
      </c>
      <c r="H1318" t="str">
        <f>_xlfn.XLOOKUP(D1318,Product_Dim!A:A,Product_Dim!C:C,"Not Found")</f>
        <v>Sports</v>
      </c>
      <c r="I1318" t="str">
        <f>_xlfn.XLOOKUP(E1318,Store_Dim!A:A,Store_Dim!C:C,"Not Found")</f>
        <v>East</v>
      </c>
      <c r="J1318" t="str">
        <f>_xlfn.XLOOKUP(C1318,Customer_Dim!A:A,Customer_Dim!B:B,"Not Found")</f>
        <v>Sara Ingram</v>
      </c>
      <c r="K1318">
        <f>Table511[[#This Row],[Total_Amount]]/(L1318*(1-Table511[[#This Row],[Discount]]))</f>
        <v>4</v>
      </c>
      <c r="L1318" s="5">
        <v>216.81</v>
      </c>
      <c r="M1318">
        <v>0.28999999999999998</v>
      </c>
      <c r="N1318" t="s">
        <v>1349</v>
      </c>
      <c r="O1318" s="5">
        <v>615.74040000000002</v>
      </c>
    </row>
    <row r="1319" spans="1:15">
      <c r="A1319" t="s">
        <v>2668</v>
      </c>
      <c r="B1319" s="7">
        <v>45223</v>
      </c>
      <c r="C1319" t="s">
        <v>294</v>
      </c>
      <c r="D1319" t="s">
        <v>1201</v>
      </c>
      <c r="E1319" t="s">
        <v>1286</v>
      </c>
      <c r="F1319" t="str">
        <f>[1]Raw_Customer_Dim!$A$2</f>
        <v>CUST1000</v>
      </c>
      <c r="G1319" t="str">
        <f>_xlfn.XLOOKUP(E1319,Store_Dim!A:A,Store_Dim!B:B,"Not Found")</f>
        <v>Black-Horn</v>
      </c>
      <c r="H1319" t="str">
        <f>_xlfn.XLOOKUP(D1319,Product_Dim!A:A,Product_Dim!C:C,"Not Found")</f>
        <v>Beauty</v>
      </c>
      <c r="I1319" t="str">
        <f>_xlfn.XLOOKUP(E1319,Store_Dim!A:A,Store_Dim!C:C,"Not Found")</f>
        <v>South</v>
      </c>
      <c r="J1319" t="str">
        <f>_xlfn.XLOOKUP(C1319,Customer_Dim!A:A,Customer_Dim!B:B,"Not Found")</f>
        <v>Colleen Mccarthy</v>
      </c>
      <c r="K1319">
        <f>Table511[[#This Row],[Total_Amount]]/(L1319*(1-Table511[[#This Row],[Discount]]))</f>
        <v>3.9999999999999996</v>
      </c>
      <c r="L1319" s="5">
        <v>950.21</v>
      </c>
      <c r="M1319">
        <v>0.27</v>
      </c>
      <c r="N1319" t="s">
        <v>1354</v>
      </c>
      <c r="O1319" s="5">
        <v>2774.6131999999998</v>
      </c>
    </row>
    <row r="1320" spans="1:15">
      <c r="A1320" t="s">
        <v>2669</v>
      </c>
      <c r="B1320" s="7">
        <v>45838</v>
      </c>
      <c r="C1320" t="s">
        <v>575</v>
      </c>
      <c r="D1320" t="s">
        <v>1169</v>
      </c>
      <c r="E1320" t="s">
        <v>1304</v>
      </c>
      <c r="F1320" t="str">
        <f>[1]Raw_Customer_Dim!$A$2</f>
        <v>CUST1000</v>
      </c>
      <c r="G1320" t="str">
        <f>_xlfn.XLOOKUP(E1320,Store_Dim!A:A,Store_Dim!B:B,"Not Found")</f>
        <v>Martinez-Mullins</v>
      </c>
      <c r="H1320" t="str">
        <f>_xlfn.XLOOKUP(D1320,Product_Dim!A:A,Product_Dim!C:C,"Not Found")</f>
        <v>Electronics</v>
      </c>
      <c r="I1320" t="str">
        <f>_xlfn.XLOOKUP(E1320,Store_Dim!A:A,Store_Dim!C:C,"Not Found")</f>
        <v>South</v>
      </c>
      <c r="J1320" t="str">
        <f>_xlfn.XLOOKUP(C1320,Customer_Dim!A:A,Customer_Dim!B:B,"Not Found")</f>
        <v>Kristen Fischer</v>
      </c>
      <c r="K1320">
        <f>Table511[[#This Row],[Total_Amount]]/(L1320*(1-Table511[[#This Row],[Discount]]))</f>
        <v>1.9999999999999998</v>
      </c>
      <c r="L1320" s="5">
        <v>271.39999999999998</v>
      </c>
      <c r="M1320">
        <v>0.17</v>
      </c>
      <c r="N1320" t="s">
        <v>1351</v>
      </c>
      <c r="O1320" s="5">
        <v>450.52399999999989</v>
      </c>
    </row>
    <row r="1321" spans="1:15">
      <c r="A1321" t="s">
        <v>2670</v>
      </c>
      <c r="B1321" s="7">
        <v>45883</v>
      </c>
      <c r="C1321" t="s">
        <v>397</v>
      </c>
      <c r="D1321" t="s">
        <v>1151</v>
      </c>
      <c r="E1321" t="s">
        <v>1307</v>
      </c>
      <c r="F1321" t="str">
        <f>[1]Raw_Customer_Dim!$A$2</f>
        <v>CUST1000</v>
      </c>
      <c r="G1321" t="str">
        <f>_xlfn.XLOOKUP(E1321,Store_Dim!A:A,Store_Dim!B:B,"Not Found")</f>
        <v>Bean, Jones and Park</v>
      </c>
      <c r="H1321" t="str">
        <f>_xlfn.XLOOKUP(D1321,Product_Dim!A:A,Product_Dim!C:C,"Not Found")</f>
        <v>Electronics</v>
      </c>
      <c r="I1321" t="str">
        <f>_xlfn.XLOOKUP(E1321,Store_Dim!A:A,Store_Dim!C:C,"Not Found")</f>
        <v>West</v>
      </c>
      <c r="J1321" t="str">
        <f>_xlfn.XLOOKUP(C1321,Customer_Dim!A:A,Customer_Dim!B:B,"Not Found")</f>
        <v>Daniel Contreras</v>
      </c>
      <c r="K1321">
        <f>Table511[[#This Row],[Total_Amount]]/(L1321*(1-Table511[[#This Row],[Discount]]))</f>
        <v>3.9999999999999991</v>
      </c>
      <c r="L1321" s="5">
        <v>708.19</v>
      </c>
      <c r="M1321">
        <v>0.1</v>
      </c>
      <c r="N1321" t="s">
        <v>1351</v>
      </c>
      <c r="O1321" s="5">
        <v>2549.4839999999999</v>
      </c>
    </row>
    <row r="1322" spans="1:15">
      <c r="A1322" t="s">
        <v>2671</v>
      </c>
      <c r="B1322" s="7">
        <v>45788</v>
      </c>
      <c r="C1322" t="s">
        <v>951</v>
      </c>
      <c r="D1322" t="s">
        <v>1181</v>
      </c>
      <c r="E1322" t="s">
        <v>1291</v>
      </c>
      <c r="F1322" t="str">
        <f>[1]Raw_Customer_Dim!$A$2</f>
        <v>CUST1000</v>
      </c>
      <c r="G1322" t="str">
        <f>_xlfn.XLOOKUP(E1322,Store_Dim!A:A,Store_Dim!B:B,"Not Found")</f>
        <v>Johnson-Wright</v>
      </c>
      <c r="H1322" t="str">
        <f>_xlfn.XLOOKUP(D1322,Product_Dim!A:A,Product_Dim!C:C,"Not Found")</f>
        <v>Sports</v>
      </c>
      <c r="I1322" t="str">
        <f>_xlfn.XLOOKUP(E1322,Store_Dim!A:A,Store_Dim!C:C,"Not Found")</f>
        <v>North</v>
      </c>
      <c r="J1322" t="str">
        <f>_xlfn.XLOOKUP(C1322,Customer_Dim!A:A,Customer_Dim!B:B,"Not Found")</f>
        <v>Cheryl Carr</v>
      </c>
      <c r="K1322">
        <f>Table511[[#This Row],[Total_Amount]]/(L1322*(1-Table511[[#This Row],[Discount]]))</f>
        <v>3</v>
      </c>
      <c r="L1322" s="5">
        <v>477.05</v>
      </c>
      <c r="M1322">
        <v>0.05</v>
      </c>
      <c r="N1322" t="s">
        <v>1351</v>
      </c>
      <c r="O1322" s="5">
        <v>1359.5925</v>
      </c>
    </row>
    <row r="1323" spans="1:15">
      <c r="A1323" t="s">
        <v>2672</v>
      </c>
      <c r="B1323" s="7">
        <v>45383</v>
      </c>
      <c r="C1323" t="s">
        <v>678</v>
      </c>
      <c r="D1323" t="s">
        <v>1221</v>
      </c>
      <c r="E1323" t="s">
        <v>1311</v>
      </c>
      <c r="F1323" t="str">
        <f>[1]Raw_Customer_Dim!$A$2</f>
        <v>CUST1000</v>
      </c>
      <c r="G1323" t="str">
        <f>_xlfn.XLOOKUP(E1323,Store_Dim!A:A,Store_Dim!B:B,"Not Found")</f>
        <v>Moore, Padilla and Butler</v>
      </c>
      <c r="H1323" t="str">
        <f>_xlfn.XLOOKUP(D1323,Product_Dim!A:A,Product_Dim!C:C,"Not Found")</f>
        <v>Electronics</v>
      </c>
      <c r="I1323" t="str">
        <f>_xlfn.XLOOKUP(E1323,Store_Dim!A:A,Store_Dim!C:C,"Not Found")</f>
        <v>South</v>
      </c>
      <c r="J1323" t="str">
        <f>_xlfn.XLOOKUP(C1323,Customer_Dim!A:A,Customer_Dim!B:B,"Not Found")</f>
        <v>Brandy Thompson</v>
      </c>
      <c r="K1323">
        <f>Table511[[#This Row],[Total_Amount]]/(L1323*(1-Table511[[#This Row],[Discount]]))</f>
        <v>3.0000000000000004</v>
      </c>
      <c r="L1323" s="5">
        <v>627.29</v>
      </c>
      <c r="M1323">
        <v>0.27</v>
      </c>
      <c r="N1323" t="s">
        <v>1354</v>
      </c>
      <c r="O1323" s="5">
        <v>1373.7651000000001</v>
      </c>
    </row>
    <row r="1324" spans="1:15">
      <c r="A1324" t="s">
        <v>2673</v>
      </c>
      <c r="B1324" s="7">
        <v>45335</v>
      </c>
      <c r="C1324" t="s">
        <v>672</v>
      </c>
      <c r="D1324" t="s">
        <v>1261</v>
      </c>
      <c r="E1324" t="s">
        <v>1317</v>
      </c>
      <c r="F1324" t="str">
        <f>[1]Raw_Customer_Dim!$A$2</f>
        <v>CUST1000</v>
      </c>
      <c r="G1324" t="str">
        <f>_xlfn.XLOOKUP(E1324,Store_Dim!A:A,Store_Dim!B:B,"Not Found")</f>
        <v>Aguirre-Keller</v>
      </c>
      <c r="H1324" t="str">
        <f>_xlfn.XLOOKUP(D1324,Product_Dim!A:A,Product_Dim!C:C,"Not Found")</f>
        <v>Beauty</v>
      </c>
      <c r="I1324" t="str">
        <f>_xlfn.XLOOKUP(E1324,Store_Dim!A:A,Store_Dim!C:C,"Not Found")</f>
        <v>South</v>
      </c>
      <c r="J1324" t="str">
        <f>_xlfn.XLOOKUP(C1324,Customer_Dim!A:A,Customer_Dim!B:B,"Not Found")</f>
        <v>Miss Alexandria Li DVM</v>
      </c>
      <c r="K1324">
        <f>Table511[[#This Row],[Total_Amount]]/(L1324*(1-Table511[[#This Row],[Discount]]))</f>
        <v>3</v>
      </c>
      <c r="L1324" s="5">
        <v>206.84</v>
      </c>
      <c r="M1324">
        <v>0.19</v>
      </c>
      <c r="N1324" t="s">
        <v>1351</v>
      </c>
      <c r="O1324" s="5">
        <v>502.62119999999999</v>
      </c>
    </row>
    <row r="1325" spans="1:15">
      <c r="A1325" t="s">
        <v>2674</v>
      </c>
      <c r="B1325" s="7">
        <v>45304</v>
      </c>
      <c r="C1325" t="s">
        <v>565</v>
      </c>
      <c r="D1325" t="s">
        <v>1133</v>
      </c>
      <c r="E1325" t="s">
        <v>1282</v>
      </c>
      <c r="F1325" t="str">
        <f>[1]Raw_Customer_Dim!$A$2</f>
        <v>CUST1000</v>
      </c>
      <c r="G1325" t="str">
        <f>_xlfn.XLOOKUP(E1325,Store_Dim!A:A,Store_Dim!B:B,"Not Found")</f>
        <v>Martinez, Adkins and Johnson</v>
      </c>
      <c r="H1325" t="str">
        <f>_xlfn.XLOOKUP(D1325,Product_Dim!A:A,Product_Dim!C:C,"Not Found")</f>
        <v>Home</v>
      </c>
      <c r="I1325" t="str">
        <f>_xlfn.XLOOKUP(E1325,Store_Dim!A:A,Store_Dim!C:C,"Not Found")</f>
        <v>North</v>
      </c>
      <c r="J1325" t="str">
        <f>_xlfn.XLOOKUP(C1325,Customer_Dim!A:A,Customer_Dim!B:B,"Not Found")</f>
        <v>Tyler Garner</v>
      </c>
      <c r="K1325">
        <f>Table511[[#This Row],[Total_Amount]]/(L1325*(1-Table511[[#This Row],[Discount]]))</f>
        <v>4.0000000000000009</v>
      </c>
      <c r="L1325" s="5">
        <v>629.04999999999995</v>
      </c>
      <c r="M1325">
        <v>0.26</v>
      </c>
      <c r="N1325" t="s">
        <v>1349</v>
      </c>
      <c r="O1325" s="5">
        <v>1861.9880000000001</v>
      </c>
    </row>
    <row r="1326" spans="1:15">
      <c r="A1326" t="s">
        <v>2675</v>
      </c>
      <c r="B1326" s="7">
        <v>45543</v>
      </c>
      <c r="C1326" t="s">
        <v>939</v>
      </c>
      <c r="D1326" t="s">
        <v>1221</v>
      </c>
      <c r="E1326" t="s">
        <v>1332</v>
      </c>
      <c r="F1326" t="str">
        <f>[1]Raw_Customer_Dim!$A$2</f>
        <v>CUST1000</v>
      </c>
      <c r="G1326" t="str">
        <f>_xlfn.XLOOKUP(E1326,Store_Dim!A:A,Store_Dim!B:B,"Not Found")</f>
        <v>Holloway Ltd</v>
      </c>
      <c r="H1326" t="str">
        <f>_xlfn.XLOOKUP(D1326,Product_Dim!A:A,Product_Dim!C:C,"Not Found")</f>
        <v>Electronics</v>
      </c>
      <c r="I1326" t="str">
        <f>_xlfn.XLOOKUP(E1326,Store_Dim!A:A,Store_Dim!C:C,"Not Found")</f>
        <v>North</v>
      </c>
      <c r="J1326" t="str">
        <f>_xlfn.XLOOKUP(C1326,Customer_Dim!A:A,Customer_Dim!B:B,"Not Found")</f>
        <v>Monica Flynn</v>
      </c>
      <c r="K1326">
        <f>Table511[[#This Row],[Total_Amount]]/(L1326*(1-Table511[[#This Row],[Discount]]))</f>
        <v>4.0000000000000009</v>
      </c>
      <c r="L1326" s="5">
        <v>529.04</v>
      </c>
      <c r="M1326">
        <v>0.1</v>
      </c>
      <c r="N1326" t="s">
        <v>1351</v>
      </c>
      <c r="O1326" s="5">
        <v>1904.5440000000001</v>
      </c>
    </row>
    <row r="1327" spans="1:15">
      <c r="A1327" t="s">
        <v>2676</v>
      </c>
      <c r="B1327" s="7">
        <v>45326</v>
      </c>
      <c r="C1327" t="s">
        <v>762</v>
      </c>
      <c r="D1327" t="s">
        <v>1133</v>
      </c>
      <c r="E1327" t="s">
        <v>1332</v>
      </c>
      <c r="F1327" t="str">
        <f>[1]Raw_Customer_Dim!$A$2</f>
        <v>CUST1000</v>
      </c>
      <c r="G1327" t="str">
        <f>_xlfn.XLOOKUP(E1327,Store_Dim!A:A,Store_Dim!B:B,"Not Found")</f>
        <v>Holloway Ltd</v>
      </c>
      <c r="H1327" t="str">
        <f>_xlfn.XLOOKUP(D1327,Product_Dim!A:A,Product_Dim!C:C,"Not Found")</f>
        <v>Home</v>
      </c>
      <c r="I1327" t="str">
        <f>_xlfn.XLOOKUP(E1327,Store_Dim!A:A,Store_Dim!C:C,"Not Found")</f>
        <v>North</v>
      </c>
      <c r="J1327" t="str">
        <f>_xlfn.XLOOKUP(C1327,Customer_Dim!A:A,Customer_Dim!B:B,"Not Found")</f>
        <v>Heather Valenzuela</v>
      </c>
      <c r="K1327">
        <f>Table511[[#This Row],[Total_Amount]]/(L1327*(1-Table511[[#This Row],[Discount]]))</f>
        <v>1</v>
      </c>
      <c r="L1327" s="5">
        <v>350.67</v>
      </c>
      <c r="M1327">
        <v>0.22</v>
      </c>
      <c r="N1327" t="s">
        <v>1351</v>
      </c>
      <c r="O1327" s="5">
        <v>273.52260000000001</v>
      </c>
    </row>
    <row r="1328" spans="1:15">
      <c r="A1328" t="s">
        <v>2677</v>
      </c>
      <c r="B1328" s="7">
        <v>45498</v>
      </c>
      <c r="C1328" t="s">
        <v>805</v>
      </c>
      <c r="D1328" t="s">
        <v>1263</v>
      </c>
      <c r="E1328" t="s">
        <v>1282</v>
      </c>
      <c r="F1328" t="str">
        <f>[1]Raw_Customer_Dim!$A$2</f>
        <v>CUST1000</v>
      </c>
      <c r="G1328" t="str">
        <f>_xlfn.XLOOKUP(E1328,Store_Dim!A:A,Store_Dim!B:B,"Not Found")</f>
        <v>Martinez, Adkins and Johnson</v>
      </c>
      <c r="H1328" t="str">
        <f>_xlfn.XLOOKUP(D1328,Product_Dim!A:A,Product_Dim!C:C,"Not Found")</f>
        <v>Sports</v>
      </c>
      <c r="I1328" t="str">
        <f>_xlfn.XLOOKUP(E1328,Store_Dim!A:A,Store_Dim!C:C,"Not Found")</f>
        <v>North</v>
      </c>
      <c r="J1328" t="str">
        <f>_xlfn.XLOOKUP(C1328,Customer_Dim!A:A,Customer_Dim!B:B,"Not Found")</f>
        <v>Michael Garner</v>
      </c>
      <c r="K1328">
        <f>Table511[[#This Row],[Total_Amount]]/(L1328*(1-Table511[[#This Row],[Discount]]))</f>
        <v>1</v>
      </c>
      <c r="L1328" s="5">
        <v>128.93</v>
      </c>
      <c r="M1328">
        <v>0.26</v>
      </c>
      <c r="N1328" t="s">
        <v>1349</v>
      </c>
      <c r="O1328" s="5">
        <v>95.408200000000008</v>
      </c>
    </row>
    <row r="1329" spans="1:15">
      <c r="A1329" t="s">
        <v>2678</v>
      </c>
      <c r="B1329" s="7">
        <v>45544</v>
      </c>
      <c r="C1329" t="s">
        <v>351</v>
      </c>
      <c r="D1329" t="s">
        <v>1245</v>
      </c>
      <c r="E1329" t="s">
        <v>1326</v>
      </c>
      <c r="F1329" t="str">
        <f>[1]Raw_Customer_Dim!$A$2</f>
        <v>CUST1000</v>
      </c>
      <c r="G1329" t="str">
        <f>_xlfn.XLOOKUP(E1329,Store_Dim!A:A,Store_Dim!B:B,"Not Found")</f>
        <v>Shelton PLC</v>
      </c>
      <c r="H1329" t="str">
        <f>_xlfn.XLOOKUP(D1329,Product_Dim!A:A,Product_Dim!C:C,"Not Found")</f>
        <v>Home</v>
      </c>
      <c r="I1329" t="str">
        <f>_xlfn.XLOOKUP(E1329,Store_Dim!A:A,Store_Dim!C:C,"Not Found")</f>
        <v>North</v>
      </c>
      <c r="J1329" t="str">
        <f>_xlfn.XLOOKUP(C1329,Customer_Dim!A:A,Customer_Dim!B:B,"Not Found")</f>
        <v>Cameron Simpson</v>
      </c>
      <c r="K1329">
        <f>Table511[[#This Row],[Total_Amount]]/(L1329*(1-Table511[[#This Row],[Discount]]))</f>
        <v>2</v>
      </c>
      <c r="L1329" s="5">
        <v>384.92</v>
      </c>
      <c r="M1329">
        <v>0.09</v>
      </c>
      <c r="N1329" t="s">
        <v>1349</v>
      </c>
      <c r="O1329" s="5">
        <v>700.5544000000001</v>
      </c>
    </row>
    <row r="1330" spans="1:15">
      <c r="A1330" t="s">
        <v>2679</v>
      </c>
      <c r="B1330" s="7">
        <v>45268</v>
      </c>
      <c r="C1330" t="s">
        <v>732</v>
      </c>
      <c r="D1330" t="s">
        <v>1080</v>
      </c>
      <c r="E1330" t="s">
        <v>1307</v>
      </c>
      <c r="F1330" t="str">
        <f>[1]Raw_Customer_Dim!$A$2</f>
        <v>CUST1000</v>
      </c>
      <c r="G1330" t="str">
        <f>_xlfn.XLOOKUP(E1330,Store_Dim!A:A,Store_Dim!B:B,"Not Found")</f>
        <v>Bean, Jones and Park</v>
      </c>
      <c r="H1330" t="str">
        <f>_xlfn.XLOOKUP(D1330,Product_Dim!A:A,Product_Dim!C:C,"Not Found")</f>
        <v>Clothing</v>
      </c>
      <c r="I1330" t="str">
        <f>_xlfn.XLOOKUP(E1330,Store_Dim!A:A,Store_Dim!C:C,"Not Found")</f>
        <v>West</v>
      </c>
      <c r="J1330" t="str">
        <f>_xlfn.XLOOKUP(C1330,Customer_Dim!A:A,Customer_Dim!B:B,"Not Found")</f>
        <v>Mr. Christopher Sims</v>
      </c>
      <c r="K1330">
        <f>Table511[[#This Row],[Total_Amount]]/(L1330*(1-Table511[[#This Row],[Discount]]))</f>
        <v>3</v>
      </c>
      <c r="L1330" s="5">
        <v>120.77</v>
      </c>
      <c r="M1330">
        <v>0.28999999999999998</v>
      </c>
      <c r="N1330" t="s">
        <v>1351</v>
      </c>
      <c r="O1330" s="5">
        <v>257.24009999999998</v>
      </c>
    </row>
    <row r="1331" spans="1:15">
      <c r="A1331" t="s">
        <v>2680</v>
      </c>
      <c r="B1331" s="7">
        <v>45824</v>
      </c>
      <c r="C1331" t="s">
        <v>507</v>
      </c>
      <c r="D1331" t="s">
        <v>1225</v>
      </c>
      <c r="E1331" t="s">
        <v>1332</v>
      </c>
      <c r="F1331" t="str">
        <f>[1]Raw_Customer_Dim!$A$2</f>
        <v>CUST1000</v>
      </c>
      <c r="G1331" t="str">
        <f>_xlfn.XLOOKUP(E1331,Store_Dim!A:A,Store_Dim!B:B,"Not Found")</f>
        <v>Holloway Ltd</v>
      </c>
      <c r="H1331" t="str">
        <f>_xlfn.XLOOKUP(D1331,Product_Dim!A:A,Product_Dim!C:C,"Not Found")</f>
        <v>Electronics</v>
      </c>
      <c r="I1331" t="str">
        <f>_xlfn.XLOOKUP(E1331,Store_Dim!A:A,Store_Dim!C:C,"Not Found")</f>
        <v>North</v>
      </c>
      <c r="J1331" t="str">
        <f>_xlfn.XLOOKUP(C1331,Customer_Dim!A:A,Customer_Dim!B:B,"Not Found")</f>
        <v>Alejandro Doyle</v>
      </c>
      <c r="K1331">
        <f>Table511[[#This Row],[Total_Amount]]/(L1331*(1-Table511[[#This Row],[Discount]]))</f>
        <v>4.0000000000000009</v>
      </c>
      <c r="L1331" s="5">
        <v>661.39</v>
      </c>
      <c r="M1331">
        <v>7.0000000000000007E-2</v>
      </c>
      <c r="N1331" t="s">
        <v>1349</v>
      </c>
      <c r="O1331" s="5">
        <v>2460.3708000000001</v>
      </c>
    </row>
    <row r="1332" spans="1:15">
      <c r="A1332" t="s">
        <v>2681</v>
      </c>
      <c r="B1332" s="7">
        <v>45261</v>
      </c>
      <c r="C1332" t="s">
        <v>961</v>
      </c>
      <c r="D1332" t="s">
        <v>1197</v>
      </c>
      <c r="E1332" t="s">
        <v>1286</v>
      </c>
      <c r="F1332" t="str">
        <f>[1]Raw_Customer_Dim!$A$2</f>
        <v>CUST1000</v>
      </c>
      <c r="G1332" t="str">
        <f>_xlfn.XLOOKUP(E1332,Store_Dim!A:A,Store_Dim!B:B,"Not Found")</f>
        <v>Black-Horn</v>
      </c>
      <c r="H1332" t="str">
        <f>_xlfn.XLOOKUP(D1332,Product_Dim!A:A,Product_Dim!C:C,"Not Found")</f>
        <v>Electronics</v>
      </c>
      <c r="I1332" t="str">
        <f>_xlfn.XLOOKUP(E1332,Store_Dim!A:A,Store_Dim!C:C,"Not Found")</f>
        <v>South</v>
      </c>
      <c r="J1332" t="str">
        <f>_xlfn.XLOOKUP(C1332,Customer_Dim!A:A,Customer_Dim!B:B,"Not Found")</f>
        <v>William Cortez</v>
      </c>
      <c r="K1332">
        <f>Table511[[#This Row],[Total_Amount]]/(L1332*(1-Table511[[#This Row],[Discount]]))</f>
        <v>1</v>
      </c>
      <c r="L1332" s="5">
        <v>195.24</v>
      </c>
      <c r="M1332">
        <v>0.27</v>
      </c>
      <c r="N1332" t="s">
        <v>1351</v>
      </c>
      <c r="O1332" s="5">
        <v>142.52520000000001</v>
      </c>
    </row>
    <row r="1333" spans="1:15">
      <c r="A1333" t="s">
        <v>2682</v>
      </c>
      <c r="B1333" s="7">
        <v>45233</v>
      </c>
      <c r="C1333" t="s">
        <v>23</v>
      </c>
      <c r="D1333" t="s">
        <v>1257</v>
      </c>
      <c r="E1333" t="s">
        <v>1335</v>
      </c>
      <c r="F1333" t="str">
        <f>[1]Raw_Customer_Dim!$A$2</f>
        <v>CUST1000</v>
      </c>
      <c r="G1333" t="str">
        <f>_xlfn.XLOOKUP(E1333,Store_Dim!A:A,Store_Dim!B:B,"Not Found")</f>
        <v>Guerrero-Schmitt</v>
      </c>
      <c r="H1333" t="str">
        <f>_xlfn.XLOOKUP(D1333,Product_Dim!A:A,Product_Dim!C:C,"Not Found")</f>
        <v>Home</v>
      </c>
      <c r="I1333" t="str">
        <f>_xlfn.XLOOKUP(E1333,Store_Dim!A:A,Store_Dim!C:C,"Not Found")</f>
        <v>East</v>
      </c>
      <c r="J1333" t="str">
        <f>_xlfn.XLOOKUP(C1333,Customer_Dim!A:A,Customer_Dim!B:B,"Not Found")</f>
        <v>Caroline Collins</v>
      </c>
      <c r="K1333">
        <f>Table511[[#This Row],[Total_Amount]]/(L1333*(1-Table511[[#This Row],[Discount]]))</f>
        <v>1.9999999999999996</v>
      </c>
      <c r="L1333" s="5">
        <v>177.4</v>
      </c>
      <c r="M1333">
        <v>0.19</v>
      </c>
      <c r="N1333" t="s">
        <v>1351</v>
      </c>
      <c r="O1333" s="5">
        <v>287.38799999999998</v>
      </c>
    </row>
    <row r="1334" spans="1:15">
      <c r="A1334" t="s">
        <v>2683</v>
      </c>
      <c r="B1334" s="7">
        <v>45673</v>
      </c>
      <c r="C1334" t="s">
        <v>159</v>
      </c>
      <c r="D1334" t="s">
        <v>1269</v>
      </c>
      <c r="E1334" t="s">
        <v>1317</v>
      </c>
      <c r="F1334" t="str">
        <f>[1]Raw_Customer_Dim!$A$2</f>
        <v>CUST1000</v>
      </c>
      <c r="G1334" t="str">
        <f>_xlfn.XLOOKUP(E1334,Store_Dim!A:A,Store_Dim!B:B,"Not Found")</f>
        <v>Aguirre-Keller</v>
      </c>
      <c r="H1334" t="str">
        <f>_xlfn.XLOOKUP(D1334,Product_Dim!A:A,Product_Dim!C:C,"Not Found")</f>
        <v>Electronics</v>
      </c>
      <c r="I1334" t="str">
        <f>_xlfn.XLOOKUP(E1334,Store_Dim!A:A,Store_Dim!C:C,"Not Found")</f>
        <v>South</v>
      </c>
      <c r="J1334" t="str">
        <f>_xlfn.XLOOKUP(C1334,Customer_Dim!A:A,Customer_Dim!B:B,"Not Found")</f>
        <v>Jay Patel</v>
      </c>
      <c r="K1334">
        <f>Table511[[#This Row],[Total_Amount]]/(L1334*(1-Table511[[#This Row],[Discount]]))</f>
        <v>4</v>
      </c>
      <c r="L1334" s="5">
        <v>862.67</v>
      </c>
      <c r="M1334">
        <v>0.2</v>
      </c>
      <c r="N1334" t="s">
        <v>1351</v>
      </c>
      <c r="O1334" s="5">
        <v>2760.5439999999999</v>
      </c>
    </row>
    <row r="1335" spans="1:15">
      <c r="A1335" t="s">
        <v>2684</v>
      </c>
      <c r="B1335" s="7">
        <v>45565</v>
      </c>
      <c r="C1335" t="s">
        <v>951</v>
      </c>
      <c r="D1335" t="s">
        <v>1107</v>
      </c>
      <c r="E1335" t="s">
        <v>1301</v>
      </c>
      <c r="F1335" t="str">
        <f>[1]Raw_Customer_Dim!$A$2</f>
        <v>CUST1000</v>
      </c>
      <c r="G1335" t="str">
        <f>_xlfn.XLOOKUP(E1335,Store_Dim!A:A,Store_Dim!B:B,"Not Found")</f>
        <v>Benson-Elliott</v>
      </c>
      <c r="H1335" t="str">
        <f>_xlfn.XLOOKUP(D1335,Product_Dim!A:A,Product_Dim!C:C,"Not Found")</f>
        <v>Sports</v>
      </c>
      <c r="I1335" t="str">
        <f>_xlfn.XLOOKUP(E1335,Store_Dim!A:A,Store_Dim!C:C,"Not Found")</f>
        <v>East</v>
      </c>
      <c r="J1335" t="str">
        <f>_xlfn.XLOOKUP(C1335,Customer_Dim!A:A,Customer_Dim!B:B,"Not Found")</f>
        <v>Cheryl Carr</v>
      </c>
      <c r="K1335">
        <f>Table511[[#This Row],[Total_Amount]]/(L1335*(1-Table511[[#This Row],[Discount]]))</f>
        <v>1.0000000000000002</v>
      </c>
      <c r="L1335" s="5">
        <v>55.04</v>
      </c>
      <c r="M1335">
        <v>0.01</v>
      </c>
      <c r="N1335" t="s">
        <v>1354</v>
      </c>
      <c r="O1335" s="5">
        <v>54.489600000000003</v>
      </c>
    </row>
    <row r="1336" spans="1:15">
      <c r="A1336" t="s">
        <v>2685</v>
      </c>
      <c r="B1336" s="7">
        <v>45646</v>
      </c>
      <c r="C1336" t="s">
        <v>140</v>
      </c>
      <c r="D1336" t="s">
        <v>1163</v>
      </c>
      <c r="E1336" t="s">
        <v>1277</v>
      </c>
      <c r="F1336" t="str">
        <f>[1]Raw_Customer_Dim!$A$2</f>
        <v>CUST1000</v>
      </c>
      <c r="G1336" t="str">
        <f>_xlfn.XLOOKUP(E1336,Store_Dim!A:A,Store_Dim!B:B,"Not Found")</f>
        <v>Rivera-Warner</v>
      </c>
      <c r="H1336" t="str">
        <f>_xlfn.XLOOKUP(D1336,Product_Dim!A:A,Product_Dim!C:C,"Not Found")</f>
        <v>Sports</v>
      </c>
      <c r="I1336" t="str">
        <f>_xlfn.XLOOKUP(E1336,Store_Dim!A:A,Store_Dim!C:C,"Not Found")</f>
        <v>East</v>
      </c>
      <c r="J1336" t="str">
        <f>_xlfn.XLOOKUP(C1336,Customer_Dim!A:A,Customer_Dim!B:B,"Not Found")</f>
        <v>Timothy Weaver</v>
      </c>
      <c r="K1336">
        <f>Table511[[#This Row],[Total_Amount]]/(L1336*(1-Table511[[#This Row],[Discount]]))</f>
        <v>1.9999999999999998</v>
      </c>
      <c r="L1336" s="5">
        <v>905.47</v>
      </c>
      <c r="M1336">
        <v>0.2</v>
      </c>
      <c r="N1336" t="s">
        <v>1354</v>
      </c>
      <c r="O1336" s="5">
        <v>1448.752</v>
      </c>
    </row>
    <row r="1337" spans="1:15">
      <c r="A1337" t="s">
        <v>2686</v>
      </c>
      <c r="B1337" s="7">
        <v>45539</v>
      </c>
      <c r="C1337" t="s">
        <v>984</v>
      </c>
      <c r="D1337" t="s">
        <v>1199</v>
      </c>
      <c r="E1337" t="s">
        <v>1322</v>
      </c>
      <c r="F1337" t="str">
        <f>[1]Raw_Customer_Dim!$A$2</f>
        <v>CUST1000</v>
      </c>
      <c r="G1337" t="str">
        <f>_xlfn.XLOOKUP(E1337,Store_Dim!A:A,Store_Dim!B:B,"Not Found")</f>
        <v>Gardner, Humphrey and Contreras</v>
      </c>
      <c r="H1337" t="str">
        <f>_xlfn.XLOOKUP(D1337,Product_Dim!A:A,Product_Dim!C:C,"Not Found")</f>
        <v>Beauty</v>
      </c>
      <c r="I1337" t="str">
        <f>_xlfn.XLOOKUP(E1337,Store_Dim!A:A,Store_Dim!C:C,"Not Found")</f>
        <v>East</v>
      </c>
      <c r="J1337" t="str">
        <f>_xlfn.XLOOKUP(C1337,Customer_Dim!A:A,Customer_Dim!B:B,"Not Found")</f>
        <v>Paul Cox</v>
      </c>
      <c r="K1337">
        <f>Table511[[#This Row],[Total_Amount]]/(L1337*(1-Table511[[#This Row],[Discount]]))</f>
        <v>3.0000000000000004</v>
      </c>
      <c r="L1337" s="5">
        <v>217.13</v>
      </c>
      <c r="M1337">
        <v>0.28000000000000003</v>
      </c>
      <c r="N1337" t="s">
        <v>1349</v>
      </c>
      <c r="O1337" s="5">
        <v>469.00080000000003</v>
      </c>
    </row>
    <row r="1338" spans="1:15">
      <c r="A1338" t="s">
        <v>2687</v>
      </c>
      <c r="B1338" s="7">
        <v>45936</v>
      </c>
      <c r="C1338" t="s">
        <v>841</v>
      </c>
      <c r="D1338" t="s">
        <v>1223</v>
      </c>
      <c r="E1338" t="s">
        <v>1277</v>
      </c>
      <c r="F1338" t="str">
        <f>[1]Raw_Customer_Dim!$A$2</f>
        <v>CUST1000</v>
      </c>
      <c r="G1338" t="str">
        <f>_xlfn.XLOOKUP(E1338,Store_Dim!A:A,Store_Dim!B:B,"Not Found")</f>
        <v>Rivera-Warner</v>
      </c>
      <c r="H1338" t="str">
        <f>_xlfn.XLOOKUP(D1338,Product_Dim!A:A,Product_Dim!C:C,"Not Found")</f>
        <v>Clothing</v>
      </c>
      <c r="I1338" t="str">
        <f>_xlfn.XLOOKUP(E1338,Store_Dim!A:A,Store_Dim!C:C,"Not Found")</f>
        <v>East</v>
      </c>
      <c r="J1338" t="str">
        <f>_xlfn.XLOOKUP(C1338,Customer_Dim!A:A,Customer_Dim!B:B,"Not Found")</f>
        <v>Cynthia Lopez</v>
      </c>
      <c r="K1338">
        <f>Table511[[#This Row],[Total_Amount]]/(L1338*(1-Table511[[#This Row],[Discount]]))</f>
        <v>2.9999999999999996</v>
      </c>
      <c r="L1338" s="5">
        <v>580.45000000000005</v>
      </c>
      <c r="M1338">
        <v>0</v>
      </c>
      <c r="N1338" t="s">
        <v>1351</v>
      </c>
      <c r="O1338" s="5">
        <v>1741.35</v>
      </c>
    </row>
    <row r="1339" spans="1:15">
      <c r="A1339" t="s">
        <v>2688</v>
      </c>
      <c r="B1339" s="7">
        <v>45854</v>
      </c>
      <c r="C1339" t="s">
        <v>265</v>
      </c>
      <c r="D1339" t="s">
        <v>1078</v>
      </c>
      <c r="E1339" t="s">
        <v>1332</v>
      </c>
      <c r="F1339" t="str">
        <f>[1]Raw_Customer_Dim!$A$2</f>
        <v>CUST1000</v>
      </c>
      <c r="G1339" t="str">
        <f>_xlfn.XLOOKUP(E1339,Store_Dim!A:A,Store_Dim!B:B,"Not Found")</f>
        <v>Holloway Ltd</v>
      </c>
      <c r="H1339" t="str">
        <f>_xlfn.XLOOKUP(D1339,Product_Dim!A:A,Product_Dim!C:C,"Not Found")</f>
        <v>Clothing</v>
      </c>
      <c r="I1339" t="str">
        <f>_xlfn.XLOOKUP(E1339,Store_Dim!A:A,Store_Dim!C:C,"Not Found")</f>
        <v>North</v>
      </c>
      <c r="J1339" t="str">
        <f>_xlfn.XLOOKUP(C1339,Customer_Dim!A:A,Customer_Dim!B:B,"Not Found")</f>
        <v>Steven Stein</v>
      </c>
      <c r="K1339">
        <f>Table511[[#This Row],[Total_Amount]]/(L1339*(1-Table511[[#This Row],[Discount]]))</f>
        <v>2.0000000000000004</v>
      </c>
      <c r="L1339" s="5">
        <v>892.88</v>
      </c>
      <c r="M1339">
        <v>0.17</v>
      </c>
      <c r="N1339" t="s">
        <v>1351</v>
      </c>
      <c r="O1339" s="5">
        <v>1482.1808000000001</v>
      </c>
    </row>
    <row r="1340" spans="1:15">
      <c r="A1340" t="s">
        <v>2689</v>
      </c>
      <c r="B1340" s="7">
        <v>45936</v>
      </c>
      <c r="C1340" t="s">
        <v>240</v>
      </c>
      <c r="D1340" t="s">
        <v>1153</v>
      </c>
      <c r="E1340" t="s">
        <v>1335</v>
      </c>
      <c r="F1340" t="str">
        <f>[1]Raw_Customer_Dim!$A$2</f>
        <v>CUST1000</v>
      </c>
      <c r="G1340" t="str">
        <f>_xlfn.XLOOKUP(E1340,Store_Dim!A:A,Store_Dim!B:B,"Not Found")</f>
        <v>Guerrero-Schmitt</v>
      </c>
      <c r="H1340" t="str">
        <f>_xlfn.XLOOKUP(D1340,Product_Dim!A:A,Product_Dim!C:C,"Not Found")</f>
        <v>Electronics</v>
      </c>
      <c r="I1340" t="str">
        <f>_xlfn.XLOOKUP(E1340,Store_Dim!A:A,Store_Dim!C:C,"Not Found")</f>
        <v>East</v>
      </c>
      <c r="J1340" t="str">
        <f>_xlfn.XLOOKUP(C1340,Customer_Dim!A:A,Customer_Dim!B:B,"Not Found")</f>
        <v>Donna Gregory</v>
      </c>
      <c r="K1340">
        <f>Table511[[#This Row],[Total_Amount]]/(L1340*(1-Table511[[#This Row],[Discount]]))</f>
        <v>2</v>
      </c>
      <c r="L1340" s="5">
        <v>356.28</v>
      </c>
      <c r="M1340">
        <v>0.11</v>
      </c>
      <c r="N1340" t="s">
        <v>1354</v>
      </c>
      <c r="O1340" s="5">
        <v>634.17840000000001</v>
      </c>
    </row>
    <row r="1341" spans="1:15">
      <c r="A1341" t="s">
        <v>2690</v>
      </c>
      <c r="B1341" s="7">
        <v>45921</v>
      </c>
      <c r="C1341" t="s">
        <v>831</v>
      </c>
      <c r="D1341" t="s">
        <v>1233</v>
      </c>
      <c r="E1341" t="s">
        <v>1286</v>
      </c>
      <c r="F1341" t="str">
        <f>[1]Raw_Customer_Dim!$A$2</f>
        <v>CUST1000</v>
      </c>
      <c r="G1341" t="str">
        <f>_xlfn.XLOOKUP(E1341,Store_Dim!A:A,Store_Dim!B:B,"Not Found")</f>
        <v>Black-Horn</v>
      </c>
      <c r="H1341" t="str">
        <f>_xlfn.XLOOKUP(D1341,Product_Dim!A:A,Product_Dim!C:C,"Not Found")</f>
        <v>Home</v>
      </c>
      <c r="I1341" t="str">
        <f>_xlfn.XLOOKUP(E1341,Store_Dim!A:A,Store_Dim!C:C,"Not Found")</f>
        <v>South</v>
      </c>
      <c r="J1341" t="str">
        <f>_xlfn.XLOOKUP(C1341,Customer_Dim!A:A,Customer_Dim!B:B,"Not Found")</f>
        <v>Andrew Mason</v>
      </c>
      <c r="K1341">
        <f>Table511[[#This Row],[Total_Amount]]/(L1341*(1-Table511[[#This Row],[Discount]]))</f>
        <v>4</v>
      </c>
      <c r="L1341" s="5">
        <v>806.99</v>
      </c>
      <c r="M1341">
        <v>0.06</v>
      </c>
      <c r="N1341" t="s">
        <v>1349</v>
      </c>
      <c r="O1341" s="5">
        <v>3034.2824000000001</v>
      </c>
    </row>
    <row r="1342" spans="1:15">
      <c r="A1342" t="s">
        <v>2691</v>
      </c>
      <c r="B1342" s="7">
        <v>45855</v>
      </c>
      <c r="C1342" t="s">
        <v>941</v>
      </c>
      <c r="D1342" t="s">
        <v>1113</v>
      </c>
      <c r="E1342" t="s">
        <v>1282</v>
      </c>
      <c r="F1342" t="str">
        <f>[1]Raw_Customer_Dim!$A$2</f>
        <v>CUST1000</v>
      </c>
      <c r="G1342" t="str">
        <f>_xlfn.XLOOKUP(E1342,Store_Dim!A:A,Store_Dim!B:B,"Not Found")</f>
        <v>Martinez, Adkins and Johnson</v>
      </c>
      <c r="H1342" t="str">
        <f>_xlfn.XLOOKUP(D1342,Product_Dim!A:A,Product_Dim!C:C,"Not Found")</f>
        <v>Sports</v>
      </c>
      <c r="I1342" t="str">
        <f>_xlfn.XLOOKUP(E1342,Store_Dim!A:A,Store_Dim!C:C,"Not Found")</f>
        <v>North</v>
      </c>
      <c r="J1342" t="str">
        <f>_xlfn.XLOOKUP(C1342,Customer_Dim!A:A,Customer_Dim!B:B,"Not Found")</f>
        <v>John Compton</v>
      </c>
      <c r="K1342">
        <f>Table511[[#This Row],[Total_Amount]]/(L1342*(1-Table511[[#This Row],[Discount]]))</f>
        <v>2.9999999999999996</v>
      </c>
      <c r="L1342" s="5">
        <v>684.22</v>
      </c>
      <c r="M1342">
        <v>0.09</v>
      </c>
      <c r="N1342" t="s">
        <v>1349</v>
      </c>
      <c r="O1342" s="5">
        <v>1867.9205999999999</v>
      </c>
    </row>
    <row r="1343" spans="1:15">
      <c r="A1343" t="s">
        <v>2692</v>
      </c>
      <c r="B1343" s="7">
        <v>45837</v>
      </c>
      <c r="C1343" t="s">
        <v>949</v>
      </c>
      <c r="D1343" t="s">
        <v>1259</v>
      </c>
      <c r="E1343" t="s">
        <v>1304</v>
      </c>
      <c r="F1343" t="str">
        <f>[1]Raw_Customer_Dim!$A$2</f>
        <v>CUST1000</v>
      </c>
      <c r="G1343" t="str">
        <f>_xlfn.XLOOKUP(E1343,Store_Dim!A:A,Store_Dim!B:B,"Not Found")</f>
        <v>Martinez-Mullins</v>
      </c>
      <c r="H1343" t="str">
        <f>_xlfn.XLOOKUP(D1343,Product_Dim!A:A,Product_Dim!C:C,"Not Found")</f>
        <v>Electronics</v>
      </c>
      <c r="I1343" t="str">
        <f>_xlfn.XLOOKUP(E1343,Store_Dim!A:A,Store_Dim!C:C,"Not Found")</f>
        <v>South</v>
      </c>
      <c r="J1343" t="str">
        <f>_xlfn.XLOOKUP(C1343,Customer_Dim!A:A,Customer_Dim!B:B,"Not Found")</f>
        <v>Adam Castro</v>
      </c>
      <c r="K1343">
        <f>Table511[[#This Row],[Total_Amount]]/(L1343*(1-Table511[[#This Row],[Discount]]))</f>
        <v>4</v>
      </c>
      <c r="L1343" s="5">
        <v>763.34</v>
      </c>
      <c r="M1343">
        <v>7.0000000000000007E-2</v>
      </c>
      <c r="N1343" t="s">
        <v>1351</v>
      </c>
      <c r="O1343" s="5">
        <v>2839.6248000000001</v>
      </c>
    </row>
    <row r="1344" spans="1:15">
      <c r="A1344" t="s">
        <v>2693</v>
      </c>
      <c r="B1344" s="7">
        <v>45738</v>
      </c>
      <c r="C1344" t="s">
        <v>785</v>
      </c>
      <c r="D1344" t="s">
        <v>1173</v>
      </c>
      <c r="E1344" t="s">
        <v>1291</v>
      </c>
      <c r="F1344" t="str">
        <f>[1]Raw_Customer_Dim!$A$2</f>
        <v>CUST1000</v>
      </c>
      <c r="G1344" t="str">
        <f>_xlfn.XLOOKUP(E1344,Store_Dim!A:A,Store_Dim!B:B,"Not Found")</f>
        <v>Johnson-Wright</v>
      </c>
      <c r="H1344" t="str">
        <f>_xlfn.XLOOKUP(D1344,Product_Dim!A:A,Product_Dim!C:C,"Not Found")</f>
        <v>Sports</v>
      </c>
      <c r="I1344" t="str">
        <f>_xlfn.XLOOKUP(E1344,Store_Dim!A:A,Store_Dim!C:C,"Not Found")</f>
        <v>North</v>
      </c>
      <c r="J1344" t="str">
        <f>_xlfn.XLOOKUP(C1344,Customer_Dim!A:A,Customer_Dim!B:B,"Not Found")</f>
        <v>Natalie Johnson</v>
      </c>
      <c r="K1344">
        <f>Table511[[#This Row],[Total_Amount]]/(L1344*(1-Table511[[#This Row],[Discount]]))</f>
        <v>2.9999999999999996</v>
      </c>
      <c r="L1344" s="5">
        <v>721.94</v>
      </c>
      <c r="M1344">
        <v>0.26</v>
      </c>
      <c r="N1344" t="s">
        <v>1349</v>
      </c>
      <c r="O1344" s="5">
        <v>1602.7067999999999</v>
      </c>
    </row>
    <row r="1345" spans="1:15">
      <c r="A1345" t="s">
        <v>2694</v>
      </c>
      <c r="B1345" s="7">
        <v>45323</v>
      </c>
      <c r="C1345" t="s">
        <v>875</v>
      </c>
      <c r="D1345" t="s">
        <v>1267</v>
      </c>
      <c r="E1345" t="s">
        <v>1282</v>
      </c>
      <c r="F1345" t="str">
        <f>[1]Raw_Customer_Dim!$A$2</f>
        <v>CUST1000</v>
      </c>
      <c r="G1345" t="str">
        <f>_xlfn.XLOOKUP(E1345,Store_Dim!A:A,Store_Dim!B:B,"Not Found")</f>
        <v>Martinez, Adkins and Johnson</v>
      </c>
      <c r="H1345" t="str">
        <f>_xlfn.XLOOKUP(D1345,Product_Dim!A:A,Product_Dim!C:C,"Not Found")</f>
        <v>Sports</v>
      </c>
      <c r="I1345" t="str">
        <f>_xlfn.XLOOKUP(E1345,Store_Dim!A:A,Store_Dim!C:C,"Not Found")</f>
        <v>North</v>
      </c>
      <c r="J1345" t="str">
        <f>_xlfn.XLOOKUP(C1345,Customer_Dim!A:A,Customer_Dim!B:B,"Not Found")</f>
        <v>David Lozano</v>
      </c>
      <c r="K1345">
        <f>Table511[[#This Row],[Total_Amount]]/(L1345*(1-Table511[[#This Row],[Discount]]))</f>
        <v>3</v>
      </c>
      <c r="L1345" s="5">
        <v>760.38</v>
      </c>
      <c r="M1345">
        <v>0</v>
      </c>
      <c r="N1345" t="s">
        <v>1354</v>
      </c>
      <c r="O1345" s="5">
        <v>2281.14</v>
      </c>
    </row>
    <row r="1346" spans="1:15">
      <c r="A1346" t="s">
        <v>2695</v>
      </c>
      <c r="B1346" s="7">
        <v>45362</v>
      </c>
      <c r="C1346" t="s">
        <v>660</v>
      </c>
      <c r="D1346" t="s">
        <v>1267</v>
      </c>
      <c r="E1346" t="s">
        <v>1301</v>
      </c>
      <c r="F1346" t="str">
        <f>[1]Raw_Customer_Dim!$A$2</f>
        <v>CUST1000</v>
      </c>
      <c r="G1346" t="str">
        <f>_xlfn.XLOOKUP(E1346,Store_Dim!A:A,Store_Dim!B:B,"Not Found")</f>
        <v>Benson-Elliott</v>
      </c>
      <c r="H1346" t="str">
        <f>_xlfn.XLOOKUP(D1346,Product_Dim!A:A,Product_Dim!C:C,"Not Found")</f>
        <v>Sports</v>
      </c>
      <c r="I1346" t="str">
        <f>_xlfn.XLOOKUP(E1346,Store_Dim!A:A,Store_Dim!C:C,"Not Found")</f>
        <v>East</v>
      </c>
      <c r="J1346" t="str">
        <f>_xlfn.XLOOKUP(C1346,Customer_Dim!A:A,Customer_Dim!B:B,"Not Found")</f>
        <v>Tracy Stephens</v>
      </c>
      <c r="K1346">
        <f>Table511[[#This Row],[Total_Amount]]/(L1346*(1-Table511[[#This Row],[Discount]]))</f>
        <v>2.9999999999999996</v>
      </c>
      <c r="L1346" s="5">
        <v>612.53</v>
      </c>
      <c r="M1346">
        <v>0.21</v>
      </c>
      <c r="N1346" t="s">
        <v>1354</v>
      </c>
      <c r="O1346" s="5">
        <v>1451.6960999999999</v>
      </c>
    </row>
    <row r="1347" spans="1:15">
      <c r="A1347" t="s">
        <v>2696</v>
      </c>
      <c r="B1347" s="7">
        <v>45544</v>
      </c>
      <c r="C1347" t="s">
        <v>120</v>
      </c>
      <c r="D1347" t="s">
        <v>1199</v>
      </c>
      <c r="E1347" t="s">
        <v>1329</v>
      </c>
      <c r="F1347" t="str">
        <f>[1]Raw_Customer_Dim!$A$2</f>
        <v>CUST1000</v>
      </c>
      <c r="G1347" t="str">
        <f>_xlfn.XLOOKUP(E1347,Store_Dim!A:A,Store_Dim!B:B,"Not Found")</f>
        <v>Frederick-Wright</v>
      </c>
      <c r="H1347" t="str">
        <f>_xlfn.XLOOKUP(D1347,Product_Dim!A:A,Product_Dim!C:C,"Not Found")</f>
        <v>Beauty</v>
      </c>
      <c r="I1347" t="str">
        <f>_xlfn.XLOOKUP(E1347,Store_Dim!A:A,Store_Dim!C:C,"Not Found")</f>
        <v>West</v>
      </c>
      <c r="J1347" t="str">
        <f>_xlfn.XLOOKUP(C1347,Customer_Dim!A:A,Customer_Dim!B:B,"Not Found")</f>
        <v>James Gibbs</v>
      </c>
      <c r="K1347">
        <f>Table511[[#This Row],[Total_Amount]]/(L1347*(1-Table511[[#This Row],[Discount]]))</f>
        <v>3</v>
      </c>
      <c r="L1347" s="5">
        <v>841.37</v>
      </c>
      <c r="M1347">
        <v>0.28999999999999998</v>
      </c>
      <c r="N1347" t="s">
        <v>1351</v>
      </c>
      <c r="O1347" s="5">
        <v>1792.1180999999999</v>
      </c>
    </row>
    <row r="1348" spans="1:15">
      <c r="A1348" t="s">
        <v>2697</v>
      </c>
      <c r="B1348" s="7">
        <v>45249</v>
      </c>
      <c r="C1348" t="s">
        <v>585</v>
      </c>
      <c r="D1348" t="s">
        <v>1169</v>
      </c>
      <c r="E1348" t="s">
        <v>1311</v>
      </c>
      <c r="F1348" t="str">
        <f>[1]Raw_Customer_Dim!$A$2</f>
        <v>CUST1000</v>
      </c>
      <c r="G1348" t="str">
        <f>_xlfn.XLOOKUP(E1348,Store_Dim!A:A,Store_Dim!B:B,"Not Found")</f>
        <v>Moore, Padilla and Butler</v>
      </c>
      <c r="H1348" t="str">
        <f>_xlfn.XLOOKUP(D1348,Product_Dim!A:A,Product_Dim!C:C,"Not Found")</f>
        <v>Electronics</v>
      </c>
      <c r="I1348" t="str">
        <f>_xlfn.XLOOKUP(E1348,Store_Dim!A:A,Store_Dim!C:C,"Not Found")</f>
        <v>South</v>
      </c>
      <c r="J1348" t="str">
        <f>_xlfn.XLOOKUP(C1348,Customer_Dim!A:A,Customer_Dim!B:B,"Not Found")</f>
        <v>Carol Bishop</v>
      </c>
      <c r="K1348">
        <f>Table511[[#This Row],[Total_Amount]]/(L1348*(1-Table511[[#This Row],[Discount]]))</f>
        <v>2</v>
      </c>
      <c r="L1348" s="5">
        <v>636.51</v>
      </c>
      <c r="M1348">
        <v>0.25</v>
      </c>
      <c r="N1348" t="s">
        <v>1349</v>
      </c>
      <c r="O1348" s="5">
        <v>954.76499999999999</v>
      </c>
    </row>
    <row r="1349" spans="1:15">
      <c r="A1349" t="s">
        <v>2698</v>
      </c>
      <c r="B1349" s="7">
        <v>45659</v>
      </c>
      <c r="C1349" t="s">
        <v>240</v>
      </c>
      <c r="D1349" t="s">
        <v>1163</v>
      </c>
      <c r="E1349" t="s">
        <v>1307</v>
      </c>
      <c r="F1349" t="str">
        <f>[1]Raw_Customer_Dim!$A$2</f>
        <v>CUST1000</v>
      </c>
      <c r="G1349" t="str">
        <f>_xlfn.XLOOKUP(E1349,Store_Dim!A:A,Store_Dim!B:B,"Not Found")</f>
        <v>Bean, Jones and Park</v>
      </c>
      <c r="H1349" t="str">
        <f>_xlfn.XLOOKUP(D1349,Product_Dim!A:A,Product_Dim!C:C,"Not Found")</f>
        <v>Sports</v>
      </c>
      <c r="I1349" t="str">
        <f>_xlfn.XLOOKUP(E1349,Store_Dim!A:A,Store_Dim!C:C,"Not Found")</f>
        <v>West</v>
      </c>
      <c r="J1349" t="str">
        <f>_xlfn.XLOOKUP(C1349,Customer_Dim!A:A,Customer_Dim!B:B,"Not Found")</f>
        <v>Donna Gregory</v>
      </c>
      <c r="K1349">
        <f>Table511[[#This Row],[Total_Amount]]/(L1349*(1-Table511[[#This Row],[Discount]]))</f>
        <v>2</v>
      </c>
      <c r="L1349" s="5">
        <v>732.37</v>
      </c>
      <c r="M1349">
        <v>0.22</v>
      </c>
      <c r="N1349" t="s">
        <v>1354</v>
      </c>
      <c r="O1349" s="5">
        <v>1142.4972</v>
      </c>
    </row>
    <row r="1350" spans="1:15">
      <c r="A1350" t="s">
        <v>2699</v>
      </c>
      <c r="B1350" s="7">
        <v>45927</v>
      </c>
      <c r="C1350" t="s">
        <v>389</v>
      </c>
      <c r="D1350" t="s">
        <v>1181</v>
      </c>
      <c r="E1350" t="s">
        <v>1329</v>
      </c>
      <c r="F1350" t="str">
        <f>[1]Raw_Customer_Dim!$A$2</f>
        <v>CUST1000</v>
      </c>
      <c r="G1350" t="str">
        <f>_xlfn.XLOOKUP(E1350,Store_Dim!A:A,Store_Dim!B:B,"Not Found")</f>
        <v>Frederick-Wright</v>
      </c>
      <c r="H1350" t="str">
        <f>_xlfn.XLOOKUP(D1350,Product_Dim!A:A,Product_Dim!C:C,"Not Found")</f>
        <v>Sports</v>
      </c>
      <c r="I1350" t="str">
        <f>_xlfn.XLOOKUP(E1350,Store_Dim!A:A,Store_Dim!C:C,"Not Found")</f>
        <v>West</v>
      </c>
      <c r="J1350" t="str">
        <f>_xlfn.XLOOKUP(C1350,Customer_Dim!A:A,Customer_Dim!B:B,"Not Found")</f>
        <v>Daniel Rivas</v>
      </c>
      <c r="K1350">
        <f>Table511[[#This Row],[Total_Amount]]/(L1350*(1-Table511[[#This Row],[Discount]]))</f>
        <v>2.9999999999999996</v>
      </c>
      <c r="L1350" s="5">
        <v>183.44</v>
      </c>
      <c r="M1350">
        <v>0.28000000000000003</v>
      </c>
      <c r="N1350" t="s">
        <v>1354</v>
      </c>
      <c r="O1350" s="5">
        <v>396.23039999999992</v>
      </c>
    </row>
    <row r="1351" spans="1:15">
      <c r="A1351" t="s">
        <v>2700</v>
      </c>
      <c r="B1351" s="7">
        <v>45373</v>
      </c>
      <c r="C1351" t="s">
        <v>178</v>
      </c>
      <c r="D1351" t="s">
        <v>1095</v>
      </c>
      <c r="E1351" t="s">
        <v>1322</v>
      </c>
      <c r="F1351" t="str">
        <f>[1]Raw_Customer_Dim!$A$2</f>
        <v>CUST1000</v>
      </c>
      <c r="G1351" t="str">
        <f>_xlfn.XLOOKUP(E1351,Store_Dim!A:A,Store_Dim!B:B,"Not Found")</f>
        <v>Gardner, Humphrey and Contreras</v>
      </c>
      <c r="H1351" t="str">
        <f>_xlfn.XLOOKUP(D1351,Product_Dim!A:A,Product_Dim!C:C,"Not Found")</f>
        <v>Electronics</v>
      </c>
      <c r="I1351" t="str">
        <f>_xlfn.XLOOKUP(E1351,Store_Dim!A:A,Store_Dim!C:C,"Not Found")</f>
        <v>East</v>
      </c>
      <c r="J1351" t="str">
        <f>_xlfn.XLOOKUP(C1351,Customer_Dim!A:A,Customer_Dim!B:B,"Not Found")</f>
        <v>Michael Thomas</v>
      </c>
      <c r="K1351">
        <f>Table511[[#This Row],[Total_Amount]]/(L1351*(1-Table511[[#This Row],[Discount]]))</f>
        <v>4</v>
      </c>
      <c r="L1351" s="5">
        <v>898.58</v>
      </c>
      <c r="M1351">
        <v>0.16</v>
      </c>
      <c r="N1351" t="s">
        <v>1351</v>
      </c>
      <c r="O1351" s="5">
        <v>3019.2287999999999</v>
      </c>
    </row>
    <row r="1352" spans="1:15">
      <c r="A1352" t="s">
        <v>2701</v>
      </c>
      <c r="B1352" s="7">
        <v>45529</v>
      </c>
      <c r="C1352" t="s">
        <v>843</v>
      </c>
      <c r="D1352" t="s">
        <v>1119</v>
      </c>
      <c r="E1352" t="s">
        <v>1286</v>
      </c>
      <c r="F1352" t="str">
        <f>[1]Raw_Customer_Dim!$A$2</f>
        <v>CUST1000</v>
      </c>
      <c r="G1352" t="str">
        <f>_xlfn.XLOOKUP(E1352,Store_Dim!A:A,Store_Dim!B:B,"Not Found")</f>
        <v>Black-Horn</v>
      </c>
      <c r="H1352" t="str">
        <f>_xlfn.XLOOKUP(D1352,Product_Dim!A:A,Product_Dim!C:C,"Not Found")</f>
        <v>Clothing</v>
      </c>
      <c r="I1352" t="str">
        <f>_xlfn.XLOOKUP(E1352,Store_Dim!A:A,Store_Dim!C:C,"Not Found")</f>
        <v>South</v>
      </c>
      <c r="J1352" t="str">
        <f>_xlfn.XLOOKUP(C1352,Customer_Dim!A:A,Customer_Dim!B:B,"Not Found")</f>
        <v>Daniel Bell</v>
      </c>
      <c r="K1352">
        <f>Table511[[#This Row],[Total_Amount]]/(L1352*(1-Table511[[#This Row],[Discount]]))</f>
        <v>3</v>
      </c>
      <c r="L1352" s="5">
        <v>152.41</v>
      </c>
      <c r="M1352">
        <v>0.25</v>
      </c>
      <c r="N1352" t="s">
        <v>1349</v>
      </c>
      <c r="O1352" s="5">
        <v>342.92250000000001</v>
      </c>
    </row>
    <row r="1353" spans="1:15">
      <c r="A1353" t="s">
        <v>2702</v>
      </c>
      <c r="B1353" s="7">
        <v>45872</v>
      </c>
      <c r="C1353" t="s">
        <v>509</v>
      </c>
      <c r="D1353" t="s">
        <v>1257</v>
      </c>
      <c r="E1353" t="s">
        <v>1324</v>
      </c>
      <c r="F1353" t="str">
        <f>[1]Raw_Customer_Dim!$A$2</f>
        <v>CUST1000</v>
      </c>
      <c r="G1353" t="str">
        <f>_xlfn.XLOOKUP(E1353,Store_Dim!A:A,Store_Dim!B:B,"Not Found")</f>
        <v>Mcdonald Inc</v>
      </c>
      <c r="H1353" t="str">
        <f>_xlfn.XLOOKUP(D1353,Product_Dim!A:A,Product_Dim!C:C,"Not Found")</f>
        <v>Home</v>
      </c>
      <c r="I1353" t="str">
        <f>_xlfn.XLOOKUP(E1353,Store_Dim!A:A,Store_Dim!C:C,"Not Found")</f>
        <v>South</v>
      </c>
      <c r="J1353" t="str">
        <f>_xlfn.XLOOKUP(C1353,Customer_Dim!A:A,Customer_Dim!B:B,"Not Found")</f>
        <v>Robert Harris</v>
      </c>
      <c r="K1353">
        <f>Table511[[#This Row],[Total_Amount]]/(L1353*(1-Table511[[#This Row],[Discount]]))</f>
        <v>3</v>
      </c>
      <c r="L1353" s="5">
        <v>972.58</v>
      </c>
      <c r="M1353">
        <v>0.28000000000000003</v>
      </c>
      <c r="N1353" t="s">
        <v>1354</v>
      </c>
      <c r="O1353" s="5">
        <v>2100.7728000000002</v>
      </c>
    </row>
    <row r="1354" spans="1:15">
      <c r="A1354" t="s">
        <v>2703</v>
      </c>
      <c r="B1354" s="7">
        <v>45267</v>
      </c>
      <c r="C1354" t="s">
        <v>994</v>
      </c>
      <c r="D1354" t="s">
        <v>1211</v>
      </c>
      <c r="E1354" t="s">
        <v>1317</v>
      </c>
      <c r="F1354" t="str">
        <f>[1]Raw_Customer_Dim!$A$2</f>
        <v>CUST1000</v>
      </c>
      <c r="G1354" t="str">
        <f>_xlfn.XLOOKUP(E1354,Store_Dim!A:A,Store_Dim!B:B,"Not Found")</f>
        <v>Aguirre-Keller</v>
      </c>
      <c r="H1354" t="str">
        <f>_xlfn.XLOOKUP(D1354,Product_Dim!A:A,Product_Dim!C:C,"Not Found")</f>
        <v>Clothing</v>
      </c>
      <c r="I1354" t="str">
        <f>_xlfn.XLOOKUP(E1354,Store_Dim!A:A,Store_Dim!C:C,"Not Found")</f>
        <v>South</v>
      </c>
      <c r="J1354" t="str">
        <f>_xlfn.XLOOKUP(C1354,Customer_Dim!A:A,Customer_Dim!B:B,"Not Found")</f>
        <v>Cynthia Parrish</v>
      </c>
      <c r="K1354">
        <f>Table511[[#This Row],[Total_Amount]]/(L1354*(1-Table511[[#This Row],[Discount]]))</f>
        <v>4</v>
      </c>
      <c r="L1354" s="5">
        <v>136.4</v>
      </c>
      <c r="M1354">
        <v>0.04</v>
      </c>
      <c r="N1354" t="s">
        <v>1354</v>
      </c>
      <c r="O1354" s="5">
        <v>523.77599999999995</v>
      </c>
    </row>
    <row r="1355" spans="1:15">
      <c r="A1355" t="s">
        <v>2704</v>
      </c>
      <c r="B1355" s="7">
        <v>45894</v>
      </c>
      <c r="C1355" t="s">
        <v>863</v>
      </c>
      <c r="D1355" t="s">
        <v>1261</v>
      </c>
      <c r="E1355" t="s">
        <v>1326</v>
      </c>
      <c r="F1355" t="str">
        <f>[1]Raw_Customer_Dim!$A$2</f>
        <v>CUST1000</v>
      </c>
      <c r="G1355" t="str">
        <f>_xlfn.XLOOKUP(E1355,Store_Dim!A:A,Store_Dim!B:B,"Not Found")</f>
        <v>Shelton PLC</v>
      </c>
      <c r="H1355" t="str">
        <f>_xlfn.XLOOKUP(D1355,Product_Dim!A:A,Product_Dim!C:C,"Not Found")</f>
        <v>Beauty</v>
      </c>
      <c r="I1355" t="str">
        <f>_xlfn.XLOOKUP(E1355,Store_Dim!A:A,Store_Dim!C:C,"Not Found")</f>
        <v>North</v>
      </c>
      <c r="J1355" t="str">
        <f>_xlfn.XLOOKUP(C1355,Customer_Dim!A:A,Customer_Dim!B:B,"Not Found")</f>
        <v>Mark Rogers</v>
      </c>
      <c r="K1355">
        <f>Table511[[#This Row],[Total_Amount]]/(L1355*(1-Table511[[#This Row],[Discount]]))</f>
        <v>1</v>
      </c>
      <c r="L1355" s="5">
        <v>509.63</v>
      </c>
      <c r="M1355">
        <v>0.27</v>
      </c>
      <c r="N1355" t="s">
        <v>1354</v>
      </c>
      <c r="O1355" s="5">
        <v>372.0299</v>
      </c>
    </row>
    <row r="1356" spans="1:15">
      <c r="A1356" t="s">
        <v>2705</v>
      </c>
      <c r="B1356" s="7">
        <v>45331</v>
      </c>
      <c r="C1356" t="s">
        <v>20</v>
      </c>
      <c r="D1356" t="s">
        <v>1267</v>
      </c>
      <c r="E1356" t="s">
        <v>1291</v>
      </c>
      <c r="F1356" t="str">
        <f>[1]Raw_Customer_Dim!$A$2</f>
        <v>CUST1000</v>
      </c>
      <c r="G1356" t="str">
        <f>_xlfn.XLOOKUP(E1356,Store_Dim!A:A,Store_Dim!B:B,"Not Found")</f>
        <v>Johnson-Wright</v>
      </c>
      <c r="H1356" t="str">
        <f>_xlfn.XLOOKUP(D1356,Product_Dim!A:A,Product_Dim!C:C,"Not Found")</f>
        <v>Sports</v>
      </c>
      <c r="I1356" t="str">
        <f>_xlfn.XLOOKUP(E1356,Store_Dim!A:A,Store_Dim!C:C,"Not Found")</f>
        <v>North</v>
      </c>
      <c r="J1356" t="str">
        <f>_xlfn.XLOOKUP(C1356,Customer_Dim!A:A,Customer_Dim!B:B,"Not Found")</f>
        <v>jeremy harris</v>
      </c>
      <c r="K1356">
        <f>Table511[[#This Row],[Total_Amount]]/(L1356*(1-Table511[[#This Row],[Discount]]))</f>
        <v>4</v>
      </c>
      <c r="L1356" s="5">
        <v>360.28</v>
      </c>
      <c r="M1356">
        <v>0.09</v>
      </c>
      <c r="N1356" t="s">
        <v>1354</v>
      </c>
      <c r="O1356" s="5">
        <v>1311.4192</v>
      </c>
    </row>
    <row r="1357" spans="1:15">
      <c r="A1357" t="s">
        <v>2706</v>
      </c>
      <c r="B1357" s="7">
        <v>45910</v>
      </c>
      <c r="C1357" t="s">
        <v>214</v>
      </c>
      <c r="D1357" t="s">
        <v>1251</v>
      </c>
      <c r="E1357" t="s">
        <v>1326</v>
      </c>
      <c r="F1357" t="str">
        <f>[1]Raw_Customer_Dim!$A$2</f>
        <v>CUST1000</v>
      </c>
      <c r="G1357" t="str">
        <f>_xlfn.XLOOKUP(E1357,Store_Dim!A:A,Store_Dim!B:B,"Not Found")</f>
        <v>Shelton PLC</v>
      </c>
      <c r="H1357" t="str">
        <f>_xlfn.XLOOKUP(D1357,Product_Dim!A:A,Product_Dim!C:C,"Not Found")</f>
        <v>Beauty</v>
      </c>
      <c r="I1357" t="str">
        <f>_xlfn.XLOOKUP(E1357,Store_Dim!A:A,Store_Dim!C:C,"Not Found")</f>
        <v>North</v>
      </c>
      <c r="J1357" t="str">
        <f>_xlfn.XLOOKUP(C1357,Customer_Dim!A:A,Customer_Dim!B:B,"Not Found")</f>
        <v>Jennifer Garcia</v>
      </c>
      <c r="K1357">
        <f>Table511[[#This Row],[Total_Amount]]/(L1357*(1-Table511[[#This Row],[Discount]]))</f>
        <v>2.9999999999999991</v>
      </c>
      <c r="L1357" s="5">
        <v>882.05</v>
      </c>
      <c r="M1357">
        <v>0.06</v>
      </c>
      <c r="N1357" t="s">
        <v>1351</v>
      </c>
      <c r="O1357" s="5">
        <v>2487.3809999999989</v>
      </c>
    </row>
    <row r="1358" spans="1:15">
      <c r="A1358" t="s">
        <v>2707</v>
      </c>
      <c r="B1358" s="7">
        <v>45564</v>
      </c>
      <c r="C1358" t="s">
        <v>452</v>
      </c>
      <c r="D1358" t="s">
        <v>1231</v>
      </c>
      <c r="E1358" t="s">
        <v>1307</v>
      </c>
      <c r="F1358" t="str">
        <f>[1]Raw_Customer_Dim!$A$2</f>
        <v>CUST1000</v>
      </c>
      <c r="G1358" t="str">
        <f>_xlfn.XLOOKUP(E1358,Store_Dim!A:A,Store_Dim!B:B,"Not Found")</f>
        <v>Bean, Jones and Park</v>
      </c>
      <c r="H1358" t="str">
        <f>_xlfn.XLOOKUP(D1358,Product_Dim!A:A,Product_Dim!C:C,"Not Found")</f>
        <v>Home</v>
      </c>
      <c r="I1358" t="str">
        <f>_xlfn.XLOOKUP(E1358,Store_Dim!A:A,Store_Dim!C:C,"Not Found")</f>
        <v>West</v>
      </c>
      <c r="J1358" t="str">
        <f>_xlfn.XLOOKUP(C1358,Customer_Dim!A:A,Customer_Dim!B:B,"Not Found")</f>
        <v>Anthony Garcia</v>
      </c>
      <c r="K1358">
        <f>Table511[[#This Row],[Total_Amount]]/(L1358*(1-Table511[[#This Row],[Discount]]))</f>
        <v>3</v>
      </c>
      <c r="L1358" s="5">
        <v>141.54</v>
      </c>
      <c r="M1358">
        <v>0.12</v>
      </c>
      <c r="N1358" t="s">
        <v>1351</v>
      </c>
      <c r="O1358" s="5">
        <v>373.66559999999998</v>
      </c>
    </row>
    <row r="1359" spans="1:15">
      <c r="A1359" t="s">
        <v>2708</v>
      </c>
      <c r="B1359" s="7">
        <v>45461</v>
      </c>
      <c r="C1359" t="s">
        <v>126</v>
      </c>
      <c r="D1359" t="s">
        <v>1103</v>
      </c>
      <c r="E1359" t="s">
        <v>1294</v>
      </c>
      <c r="F1359" t="str">
        <f>[1]Raw_Customer_Dim!$A$2</f>
        <v>CUST1000</v>
      </c>
      <c r="G1359" t="str">
        <f>_xlfn.XLOOKUP(E1359,Store_Dim!A:A,Store_Dim!B:B,"Not Found")</f>
        <v>Alexander Group</v>
      </c>
      <c r="H1359" t="str">
        <f>_xlfn.XLOOKUP(D1359,Product_Dim!A:A,Product_Dim!C:C,"Not Found")</f>
        <v>Electronics</v>
      </c>
      <c r="I1359" t="str">
        <f>_xlfn.XLOOKUP(E1359,Store_Dim!A:A,Store_Dim!C:C,"Not Found")</f>
        <v>South</v>
      </c>
      <c r="J1359" t="str">
        <f>_xlfn.XLOOKUP(C1359,Customer_Dim!A:A,Customer_Dim!B:B,"Not Found")</f>
        <v>Joseph Snow</v>
      </c>
      <c r="K1359">
        <f>Table511[[#This Row],[Total_Amount]]/(L1359*(1-Table511[[#This Row],[Discount]]))</f>
        <v>3</v>
      </c>
      <c r="L1359" s="5">
        <v>83.5</v>
      </c>
      <c r="M1359">
        <v>0.23</v>
      </c>
      <c r="N1359" t="s">
        <v>1354</v>
      </c>
      <c r="O1359" s="5">
        <v>192.88499999999999</v>
      </c>
    </row>
    <row r="1360" spans="1:15">
      <c r="A1360" t="s">
        <v>2709</v>
      </c>
      <c r="B1360" s="7">
        <v>45258</v>
      </c>
      <c r="C1360" t="s">
        <v>306</v>
      </c>
      <c r="D1360" t="s">
        <v>1101</v>
      </c>
      <c r="E1360" t="s">
        <v>1301</v>
      </c>
      <c r="F1360" t="str">
        <f>[1]Raw_Customer_Dim!$A$2</f>
        <v>CUST1000</v>
      </c>
      <c r="G1360" t="str">
        <f>_xlfn.XLOOKUP(E1360,Store_Dim!A:A,Store_Dim!B:B,"Not Found")</f>
        <v>Benson-Elliott</v>
      </c>
      <c r="H1360" t="str">
        <f>_xlfn.XLOOKUP(D1360,Product_Dim!A:A,Product_Dim!C:C,"Not Found")</f>
        <v>Home</v>
      </c>
      <c r="I1360" t="str">
        <f>_xlfn.XLOOKUP(E1360,Store_Dim!A:A,Store_Dim!C:C,"Not Found")</f>
        <v>East</v>
      </c>
      <c r="J1360" t="str">
        <f>_xlfn.XLOOKUP(C1360,Customer_Dim!A:A,Customer_Dim!B:B,"Not Found")</f>
        <v>Erin Hopkins</v>
      </c>
      <c r="K1360">
        <f>Table511[[#This Row],[Total_Amount]]/(L1360*(1-Table511[[#This Row],[Discount]]))</f>
        <v>2</v>
      </c>
      <c r="L1360" s="5">
        <v>629.73</v>
      </c>
      <c r="M1360">
        <v>7.0000000000000007E-2</v>
      </c>
      <c r="N1360" t="s">
        <v>1351</v>
      </c>
      <c r="O1360" s="5">
        <v>1171.2978000000001</v>
      </c>
    </row>
    <row r="1361" spans="1:15">
      <c r="A1361" t="s">
        <v>2710</v>
      </c>
      <c r="B1361" s="7">
        <v>45228</v>
      </c>
      <c r="C1361" t="s">
        <v>47</v>
      </c>
      <c r="D1361" t="s">
        <v>1139</v>
      </c>
      <c r="E1361" t="s">
        <v>1301</v>
      </c>
      <c r="F1361" t="str">
        <f>[1]Raw_Customer_Dim!$A$2</f>
        <v>CUST1000</v>
      </c>
      <c r="G1361" t="str">
        <f>_xlfn.XLOOKUP(E1361,Store_Dim!A:A,Store_Dim!B:B,"Not Found")</f>
        <v>Benson-Elliott</v>
      </c>
      <c r="H1361" t="str">
        <f>_xlfn.XLOOKUP(D1361,Product_Dim!A:A,Product_Dim!C:C,"Not Found")</f>
        <v>Home</v>
      </c>
      <c r="I1361" t="str">
        <f>_xlfn.XLOOKUP(E1361,Store_Dim!A:A,Store_Dim!C:C,"Not Found")</f>
        <v>East</v>
      </c>
      <c r="J1361" t="str">
        <f>_xlfn.XLOOKUP(C1361,Customer_Dim!A:A,Customer_Dim!B:B,"Not Found")</f>
        <v>Kenneth Lambert</v>
      </c>
      <c r="K1361">
        <f>Table511[[#This Row],[Total_Amount]]/(L1361*(1-Table511[[#This Row],[Discount]]))</f>
        <v>1.9999999999999998</v>
      </c>
      <c r="L1361" s="5">
        <v>159.93</v>
      </c>
      <c r="M1361">
        <v>0.2</v>
      </c>
      <c r="N1361" t="s">
        <v>1354</v>
      </c>
      <c r="O1361" s="5">
        <v>255.88800000000001</v>
      </c>
    </row>
    <row r="1362" spans="1:15">
      <c r="A1362" t="s">
        <v>2711</v>
      </c>
      <c r="B1362" s="7">
        <v>45858</v>
      </c>
      <c r="C1362" t="s">
        <v>47</v>
      </c>
      <c r="D1362" t="s">
        <v>1163</v>
      </c>
      <c r="E1362" t="s">
        <v>1335</v>
      </c>
      <c r="F1362" t="str">
        <f>[1]Raw_Customer_Dim!$A$2</f>
        <v>CUST1000</v>
      </c>
      <c r="G1362" t="str">
        <f>_xlfn.XLOOKUP(E1362,Store_Dim!A:A,Store_Dim!B:B,"Not Found")</f>
        <v>Guerrero-Schmitt</v>
      </c>
      <c r="H1362" t="str">
        <f>_xlfn.XLOOKUP(D1362,Product_Dim!A:A,Product_Dim!C:C,"Not Found")</f>
        <v>Sports</v>
      </c>
      <c r="I1362" t="str">
        <f>_xlfn.XLOOKUP(E1362,Store_Dim!A:A,Store_Dim!C:C,"Not Found")</f>
        <v>East</v>
      </c>
      <c r="J1362" t="str">
        <f>_xlfn.XLOOKUP(C1362,Customer_Dim!A:A,Customer_Dim!B:B,"Not Found")</f>
        <v>Kenneth Lambert</v>
      </c>
      <c r="K1362">
        <f>Table511[[#This Row],[Total_Amount]]/(L1362*(1-Table511[[#This Row],[Discount]]))</f>
        <v>1</v>
      </c>
      <c r="L1362" s="5">
        <v>459.89</v>
      </c>
      <c r="M1362">
        <v>0.18</v>
      </c>
      <c r="N1362" t="s">
        <v>1354</v>
      </c>
      <c r="O1362" s="5">
        <v>377.10980000000001</v>
      </c>
    </row>
    <row r="1363" spans="1:15">
      <c r="A1363" t="s">
        <v>2712</v>
      </c>
      <c r="B1363" s="7">
        <v>45532</v>
      </c>
      <c r="C1363" t="s">
        <v>438</v>
      </c>
      <c r="D1363" t="s">
        <v>1139</v>
      </c>
      <c r="E1363" t="s">
        <v>1338</v>
      </c>
      <c r="F1363" t="str">
        <f>[1]Raw_Customer_Dim!$A$2</f>
        <v>CUST1000</v>
      </c>
      <c r="G1363" t="str">
        <f>_xlfn.XLOOKUP(E1363,Store_Dim!A:A,Store_Dim!B:B,"Not Found")</f>
        <v>Mann-Austin</v>
      </c>
      <c r="H1363" t="str">
        <f>_xlfn.XLOOKUP(D1363,Product_Dim!A:A,Product_Dim!C:C,"Not Found")</f>
        <v>Home</v>
      </c>
      <c r="I1363" t="str">
        <f>_xlfn.XLOOKUP(E1363,Store_Dim!A:A,Store_Dim!C:C,"Not Found")</f>
        <v>East</v>
      </c>
      <c r="J1363" t="str">
        <f>_xlfn.XLOOKUP(C1363,Customer_Dim!A:A,Customer_Dim!B:B,"Not Found")</f>
        <v>Kimberly Brooks</v>
      </c>
      <c r="K1363">
        <f>Table511[[#This Row],[Total_Amount]]/(L1363*(1-Table511[[#This Row],[Discount]]))</f>
        <v>4</v>
      </c>
      <c r="L1363" s="5">
        <v>885.57</v>
      </c>
      <c r="M1363">
        <v>0.27</v>
      </c>
      <c r="N1363" t="s">
        <v>1349</v>
      </c>
      <c r="O1363" s="5">
        <v>2585.8643999999999</v>
      </c>
    </row>
    <row r="1364" spans="1:15">
      <c r="A1364" t="s">
        <v>2713</v>
      </c>
      <c r="B1364" s="7">
        <v>45454</v>
      </c>
      <c r="C1364" t="s">
        <v>867</v>
      </c>
      <c r="D1364" t="s">
        <v>1181</v>
      </c>
      <c r="E1364" t="s">
        <v>1326</v>
      </c>
      <c r="F1364" t="str">
        <f>[1]Raw_Customer_Dim!$A$2</f>
        <v>CUST1000</v>
      </c>
      <c r="G1364" t="str">
        <f>_xlfn.XLOOKUP(E1364,Store_Dim!A:A,Store_Dim!B:B,"Not Found")</f>
        <v>Shelton PLC</v>
      </c>
      <c r="H1364" t="str">
        <f>_xlfn.XLOOKUP(D1364,Product_Dim!A:A,Product_Dim!C:C,"Not Found")</f>
        <v>Sports</v>
      </c>
      <c r="I1364" t="str">
        <f>_xlfn.XLOOKUP(E1364,Store_Dim!A:A,Store_Dim!C:C,"Not Found")</f>
        <v>North</v>
      </c>
      <c r="J1364" t="str">
        <f>_xlfn.XLOOKUP(C1364,Customer_Dim!A:A,Customer_Dim!B:B,"Not Found")</f>
        <v>Cassandra Perez</v>
      </c>
      <c r="K1364">
        <f>Table511[[#This Row],[Total_Amount]]/(L1364*(1-Table511[[#This Row],[Discount]]))</f>
        <v>3.0000000000000004</v>
      </c>
      <c r="L1364" s="5">
        <v>789.05</v>
      </c>
      <c r="M1364">
        <v>0</v>
      </c>
      <c r="N1364" t="s">
        <v>1351</v>
      </c>
      <c r="O1364" s="5">
        <v>2367.15</v>
      </c>
    </row>
    <row r="1365" spans="1:15">
      <c r="A1365" t="s">
        <v>2714</v>
      </c>
      <c r="B1365" s="7">
        <v>45244</v>
      </c>
      <c r="C1365" t="s">
        <v>369</v>
      </c>
      <c r="D1365" t="s">
        <v>1205</v>
      </c>
      <c r="E1365" t="s">
        <v>1277</v>
      </c>
      <c r="F1365" t="str">
        <f>[1]Raw_Customer_Dim!$A$2</f>
        <v>CUST1000</v>
      </c>
      <c r="G1365" t="str">
        <f>_xlfn.XLOOKUP(E1365,Store_Dim!A:A,Store_Dim!B:B,"Not Found")</f>
        <v>Rivera-Warner</v>
      </c>
      <c r="H1365" t="str">
        <f>_xlfn.XLOOKUP(D1365,Product_Dim!A:A,Product_Dim!C:C,"Not Found")</f>
        <v>Beauty</v>
      </c>
      <c r="I1365" t="str">
        <f>_xlfn.XLOOKUP(E1365,Store_Dim!A:A,Store_Dim!C:C,"Not Found")</f>
        <v>East</v>
      </c>
      <c r="J1365" t="str">
        <f>_xlfn.XLOOKUP(C1365,Customer_Dim!A:A,Customer_Dim!B:B,"Not Found")</f>
        <v>Julie Hale</v>
      </c>
      <c r="K1365">
        <f>Table511[[#This Row],[Total_Amount]]/(L1365*(1-Table511[[#This Row],[Discount]]))</f>
        <v>1</v>
      </c>
      <c r="L1365" s="5">
        <v>570.52</v>
      </c>
      <c r="M1365">
        <v>0</v>
      </c>
      <c r="N1365" t="s">
        <v>1351</v>
      </c>
      <c r="O1365" s="5">
        <v>570.52</v>
      </c>
    </row>
    <row r="1366" spans="1:15">
      <c r="A1366" t="s">
        <v>2715</v>
      </c>
      <c r="B1366" s="7">
        <v>45322</v>
      </c>
      <c r="C1366" t="s">
        <v>420</v>
      </c>
      <c r="D1366" t="s">
        <v>1127</v>
      </c>
      <c r="E1366" t="s">
        <v>1329</v>
      </c>
      <c r="F1366" t="str">
        <f>[1]Raw_Customer_Dim!$A$2</f>
        <v>CUST1000</v>
      </c>
      <c r="G1366" t="str">
        <f>_xlfn.XLOOKUP(E1366,Store_Dim!A:A,Store_Dim!B:B,"Not Found")</f>
        <v>Frederick-Wright</v>
      </c>
      <c r="H1366" t="str">
        <f>_xlfn.XLOOKUP(D1366,Product_Dim!A:A,Product_Dim!C:C,"Not Found")</f>
        <v>Home</v>
      </c>
      <c r="I1366" t="str">
        <f>_xlfn.XLOOKUP(E1366,Store_Dim!A:A,Store_Dim!C:C,"Not Found")</f>
        <v>West</v>
      </c>
      <c r="J1366" t="str">
        <f>_xlfn.XLOOKUP(C1366,Customer_Dim!A:A,Customer_Dim!B:B,"Not Found")</f>
        <v>Nicholas Bradshaw</v>
      </c>
      <c r="K1366">
        <f>Table511[[#This Row],[Total_Amount]]/(L1366*(1-Table511[[#This Row],[Discount]]))</f>
        <v>4</v>
      </c>
      <c r="L1366" s="5">
        <v>310.79000000000002</v>
      </c>
      <c r="M1366">
        <v>0.22</v>
      </c>
      <c r="N1366" t="s">
        <v>1354</v>
      </c>
      <c r="O1366" s="5">
        <v>969.66480000000013</v>
      </c>
    </row>
    <row r="1367" spans="1:15">
      <c r="A1367" t="s">
        <v>2716</v>
      </c>
      <c r="B1367" s="7">
        <v>45757</v>
      </c>
      <c r="C1367" t="s">
        <v>159</v>
      </c>
      <c r="D1367" t="s">
        <v>1209</v>
      </c>
      <c r="E1367" t="s">
        <v>1332</v>
      </c>
      <c r="F1367" t="str">
        <f>[1]Raw_Customer_Dim!$A$2</f>
        <v>CUST1000</v>
      </c>
      <c r="G1367" t="str">
        <f>_xlfn.XLOOKUP(E1367,Store_Dim!A:A,Store_Dim!B:B,"Not Found")</f>
        <v>Holloway Ltd</v>
      </c>
      <c r="H1367" t="str">
        <f>_xlfn.XLOOKUP(D1367,Product_Dim!A:A,Product_Dim!C:C,"Not Found")</f>
        <v>Home</v>
      </c>
      <c r="I1367" t="str">
        <f>_xlfn.XLOOKUP(E1367,Store_Dim!A:A,Store_Dim!C:C,"Not Found")</f>
        <v>North</v>
      </c>
      <c r="J1367" t="str">
        <f>_xlfn.XLOOKUP(C1367,Customer_Dim!A:A,Customer_Dim!B:B,"Not Found")</f>
        <v>Jay Patel</v>
      </c>
      <c r="K1367">
        <f>Table511[[#This Row],[Total_Amount]]/(L1367*(1-Table511[[#This Row],[Discount]]))</f>
        <v>4</v>
      </c>
      <c r="L1367" s="5">
        <v>255.67</v>
      </c>
      <c r="M1367">
        <v>0.17</v>
      </c>
      <c r="N1367" t="s">
        <v>1349</v>
      </c>
      <c r="O1367" s="5">
        <v>848.82439999999997</v>
      </c>
    </row>
    <row r="1368" spans="1:15">
      <c r="A1368" t="s">
        <v>2717</v>
      </c>
      <c r="B1368" s="7">
        <v>45397</v>
      </c>
      <c r="C1368" t="s">
        <v>319</v>
      </c>
      <c r="D1368" t="s">
        <v>1127</v>
      </c>
      <c r="E1368" t="s">
        <v>1329</v>
      </c>
      <c r="F1368" t="str">
        <f>[1]Raw_Customer_Dim!$A$2</f>
        <v>CUST1000</v>
      </c>
      <c r="G1368" t="str">
        <f>_xlfn.XLOOKUP(E1368,Store_Dim!A:A,Store_Dim!B:B,"Not Found")</f>
        <v>Frederick-Wright</v>
      </c>
      <c r="H1368" t="str">
        <f>_xlfn.XLOOKUP(D1368,Product_Dim!A:A,Product_Dim!C:C,"Not Found")</f>
        <v>Home</v>
      </c>
      <c r="I1368" t="str">
        <f>_xlfn.XLOOKUP(E1368,Store_Dim!A:A,Store_Dim!C:C,"Not Found")</f>
        <v>West</v>
      </c>
      <c r="J1368" t="str">
        <f>_xlfn.XLOOKUP(C1368,Customer_Dim!A:A,Customer_Dim!B:B,"Not Found")</f>
        <v>Jessica Mitchell</v>
      </c>
      <c r="K1368">
        <f>Table511[[#This Row],[Total_Amount]]/(L1368*(1-Table511[[#This Row],[Discount]]))</f>
        <v>1.9999999999999998</v>
      </c>
      <c r="L1368" s="5">
        <v>270.66000000000003</v>
      </c>
      <c r="M1368">
        <v>0.1</v>
      </c>
      <c r="N1368" t="s">
        <v>1354</v>
      </c>
      <c r="O1368" s="5">
        <v>487.18799999999999</v>
      </c>
    </row>
    <row r="1369" spans="1:15">
      <c r="A1369" t="s">
        <v>2718</v>
      </c>
      <c r="B1369" s="7">
        <v>45914</v>
      </c>
      <c r="C1369" t="s">
        <v>662</v>
      </c>
      <c r="D1369" t="s">
        <v>1119</v>
      </c>
      <c r="E1369" t="s">
        <v>1332</v>
      </c>
      <c r="F1369" t="str">
        <f>[1]Raw_Customer_Dim!$A$2</f>
        <v>CUST1000</v>
      </c>
      <c r="G1369" t="str">
        <f>_xlfn.XLOOKUP(E1369,Store_Dim!A:A,Store_Dim!B:B,"Not Found")</f>
        <v>Holloway Ltd</v>
      </c>
      <c r="H1369" t="str">
        <f>_xlfn.XLOOKUP(D1369,Product_Dim!A:A,Product_Dim!C:C,"Not Found")</f>
        <v>Clothing</v>
      </c>
      <c r="I1369" t="str">
        <f>_xlfn.XLOOKUP(E1369,Store_Dim!A:A,Store_Dim!C:C,"Not Found")</f>
        <v>North</v>
      </c>
      <c r="J1369" t="str">
        <f>_xlfn.XLOOKUP(C1369,Customer_Dim!A:A,Customer_Dim!B:B,"Not Found")</f>
        <v>Stephanie Jacobs</v>
      </c>
      <c r="K1369">
        <f>Table511[[#This Row],[Total_Amount]]/(L1369*(1-Table511[[#This Row],[Discount]]))</f>
        <v>3.0000000000000004</v>
      </c>
      <c r="L1369" s="5">
        <v>373.35</v>
      </c>
      <c r="M1369">
        <v>0.2</v>
      </c>
      <c r="N1369" t="s">
        <v>1354</v>
      </c>
      <c r="O1369" s="5">
        <v>896.04000000000019</v>
      </c>
    </row>
    <row r="1370" spans="1:15">
      <c r="A1370" t="s">
        <v>2719</v>
      </c>
      <c r="B1370" s="7">
        <v>45432</v>
      </c>
      <c r="C1370" t="s">
        <v>109</v>
      </c>
      <c r="D1370" t="s">
        <v>1191</v>
      </c>
      <c r="E1370" t="s">
        <v>1317</v>
      </c>
      <c r="F1370" t="str">
        <f>[1]Raw_Customer_Dim!$A$2</f>
        <v>CUST1000</v>
      </c>
      <c r="G1370" t="str">
        <f>_xlfn.XLOOKUP(E1370,Store_Dim!A:A,Store_Dim!B:B,"Not Found")</f>
        <v>Aguirre-Keller</v>
      </c>
      <c r="H1370" t="str">
        <f>_xlfn.XLOOKUP(D1370,Product_Dim!A:A,Product_Dim!C:C,"Not Found")</f>
        <v>Beauty</v>
      </c>
      <c r="I1370" t="str">
        <f>_xlfn.XLOOKUP(E1370,Store_Dim!A:A,Store_Dim!C:C,"Not Found")</f>
        <v>South</v>
      </c>
      <c r="J1370" t="str">
        <f>_xlfn.XLOOKUP(C1370,Customer_Dim!A:A,Customer_Dim!B:B,"Not Found")</f>
        <v>Thomas Phillips</v>
      </c>
      <c r="K1370">
        <f>Table511[[#This Row],[Total_Amount]]/(L1370*(1-Table511[[#This Row],[Discount]]))</f>
        <v>2</v>
      </c>
      <c r="L1370" s="5">
        <v>23.58</v>
      </c>
      <c r="M1370">
        <v>0.02</v>
      </c>
      <c r="N1370" t="s">
        <v>1351</v>
      </c>
      <c r="O1370" s="5">
        <v>46.216799999999999</v>
      </c>
    </row>
    <row r="1371" spans="1:15">
      <c r="A1371" t="s">
        <v>2720</v>
      </c>
      <c r="B1371" s="7">
        <v>45798</v>
      </c>
      <c r="C1371" t="s">
        <v>27</v>
      </c>
      <c r="D1371" t="s">
        <v>1143</v>
      </c>
      <c r="E1371" t="s">
        <v>1304</v>
      </c>
      <c r="F1371" t="str">
        <f>[1]Raw_Customer_Dim!$A$2</f>
        <v>CUST1000</v>
      </c>
      <c r="G1371" t="str">
        <f>_xlfn.XLOOKUP(E1371,Store_Dim!A:A,Store_Dim!B:B,"Not Found")</f>
        <v>Martinez-Mullins</v>
      </c>
      <c r="H1371" t="str">
        <f>_xlfn.XLOOKUP(D1371,Product_Dim!A:A,Product_Dim!C:C,"Not Found")</f>
        <v>Home</v>
      </c>
      <c r="I1371" t="str">
        <f>_xlfn.XLOOKUP(E1371,Store_Dim!A:A,Store_Dim!C:C,"Not Found")</f>
        <v>South</v>
      </c>
      <c r="J1371" t="str">
        <f>_xlfn.XLOOKUP(C1371,Customer_Dim!A:A,Customer_Dim!B:B,"Not Found")</f>
        <v>Christine Vaughn</v>
      </c>
      <c r="K1371">
        <f>Table511[[#This Row],[Total_Amount]]/(L1371*(1-Table511[[#This Row],[Discount]]))</f>
        <v>4</v>
      </c>
      <c r="L1371" s="5">
        <v>185.67</v>
      </c>
      <c r="M1371">
        <v>0.21</v>
      </c>
      <c r="N1371" t="s">
        <v>1351</v>
      </c>
      <c r="O1371" s="5">
        <v>586.71719999999993</v>
      </c>
    </row>
    <row r="1372" spans="1:15">
      <c r="A1372" t="s">
        <v>2721</v>
      </c>
      <c r="B1372" s="7">
        <v>45396</v>
      </c>
      <c r="C1372" t="s">
        <v>300</v>
      </c>
      <c r="D1372" t="s">
        <v>1109</v>
      </c>
      <c r="E1372" t="s">
        <v>1322</v>
      </c>
      <c r="F1372" t="str">
        <f>[1]Raw_Customer_Dim!$A$2</f>
        <v>CUST1000</v>
      </c>
      <c r="G1372" t="str">
        <f>_xlfn.XLOOKUP(E1372,Store_Dim!A:A,Store_Dim!B:B,"Not Found")</f>
        <v>Gardner, Humphrey and Contreras</v>
      </c>
      <c r="H1372" t="str">
        <f>_xlfn.XLOOKUP(D1372,Product_Dim!A:A,Product_Dim!C:C,"Not Found")</f>
        <v>Clothing</v>
      </c>
      <c r="I1372" t="str">
        <f>_xlfn.XLOOKUP(E1372,Store_Dim!A:A,Store_Dim!C:C,"Not Found")</f>
        <v>East</v>
      </c>
      <c r="J1372" t="str">
        <f>_xlfn.XLOOKUP(C1372,Customer_Dim!A:A,Customer_Dim!B:B,"Not Found")</f>
        <v>Jacob Hopkins</v>
      </c>
      <c r="K1372">
        <f>Table511[[#This Row],[Total_Amount]]/(L1372*(1-Table511[[#This Row],[Discount]]))</f>
        <v>3</v>
      </c>
      <c r="L1372" s="5">
        <v>928.74</v>
      </c>
      <c r="M1372">
        <v>0.27</v>
      </c>
      <c r="N1372" t="s">
        <v>1351</v>
      </c>
      <c r="O1372" s="5">
        <v>2033.9405999999999</v>
      </c>
    </row>
    <row r="1373" spans="1:15">
      <c r="A1373" t="s">
        <v>2722</v>
      </c>
      <c r="B1373" s="7">
        <v>45235</v>
      </c>
      <c r="C1373" t="s">
        <v>92</v>
      </c>
      <c r="D1373" t="s">
        <v>1241</v>
      </c>
      <c r="E1373" t="s">
        <v>1298</v>
      </c>
      <c r="F1373" t="str">
        <f>[1]Raw_Customer_Dim!$A$2</f>
        <v>CUST1000</v>
      </c>
      <c r="G1373" t="str">
        <f>_xlfn.XLOOKUP(E1373,Store_Dim!A:A,Store_Dim!B:B,"Not Found")</f>
        <v>Gray Ltd</v>
      </c>
      <c r="H1373" t="str">
        <f>_xlfn.XLOOKUP(D1373,Product_Dim!A:A,Product_Dim!C:C,"Not Found")</f>
        <v>Home</v>
      </c>
      <c r="I1373" t="str">
        <f>_xlfn.XLOOKUP(E1373,Store_Dim!A:A,Store_Dim!C:C,"Not Found")</f>
        <v>North</v>
      </c>
      <c r="J1373" t="str">
        <f>_xlfn.XLOOKUP(C1373,Customer_Dim!A:A,Customer_Dim!B:B,"Not Found")</f>
        <v>David Arnold</v>
      </c>
      <c r="K1373">
        <f>Table511[[#This Row],[Total_Amount]]/(L1373*(1-Table511[[#This Row],[Discount]]))</f>
        <v>3</v>
      </c>
      <c r="L1373" s="5">
        <v>923.38</v>
      </c>
      <c r="M1373">
        <v>7.0000000000000007E-2</v>
      </c>
      <c r="N1373" t="s">
        <v>1354</v>
      </c>
      <c r="O1373" s="5">
        <v>2576.2302</v>
      </c>
    </row>
    <row r="1374" spans="1:15">
      <c r="A1374" t="s">
        <v>2723</v>
      </c>
      <c r="B1374" s="7">
        <v>45499</v>
      </c>
      <c r="C1374" t="s">
        <v>986</v>
      </c>
      <c r="D1374" t="s">
        <v>1078</v>
      </c>
      <c r="E1374" t="s">
        <v>1311</v>
      </c>
      <c r="F1374" t="str">
        <f>[1]Raw_Customer_Dim!$A$2</f>
        <v>CUST1000</v>
      </c>
      <c r="G1374" t="str">
        <f>_xlfn.XLOOKUP(E1374,Store_Dim!A:A,Store_Dim!B:B,"Not Found")</f>
        <v>Moore, Padilla and Butler</v>
      </c>
      <c r="H1374" t="str">
        <f>_xlfn.XLOOKUP(D1374,Product_Dim!A:A,Product_Dim!C:C,"Not Found")</f>
        <v>Clothing</v>
      </c>
      <c r="I1374" t="str">
        <f>_xlfn.XLOOKUP(E1374,Store_Dim!A:A,Store_Dim!C:C,"Not Found")</f>
        <v>South</v>
      </c>
      <c r="J1374" t="str">
        <f>_xlfn.XLOOKUP(C1374,Customer_Dim!A:A,Customer_Dim!B:B,"Not Found")</f>
        <v>Beth Martin</v>
      </c>
      <c r="K1374">
        <f>Table511[[#This Row],[Total_Amount]]/(L1374*(1-Table511[[#This Row],[Discount]]))</f>
        <v>2</v>
      </c>
      <c r="L1374" s="5">
        <v>409.26</v>
      </c>
      <c r="M1374">
        <v>0.1</v>
      </c>
      <c r="N1374" t="s">
        <v>1351</v>
      </c>
      <c r="O1374" s="5">
        <v>736.66800000000001</v>
      </c>
    </row>
    <row r="1375" spans="1:15">
      <c r="A1375" t="s">
        <v>2724</v>
      </c>
      <c r="B1375" s="7">
        <v>45272</v>
      </c>
      <c r="C1375" t="s">
        <v>571</v>
      </c>
      <c r="D1375" t="s">
        <v>1119</v>
      </c>
      <c r="E1375" t="s">
        <v>1304</v>
      </c>
      <c r="F1375" t="str">
        <f>[1]Raw_Customer_Dim!$A$2</f>
        <v>CUST1000</v>
      </c>
      <c r="G1375" t="str">
        <f>_xlfn.XLOOKUP(E1375,Store_Dim!A:A,Store_Dim!B:B,"Not Found")</f>
        <v>Martinez-Mullins</v>
      </c>
      <c r="H1375" t="str">
        <f>_xlfn.XLOOKUP(D1375,Product_Dim!A:A,Product_Dim!C:C,"Not Found")</f>
        <v>Clothing</v>
      </c>
      <c r="I1375" t="str">
        <f>_xlfn.XLOOKUP(E1375,Store_Dim!A:A,Store_Dim!C:C,"Not Found")</f>
        <v>South</v>
      </c>
      <c r="J1375" t="str">
        <f>_xlfn.XLOOKUP(C1375,Customer_Dim!A:A,Customer_Dim!B:B,"Not Found")</f>
        <v>Linda Kline</v>
      </c>
      <c r="K1375">
        <f>Table511[[#This Row],[Total_Amount]]/(L1375*(1-Table511[[#This Row],[Discount]]))</f>
        <v>2</v>
      </c>
      <c r="L1375" s="5">
        <v>608.46</v>
      </c>
      <c r="M1375">
        <v>0.16</v>
      </c>
      <c r="N1375" t="s">
        <v>1349</v>
      </c>
      <c r="O1375" s="5">
        <v>1022.2128</v>
      </c>
    </row>
    <row r="1376" spans="1:15">
      <c r="A1376" t="s">
        <v>2725</v>
      </c>
      <c r="B1376" s="7">
        <v>45785</v>
      </c>
      <c r="C1376" t="s">
        <v>486</v>
      </c>
      <c r="D1376" t="s">
        <v>1157</v>
      </c>
      <c r="E1376" t="s">
        <v>1338</v>
      </c>
      <c r="F1376" t="str">
        <f>[1]Raw_Customer_Dim!$A$2</f>
        <v>CUST1000</v>
      </c>
      <c r="G1376" t="str">
        <f>_xlfn.XLOOKUP(E1376,Store_Dim!A:A,Store_Dim!B:B,"Not Found")</f>
        <v>Mann-Austin</v>
      </c>
      <c r="H1376" t="str">
        <f>_xlfn.XLOOKUP(D1376,Product_Dim!A:A,Product_Dim!C:C,"Not Found")</f>
        <v>Electronics</v>
      </c>
      <c r="I1376" t="str">
        <f>_xlfn.XLOOKUP(E1376,Store_Dim!A:A,Store_Dim!C:C,"Not Found")</f>
        <v>East</v>
      </c>
      <c r="J1376" t="str">
        <f>_xlfn.XLOOKUP(C1376,Customer_Dim!A:A,Customer_Dim!B:B,"Not Found")</f>
        <v>Blake Harrison</v>
      </c>
      <c r="K1376">
        <f>Table511[[#This Row],[Total_Amount]]/(L1376*(1-Table511[[#This Row],[Discount]]))</f>
        <v>4</v>
      </c>
      <c r="L1376" s="5">
        <v>150.47999999999999</v>
      </c>
      <c r="M1376">
        <v>0.09</v>
      </c>
      <c r="N1376" t="s">
        <v>1349</v>
      </c>
      <c r="O1376" s="5">
        <v>547.74720000000002</v>
      </c>
    </row>
    <row r="1377" spans="1:15">
      <c r="A1377" t="s">
        <v>2726</v>
      </c>
      <c r="B1377" s="7">
        <v>45534</v>
      </c>
      <c r="C1377" t="s">
        <v>553</v>
      </c>
      <c r="D1377" t="s">
        <v>1209</v>
      </c>
      <c r="E1377" t="s">
        <v>1324</v>
      </c>
      <c r="F1377" t="str">
        <f>[1]Raw_Customer_Dim!$A$2</f>
        <v>CUST1000</v>
      </c>
      <c r="G1377" t="str">
        <f>_xlfn.XLOOKUP(E1377,Store_Dim!A:A,Store_Dim!B:B,"Not Found")</f>
        <v>Mcdonald Inc</v>
      </c>
      <c r="H1377" t="str">
        <f>_xlfn.XLOOKUP(D1377,Product_Dim!A:A,Product_Dim!C:C,"Not Found")</f>
        <v>Home</v>
      </c>
      <c r="I1377" t="str">
        <f>_xlfn.XLOOKUP(E1377,Store_Dim!A:A,Store_Dim!C:C,"Not Found")</f>
        <v>South</v>
      </c>
      <c r="J1377" t="str">
        <f>_xlfn.XLOOKUP(C1377,Customer_Dim!A:A,Customer_Dim!B:B,"Not Found")</f>
        <v>Laura Soto</v>
      </c>
      <c r="K1377">
        <f>Table511[[#This Row],[Total_Amount]]/(L1377*(1-Table511[[#This Row],[Discount]]))</f>
        <v>4</v>
      </c>
      <c r="L1377" s="5">
        <v>207.41</v>
      </c>
      <c r="M1377">
        <v>0.02</v>
      </c>
      <c r="N1377" t="s">
        <v>1349</v>
      </c>
      <c r="O1377" s="5">
        <v>813.04719999999998</v>
      </c>
    </row>
    <row r="1378" spans="1:15">
      <c r="A1378" t="s">
        <v>2727</v>
      </c>
      <c r="B1378" s="7">
        <v>45803</v>
      </c>
      <c r="C1378" t="s">
        <v>405</v>
      </c>
      <c r="D1378" t="s">
        <v>1095</v>
      </c>
      <c r="E1378" t="s">
        <v>1301</v>
      </c>
      <c r="F1378" t="str">
        <f>[1]Raw_Customer_Dim!$A$2</f>
        <v>CUST1000</v>
      </c>
      <c r="G1378" t="str">
        <f>_xlfn.XLOOKUP(E1378,Store_Dim!A:A,Store_Dim!B:B,"Not Found")</f>
        <v>Benson-Elliott</v>
      </c>
      <c r="H1378" t="str">
        <f>_xlfn.XLOOKUP(D1378,Product_Dim!A:A,Product_Dim!C:C,"Not Found")</f>
        <v>Electronics</v>
      </c>
      <c r="I1378" t="str">
        <f>_xlfn.XLOOKUP(E1378,Store_Dim!A:A,Store_Dim!C:C,"Not Found")</f>
        <v>East</v>
      </c>
      <c r="J1378" t="str">
        <f>_xlfn.XLOOKUP(C1378,Customer_Dim!A:A,Customer_Dim!B:B,"Not Found")</f>
        <v>Thomas Rhodes</v>
      </c>
      <c r="K1378">
        <f>Table511[[#This Row],[Total_Amount]]/(L1378*(1-Table511[[#This Row],[Discount]]))</f>
        <v>1</v>
      </c>
      <c r="L1378" s="5">
        <v>56.59</v>
      </c>
      <c r="M1378">
        <v>0.15</v>
      </c>
      <c r="N1378" t="s">
        <v>1351</v>
      </c>
      <c r="O1378" s="5">
        <v>48.101500000000001</v>
      </c>
    </row>
    <row r="1379" spans="1:15">
      <c r="A1379" t="s">
        <v>2728</v>
      </c>
      <c r="B1379" s="7">
        <v>45667</v>
      </c>
      <c r="C1379" t="s">
        <v>873</v>
      </c>
      <c r="D1379" t="s">
        <v>1151</v>
      </c>
      <c r="E1379" t="s">
        <v>1294</v>
      </c>
      <c r="F1379" t="str">
        <f>[1]Raw_Customer_Dim!$A$2</f>
        <v>CUST1000</v>
      </c>
      <c r="G1379" t="str">
        <f>_xlfn.XLOOKUP(E1379,Store_Dim!A:A,Store_Dim!B:B,"Not Found")</f>
        <v>Alexander Group</v>
      </c>
      <c r="H1379" t="str">
        <f>_xlfn.XLOOKUP(D1379,Product_Dim!A:A,Product_Dim!C:C,"Not Found")</f>
        <v>Electronics</v>
      </c>
      <c r="I1379" t="str">
        <f>_xlfn.XLOOKUP(E1379,Store_Dim!A:A,Store_Dim!C:C,"Not Found")</f>
        <v>South</v>
      </c>
      <c r="J1379" t="str">
        <f>_xlfn.XLOOKUP(C1379,Customer_Dim!A:A,Customer_Dim!B:B,"Not Found")</f>
        <v>Eric Wolfe</v>
      </c>
      <c r="K1379">
        <f>Table511[[#This Row],[Total_Amount]]/(L1379*(1-Table511[[#This Row],[Discount]]))</f>
        <v>4.0000000000000009</v>
      </c>
      <c r="L1379" s="5">
        <v>995.4</v>
      </c>
      <c r="M1379">
        <v>0.27</v>
      </c>
      <c r="N1379" t="s">
        <v>1349</v>
      </c>
      <c r="O1379" s="5">
        <v>2906.5680000000002</v>
      </c>
    </row>
    <row r="1380" spans="1:15">
      <c r="A1380" t="s">
        <v>2729</v>
      </c>
      <c r="B1380" s="7">
        <v>45656</v>
      </c>
      <c r="C1380" t="s">
        <v>176</v>
      </c>
      <c r="D1380" t="s">
        <v>1167</v>
      </c>
      <c r="E1380" t="s">
        <v>1319</v>
      </c>
      <c r="F1380" t="str">
        <f>[1]Raw_Customer_Dim!$A$2</f>
        <v>CUST1000</v>
      </c>
      <c r="G1380" t="str">
        <f>_xlfn.XLOOKUP(E1380,Store_Dim!A:A,Store_Dim!B:B,"Not Found")</f>
        <v>Thomas, Bridges and Harris</v>
      </c>
      <c r="H1380" t="str">
        <f>_xlfn.XLOOKUP(D1380,Product_Dim!A:A,Product_Dim!C:C,"Not Found")</f>
        <v>Beauty</v>
      </c>
      <c r="I1380" t="str">
        <f>_xlfn.XLOOKUP(E1380,Store_Dim!A:A,Store_Dim!C:C,"Not Found")</f>
        <v>North</v>
      </c>
      <c r="J1380" t="str">
        <f>_xlfn.XLOOKUP(C1380,Customer_Dim!A:A,Customer_Dim!B:B,"Not Found")</f>
        <v>Mr. Mason Butler</v>
      </c>
      <c r="K1380">
        <f>Table511[[#This Row],[Total_Amount]]/(L1380*(1-Table511[[#This Row],[Discount]]))</f>
        <v>2</v>
      </c>
      <c r="L1380" s="5">
        <v>591.33000000000004</v>
      </c>
      <c r="M1380">
        <v>0.24</v>
      </c>
      <c r="N1380" t="s">
        <v>1349</v>
      </c>
      <c r="O1380" s="5">
        <v>898.8216000000001</v>
      </c>
    </row>
    <row r="1381" spans="1:15">
      <c r="A1381" t="s">
        <v>2730</v>
      </c>
      <c r="B1381" s="7">
        <v>45869</v>
      </c>
      <c r="C1381" t="s">
        <v>819</v>
      </c>
      <c r="D1381" t="s">
        <v>1169</v>
      </c>
      <c r="E1381" t="s">
        <v>1332</v>
      </c>
      <c r="F1381" t="str">
        <f>[1]Raw_Customer_Dim!$A$2</f>
        <v>CUST1000</v>
      </c>
      <c r="G1381" t="str">
        <f>_xlfn.XLOOKUP(E1381,Store_Dim!A:A,Store_Dim!B:B,"Not Found")</f>
        <v>Holloway Ltd</v>
      </c>
      <c r="H1381" t="str">
        <f>_xlfn.XLOOKUP(D1381,Product_Dim!A:A,Product_Dim!C:C,"Not Found")</f>
        <v>Electronics</v>
      </c>
      <c r="I1381" t="str">
        <f>_xlfn.XLOOKUP(E1381,Store_Dim!A:A,Store_Dim!C:C,"Not Found")</f>
        <v>North</v>
      </c>
      <c r="J1381" t="str">
        <f>_xlfn.XLOOKUP(C1381,Customer_Dim!A:A,Customer_Dim!B:B,"Not Found")</f>
        <v>Frank Stewart</v>
      </c>
      <c r="K1381">
        <f>Table511[[#This Row],[Total_Amount]]/(L1381*(1-Table511[[#This Row],[Discount]]))</f>
        <v>2</v>
      </c>
      <c r="L1381" s="5">
        <v>204.89</v>
      </c>
      <c r="M1381">
        <v>0.24</v>
      </c>
      <c r="N1381" t="s">
        <v>1349</v>
      </c>
      <c r="O1381" s="5">
        <v>311.43279999999999</v>
      </c>
    </row>
    <row r="1382" spans="1:15">
      <c r="A1382" t="s">
        <v>2731</v>
      </c>
      <c r="B1382" s="7">
        <v>45549</v>
      </c>
      <c r="C1382" t="s">
        <v>237</v>
      </c>
      <c r="D1382" t="s">
        <v>1203</v>
      </c>
      <c r="E1382" t="s">
        <v>1324</v>
      </c>
      <c r="F1382" t="str">
        <f>[1]Raw_Customer_Dim!$A$2</f>
        <v>CUST1000</v>
      </c>
      <c r="G1382" t="str">
        <f>_xlfn.XLOOKUP(E1382,Store_Dim!A:A,Store_Dim!B:B,"Not Found")</f>
        <v>Mcdonald Inc</v>
      </c>
      <c r="H1382" t="str">
        <f>_xlfn.XLOOKUP(D1382,Product_Dim!A:A,Product_Dim!C:C,"Not Found")</f>
        <v>Sports</v>
      </c>
      <c r="I1382" t="str">
        <f>_xlfn.XLOOKUP(E1382,Store_Dim!A:A,Store_Dim!C:C,"Not Found")</f>
        <v>South</v>
      </c>
      <c r="J1382" t="str">
        <f>_xlfn.XLOOKUP(C1382,Customer_Dim!A:A,Customer_Dim!B:B,"Not Found")</f>
        <v>Oscar Moon</v>
      </c>
      <c r="K1382">
        <f>Table511[[#This Row],[Total_Amount]]/(L1382*(1-Table511[[#This Row],[Discount]]))</f>
        <v>2</v>
      </c>
      <c r="L1382" s="5">
        <v>546.41</v>
      </c>
      <c r="M1382">
        <v>0.08</v>
      </c>
      <c r="N1382" t="s">
        <v>1354</v>
      </c>
      <c r="O1382" s="5">
        <v>1005.3944</v>
      </c>
    </row>
    <row r="1383" spans="1:15">
      <c r="A1383" t="s">
        <v>2732</v>
      </c>
      <c r="B1383" s="7">
        <v>45409</v>
      </c>
      <c r="C1383" t="s">
        <v>157</v>
      </c>
      <c r="D1383" t="s">
        <v>1109</v>
      </c>
      <c r="E1383" t="s">
        <v>1319</v>
      </c>
      <c r="F1383" t="str">
        <f>[1]Raw_Customer_Dim!$A$2</f>
        <v>CUST1000</v>
      </c>
      <c r="G1383" t="str">
        <f>_xlfn.XLOOKUP(E1383,Store_Dim!A:A,Store_Dim!B:B,"Not Found")</f>
        <v>Thomas, Bridges and Harris</v>
      </c>
      <c r="H1383" t="str">
        <f>_xlfn.XLOOKUP(D1383,Product_Dim!A:A,Product_Dim!C:C,"Not Found")</f>
        <v>Clothing</v>
      </c>
      <c r="I1383" t="str">
        <f>_xlfn.XLOOKUP(E1383,Store_Dim!A:A,Store_Dim!C:C,"Not Found")</f>
        <v>North</v>
      </c>
      <c r="J1383" t="str">
        <f>_xlfn.XLOOKUP(C1383,Customer_Dim!A:A,Customer_Dim!B:B,"Not Found")</f>
        <v>Christopher Sutton</v>
      </c>
      <c r="K1383">
        <f>Table511[[#This Row],[Total_Amount]]/(L1383*(1-Table511[[#This Row],[Discount]]))</f>
        <v>4</v>
      </c>
      <c r="L1383" s="5">
        <v>455.49</v>
      </c>
      <c r="M1383">
        <v>0.17</v>
      </c>
      <c r="N1383" t="s">
        <v>1349</v>
      </c>
      <c r="O1383" s="5">
        <v>1512.2267999999999</v>
      </c>
    </row>
    <row r="1384" spans="1:15">
      <c r="A1384" t="s">
        <v>2733</v>
      </c>
      <c r="B1384" s="7">
        <v>45374</v>
      </c>
      <c r="C1384" t="s">
        <v>907</v>
      </c>
      <c r="D1384" t="s">
        <v>1093</v>
      </c>
      <c r="E1384" t="s">
        <v>1329</v>
      </c>
      <c r="F1384" t="str">
        <f>[1]Raw_Customer_Dim!$A$2</f>
        <v>CUST1000</v>
      </c>
      <c r="G1384" t="str">
        <f>_xlfn.XLOOKUP(E1384,Store_Dim!A:A,Store_Dim!B:B,"Not Found")</f>
        <v>Frederick-Wright</v>
      </c>
      <c r="H1384" t="str">
        <f>_xlfn.XLOOKUP(D1384,Product_Dim!A:A,Product_Dim!C:C,"Not Found")</f>
        <v>Home</v>
      </c>
      <c r="I1384" t="str">
        <f>_xlfn.XLOOKUP(E1384,Store_Dim!A:A,Store_Dim!C:C,"Not Found")</f>
        <v>West</v>
      </c>
      <c r="J1384" t="str">
        <f>_xlfn.XLOOKUP(C1384,Customer_Dim!A:A,Customer_Dim!B:B,"Not Found")</f>
        <v>Brittany Edwards DDS</v>
      </c>
      <c r="K1384">
        <f>Table511[[#This Row],[Total_Amount]]/(L1384*(1-Table511[[#This Row],[Discount]]))</f>
        <v>2.0000000000000004</v>
      </c>
      <c r="L1384" s="5">
        <v>700.27</v>
      </c>
      <c r="M1384">
        <v>0.16</v>
      </c>
      <c r="N1384" t="s">
        <v>1349</v>
      </c>
      <c r="O1384" s="5">
        <v>1176.4536000000001</v>
      </c>
    </row>
    <row r="1385" spans="1:15">
      <c r="A1385" t="s">
        <v>2734</v>
      </c>
      <c r="B1385" s="7">
        <v>45282</v>
      </c>
      <c r="C1385" t="s">
        <v>754</v>
      </c>
      <c r="D1385" t="s">
        <v>1237</v>
      </c>
      <c r="E1385" t="s">
        <v>1332</v>
      </c>
      <c r="F1385" t="str">
        <f>[1]Raw_Customer_Dim!$A$2</f>
        <v>CUST1000</v>
      </c>
      <c r="G1385" t="str">
        <f>_xlfn.XLOOKUP(E1385,Store_Dim!A:A,Store_Dim!B:B,"Not Found")</f>
        <v>Holloway Ltd</v>
      </c>
      <c r="H1385" t="str">
        <f>_xlfn.XLOOKUP(D1385,Product_Dim!A:A,Product_Dim!C:C,"Not Found")</f>
        <v>Sports</v>
      </c>
      <c r="I1385" t="str">
        <f>_xlfn.XLOOKUP(E1385,Store_Dim!A:A,Store_Dim!C:C,"Not Found")</f>
        <v>North</v>
      </c>
      <c r="J1385" t="str">
        <f>_xlfn.XLOOKUP(C1385,Customer_Dim!A:A,Customer_Dim!B:B,"Not Found")</f>
        <v>Daniel Nelson</v>
      </c>
      <c r="K1385">
        <f>Table511[[#This Row],[Total_Amount]]/(L1385*(1-Table511[[#This Row],[Discount]]))</f>
        <v>2</v>
      </c>
      <c r="L1385" s="5">
        <v>160.21</v>
      </c>
      <c r="M1385">
        <v>0.09</v>
      </c>
      <c r="N1385" t="s">
        <v>1349</v>
      </c>
      <c r="O1385" s="5">
        <v>291.5822</v>
      </c>
    </row>
    <row r="1386" spans="1:15">
      <c r="A1386" t="s">
        <v>2735</v>
      </c>
      <c r="B1386" s="7">
        <v>45742</v>
      </c>
      <c r="C1386" t="s">
        <v>96</v>
      </c>
      <c r="D1386" t="s">
        <v>1167</v>
      </c>
      <c r="E1386" t="s">
        <v>1317</v>
      </c>
      <c r="F1386" t="str">
        <f>[1]Raw_Customer_Dim!$A$2</f>
        <v>CUST1000</v>
      </c>
      <c r="G1386" t="str">
        <f>_xlfn.XLOOKUP(E1386,Store_Dim!A:A,Store_Dim!B:B,"Not Found")</f>
        <v>Aguirre-Keller</v>
      </c>
      <c r="H1386" t="str">
        <f>_xlfn.XLOOKUP(D1386,Product_Dim!A:A,Product_Dim!C:C,"Not Found")</f>
        <v>Beauty</v>
      </c>
      <c r="I1386" t="str">
        <f>_xlfn.XLOOKUP(E1386,Store_Dim!A:A,Store_Dim!C:C,"Not Found")</f>
        <v>South</v>
      </c>
      <c r="J1386" t="str">
        <f>_xlfn.XLOOKUP(C1386,Customer_Dim!A:A,Customer_Dim!B:B,"Not Found")</f>
        <v>Sarah Vance</v>
      </c>
      <c r="K1386">
        <f>Table511[[#This Row],[Total_Amount]]/(L1386*(1-Table511[[#This Row],[Discount]]))</f>
        <v>1</v>
      </c>
      <c r="L1386" s="5">
        <v>713.63</v>
      </c>
      <c r="M1386">
        <v>0.28000000000000003</v>
      </c>
      <c r="N1386" t="s">
        <v>1354</v>
      </c>
      <c r="O1386" s="5">
        <v>513.81359999999995</v>
      </c>
    </row>
    <row r="1387" spans="1:15">
      <c r="A1387" t="s">
        <v>2736</v>
      </c>
      <c r="B1387" s="7">
        <v>45447</v>
      </c>
      <c r="C1387" t="s">
        <v>517</v>
      </c>
      <c r="D1387" t="s">
        <v>1259</v>
      </c>
      <c r="E1387" t="s">
        <v>1304</v>
      </c>
      <c r="F1387" t="str">
        <f>[1]Raw_Customer_Dim!$A$2</f>
        <v>CUST1000</v>
      </c>
      <c r="G1387" t="str">
        <f>_xlfn.XLOOKUP(E1387,Store_Dim!A:A,Store_Dim!B:B,"Not Found")</f>
        <v>Martinez-Mullins</v>
      </c>
      <c r="H1387" t="str">
        <f>_xlfn.XLOOKUP(D1387,Product_Dim!A:A,Product_Dim!C:C,"Not Found")</f>
        <v>Electronics</v>
      </c>
      <c r="I1387" t="str">
        <f>_xlfn.XLOOKUP(E1387,Store_Dim!A:A,Store_Dim!C:C,"Not Found")</f>
        <v>South</v>
      </c>
      <c r="J1387" t="str">
        <f>_xlfn.XLOOKUP(C1387,Customer_Dim!A:A,Customer_Dim!B:B,"Not Found")</f>
        <v>Gregory Pham</v>
      </c>
      <c r="K1387">
        <f>Table511[[#This Row],[Total_Amount]]/(L1387*(1-Table511[[#This Row],[Discount]]))</f>
        <v>2</v>
      </c>
      <c r="L1387" s="5">
        <v>224.69</v>
      </c>
      <c r="M1387">
        <v>0.2</v>
      </c>
      <c r="N1387" t="s">
        <v>1354</v>
      </c>
      <c r="O1387" s="5">
        <v>359.50400000000002</v>
      </c>
    </row>
    <row r="1388" spans="1:15">
      <c r="A1388" t="s">
        <v>2737</v>
      </c>
      <c r="B1388" s="7">
        <v>45733</v>
      </c>
      <c r="C1388" t="s">
        <v>969</v>
      </c>
      <c r="D1388" t="s">
        <v>1113</v>
      </c>
      <c r="E1388" t="s">
        <v>1324</v>
      </c>
      <c r="F1388" t="str">
        <f>[1]Raw_Customer_Dim!$A$2</f>
        <v>CUST1000</v>
      </c>
      <c r="G1388" t="str">
        <f>_xlfn.XLOOKUP(E1388,Store_Dim!A:A,Store_Dim!B:B,"Not Found")</f>
        <v>Mcdonald Inc</v>
      </c>
      <c r="H1388" t="str">
        <f>_xlfn.XLOOKUP(D1388,Product_Dim!A:A,Product_Dim!C:C,"Not Found")</f>
        <v>Sports</v>
      </c>
      <c r="I1388" t="str">
        <f>_xlfn.XLOOKUP(E1388,Store_Dim!A:A,Store_Dim!C:C,"Not Found")</f>
        <v>South</v>
      </c>
      <c r="J1388" t="str">
        <f>_xlfn.XLOOKUP(C1388,Customer_Dim!A:A,Customer_Dim!B:B,"Not Found")</f>
        <v>April Phillips</v>
      </c>
      <c r="K1388">
        <f>Table511[[#This Row],[Total_Amount]]/(L1388*(1-Table511[[#This Row],[Discount]]))</f>
        <v>2</v>
      </c>
      <c r="L1388" s="5">
        <v>740.57</v>
      </c>
      <c r="M1388">
        <v>0.06</v>
      </c>
      <c r="N1388" t="s">
        <v>1349</v>
      </c>
      <c r="O1388" s="5">
        <v>1392.2716</v>
      </c>
    </row>
    <row r="1389" spans="1:15">
      <c r="A1389" t="s">
        <v>2738</v>
      </c>
      <c r="B1389" s="7">
        <v>45373</v>
      </c>
      <c r="C1389" t="s">
        <v>345</v>
      </c>
      <c r="D1389" t="s">
        <v>1095</v>
      </c>
      <c r="E1389" t="s">
        <v>1291</v>
      </c>
      <c r="F1389" t="str">
        <f>[1]Raw_Customer_Dim!$A$2</f>
        <v>CUST1000</v>
      </c>
      <c r="G1389" t="str">
        <f>_xlfn.XLOOKUP(E1389,Store_Dim!A:A,Store_Dim!B:B,"Not Found")</f>
        <v>Johnson-Wright</v>
      </c>
      <c r="H1389" t="str">
        <f>_xlfn.XLOOKUP(D1389,Product_Dim!A:A,Product_Dim!C:C,"Not Found")</f>
        <v>Electronics</v>
      </c>
      <c r="I1389" t="str">
        <f>_xlfn.XLOOKUP(E1389,Store_Dim!A:A,Store_Dim!C:C,"Not Found")</f>
        <v>North</v>
      </c>
      <c r="J1389" t="str">
        <f>_xlfn.XLOOKUP(C1389,Customer_Dim!A:A,Customer_Dim!B:B,"Not Found")</f>
        <v>Maria Ramirez</v>
      </c>
      <c r="K1389">
        <f>Table511[[#This Row],[Total_Amount]]/(L1389*(1-Table511[[#This Row],[Discount]]))</f>
        <v>3</v>
      </c>
      <c r="L1389" s="5">
        <v>250.14</v>
      </c>
      <c r="M1389">
        <v>0.23</v>
      </c>
      <c r="N1389" t="s">
        <v>1351</v>
      </c>
      <c r="O1389" s="5">
        <v>577.82339999999999</v>
      </c>
    </row>
    <row r="1390" spans="1:15">
      <c r="A1390" t="s">
        <v>2739</v>
      </c>
      <c r="B1390" s="7">
        <v>45655</v>
      </c>
      <c r="C1390" t="s">
        <v>69</v>
      </c>
      <c r="D1390" t="s">
        <v>1269</v>
      </c>
      <c r="E1390" t="s">
        <v>1338</v>
      </c>
      <c r="F1390" t="str">
        <f>[1]Raw_Customer_Dim!$A$2</f>
        <v>CUST1000</v>
      </c>
      <c r="G1390" t="str">
        <f>_xlfn.XLOOKUP(E1390,Store_Dim!A:A,Store_Dim!B:B,"Not Found")</f>
        <v>Mann-Austin</v>
      </c>
      <c r="H1390" t="str">
        <f>_xlfn.XLOOKUP(D1390,Product_Dim!A:A,Product_Dim!C:C,"Not Found")</f>
        <v>Electronics</v>
      </c>
      <c r="I1390" t="str">
        <f>_xlfn.XLOOKUP(E1390,Store_Dim!A:A,Store_Dim!C:C,"Not Found")</f>
        <v>East</v>
      </c>
      <c r="J1390" t="str">
        <f>_xlfn.XLOOKUP(C1390,Customer_Dim!A:A,Customer_Dim!B:B,"Not Found")</f>
        <v>Bridget Allen</v>
      </c>
      <c r="K1390">
        <f>Table511[[#This Row],[Total_Amount]]/(L1390*(1-Table511[[#This Row],[Discount]]))</f>
        <v>3</v>
      </c>
      <c r="L1390" s="5">
        <v>34.97</v>
      </c>
      <c r="M1390">
        <v>0.01</v>
      </c>
      <c r="N1390" t="s">
        <v>1349</v>
      </c>
      <c r="O1390" s="5">
        <v>103.8609</v>
      </c>
    </row>
    <row r="1391" spans="1:15">
      <c r="A1391" t="s">
        <v>2740</v>
      </c>
      <c r="B1391" s="7">
        <v>45868</v>
      </c>
      <c r="C1391" t="s">
        <v>672</v>
      </c>
      <c r="D1391" t="s">
        <v>1157</v>
      </c>
      <c r="E1391" t="s">
        <v>1329</v>
      </c>
      <c r="F1391" t="str">
        <f>[1]Raw_Customer_Dim!$A$2</f>
        <v>CUST1000</v>
      </c>
      <c r="G1391" t="str">
        <f>_xlfn.XLOOKUP(E1391,Store_Dim!A:A,Store_Dim!B:B,"Not Found")</f>
        <v>Frederick-Wright</v>
      </c>
      <c r="H1391" t="str">
        <f>_xlfn.XLOOKUP(D1391,Product_Dim!A:A,Product_Dim!C:C,"Not Found")</f>
        <v>Electronics</v>
      </c>
      <c r="I1391" t="str">
        <f>_xlfn.XLOOKUP(E1391,Store_Dim!A:A,Store_Dim!C:C,"Not Found")</f>
        <v>West</v>
      </c>
      <c r="J1391" t="str">
        <f>_xlfn.XLOOKUP(C1391,Customer_Dim!A:A,Customer_Dim!B:B,"Not Found")</f>
        <v>Miss Alexandria Li DVM</v>
      </c>
      <c r="K1391">
        <f>Table511[[#This Row],[Total_Amount]]/(L1391*(1-Table511[[#This Row],[Discount]]))</f>
        <v>1.0000000000000002</v>
      </c>
      <c r="L1391" s="5">
        <v>653.91</v>
      </c>
      <c r="M1391">
        <v>0.3</v>
      </c>
      <c r="N1391" t="s">
        <v>1351</v>
      </c>
      <c r="O1391" s="5">
        <v>457.73700000000002</v>
      </c>
    </row>
    <row r="1392" spans="1:15">
      <c r="A1392" t="s">
        <v>2741</v>
      </c>
      <c r="B1392" s="7">
        <v>45338</v>
      </c>
      <c r="C1392" t="s">
        <v>789</v>
      </c>
      <c r="D1392" t="s">
        <v>1205</v>
      </c>
      <c r="E1392" t="s">
        <v>1291</v>
      </c>
      <c r="F1392" t="str">
        <f>[1]Raw_Customer_Dim!$A$2</f>
        <v>CUST1000</v>
      </c>
      <c r="G1392" t="str">
        <f>_xlfn.XLOOKUP(E1392,Store_Dim!A:A,Store_Dim!B:B,"Not Found")</f>
        <v>Johnson-Wright</v>
      </c>
      <c r="H1392" t="str">
        <f>_xlfn.XLOOKUP(D1392,Product_Dim!A:A,Product_Dim!C:C,"Not Found")</f>
        <v>Beauty</v>
      </c>
      <c r="I1392" t="str">
        <f>_xlfn.XLOOKUP(E1392,Store_Dim!A:A,Store_Dim!C:C,"Not Found")</f>
        <v>North</v>
      </c>
      <c r="J1392" t="str">
        <f>_xlfn.XLOOKUP(C1392,Customer_Dim!A:A,Customer_Dim!B:B,"Not Found")</f>
        <v>Elizabeth Smith</v>
      </c>
      <c r="K1392">
        <f>Table511[[#This Row],[Total_Amount]]/(L1392*(1-Table511[[#This Row],[Discount]]))</f>
        <v>1</v>
      </c>
      <c r="L1392" s="5">
        <v>997.87</v>
      </c>
      <c r="M1392">
        <v>0.24</v>
      </c>
      <c r="N1392" t="s">
        <v>1349</v>
      </c>
      <c r="O1392" s="5">
        <v>758.38120000000004</v>
      </c>
    </row>
    <row r="1393" spans="1:15">
      <c r="A1393" t="s">
        <v>2742</v>
      </c>
      <c r="B1393" s="7">
        <v>45349</v>
      </c>
      <c r="C1393" t="s">
        <v>478</v>
      </c>
      <c r="D1393" t="s">
        <v>1251</v>
      </c>
      <c r="E1393" t="s">
        <v>1324</v>
      </c>
      <c r="F1393" t="str">
        <f>[1]Raw_Customer_Dim!$A$2</f>
        <v>CUST1000</v>
      </c>
      <c r="G1393" t="str">
        <f>_xlfn.XLOOKUP(E1393,Store_Dim!A:A,Store_Dim!B:B,"Not Found")</f>
        <v>Mcdonald Inc</v>
      </c>
      <c r="H1393" t="str">
        <f>_xlfn.XLOOKUP(D1393,Product_Dim!A:A,Product_Dim!C:C,"Not Found")</f>
        <v>Beauty</v>
      </c>
      <c r="I1393" t="str">
        <f>_xlfn.XLOOKUP(E1393,Store_Dim!A:A,Store_Dim!C:C,"Not Found")</f>
        <v>South</v>
      </c>
      <c r="J1393" t="str">
        <f>_xlfn.XLOOKUP(C1393,Customer_Dim!A:A,Customer_Dim!B:B,"Not Found")</f>
        <v>John Perez</v>
      </c>
      <c r="K1393">
        <f>Table511[[#This Row],[Total_Amount]]/(L1393*(1-Table511[[#This Row],[Discount]]))</f>
        <v>1</v>
      </c>
      <c r="L1393" s="5">
        <v>174.27</v>
      </c>
      <c r="M1393">
        <v>0.27</v>
      </c>
      <c r="N1393" t="s">
        <v>1354</v>
      </c>
      <c r="O1393" s="5">
        <v>127.2171</v>
      </c>
    </row>
    <row r="1394" spans="1:15">
      <c r="A1394" t="s">
        <v>2743</v>
      </c>
      <c r="B1394" s="7">
        <v>45368</v>
      </c>
      <c r="C1394" t="s">
        <v>290</v>
      </c>
      <c r="D1394" t="s">
        <v>1171</v>
      </c>
      <c r="E1394" t="s">
        <v>1304</v>
      </c>
      <c r="F1394" t="str">
        <f>[1]Raw_Customer_Dim!$A$2</f>
        <v>CUST1000</v>
      </c>
      <c r="G1394" t="str">
        <f>_xlfn.XLOOKUP(E1394,Store_Dim!A:A,Store_Dim!B:B,"Not Found")</f>
        <v>Martinez-Mullins</v>
      </c>
      <c r="H1394" t="str">
        <f>_xlfn.XLOOKUP(D1394,Product_Dim!A:A,Product_Dim!C:C,"Not Found")</f>
        <v>Beauty</v>
      </c>
      <c r="I1394" t="str">
        <f>_xlfn.XLOOKUP(E1394,Store_Dim!A:A,Store_Dim!C:C,"Not Found")</f>
        <v>South</v>
      </c>
      <c r="J1394" t="str">
        <f>_xlfn.XLOOKUP(C1394,Customer_Dim!A:A,Customer_Dim!B:B,"Not Found")</f>
        <v>Tyler Conrad</v>
      </c>
      <c r="K1394">
        <f>Table511[[#This Row],[Total_Amount]]/(L1394*(1-Table511[[#This Row],[Discount]]))</f>
        <v>2.9999999999999996</v>
      </c>
      <c r="L1394" s="5">
        <v>847.44</v>
      </c>
      <c r="M1394">
        <v>0.17</v>
      </c>
      <c r="N1394" t="s">
        <v>1349</v>
      </c>
      <c r="O1394" s="5">
        <v>2110.1255999999998</v>
      </c>
    </row>
    <row r="1395" spans="1:15">
      <c r="A1395" t="s">
        <v>2744</v>
      </c>
      <c r="B1395" s="7">
        <v>45243</v>
      </c>
      <c r="C1395" t="s">
        <v>919</v>
      </c>
      <c r="D1395" t="s">
        <v>1074</v>
      </c>
      <c r="E1395" t="s">
        <v>1286</v>
      </c>
      <c r="F1395" t="str">
        <f>[1]Raw_Customer_Dim!$A$2</f>
        <v>CUST1000</v>
      </c>
      <c r="G1395" t="str">
        <f>_xlfn.XLOOKUP(E1395,Store_Dim!A:A,Store_Dim!B:B,"Not Found")</f>
        <v>Black-Horn</v>
      </c>
      <c r="H1395" t="str">
        <f>_xlfn.XLOOKUP(D1395,Product_Dim!A:A,Product_Dim!C:C,"Not Found")</f>
        <v>Clothing</v>
      </c>
      <c r="I1395" t="str">
        <f>_xlfn.XLOOKUP(E1395,Store_Dim!A:A,Store_Dim!C:C,"Not Found")</f>
        <v>South</v>
      </c>
      <c r="J1395" t="str">
        <f>_xlfn.XLOOKUP(C1395,Customer_Dim!A:A,Customer_Dim!B:B,"Not Found")</f>
        <v>Samuel Mullins</v>
      </c>
      <c r="K1395">
        <f>Table511[[#This Row],[Total_Amount]]/(L1395*(1-Table511[[#This Row],[Discount]]))</f>
        <v>0.99999999999999989</v>
      </c>
      <c r="L1395" s="5">
        <v>493.45</v>
      </c>
      <c r="M1395">
        <v>0.09</v>
      </c>
      <c r="N1395" t="s">
        <v>1349</v>
      </c>
      <c r="O1395" s="5">
        <v>449.03949999999998</v>
      </c>
    </row>
    <row r="1396" spans="1:15">
      <c r="A1396" t="s">
        <v>2745</v>
      </c>
      <c r="B1396" s="7">
        <v>45577</v>
      </c>
      <c r="C1396" t="s">
        <v>527</v>
      </c>
      <c r="D1396" t="s">
        <v>1197</v>
      </c>
      <c r="E1396" t="s">
        <v>1286</v>
      </c>
      <c r="F1396" t="str">
        <f>[1]Raw_Customer_Dim!$A$2</f>
        <v>CUST1000</v>
      </c>
      <c r="G1396" t="str">
        <f>_xlfn.XLOOKUP(E1396,Store_Dim!A:A,Store_Dim!B:B,"Not Found")</f>
        <v>Black-Horn</v>
      </c>
      <c r="H1396" t="str">
        <f>_xlfn.XLOOKUP(D1396,Product_Dim!A:A,Product_Dim!C:C,"Not Found")</f>
        <v>Electronics</v>
      </c>
      <c r="I1396" t="str">
        <f>_xlfn.XLOOKUP(E1396,Store_Dim!A:A,Store_Dim!C:C,"Not Found")</f>
        <v>South</v>
      </c>
      <c r="J1396" t="str">
        <f>_xlfn.XLOOKUP(C1396,Customer_Dim!A:A,Customer_Dim!B:B,"Not Found")</f>
        <v>Christy Hill</v>
      </c>
      <c r="K1396">
        <f>Table511[[#This Row],[Total_Amount]]/(L1396*(1-Table511[[#This Row],[Discount]]))</f>
        <v>4.0000000000000009</v>
      </c>
      <c r="L1396" s="5">
        <v>111.66</v>
      </c>
      <c r="M1396">
        <v>0.14000000000000001</v>
      </c>
      <c r="N1396" t="s">
        <v>1349</v>
      </c>
      <c r="O1396" s="5">
        <v>384.11040000000003</v>
      </c>
    </row>
    <row r="1397" spans="1:15">
      <c r="A1397" t="s">
        <v>2746</v>
      </c>
      <c r="B1397" s="7">
        <v>45343</v>
      </c>
      <c r="C1397" t="s">
        <v>620</v>
      </c>
      <c r="D1397" t="s">
        <v>1253</v>
      </c>
      <c r="E1397" t="s">
        <v>1317</v>
      </c>
      <c r="F1397" t="str">
        <f>[1]Raw_Customer_Dim!$A$2</f>
        <v>CUST1000</v>
      </c>
      <c r="G1397" t="str">
        <f>_xlfn.XLOOKUP(E1397,Store_Dim!A:A,Store_Dim!B:B,"Not Found")</f>
        <v>Aguirre-Keller</v>
      </c>
      <c r="H1397" t="str">
        <f>_xlfn.XLOOKUP(D1397,Product_Dim!A:A,Product_Dim!C:C,"Not Found")</f>
        <v>Electronics</v>
      </c>
      <c r="I1397" t="str">
        <f>_xlfn.XLOOKUP(E1397,Store_Dim!A:A,Store_Dim!C:C,"Not Found")</f>
        <v>South</v>
      </c>
      <c r="J1397" t="str">
        <f>_xlfn.XLOOKUP(C1397,Customer_Dim!A:A,Customer_Dim!B:B,"Not Found")</f>
        <v>Stephen Fowler</v>
      </c>
      <c r="K1397">
        <f>Table511[[#This Row],[Total_Amount]]/(L1397*(1-Table511[[#This Row],[Discount]]))</f>
        <v>1.0000000000000002</v>
      </c>
      <c r="L1397" s="5">
        <v>413.65</v>
      </c>
      <c r="M1397">
        <v>0.1</v>
      </c>
      <c r="N1397" t="s">
        <v>1354</v>
      </c>
      <c r="O1397" s="5">
        <v>372.28500000000003</v>
      </c>
    </row>
    <row r="1398" spans="1:15">
      <c r="A1398" t="s">
        <v>2747</v>
      </c>
      <c r="B1398" s="7">
        <v>45744</v>
      </c>
      <c r="C1398" t="s">
        <v>1012</v>
      </c>
      <c r="D1398" t="s">
        <v>1251</v>
      </c>
      <c r="E1398" t="s">
        <v>1311</v>
      </c>
      <c r="F1398" t="str">
        <f>[1]Raw_Customer_Dim!$A$2</f>
        <v>CUST1000</v>
      </c>
      <c r="G1398" t="str">
        <f>_xlfn.XLOOKUP(E1398,Store_Dim!A:A,Store_Dim!B:B,"Not Found")</f>
        <v>Moore, Padilla and Butler</v>
      </c>
      <c r="H1398" t="str">
        <f>_xlfn.XLOOKUP(D1398,Product_Dim!A:A,Product_Dim!C:C,"Not Found")</f>
        <v>Beauty</v>
      </c>
      <c r="I1398" t="str">
        <f>_xlfn.XLOOKUP(E1398,Store_Dim!A:A,Store_Dim!C:C,"Not Found")</f>
        <v>South</v>
      </c>
      <c r="J1398" t="str">
        <f>_xlfn.XLOOKUP(C1398,Customer_Dim!A:A,Customer_Dim!B:B,"Not Found")</f>
        <v>Barbara Berry</v>
      </c>
      <c r="K1398">
        <f>Table511[[#This Row],[Total_Amount]]/(L1398*(1-Table511[[#This Row],[Discount]]))</f>
        <v>1</v>
      </c>
      <c r="L1398" s="5">
        <v>317.14999999999998</v>
      </c>
      <c r="M1398">
        <v>0.24</v>
      </c>
      <c r="N1398" t="s">
        <v>1354</v>
      </c>
      <c r="O1398" s="5">
        <v>241.03399999999999</v>
      </c>
    </row>
    <row r="1399" spans="1:15">
      <c r="A1399" t="s">
        <v>2748</v>
      </c>
      <c r="B1399" s="7">
        <v>45873</v>
      </c>
      <c r="C1399" t="s">
        <v>781</v>
      </c>
      <c r="D1399" t="s">
        <v>1249</v>
      </c>
      <c r="E1399" t="s">
        <v>1282</v>
      </c>
      <c r="F1399" t="str">
        <f>[1]Raw_Customer_Dim!$A$2</f>
        <v>CUST1000</v>
      </c>
      <c r="G1399" t="str">
        <f>_xlfn.XLOOKUP(E1399,Store_Dim!A:A,Store_Dim!B:B,"Not Found")</f>
        <v>Martinez, Adkins and Johnson</v>
      </c>
      <c r="H1399" t="str">
        <f>_xlfn.XLOOKUP(D1399,Product_Dim!A:A,Product_Dim!C:C,"Not Found")</f>
        <v>Sports</v>
      </c>
      <c r="I1399" t="str">
        <f>_xlfn.XLOOKUP(E1399,Store_Dim!A:A,Store_Dim!C:C,"Not Found")</f>
        <v>North</v>
      </c>
      <c r="J1399" t="str">
        <f>_xlfn.XLOOKUP(C1399,Customer_Dim!A:A,Customer_Dim!B:B,"Not Found")</f>
        <v>Melanie Lam</v>
      </c>
      <c r="K1399">
        <f>Table511[[#This Row],[Total_Amount]]/(L1399*(1-Table511[[#This Row],[Discount]]))</f>
        <v>3</v>
      </c>
      <c r="L1399" s="5">
        <v>642.94000000000005</v>
      </c>
      <c r="M1399">
        <v>0.05</v>
      </c>
      <c r="N1399" t="s">
        <v>1354</v>
      </c>
      <c r="O1399" s="5">
        <v>1832.3789999999999</v>
      </c>
    </row>
    <row r="1400" spans="1:15">
      <c r="A1400" t="s">
        <v>2749</v>
      </c>
      <c r="B1400" s="7">
        <v>45601</v>
      </c>
      <c r="C1400" t="s">
        <v>327</v>
      </c>
      <c r="D1400" t="s">
        <v>1187</v>
      </c>
      <c r="E1400" t="s">
        <v>1314</v>
      </c>
      <c r="F1400" t="str">
        <f>[1]Raw_Customer_Dim!$A$2</f>
        <v>CUST1000</v>
      </c>
      <c r="G1400" t="str">
        <f>_xlfn.XLOOKUP(E1400,Store_Dim!A:A,Store_Dim!B:B,"Not Found")</f>
        <v>Hill, Wagner and Ballard</v>
      </c>
      <c r="H1400" t="str">
        <f>_xlfn.XLOOKUP(D1400,Product_Dim!A:A,Product_Dim!C:C,"Not Found")</f>
        <v>Sports</v>
      </c>
      <c r="I1400" t="str">
        <f>_xlfn.XLOOKUP(E1400,Store_Dim!A:A,Store_Dim!C:C,"Not Found")</f>
        <v>East</v>
      </c>
      <c r="J1400" t="str">
        <f>_xlfn.XLOOKUP(C1400,Customer_Dim!A:A,Customer_Dim!B:B,"Not Found")</f>
        <v>Hayley Pope</v>
      </c>
      <c r="K1400">
        <f>Table511[[#This Row],[Total_Amount]]/(L1400*(1-Table511[[#This Row],[Discount]]))</f>
        <v>3.9999999999999996</v>
      </c>
      <c r="L1400" s="5">
        <v>559.59</v>
      </c>
      <c r="M1400">
        <v>0.19</v>
      </c>
      <c r="N1400" t="s">
        <v>1354</v>
      </c>
      <c r="O1400" s="5">
        <v>1813.0716</v>
      </c>
    </row>
    <row r="1401" spans="1:15">
      <c r="A1401" t="s">
        <v>2750</v>
      </c>
      <c r="B1401" s="7">
        <v>45458</v>
      </c>
      <c r="C1401" t="s">
        <v>288</v>
      </c>
      <c r="D1401" t="s">
        <v>1131</v>
      </c>
      <c r="E1401" t="s">
        <v>1335</v>
      </c>
      <c r="F1401" t="str">
        <f>[1]Raw_Customer_Dim!$A$2</f>
        <v>CUST1000</v>
      </c>
      <c r="G1401" t="str">
        <f>_xlfn.XLOOKUP(E1401,Store_Dim!A:A,Store_Dim!B:B,"Not Found")</f>
        <v>Guerrero-Schmitt</v>
      </c>
      <c r="H1401" t="str">
        <f>_xlfn.XLOOKUP(D1401,Product_Dim!A:A,Product_Dim!C:C,"Not Found")</f>
        <v>Home</v>
      </c>
      <c r="I1401" t="str">
        <f>_xlfn.XLOOKUP(E1401,Store_Dim!A:A,Store_Dim!C:C,"Not Found")</f>
        <v>East</v>
      </c>
      <c r="J1401" t="str">
        <f>_xlfn.XLOOKUP(C1401,Customer_Dim!A:A,Customer_Dim!B:B,"Not Found")</f>
        <v>Ryan Hernandez</v>
      </c>
      <c r="K1401">
        <f>Table511[[#This Row],[Total_Amount]]/(L1401*(1-Table511[[#This Row],[Discount]]))</f>
        <v>1</v>
      </c>
      <c r="L1401" s="5">
        <v>758.54</v>
      </c>
      <c r="M1401">
        <v>0.28999999999999998</v>
      </c>
      <c r="N1401" t="s">
        <v>1351</v>
      </c>
      <c r="O1401" s="5">
        <v>538.5634</v>
      </c>
    </row>
    <row r="1402" spans="1:15">
      <c r="A1402" t="s">
        <v>2751</v>
      </c>
      <c r="B1402" s="7">
        <v>45649</v>
      </c>
      <c r="C1402" t="s">
        <v>986</v>
      </c>
      <c r="D1402" t="s">
        <v>1233</v>
      </c>
      <c r="E1402" t="s">
        <v>1326</v>
      </c>
      <c r="F1402" t="str">
        <f>[1]Raw_Customer_Dim!$A$2</f>
        <v>CUST1000</v>
      </c>
      <c r="G1402" t="str">
        <f>_xlfn.XLOOKUP(E1402,Store_Dim!A:A,Store_Dim!B:B,"Not Found")</f>
        <v>Shelton PLC</v>
      </c>
      <c r="H1402" t="str">
        <f>_xlfn.XLOOKUP(D1402,Product_Dim!A:A,Product_Dim!C:C,"Not Found")</f>
        <v>Home</v>
      </c>
      <c r="I1402" t="str">
        <f>_xlfn.XLOOKUP(E1402,Store_Dim!A:A,Store_Dim!C:C,"Not Found")</f>
        <v>North</v>
      </c>
      <c r="J1402" t="str">
        <f>_xlfn.XLOOKUP(C1402,Customer_Dim!A:A,Customer_Dim!B:B,"Not Found")</f>
        <v>Beth Martin</v>
      </c>
      <c r="K1402">
        <f>Table511[[#This Row],[Total_Amount]]/(L1402*(1-Table511[[#This Row],[Discount]]))</f>
        <v>3.9999999999999991</v>
      </c>
      <c r="L1402" s="5">
        <v>643.96</v>
      </c>
      <c r="M1402">
        <v>0.16</v>
      </c>
      <c r="N1402" t="s">
        <v>1351</v>
      </c>
      <c r="O1402" s="5">
        <v>2163.7055999999998</v>
      </c>
    </row>
    <row r="1403" spans="1:15">
      <c r="A1403" t="s">
        <v>2752</v>
      </c>
      <c r="B1403" s="7">
        <v>45653</v>
      </c>
      <c r="C1403" t="s">
        <v>549</v>
      </c>
      <c r="D1403" t="s">
        <v>1121</v>
      </c>
      <c r="E1403" t="s">
        <v>1311</v>
      </c>
      <c r="F1403" t="str">
        <f>[1]Raw_Customer_Dim!$A$2</f>
        <v>CUST1000</v>
      </c>
      <c r="G1403" t="str">
        <f>_xlfn.XLOOKUP(E1403,Store_Dim!A:A,Store_Dim!B:B,"Not Found")</f>
        <v>Moore, Padilla and Butler</v>
      </c>
      <c r="H1403" t="str">
        <f>_xlfn.XLOOKUP(D1403,Product_Dim!A:A,Product_Dim!C:C,"Not Found")</f>
        <v>Sports</v>
      </c>
      <c r="I1403" t="str">
        <f>_xlfn.XLOOKUP(E1403,Store_Dim!A:A,Store_Dim!C:C,"Not Found")</f>
        <v>South</v>
      </c>
      <c r="J1403" t="str">
        <f>_xlfn.XLOOKUP(C1403,Customer_Dim!A:A,Customer_Dim!B:B,"Not Found")</f>
        <v>Brian Hammond</v>
      </c>
      <c r="K1403">
        <f>Table511[[#This Row],[Total_Amount]]/(L1403*(1-Table511[[#This Row],[Discount]]))</f>
        <v>1</v>
      </c>
      <c r="L1403" s="5">
        <v>882.73</v>
      </c>
      <c r="M1403">
        <v>0.1</v>
      </c>
      <c r="N1403" t="s">
        <v>1349</v>
      </c>
      <c r="O1403" s="5">
        <v>794.45699999999999</v>
      </c>
    </row>
    <row r="1404" spans="1:15">
      <c r="A1404" t="s">
        <v>2753</v>
      </c>
      <c r="B1404" s="7">
        <v>45378</v>
      </c>
      <c r="C1404" t="s">
        <v>714</v>
      </c>
      <c r="D1404" t="s">
        <v>1255</v>
      </c>
      <c r="E1404" t="s">
        <v>1338</v>
      </c>
      <c r="F1404" t="str">
        <f>[1]Raw_Customer_Dim!$A$2</f>
        <v>CUST1000</v>
      </c>
      <c r="G1404" t="str">
        <f>_xlfn.XLOOKUP(E1404,Store_Dim!A:A,Store_Dim!B:B,"Not Found")</f>
        <v>Mann-Austin</v>
      </c>
      <c r="H1404" t="str">
        <f>_xlfn.XLOOKUP(D1404,Product_Dim!A:A,Product_Dim!C:C,"Not Found")</f>
        <v>Clothing</v>
      </c>
      <c r="I1404" t="str">
        <f>_xlfn.XLOOKUP(E1404,Store_Dim!A:A,Store_Dim!C:C,"Not Found")</f>
        <v>East</v>
      </c>
      <c r="J1404" t="str">
        <f>_xlfn.XLOOKUP(C1404,Customer_Dim!A:A,Customer_Dim!B:B,"Not Found")</f>
        <v>Andrew Smith</v>
      </c>
      <c r="K1404">
        <f>Table511[[#This Row],[Total_Amount]]/(L1404*(1-Table511[[#This Row],[Discount]]))</f>
        <v>2</v>
      </c>
      <c r="L1404" s="5">
        <v>600.03</v>
      </c>
      <c r="M1404">
        <v>0.26</v>
      </c>
      <c r="N1404" t="s">
        <v>1351</v>
      </c>
      <c r="O1404" s="5">
        <v>888.0444</v>
      </c>
    </row>
    <row r="1405" spans="1:15">
      <c r="A1405" t="s">
        <v>2754</v>
      </c>
      <c r="B1405" s="7">
        <v>45638</v>
      </c>
      <c r="C1405" t="s">
        <v>375</v>
      </c>
      <c r="D1405" t="s">
        <v>1181</v>
      </c>
      <c r="E1405" t="s">
        <v>1298</v>
      </c>
      <c r="F1405" t="str">
        <f>[1]Raw_Customer_Dim!$A$2</f>
        <v>CUST1000</v>
      </c>
      <c r="G1405" t="str">
        <f>_xlfn.XLOOKUP(E1405,Store_Dim!A:A,Store_Dim!B:B,"Not Found")</f>
        <v>Gray Ltd</v>
      </c>
      <c r="H1405" t="str">
        <f>_xlfn.XLOOKUP(D1405,Product_Dim!A:A,Product_Dim!C:C,"Not Found")</f>
        <v>Sports</v>
      </c>
      <c r="I1405" t="str">
        <f>_xlfn.XLOOKUP(E1405,Store_Dim!A:A,Store_Dim!C:C,"Not Found")</f>
        <v>North</v>
      </c>
      <c r="J1405" t="str">
        <f>_xlfn.XLOOKUP(C1405,Customer_Dim!A:A,Customer_Dim!B:B,"Not Found")</f>
        <v>Paul Zamora</v>
      </c>
      <c r="K1405">
        <f>Table511[[#This Row],[Total_Amount]]/(L1405*(1-Table511[[#This Row],[Discount]]))</f>
        <v>2</v>
      </c>
      <c r="L1405" s="5">
        <v>628.83000000000004</v>
      </c>
      <c r="M1405">
        <v>7.0000000000000007E-2</v>
      </c>
      <c r="N1405" t="s">
        <v>1351</v>
      </c>
      <c r="O1405" s="5">
        <v>1169.6238000000001</v>
      </c>
    </row>
    <row r="1406" spans="1:15">
      <c r="A1406" t="s">
        <v>2755</v>
      </c>
      <c r="B1406" s="7">
        <v>45277</v>
      </c>
      <c r="C1406" t="s">
        <v>411</v>
      </c>
      <c r="D1406" t="s">
        <v>1235</v>
      </c>
      <c r="E1406" t="s">
        <v>1311</v>
      </c>
      <c r="F1406" t="str">
        <f>[1]Raw_Customer_Dim!$A$2</f>
        <v>CUST1000</v>
      </c>
      <c r="G1406" t="str">
        <f>_xlfn.XLOOKUP(E1406,Store_Dim!A:A,Store_Dim!B:B,"Not Found")</f>
        <v>Moore, Padilla and Butler</v>
      </c>
      <c r="H1406" t="str">
        <f>_xlfn.XLOOKUP(D1406,Product_Dim!A:A,Product_Dim!C:C,"Not Found")</f>
        <v>Sports</v>
      </c>
      <c r="I1406" t="str">
        <f>_xlfn.XLOOKUP(E1406,Store_Dim!A:A,Store_Dim!C:C,"Not Found")</f>
        <v>South</v>
      </c>
      <c r="J1406" t="str">
        <f>_xlfn.XLOOKUP(C1406,Customer_Dim!A:A,Customer_Dim!B:B,"Not Found")</f>
        <v>Michelle Rogers</v>
      </c>
      <c r="K1406">
        <f>Table511[[#This Row],[Total_Amount]]/(L1406*(1-Table511[[#This Row],[Discount]]))</f>
        <v>2.9999999999999996</v>
      </c>
      <c r="L1406" s="5">
        <v>113.87</v>
      </c>
      <c r="M1406">
        <v>0.21</v>
      </c>
      <c r="N1406" t="s">
        <v>1354</v>
      </c>
      <c r="O1406" s="5">
        <v>269.87189999999998</v>
      </c>
    </row>
    <row r="1407" spans="1:15">
      <c r="A1407" t="s">
        <v>2756</v>
      </c>
      <c r="B1407" s="7">
        <v>45351</v>
      </c>
      <c r="C1407" t="s">
        <v>899</v>
      </c>
      <c r="D1407" t="s">
        <v>1217</v>
      </c>
      <c r="E1407" t="s">
        <v>1304</v>
      </c>
      <c r="F1407" t="str">
        <f>[1]Raw_Customer_Dim!$A$2</f>
        <v>CUST1000</v>
      </c>
      <c r="G1407" t="str">
        <f>_xlfn.XLOOKUP(E1407,Store_Dim!A:A,Store_Dim!B:B,"Not Found")</f>
        <v>Martinez-Mullins</v>
      </c>
      <c r="H1407" t="str">
        <f>_xlfn.XLOOKUP(D1407,Product_Dim!A:A,Product_Dim!C:C,"Not Found")</f>
        <v>Sports</v>
      </c>
      <c r="I1407" t="str">
        <f>_xlfn.XLOOKUP(E1407,Store_Dim!A:A,Store_Dim!C:C,"Not Found")</f>
        <v>South</v>
      </c>
      <c r="J1407" t="str">
        <f>_xlfn.XLOOKUP(C1407,Customer_Dim!A:A,Customer_Dim!B:B,"Not Found")</f>
        <v>Luke Parks</v>
      </c>
      <c r="K1407">
        <f>Table511[[#This Row],[Total_Amount]]/(L1407*(1-Table511[[#This Row],[Discount]]))</f>
        <v>4</v>
      </c>
      <c r="L1407" s="5">
        <v>282.07</v>
      </c>
      <c r="M1407">
        <v>0.18</v>
      </c>
      <c r="N1407" t="s">
        <v>1351</v>
      </c>
      <c r="O1407" s="5">
        <v>925.18960000000004</v>
      </c>
    </row>
    <row r="1408" spans="1:15">
      <c r="A1408" t="s">
        <v>2757</v>
      </c>
      <c r="B1408" s="7">
        <v>45290</v>
      </c>
      <c r="C1408" t="s">
        <v>373</v>
      </c>
      <c r="D1408" t="s">
        <v>1181</v>
      </c>
      <c r="E1408" t="s">
        <v>1301</v>
      </c>
      <c r="F1408" t="str">
        <f>[1]Raw_Customer_Dim!$A$2</f>
        <v>CUST1000</v>
      </c>
      <c r="G1408" t="str">
        <f>_xlfn.XLOOKUP(E1408,Store_Dim!A:A,Store_Dim!B:B,"Not Found")</f>
        <v>Benson-Elliott</v>
      </c>
      <c r="H1408" t="str">
        <f>_xlfn.XLOOKUP(D1408,Product_Dim!A:A,Product_Dim!C:C,"Not Found")</f>
        <v>Sports</v>
      </c>
      <c r="I1408" t="str">
        <f>_xlfn.XLOOKUP(E1408,Store_Dim!A:A,Store_Dim!C:C,"Not Found")</f>
        <v>East</v>
      </c>
      <c r="J1408" t="str">
        <f>_xlfn.XLOOKUP(C1408,Customer_Dim!A:A,Customer_Dim!B:B,"Not Found")</f>
        <v>Maria Sanchez</v>
      </c>
      <c r="K1408">
        <f>Table511[[#This Row],[Total_Amount]]/(L1408*(1-Table511[[#This Row],[Discount]]))</f>
        <v>3.0000000000000004</v>
      </c>
      <c r="L1408" s="5">
        <v>676.77</v>
      </c>
      <c r="M1408">
        <v>0.17</v>
      </c>
      <c r="N1408" t="s">
        <v>1351</v>
      </c>
      <c r="O1408" s="5">
        <v>1685.1573000000001</v>
      </c>
    </row>
    <row r="1409" spans="1:15">
      <c r="A1409" t="s">
        <v>2758</v>
      </c>
      <c r="B1409" s="7">
        <v>45638</v>
      </c>
      <c r="C1409" t="s">
        <v>502</v>
      </c>
      <c r="D1409" t="s">
        <v>1085</v>
      </c>
      <c r="E1409" t="s">
        <v>1329</v>
      </c>
      <c r="F1409" t="str">
        <f>[1]Raw_Customer_Dim!$A$2</f>
        <v>CUST1000</v>
      </c>
      <c r="G1409" t="str">
        <f>_xlfn.XLOOKUP(E1409,Store_Dim!A:A,Store_Dim!B:B,"Not Found")</f>
        <v>Frederick-Wright</v>
      </c>
      <c r="H1409" t="str">
        <f>_xlfn.XLOOKUP(D1409,Product_Dim!A:A,Product_Dim!C:C,"Not Found")</f>
        <v>Home</v>
      </c>
      <c r="I1409" t="str">
        <f>_xlfn.XLOOKUP(E1409,Store_Dim!A:A,Store_Dim!C:C,"Not Found")</f>
        <v>West</v>
      </c>
      <c r="J1409" t="str">
        <f>_xlfn.XLOOKUP(C1409,Customer_Dim!A:A,Customer_Dim!B:B,"Not Found")</f>
        <v>George Davis</v>
      </c>
      <c r="K1409">
        <f>Table511[[#This Row],[Total_Amount]]/(L1409*(1-Table511[[#This Row],[Discount]]))</f>
        <v>2</v>
      </c>
      <c r="L1409" s="5">
        <v>362.7</v>
      </c>
      <c r="M1409">
        <v>0.09</v>
      </c>
      <c r="N1409" t="s">
        <v>1349</v>
      </c>
      <c r="O1409" s="5">
        <v>660.11400000000003</v>
      </c>
    </row>
    <row r="1410" spans="1:15">
      <c r="A1410" t="s">
        <v>2759</v>
      </c>
      <c r="B1410" s="7">
        <v>45679</v>
      </c>
      <c r="C1410" t="s">
        <v>331</v>
      </c>
      <c r="D1410" t="s">
        <v>1099</v>
      </c>
      <c r="E1410" t="s">
        <v>1286</v>
      </c>
      <c r="F1410" t="str">
        <f>[1]Raw_Customer_Dim!$A$2</f>
        <v>CUST1000</v>
      </c>
      <c r="G1410" t="str">
        <f>_xlfn.XLOOKUP(E1410,Store_Dim!A:A,Store_Dim!B:B,"Not Found")</f>
        <v>Black-Horn</v>
      </c>
      <c r="H1410" t="str">
        <f>_xlfn.XLOOKUP(D1410,Product_Dim!A:A,Product_Dim!C:C,"Not Found")</f>
        <v>Electronics</v>
      </c>
      <c r="I1410" t="str">
        <f>_xlfn.XLOOKUP(E1410,Store_Dim!A:A,Store_Dim!C:C,"Not Found")</f>
        <v>South</v>
      </c>
      <c r="J1410" t="str">
        <f>_xlfn.XLOOKUP(C1410,Customer_Dim!A:A,Customer_Dim!B:B,"Not Found")</f>
        <v>Matthew Hanna</v>
      </c>
      <c r="K1410">
        <f>Table511[[#This Row],[Total_Amount]]/(L1410*(1-Table511[[#This Row],[Discount]]))</f>
        <v>1</v>
      </c>
      <c r="L1410" s="5">
        <v>908.5</v>
      </c>
      <c r="M1410">
        <v>0.2</v>
      </c>
      <c r="N1410" t="s">
        <v>1354</v>
      </c>
      <c r="O1410" s="5">
        <v>726.80000000000007</v>
      </c>
    </row>
    <row r="1411" spans="1:15">
      <c r="A1411" t="s">
        <v>2760</v>
      </c>
      <c r="B1411" s="7">
        <v>45296</v>
      </c>
      <c r="C1411" t="s">
        <v>182</v>
      </c>
      <c r="D1411" t="s">
        <v>1123</v>
      </c>
      <c r="E1411" t="s">
        <v>1326</v>
      </c>
      <c r="F1411" t="str">
        <f>[1]Raw_Customer_Dim!$A$2</f>
        <v>CUST1000</v>
      </c>
      <c r="G1411" t="str">
        <f>_xlfn.XLOOKUP(E1411,Store_Dim!A:A,Store_Dim!B:B,"Not Found")</f>
        <v>Shelton PLC</v>
      </c>
      <c r="H1411" t="str">
        <f>_xlfn.XLOOKUP(D1411,Product_Dim!A:A,Product_Dim!C:C,"Not Found")</f>
        <v>Clothing</v>
      </c>
      <c r="I1411" t="str">
        <f>_xlfn.XLOOKUP(E1411,Store_Dim!A:A,Store_Dim!C:C,"Not Found")</f>
        <v>North</v>
      </c>
      <c r="J1411" t="str">
        <f>_xlfn.XLOOKUP(C1411,Customer_Dim!A:A,Customer_Dim!B:B,"Not Found")</f>
        <v>Amber Mcclain</v>
      </c>
      <c r="K1411">
        <f>Table511[[#This Row],[Total_Amount]]/(L1411*(1-Table511[[#This Row],[Discount]]))</f>
        <v>2</v>
      </c>
      <c r="L1411" s="5">
        <v>795.37</v>
      </c>
      <c r="M1411">
        <v>0.2</v>
      </c>
      <c r="N1411" t="s">
        <v>1354</v>
      </c>
      <c r="O1411" s="5">
        <v>1272.5920000000001</v>
      </c>
    </row>
    <row r="1412" spans="1:15">
      <c r="A1412" t="s">
        <v>2761</v>
      </c>
      <c r="B1412" s="7">
        <v>45760</v>
      </c>
      <c r="C1412" t="s">
        <v>349</v>
      </c>
      <c r="D1412" t="s">
        <v>1143</v>
      </c>
      <c r="E1412" t="s">
        <v>1294</v>
      </c>
      <c r="F1412" t="str">
        <f>[1]Raw_Customer_Dim!$A$2</f>
        <v>CUST1000</v>
      </c>
      <c r="G1412" t="str">
        <f>_xlfn.XLOOKUP(E1412,Store_Dim!A:A,Store_Dim!B:B,"Not Found")</f>
        <v>Alexander Group</v>
      </c>
      <c r="H1412" t="str">
        <f>_xlfn.XLOOKUP(D1412,Product_Dim!A:A,Product_Dim!C:C,"Not Found")</f>
        <v>Home</v>
      </c>
      <c r="I1412" t="str">
        <f>_xlfn.XLOOKUP(E1412,Store_Dim!A:A,Store_Dim!C:C,"Not Found")</f>
        <v>South</v>
      </c>
      <c r="J1412" t="str">
        <f>_xlfn.XLOOKUP(C1412,Customer_Dim!A:A,Customer_Dim!B:B,"Not Found")</f>
        <v>Justin Cross</v>
      </c>
      <c r="K1412">
        <f>Table511[[#This Row],[Total_Amount]]/(L1412*(1-Table511[[#This Row],[Discount]]))</f>
        <v>2</v>
      </c>
      <c r="L1412" s="5">
        <v>326.85000000000002</v>
      </c>
      <c r="M1412">
        <v>0.17</v>
      </c>
      <c r="N1412" t="s">
        <v>1354</v>
      </c>
      <c r="O1412" s="5">
        <v>542.57100000000003</v>
      </c>
    </row>
    <row r="1413" spans="1:15">
      <c r="A1413" t="s">
        <v>2762</v>
      </c>
      <c r="B1413" s="7">
        <v>45603</v>
      </c>
      <c r="C1413" t="s">
        <v>764</v>
      </c>
      <c r="D1413" t="s">
        <v>1185</v>
      </c>
      <c r="E1413" t="s">
        <v>1324</v>
      </c>
      <c r="F1413" t="str">
        <f>[1]Raw_Customer_Dim!$A$2</f>
        <v>CUST1000</v>
      </c>
      <c r="G1413" t="str">
        <f>_xlfn.XLOOKUP(E1413,Store_Dim!A:A,Store_Dim!B:B,"Not Found")</f>
        <v>Mcdonald Inc</v>
      </c>
      <c r="H1413" t="str">
        <f>_xlfn.XLOOKUP(D1413,Product_Dim!A:A,Product_Dim!C:C,"Not Found")</f>
        <v>Home</v>
      </c>
      <c r="I1413" t="str">
        <f>_xlfn.XLOOKUP(E1413,Store_Dim!A:A,Store_Dim!C:C,"Not Found")</f>
        <v>South</v>
      </c>
      <c r="J1413" t="str">
        <f>_xlfn.XLOOKUP(C1413,Customer_Dim!A:A,Customer_Dim!B:B,"Not Found")</f>
        <v>Charles Miller</v>
      </c>
      <c r="K1413">
        <f>Table511[[#This Row],[Total_Amount]]/(L1413*(1-Table511[[#This Row],[Discount]]))</f>
        <v>3.0000000000000004</v>
      </c>
      <c r="L1413" s="5">
        <v>169.43</v>
      </c>
      <c r="M1413">
        <v>0.19</v>
      </c>
      <c r="N1413" t="s">
        <v>1349</v>
      </c>
      <c r="O1413" s="5">
        <v>411.71490000000011</v>
      </c>
    </row>
    <row r="1414" spans="1:15">
      <c r="A1414" t="s">
        <v>2763</v>
      </c>
      <c r="B1414" s="7">
        <v>45413</v>
      </c>
      <c r="C1414" t="s">
        <v>387</v>
      </c>
      <c r="D1414" t="s">
        <v>1239</v>
      </c>
      <c r="E1414" t="s">
        <v>1301</v>
      </c>
      <c r="F1414" t="str">
        <f>[1]Raw_Customer_Dim!$A$2</f>
        <v>CUST1000</v>
      </c>
      <c r="G1414" t="str">
        <f>_xlfn.XLOOKUP(E1414,Store_Dim!A:A,Store_Dim!B:B,"Not Found")</f>
        <v>Benson-Elliott</v>
      </c>
      <c r="H1414" t="str">
        <f>_xlfn.XLOOKUP(D1414,Product_Dim!A:A,Product_Dim!C:C,"Not Found")</f>
        <v>Beauty</v>
      </c>
      <c r="I1414" t="str">
        <f>_xlfn.XLOOKUP(E1414,Store_Dim!A:A,Store_Dim!C:C,"Not Found")</f>
        <v>East</v>
      </c>
      <c r="J1414" t="str">
        <f>_xlfn.XLOOKUP(C1414,Customer_Dim!A:A,Customer_Dim!B:B,"Not Found")</f>
        <v>Joseph Jones</v>
      </c>
      <c r="K1414">
        <f>Table511[[#This Row],[Total_Amount]]/(L1414*(1-Table511[[#This Row],[Discount]]))</f>
        <v>1</v>
      </c>
      <c r="L1414" s="5">
        <v>254.47</v>
      </c>
      <c r="M1414">
        <v>0.1</v>
      </c>
      <c r="N1414" t="s">
        <v>1349</v>
      </c>
      <c r="O1414" s="5">
        <v>229.023</v>
      </c>
    </row>
    <row r="1415" spans="1:15">
      <c r="A1415" t="s">
        <v>2764</v>
      </c>
      <c r="B1415" s="7">
        <v>45506</v>
      </c>
      <c r="C1415" t="s">
        <v>899</v>
      </c>
      <c r="D1415" t="s">
        <v>1123</v>
      </c>
      <c r="E1415" t="s">
        <v>1329</v>
      </c>
      <c r="F1415" t="str">
        <f>[1]Raw_Customer_Dim!$A$2</f>
        <v>CUST1000</v>
      </c>
      <c r="G1415" t="str">
        <f>_xlfn.XLOOKUP(E1415,Store_Dim!A:A,Store_Dim!B:B,"Not Found")</f>
        <v>Frederick-Wright</v>
      </c>
      <c r="H1415" t="str">
        <f>_xlfn.XLOOKUP(D1415,Product_Dim!A:A,Product_Dim!C:C,"Not Found")</f>
        <v>Clothing</v>
      </c>
      <c r="I1415" t="str">
        <f>_xlfn.XLOOKUP(E1415,Store_Dim!A:A,Store_Dim!C:C,"Not Found")</f>
        <v>West</v>
      </c>
      <c r="J1415" t="str">
        <f>_xlfn.XLOOKUP(C1415,Customer_Dim!A:A,Customer_Dim!B:B,"Not Found")</f>
        <v>Luke Parks</v>
      </c>
      <c r="K1415">
        <f>Table511[[#This Row],[Total_Amount]]/(L1415*(1-Table511[[#This Row],[Discount]]))</f>
        <v>4</v>
      </c>
      <c r="L1415" s="5">
        <v>627.73</v>
      </c>
      <c r="M1415">
        <v>0.11</v>
      </c>
      <c r="N1415" t="s">
        <v>1354</v>
      </c>
      <c r="O1415" s="5">
        <v>2234.7188000000001</v>
      </c>
    </row>
    <row r="1416" spans="1:15">
      <c r="A1416" t="s">
        <v>2765</v>
      </c>
      <c r="B1416" s="7">
        <v>45394</v>
      </c>
      <c r="C1416" t="s">
        <v>805</v>
      </c>
      <c r="D1416" t="s">
        <v>1135</v>
      </c>
      <c r="E1416" t="s">
        <v>1338</v>
      </c>
      <c r="F1416" t="str">
        <f>[1]Raw_Customer_Dim!$A$2</f>
        <v>CUST1000</v>
      </c>
      <c r="G1416" t="str">
        <f>_xlfn.XLOOKUP(E1416,Store_Dim!A:A,Store_Dim!B:B,"Not Found")</f>
        <v>Mann-Austin</v>
      </c>
      <c r="H1416" t="str">
        <f>_xlfn.XLOOKUP(D1416,Product_Dim!A:A,Product_Dim!C:C,"Not Found")</f>
        <v>Sports</v>
      </c>
      <c r="I1416" t="str">
        <f>_xlfn.XLOOKUP(E1416,Store_Dim!A:A,Store_Dim!C:C,"Not Found")</f>
        <v>East</v>
      </c>
      <c r="J1416" t="str">
        <f>_xlfn.XLOOKUP(C1416,Customer_Dim!A:A,Customer_Dim!B:B,"Not Found")</f>
        <v>Michael Garner</v>
      </c>
      <c r="K1416">
        <f>Table511[[#This Row],[Total_Amount]]/(L1416*(1-Table511[[#This Row],[Discount]]))</f>
        <v>4</v>
      </c>
      <c r="L1416" s="5">
        <v>327.25</v>
      </c>
      <c r="M1416">
        <v>0.13</v>
      </c>
      <c r="N1416" t="s">
        <v>1354</v>
      </c>
      <c r="O1416" s="5">
        <v>1138.83</v>
      </c>
    </row>
    <row r="1417" spans="1:15">
      <c r="A1417" t="s">
        <v>2766</v>
      </c>
      <c r="B1417" s="7">
        <v>45755</v>
      </c>
      <c r="C1417" t="s">
        <v>351</v>
      </c>
      <c r="D1417" t="s">
        <v>1191</v>
      </c>
      <c r="E1417" t="s">
        <v>1317</v>
      </c>
      <c r="F1417" t="str">
        <f>[1]Raw_Customer_Dim!$A$2</f>
        <v>CUST1000</v>
      </c>
      <c r="G1417" t="str">
        <f>_xlfn.XLOOKUP(E1417,Store_Dim!A:A,Store_Dim!B:B,"Not Found")</f>
        <v>Aguirre-Keller</v>
      </c>
      <c r="H1417" t="str">
        <f>_xlfn.XLOOKUP(D1417,Product_Dim!A:A,Product_Dim!C:C,"Not Found")</f>
        <v>Beauty</v>
      </c>
      <c r="I1417" t="str">
        <f>_xlfn.XLOOKUP(E1417,Store_Dim!A:A,Store_Dim!C:C,"Not Found")</f>
        <v>South</v>
      </c>
      <c r="J1417" t="str">
        <f>_xlfn.XLOOKUP(C1417,Customer_Dim!A:A,Customer_Dim!B:B,"Not Found")</f>
        <v>Cameron Simpson</v>
      </c>
      <c r="K1417">
        <f>Table511[[#This Row],[Total_Amount]]/(L1417*(1-Table511[[#This Row],[Discount]]))</f>
        <v>3.9999999999999996</v>
      </c>
      <c r="L1417" s="5">
        <v>511.43</v>
      </c>
      <c r="M1417">
        <v>0.18</v>
      </c>
      <c r="N1417" t="s">
        <v>1354</v>
      </c>
      <c r="O1417" s="5">
        <v>1677.4903999999999</v>
      </c>
    </row>
    <row r="1418" spans="1:15">
      <c r="A1418" t="s">
        <v>2767</v>
      </c>
      <c r="B1418" s="7">
        <v>45473</v>
      </c>
      <c r="C1418" t="s">
        <v>391</v>
      </c>
      <c r="D1418" t="s">
        <v>1199</v>
      </c>
      <c r="E1418" t="s">
        <v>1332</v>
      </c>
      <c r="F1418" t="str">
        <f>[1]Raw_Customer_Dim!$A$2</f>
        <v>CUST1000</v>
      </c>
      <c r="G1418" t="str">
        <f>_xlfn.XLOOKUP(E1418,Store_Dim!A:A,Store_Dim!B:B,"Not Found")</f>
        <v>Holloway Ltd</v>
      </c>
      <c r="H1418" t="str">
        <f>_xlfn.XLOOKUP(D1418,Product_Dim!A:A,Product_Dim!C:C,"Not Found")</f>
        <v>Beauty</v>
      </c>
      <c r="I1418" t="str">
        <f>_xlfn.XLOOKUP(E1418,Store_Dim!A:A,Store_Dim!C:C,"Not Found")</f>
        <v>North</v>
      </c>
      <c r="J1418" t="str">
        <f>_xlfn.XLOOKUP(C1418,Customer_Dim!A:A,Customer_Dim!B:B,"Not Found")</f>
        <v>Jason Wheeler</v>
      </c>
      <c r="K1418">
        <f>Table511[[#This Row],[Total_Amount]]/(L1418*(1-Table511[[#This Row],[Discount]]))</f>
        <v>4</v>
      </c>
      <c r="L1418" s="5">
        <v>194.67</v>
      </c>
      <c r="M1418">
        <v>0.23</v>
      </c>
      <c r="N1418" t="s">
        <v>1351</v>
      </c>
      <c r="O1418" s="5">
        <v>599.58359999999993</v>
      </c>
    </row>
    <row r="1419" spans="1:15">
      <c r="A1419" t="s">
        <v>2768</v>
      </c>
      <c r="B1419" s="7">
        <v>45304</v>
      </c>
      <c r="C1419" t="s">
        <v>164</v>
      </c>
      <c r="D1419" t="s">
        <v>1119</v>
      </c>
      <c r="E1419" t="s">
        <v>1282</v>
      </c>
      <c r="F1419" t="str">
        <f>[1]Raw_Customer_Dim!$A$2</f>
        <v>CUST1000</v>
      </c>
      <c r="G1419" t="str">
        <f>_xlfn.XLOOKUP(E1419,Store_Dim!A:A,Store_Dim!B:B,"Not Found")</f>
        <v>Martinez, Adkins and Johnson</v>
      </c>
      <c r="H1419" t="str">
        <f>_xlfn.XLOOKUP(D1419,Product_Dim!A:A,Product_Dim!C:C,"Not Found")</f>
        <v>Clothing</v>
      </c>
      <c r="I1419" t="str">
        <f>_xlfn.XLOOKUP(E1419,Store_Dim!A:A,Store_Dim!C:C,"Not Found")</f>
        <v>North</v>
      </c>
      <c r="J1419" t="str">
        <f>_xlfn.XLOOKUP(C1419,Customer_Dim!A:A,Customer_Dim!B:B,"Not Found")</f>
        <v>Alyssa Vargas</v>
      </c>
      <c r="K1419">
        <f>Table511[[#This Row],[Total_Amount]]/(L1419*(1-Table511[[#This Row],[Discount]]))</f>
        <v>2.0000000000000004</v>
      </c>
      <c r="L1419" s="5">
        <v>54.51</v>
      </c>
      <c r="M1419">
        <v>7.0000000000000007E-2</v>
      </c>
      <c r="N1419" t="s">
        <v>1349</v>
      </c>
      <c r="O1419" s="5">
        <v>101.3886</v>
      </c>
    </row>
    <row r="1420" spans="1:15">
      <c r="A1420" t="s">
        <v>2769</v>
      </c>
      <c r="B1420" s="7">
        <v>45557</v>
      </c>
      <c r="C1420" t="s">
        <v>204</v>
      </c>
      <c r="D1420" t="s">
        <v>1197</v>
      </c>
      <c r="E1420" t="s">
        <v>1317</v>
      </c>
      <c r="F1420" t="str">
        <f>[1]Raw_Customer_Dim!$A$2</f>
        <v>CUST1000</v>
      </c>
      <c r="G1420" t="str">
        <f>_xlfn.XLOOKUP(E1420,Store_Dim!A:A,Store_Dim!B:B,"Not Found")</f>
        <v>Aguirre-Keller</v>
      </c>
      <c r="H1420" t="str">
        <f>_xlfn.XLOOKUP(D1420,Product_Dim!A:A,Product_Dim!C:C,"Not Found")</f>
        <v>Electronics</v>
      </c>
      <c r="I1420" t="str">
        <f>_xlfn.XLOOKUP(E1420,Store_Dim!A:A,Store_Dim!C:C,"Not Found")</f>
        <v>South</v>
      </c>
      <c r="J1420" t="str">
        <f>_xlfn.XLOOKUP(C1420,Customer_Dim!A:A,Customer_Dim!B:B,"Not Found")</f>
        <v>Nathan Campbell</v>
      </c>
      <c r="K1420">
        <f>Table511[[#This Row],[Total_Amount]]/(L1420*(1-Table511[[#This Row],[Discount]]))</f>
        <v>4</v>
      </c>
      <c r="L1420" s="5">
        <v>964</v>
      </c>
      <c r="M1420">
        <v>0.14000000000000001</v>
      </c>
      <c r="N1420" t="s">
        <v>1351</v>
      </c>
      <c r="O1420" s="5">
        <v>3316.16</v>
      </c>
    </row>
    <row r="1421" spans="1:15">
      <c r="A1421" t="s">
        <v>2770</v>
      </c>
      <c r="B1421" s="7">
        <v>45527</v>
      </c>
      <c r="C1421" t="s">
        <v>118</v>
      </c>
      <c r="D1421" t="s">
        <v>1251</v>
      </c>
      <c r="E1421" t="s">
        <v>1294</v>
      </c>
      <c r="F1421" t="str">
        <f>[1]Raw_Customer_Dim!$A$2</f>
        <v>CUST1000</v>
      </c>
      <c r="G1421" t="str">
        <f>_xlfn.XLOOKUP(E1421,Store_Dim!A:A,Store_Dim!B:B,"Not Found")</f>
        <v>Alexander Group</v>
      </c>
      <c r="H1421" t="str">
        <f>_xlfn.XLOOKUP(D1421,Product_Dim!A:A,Product_Dim!C:C,"Not Found")</f>
        <v>Beauty</v>
      </c>
      <c r="I1421" t="str">
        <f>_xlfn.XLOOKUP(E1421,Store_Dim!A:A,Store_Dim!C:C,"Not Found")</f>
        <v>South</v>
      </c>
      <c r="J1421" t="str">
        <f>_xlfn.XLOOKUP(C1421,Customer_Dim!A:A,Customer_Dim!B:B,"Not Found")</f>
        <v>Eric Vega</v>
      </c>
      <c r="K1421">
        <f>Table511[[#This Row],[Total_Amount]]/(L1421*(1-Table511[[#This Row],[Discount]]))</f>
        <v>1</v>
      </c>
      <c r="L1421" s="5">
        <v>170.12</v>
      </c>
      <c r="M1421">
        <v>0.26</v>
      </c>
      <c r="N1421" t="s">
        <v>1351</v>
      </c>
      <c r="O1421" s="5">
        <v>125.8888</v>
      </c>
    </row>
    <row r="1422" spans="1:15">
      <c r="A1422" t="s">
        <v>2771</v>
      </c>
      <c r="B1422" s="7">
        <v>45875</v>
      </c>
      <c r="C1422" t="s">
        <v>365</v>
      </c>
      <c r="D1422" t="s">
        <v>1179</v>
      </c>
      <c r="E1422" t="s">
        <v>1338</v>
      </c>
      <c r="F1422" t="str">
        <f>[1]Raw_Customer_Dim!$A$2</f>
        <v>CUST1000</v>
      </c>
      <c r="G1422" t="str">
        <f>_xlfn.XLOOKUP(E1422,Store_Dim!A:A,Store_Dim!B:B,"Not Found")</f>
        <v>Mann-Austin</v>
      </c>
      <c r="H1422" t="str">
        <f>_xlfn.XLOOKUP(D1422,Product_Dim!A:A,Product_Dim!C:C,"Not Found")</f>
        <v>Clothing</v>
      </c>
      <c r="I1422" t="str">
        <f>_xlfn.XLOOKUP(E1422,Store_Dim!A:A,Store_Dim!C:C,"Not Found")</f>
        <v>East</v>
      </c>
      <c r="J1422" t="str">
        <f>_xlfn.XLOOKUP(C1422,Customer_Dim!A:A,Customer_Dim!B:B,"Not Found")</f>
        <v>Patrick Roberts</v>
      </c>
      <c r="K1422">
        <f>Table511[[#This Row],[Total_Amount]]/(L1422*(1-Table511[[#This Row],[Discount]]))</f>
        <v>2</v>
      </c>
      <c r="L1422" s="5">
        <v>664.5</v>
      </c>
      <c r="M1422">
        <v>0.23</v>
      </c>
      <c r="N1422" t="s">
        <v>1349</v>
      </c>
      <c r="O1422" s="5">
        <v>1023.33</v>
      </c>
    </row>
    <row r="1423" spans="1:15">
      <c r="A1423" t="s">
        <v>2772</v>
      </c>
      <c r="B1423" s="7">
        <v>45936</v>
      </c>
      <c r="C1423" t="s">
        <v>805</v>
      </c>
      <c r="D1423" t="s">
        <v>1163</v>
      </c>
      <c r="E1423" t="s">
        <v>1314</v>
      </c>
      <c r="F1423" t="str">
        <f>[1]Raw_Customer_Dim!$A$2</f>
        <v>CUST1000</v>
      </c>
      <c r="G1423" t="str">
        <f>_xlfn.XLOOKUP(E1423,Store_Dim!A:A,Store_Dim!B:B,"Not Found")</f>
        <v>Hill, Wagner and Ballard</v>
      </c>
      <c r="H1423" t="str">
        <f>_xlfn.XLOOKUP(D1423,Product_Dim!A:A,Product_Dim!C:C,"Not Found")</f>
        <v>Sports</v>
      </c>
      <c r="I1423" t="str">
        <f>_xlfn.XLOOKUP(E1423,Store_Dim!A:A,Store_Dim!C:C,"Not Found")</f>
        <v>East</v>
      </c>
      <c r="J1423" t="str">
        <f>_xlfn.XLOOKUP(C1423,Customer_Dim!A:A,Customer_Dim!B:B,"Not Found")</f>
        <v>Michael Garner</v>
      </c>
      <c r="K1423">
        <f>Table511[[#This Row],[Total_Amount]]/(L1423*(1-Table511[[#This Row],[Discount]]))</f>
        <v>4</v>
      </c>
      <c r="L1423" s="5">
        <v>557.51</v>
      </c>
      <c r="M1423">
        <v>0.11</v>
      </c>
      <c r="N1423" t="s">
        <v>1349</v>
      </c>
      <c r="O1423" s="5">
        <v>1984.7356</v>
      </c>
    </row>
    <row r="1424" spans="1:15">
      <c r="A1424" t="s">
        <v>2773</v>
      </c>
      <c r="B1424" s="7">
        <v>45807</v>
      </c>
      <c r="C1424" t="s">
        <v>857</v>
      </c>
      <c r="D1424" t="s">
        <v>1253</v>
      </c>
      <c r="E1424" t="s">
        <v>1282</v>
      </c>
      <c r="F1424" t="str">
        <f>[1]Raw_Customer_Dim!$A$2</f>
        <v>CUST1000</v>
      </c>
      <c r="G1424" t="str">
        <f>_xlfn.XLOOKUP(E1424,Store_Dim!A:A,Store_Dim!B:B,"Not Found")</f>
        <v>Martinez, Adkins and Johnson</v>
      </c>
      <c r="H1424" t="str">
        <f>_xlfn.XLOOKUP(D1424,Product_Dim!A:A,Product_Dim!C:C,"Not Found")</f>
        <v>Electronics</v>
      </c>
      <c r="I1424" t="str">
        <f>_xlfn.XLOOKUP(E1424,Store_Dim!A:A,Store_Dim!C:C,"Not Found")</f>
        <v>North</v>
      </c>
      <c r="J1424" t="str">
        <f>_xlfn.XLOOKUP(C1424,Customer_Dim!A:A,Customer_Dim!B:B,"Not Found")</f>
        <v>Charles Norman PhD</v>
      </c>
      <c r="K1424">
        <f>Table511[[#This Row],[Total_Amount]]/(L1424*(1-Table511[[#This Row],[Discount]]))</f>
        <v>2</v>
      </c>
      <c r="L1424" s="5">
        <v>410</v>
      </c>
      <c r="M1424">
        <v>0.13</v>
      </c>
      <c r="N1424" t="s">
        <v>1354</v>
      </c>
      <c r="O1424" s="5">
        <v>713.4</v>
      </c>
    </row>
    <row r="1425" spans="1:15">
      <c r="A1425" t="s">
        <v>2774</v>
      </c>
      <c r="B1425" s="7">
        <v>45473</v>
      </c>
      <c r="C1425" t="s">
        <v>676</v>
      </c>
      <c r="D1425" t="s">
        <v>1239</v>
      </c>
      <c r="E1425" t="s">
        <v>1298</v>
      </c>
      <c r="F1425" t="str">
        <f>[1]Raw_Customer_Dim!$A$2</f>
        <v>CUST1000</v>
      </c>
      <c r="G1425" t="str">
        <f>_xlfn.XLOOKUP(E1425,Store_Dim!A:A,Store_Dim!B:B,"Not Found")</f>
        <v>Gray Ltd</v>
      </c>
      <c r="H1425" t="str">
        <f>_xlfn.XLOOKUP(D1425,Product_Dim!A:A,Product_Dim!C:C,"Not Found")</f>
        <v>Beauty</v>
      </c>
      <c r="I1425" t="str">
        <f>_xlfn.XLOOKUP(E1425,Store_Dim!A:A,Store_Dim!C:C,"Not Found")</f>
        <v>North</v>
      </c>
      <c r="J1425" t="str">
        <f>_xlfn.XLOOKUP(C1425,Customer_Dim!A:A,Customer_Dim!B:B,"Not Found")</f>
        <v>Angela Robinson</v>
      </c>
      <c r="K1425">
        <f>Table511[[#This Row],[Total_Amount]]/(L1425*(1-Table511[[#This Row],[Discount]]))</f>
        <v>2.0000000000000004</v>
      </c>
      <c r="L1425" s="5">
        <v>879.93</v>
      </c>
      <c r="M1425">
        <v>0.28999999999999998</v>
      </c>
      <c r="N1425" t="s">
        <v>1354</v>
      </c>
      <c r="O1425" s="5">
        <v>1249.5006000000001</v>
      </c>
    </row>
    <row r="1426" spans="1:15">
      <c r="A1426" t="s">
        <v>2775</v>
      </c>
      <c r="B1426" s="7">
        <v>45664</v>
      </c>
      <c r="C1426" t="s">
        <v>33</v>
      </c>
      <c r="D1426" t="s">
        <v>1099</v>
      </c>
      <c r="E1426" t="s">
        <v>1335</v>
      </c>
      <c r="F1426" t="str">
        <f>[1]Raw_Customer_Dim!$A$2</f>
        <v>CUST1000</v>
      </c>
      <c r="G1426" t="str">
        <f>_xlfn.XLOOKUP(E1426,Store_Dim!A:A,Store_Dim!B:B,"Not Found")</f>
        <v>Guerrero-Schmitt</v>
      </c>
      <c r="H1426" t="str">
        <f>_xlfn.XLOOKUP(D1426,Product_Dim!A:A,Product_Dim!C:C,"Not Found")</f>
        <v>Electronics</v>
      </c>
      <c r="I1426" t="str">
        <f>_xlfn.XLOOKUP(E1426,Store_Dim!A:A,Store_Dim!C:C,"Not Found")</f>
        <v>East</v>
      </c>
      <c r="J1426" t="str">
        <f>_xlfn.XLOOKUP(C1426,Customer_Dim!A:A,Customer_Dim!B:B,"Not Found")</f>
        <v>Daniel Boyd</v>
      </c>
      <c r="K1426">
        <f>Table511[[#This Row],[Total_Amount]]/(L1426*(1-Table511[[#This Row],[Discount]]))</f>
        <v>1</v>
      </c>
      <c r="L1426" s="5">
        <v>350.58</v>
      </c>
      <c r="M1426">
        <v>0.03</v>
      </c>
      <c r="N1426" t="s">
        <v>1354</v>
      </c>
      <c r="O1426" s="5">
        <v>340.06259999999997</v>
      </c>
    </row>
    <row r="1427" spans="1:15">
      <c r="A1427" t="s">
        <v>2776</v>
      </c>
      <c r="B1427" s="7">
        <v>45633</v>
      </c>
      <c r="C1427" t="s">
        <v>764</v>
      </c>
      <c r="D1427" t="s">
        <v>1189</v>
      </c>
      <c r="E1427" t="s">
        <v>1291</v>
      </c>
      <c r="F1427" t="str">
        <f>[1]Raw_Customer_Dim!$A$2</f>
        <v>CUST1000</v>
      </c>
      <c r="G1427" t="str">
        <f>_xlfn.XLOOKUP(E1427,Store_Dim!A:A,Store_Dim!B:B,"Not Found")</f>
        <v>Johnson-Wright</v>
      </c>
      <c r="H1427" t="str">
        <f>_xlfn.XLOOKUP(D1427,Product_Dim!A:A,Product_Dim!C:C,"Not Found")</f>
        <v>Clothing</v>
      </c>
      <c r="I1427" t="str">
        <f>_xlfn.XLOOKUP(E1427,Store_Dim!A:A,Store_Dim!C:C,"Not Found")</f>
        <v>North</v>
      </c>
      <c r="J1427" t="str">
        <f>_xlfn.XLOOKUP(C1427,Customer_Dim!A:A,Customer_Dim!B:B,"Not Found")</f>
        <v>Charles Miller</v>
      </c>
      <c r="K1427">
        <v>4</v>
      </c>
      <c r="L1427" s="5">
        <v>348.58</v>
      </c>
      <c r="M1427">
        <v>0.16</v>
      </c>
      <c r="N1427" t="s">
        <v>1349</v>
      </c>
      <c r="O1427" s="5">
        <v>1171.2288000000001</v>
      </c>
    </row>
    <row r="1428" spans="1:15">
      <c r="A1428" t="s">
        <v>2777</v>
      </c>
      <c r="B1428" s="7">
        <v>45548</v>
      </c>
      <c r="C1428" t="s">
        <v>981</v>
      </c>
      <c r="D1428" t="s">
        <v>1123</v>
      </c>
      <c r="E1428" t="s">
        <v>1291</v>
      </c>
      <c r="F1428" t="str">
        <f>[1]Raw_Customer_Dim!$A$2</f>
        <v>CUST1000</v>
      </c>
      <c r="G1428" t="str">
        <f>_xlfn.XLOOKUP(E1428,Store_Dim!A:A,Store_Dim!B:B,"Not Found")</f>
        <v>Johnson-Wright</v>
      </c>
      <c r="H1428" t="str">
        <f>_xlfn.XLOOKUP(D1428,Product_Dim!A:A,Product_Dim!C:C,"Not Found")</f>
        <v>Clothing</v>
      </c>
      <c r="I1428" t="str">
        <f>_xlfn.XLOOKUP(E1428,Store_Dim!A:A,Store_Dim!C:C,"Not Found")</f>
        <v>North</v>
      </c>
      <c r="J1428" t="str">
        <f>_xlfn.XLOOKUP(C1428,Customer_Dim!A:A,Customer_Dim!B:B,"Not Found")</f>
        <v>John Perez</v>
      </c>
      <c r="K1428">
        <v>3</v>
      </c>
      <c r="L1428" s="5">
        <v>247.66</v>
      </c>
      <c r="M1428">
        <v>0.02</v>
      </c>
      <c r="N1428" t="s">
        <v>1354</v>
      </c>
      <c r="O1428" s="5">
        <v>728.12040000000002</v>
      </c>
    </row>
    <row r="1429" spans="1:15">
      <c r="A1429" t="s">
        <v>2778</v>
      </c>
      <c r="B1429" s="7">
        <v>45244</v>
      </c>
      <c r="C1429" t="s">
        <v>839</v>
      </c>
      <c r="D1429" t="s">
        <v>1151</v>
      </c>
      <c r="E1429" t="s">
        <v>1326</v>
      </c>
      <c r="F1429" t="str">
        <f>[1]Raw_Customer_Dim!$A$2</f>
        <v>CUST1000</v>
      </c>
      <c r="G1429" t="str">
        <f>_xlfn.XLOOKUP(E1429,Store_Dim!A:A,Store_Dim!B:B,"Not Found")</f>
        <v>Shelton PLC</v>
      </c>
      <c r="H1429" t="str">
        <f>_xlfn.XLOOKUP(D1429,Product_Dim!A:A,Product_Dim!C:C,"Not Found")</f>
        <v>Electronics</v>
      </c>
      <c r="I1429" t="str">
        <f>_xlfn.XLOOKUP(E1429,Store_Dim!A:A,Store_Dim!C:C,"Not Found")</f>
        <v>North</v>
      </c>
      <c r="J1429" t="str">
        <f>_xlfn.XLOOKUP(C1429,Customer_Dim!A:A,Customer_Dim!B:B,"Not Found")</f>
        <v>Timothy Valenzuela</v>
      </c>
      <c r="K1429">
        <v>3</v>
      </c>
      <c r="L1429" s="5">
        <v>836.27</v>
      </c>
      <c r="M1429">
        <v>0.16</v>
      </c>
      <c r="N1429" t="s">
        <v>1349</v>
      </c>
      <c r="O1429" s="5">
        <v>2107.4004</v>
      </c>
    </row>
    <row r="1430" spans="1:15">
      <c r="A1430" t="s">
        <v>2779</v>
      </c>
      <c r="B1430" s="7">
        <v>45753</v>
      </c>
      <c r="C1430" t="s">
        <v>452</v>
      </c>
      <c r="D1430" t="s">
        <v>1101</v>
      </c>
      <c r="E1430" t="s">
        <v>1314</v>
      </c>
      <c r="F1430" t="str">
        <f>[1]Raw_Customer_Dim!$A$2</f>
        <v>CUST1000</v>
      </c>
      <c r="G1430" t="str">
        <f>_xlfn.XLOOKUP(E1430,Store_Dim!A:A,Store_Dim!B:B,"Not Found")</f>
        <v>Hill, Wagner and Ballard</v>
      </c>
      <c r="H1430" t="str">
        <f>_xlfn.XLOOKUP(D1430,Product_Dim!A:A,Product_Dim!C:C,"Not Found")</f>
        <v>Home</v>
      </c>
      <c r="I1430" t="str">
        <f>_xlfn.XLOOKUP(E1430,Store_Dim!A:A,Store_Dim!C:C,"Not Found")</f>
        <v>East</v>
      </c>
      <c r="J1430" t="str">
        <f>_xlfn.XLOOKUP(C1430,Customer_Dim!A:A,Customer_Dim!B:B,"Not Found")</f>
        <v>Anthony Garcia</v>
      </c>
      <c r="K1430">
        <v>3</v>
      </c>
      <c r="L1430" s="5">
        <v>696.74</v>
      </c>
      <c r="M1430">
        <v>0.13</v>
      </c>
      <c r="N1430" t="s">
        <v>1354</v>
      </c>
      <c r="O1430" s="5">
        <v>1818.4914000000001</v>
      </c>
    </row>
    <row r="1431" spans="1:15">
      <c r="A1431" t="s">
        <v>2780</v>
      </c>
      <c r="B1431" s="7">
        <v>45804</v>
      </c>
      <c r="C1431" t="s">
        <v>553</v>
      </c>
      <c r="D1431" t="s">
        <v>1261</v>
      </c>
      <c r="E1431" t="s">
        <v>1322</v>
      </c>
      <c r="F1431" t="str">
        <f>[1]Raw_Customer_Dim!$A$2</f>
        <v>CUST1000</v>
      </c>
      <c r="G1431" t="str">
        <f>_xlfn.XLOOKUP(E1431,Store_Dim!A:A,Store_Dim!B:B,"Not Found")</f>
        <v>Gardner, Humphrey and Contreras</v>
      </c>
      <c r="H1431" t="str">
        <f>_xlfn.XLOOKUP(D1431,Product_Dim!A:A,Product_Dim!C:C,"Not Found")</f>
        <v>Beauty</v>
      </c>
      <c r="I1431" t="str">
        <f>_xlfn.XLOOKUP(E1431,Store_Dim!A:A,Store_Dim!C:C,"Not Found")</f>
        <v>East</v>
      </c>
      <c r="J1431" t="str">
        <f>_xlfn.XLOOKUP(C1431,Customer_Dim!A:A,Customer_Dim!B:B,"Not Found")</f>
        <v>Laura Soto</v>
      </c>
      <c r="K1431">
        <v>2</v>
      </c>
      <c r="L1431" s="5">
        <v>822.59</v>
      </c>
      <c r="M1431">
        <v>0.22</v>
      </c>
      <c r="N1431" t="s">
        <v>1351</v>
      </c>
      <c r="O1431" s="5">
        <v>1283.2403999999999</v>
      </c>
    </row>
    <row r="1432" spans="1:15">
      <c r="A1432" t="s">
        <v>2781</v>
      </c>
      <c r="B1432" s="7">
        <v>45263</v>
      </c>
      <c r="C1432" t="s">
        <v>507</v>
      </c>
      <c r="D1432" t="s">
        <v>1231</v>
      </c>
      <c r="E1432" t="s">
        <v>1286</v>
      </c>
      <c r="F1432" t="str">
        <f>[1]Raw_Customer_Dim!$A$2</f>
        <v>CUST1000</v>
      </c>
      <c r="G1432" t="str">
        <f>_xlfn.XLOOKUP(E1432,Store_Dim!A:A,Store_Dim!B:B,"Not Found")</f>
        <v>Black-Horn</v>
      </c>
      <c r="H1432" t="str">
        <f>_xlfn.XLOOKUP(D1432,Product_Dim!A:A,Product_Dim!C:C,"Not Found")</f>
        <v>Home</v>
      </c>
      <c r="I1432" t="str">
        <f>_xlfn.XLOOKUP(E1432,Store_Dim!A:A,Store_Dim!C:C,"Not Found")</f>
        <v>South</v>
      </c>
      <c r="J1432" t="str">
        <f>_xlfn.XLOOKUP(C1432,Customer_Dim!A:A,Customer_Dim!B:B,"Not Found")</f>
        <v>Alejandro Doyle</v>
      </c>
      <c r="K1432">
        <v>1</v>
      </c>
      <c r="L1432" s="5">
        <v>462.23</v>
      </c>
      <c r="M1432">
        <v>0.3</v>
      </c>
      <c r="N1432" t="s">
        <v>1351</v>
      </c>
      <c r="O1432" s="5">
        <v>323.56099999999998</v>
      </c>
    </row>
    <row r="1433" spans="1:15">
      <c r="A1433" t="s">
        <v>2782</v>
      </c>
      <c r="B1433" s="7">
        <v>45906</v>
      </c>
      <c r="C1433" t="s">
        <v>957</v>
      </c>
      <c r="D1433" t="s">
        <v>1157</v>
      </c>
      <c r="E1433" t="s">
        <v>1332</v>
      </c>
      <c r="F1433" t="str">
        <f>[1]Raw_Customer_Dim!$A$2</f>
        <v>CUST1000</v>
      </c>
      <c r="G1433" t="str">
        <f>_xlfn.XLOOKUP(E1433,Store_Dim!A:A,Store_Dim!B:B,"Not Found")</f>
        <v>Holloway Ltd</v>
      </c>
      <c r="H1433" t="str">
        <f>_xlfn.XLOOKUP(D1433,Product_Dim!A:A,Product_Dim!C:C,"Not Found")</f>
        <v>Electronics</v>
      </c>
      <c r="I1433" t="str">
        <f>_xlfn.XLOOKUP(E1433,Store_Dim!A:A,Store_Dim!C:C,"Not Found")</f>
        <v>North</v>
      </c>
      <c r="J1433" t="str">
        <f>_xlfn.XLOOKUP(C1433,Customer_Dim!A:A,Customer_Dim!B:B,"Not Found")</f>
        <v>Monica Wright</v>
      </c>
      <c r="K1433">
        <v>1</v>
      </c>
      <c r="L1433" s="5">
        <v>361.09</v>
      </c>
      <c r="M1433">
        <v>0.06</v>
      </c>
      <c r="N1433" t="s">
        <v>1351</v>
      </c>
      <c r="O1433" s="5">
        <v>339.42459999999988</v>
      </c>
    </row>
    <row r="1434" spans="1:15">
      <c r="A1434" t="s">
        <v>2783</v>
      </c>
      <c r="B1434" s="7">
        <v>45243</v>
      </c>
      <c r="C1434" t="s">
        <v>829</v>
      </c>
      <c r="D1434" t="s">
        <v>1219</v>
      </c>
      <c r="E1434" t="s">
        <v>1338</v>
      </c>
      <c r="F1434" t="str">
        <f>[1]Raw_Customer_Dim!$A$2</f>
        <v>CUST1000</v>
      </c>
      <c r="G1434" t="str">
        <f>_xlfn.XLOOKUP(E1434,Store_Dim!A:A,Store_Dim!B:B,"Not Found")</f>
        <v>Mann-Austin</v>
      </c>
      <c r="H1434" t="str">
        <f>_xlfn.XLOOKUP(D1434,Product_Dim!A:A,Product_Dim!C:C,"Not Found")</f>
        <v>Sports</v>
      </c>
      <c r="I1434" t="str">
        <f>_xlfn.XLOOKUP(E1434,Store_Dim!A:A,Store_Dim!C:C,"Not Found")</f>
        <v>East</v>
      </c>
      <c r="J1434" t="str">
        <f>_xlfn.XLOOKUP(C1434,Customer_Dim!A:A,Customer_Dim!B:B,"Not Found")</f>
        <v>Kristine Higgins</v>
      </c>
      <c r="K1434">
        <v>3</v>
      </c>
      <c r="L1434" s="5">
        <v>59.37</v>
      </c>
      <c r="M1434">
        <v>0.03</v>
      </c>
      <c r="N1434" t="s">
        <v>1351</v>
      </c>
      <c r="O1434" s="5">
        <v>172.76669999999999</v>
      </c>
    </row>
    <row r="1435" spans="1:15">
      <c r="A1435" t="s">
        <v>2784</v>
      </c>
      <c r="B1435" s="7">
        <v>45686</v>
      </c>
      <c r="C1435" t="s">
        <v>109</v>
      </c>
      <c r="D1435" t="s">
        <v>1153</v>
      </c>
      <c r="E1435" t="s">
        <v>1282</v>
      </c>
      <c r="F1435" t="str">
        <f>[1]Raw_Customer_Dim!$A$2</f>
        <v>CUST1000</v>
      </c>
      <c r="G1435" t="str">
        <f>_xlfn.XLOOKUP(E1435,Store_Dim!A:A,Store_Dim!B:B,"Not Found")</f>
        <v>Martinez, Adkins and Johnson</v>
      </c>
      <c r="H1435" t="str">
        <f>_xlfn.XLOOKUP(D1435,Product_Dim!A:A,Product_Dim!C:C,"Not Found")</f>
        <v>Electronics</v>
      </c>
      <c r="I1435" t="str">
        <f>_xlfn.XLOOKUP(E1435,Store_Dim!A:A,Store_Dim!C:C,"Not Found")</f>
        <v>North</v>
      </c>
      <c r="J1435" t="str">
        <f>_xlfn.XLOOKUP(C1435,Customer_Dim!A:A,Customer_Dim!B:B,"Not Found")</f>
        <v>Thomas Phillips</v>
      </c>
      <c r="K1435">
        <v>3</v>
      </c>
      <c r="L1435" s="5">
        <v>765.21</v>
      </c>
      <c r="M1435">
        <v>0.14000000000000001</v>
      </c>
      <c r="N1435" t="s">
        <v>1354</v>
      </c>
      <c r="O1435" s="5">
        <v>1974.2418</v>
      </c>
    </row>
    <row r="1436" spans="1:15">
      <c r="A1436" t="s">
        <v>2785</v>
      </c>
      <c r="B1436" s="7">
        <v>45472</v>
      </c>
      <c r="C1436" t="s">
        <v>549</v>
      </c>
      <c r="D1436" t="s">
        <v>1137</v>
      </c>
      <c r="E1436" t="s">
        <v>1319</v>
      </c>
      <c r="F1436" t="str">
        <f>[1]Raw_Customer_Dim!$A$2</f>
        <v>CUST1000</v>
      </c>
      <c r="G1436" t="str">
        <f>_xlfn.XLOOKUP(E1436,Store_Dim!A:A,Store_Dim!B:B,"Not Found")</f>
        <v>Thomas, Bridges and Harris</v>
      </c>
      <c r="H1436" t="str">
        <f>_xlfn.XLOOKUP(D1436,Product_Dim!A:A,Product_Dim!C:C,"Not Found")</f>
        <v>Beauty</v>
      </c>
      <c r="I1436" t="str">
        <f>_xlfn.XLOOKUP(E1436,Store_Dim!A:A,Store_Dim!C:C,"Not Found")</f>
        <v>North</v>
      </c>
      <c r="J1436" t="str">
        <f>_xlfn.XLOOKUP(C1436,Customer_Dim!A:A,Customer_Dim!B:B,"Not Found")</f>
        <v>Brian Hammond</v>
      </c>
      <c r="K1436">
        <v>4</v>
      </c>
      <c r="L1436" s="5">
        <v>303.56</v>
      </c>
      <c r="M1436">
        <v>0.2</v>
      </c>
      <c r="N1436" t="s">
        <v>1354</v>
      </c>
      <c r="O1436" s="5">
        <v>971.39200000000005</v>
      </c>
    </row>
    <row r="1437" spans="1:15">
      <c r="A1437" t="s">
        <v>2786</v>
      </c>
      <c r="B1437" s="7">
        <v>45779</v>
      </c>
      <c r="C1437" t="s">
        <v>949</v>
      </c>
      <c r="D1437" t="s">
        <v>1127</v>
      </c>
      <c r="E1437" t="s">
        <v>1277</v>
      </c>
      <c r="F1437" t="str">
        <f>[1]Raw_Customer_Dim!$A$2</f>
        <v>CUST1000</v>
      </c>
      <c r="G1437" t="str">
        <f>_xlfn.XLOOKUP(E1437,Store_Dim!A:A,Store_Dim!B:B,"Not Found")</f>
        <v>Rivera-Warner</v>
      </c>
      <c r="H1437" t="str">
        <f>_xlfn.XLOOKUP(D1437,Product_Dim!A:A,Product_Dim!C:C,"Not Found")</f>
        <v>Home</v>
      </c>
      <c r="I1437" t="str">
        <f>_xlfn.XLOOKUP(E1437,Store_Dim!A:A,Store_Dim!C:C,"Not Found")</f>
        <v>East</v>
      </c>
      <c r="J1437" t="str">
        <f>_xlfn.XLOOKUP(C1437,Customer_Dim!A:A,Customer_Dim!B:B,"Not Found")</f>
        <v>Adam Castro</v>
      </c>
      <c r="K1437">
        <v>1</v>
      </c>
      <c r="L1437" s="5">
        <v>640.92999999999995</v>
      </c>
      <c r="M1437">
        <v>0.19</v>
      </c>
      <c r="N1437" t="s">
        <v>1351</v>
      </c>
      <c r="O1437" s="5">
        <v>519.15329999999994</v>
      </c>
    </row>
    <row r="1438" spans="1:15">
      <c r="A1438" t="s">
        <v>2787</v>
      </c>
      <c r="B1438" s="7">
        <v>45830</v>
      </c>
      <c r="C1438" t="s">
        <v>409</v>
      </c>
      <c r="D1438" t="s">
        <v>1245</v>
      </c>
      <c r="E1438" t="s">
        <v>1314</v>
      </c>
      <c r="F1438" t="str">
        <f>[1]Raw_Customer_Dim!$A$2</f>
        <v>CUST1000</v>
      </c>
      <c r="G1438" t="str">
        <f>_xlfn.XLOOKUP(E1438,Store_Dim!A:A,Store_Dim!B:B,"Not Found")</f>
        <v>Hill, Wagner and Ballard</v>
      </c>
      <c r="H1438" t="str">
        <f>_xlfn.XLOOKUP(D1438,Product_Dim!A:A,Product_Dim!C:C,"Not Found")</f>
        <v>Home</v>
      </c>
      <c r="I1438" t="str">
        <f>_xlfn.XLOOKUP(E1438,Store_Dim!A:A,Store_Dim!C:C,"Not Found")</f>
        <v>East</v>
      </c>
      <c r="J1438" t="str">
        <f>_xlfn.XLOOKUP(C1438,Customer_Dim!A:A,Customer_Dim!B:B,"Not Found")</f>
        <v>Maria Davis</v>
      </c>
      <c r="K1438">
        <v>2</v>
      </c>
      <c r="L1438" s="5">
        <v>611.25</v>
      </c>
      <c r="M1438">
        <v>0.22</v>
      </c>
      <c r="N1438" t="s">
        <v>1349</v>
      </c>
      <c r="O1438" s="5">
        <v>953.55000000000007</v>
      </c>
    </row>
    <row r="1439" spans="1:15">
      <c r="A1439" t="s">
        <v>2788</v>
      </c>
      <c r="B1439" s="7">
        <v>45756</v>
      </c>
      <c r="C1439" t="s">
        <v>984</v>
      </c>
      <c r="D1439" t="s">
        <v>1205</v>
      </c>
      <c r="E1439" t="s">
        <v>1282</v>
      </c>
      <c r="F1439" t="str">
        <f>[1]Raw_Customer_Dim!$A$2</f>
        <v>CUST1000</v>
      </c>
      <c r="G1439" t="str">
        <f>_xlfn.XLOOKUP(E1439,Store_Dim!A:A,Store_Dim!B:B,"Not Found")</f>
        <v>Martinez, Adkins and Johnson</v>
      </c>
      <c r="H1439" t="str">
        <f>_xlfn.XLOOKUP(D1439,Product_Dim!A:A,Product_Dim!C:C,"Not Found")</f>
        <v>Beauty</v>
      </c>
      <c r="I1439" t="str">
        <f>_xlfn.XLOOKUP(E1439,Store_Dim!A:A,Store_Dim!C:C,"Not Found")</f>
        <v>North</v>
      </c>
      <c r="J1439" t="str">
        <f>_xlfn.XLOOKUP(C1439,Customer_Dim!A:A,Customer_Dim!B:B,"Not Found")</f>
        <v>Paul Cox</v>
      </c>
      <c r="K1439">
        <v>1</v>
      </c>
      <c r="L1439" s="5">
        <v>209.93</v>
      </c>
      <c r="M1439">
        <v>0.21</v>
      </c>
      <c r="N1439" t="s">
        <v>1349</v>
      </c>
      <c r="O1439" s="5">
        <v>165.84469999999999</v>
      </c>
    </row>
    <row r="1440" spans="1:15">
      <c r="A1440" t="s">
        <v>2789</v>
      </c>
      <c r="B1440" s="7">
        <v>45847</v>
      </c>
      <c r="C1440" t="s">
        <v>279</v>
      </c>
      <c r="D1440" t="s">
        <v>1271</v>
      </c>
      <c r="E1440" t="s">
        <v>1314</v>
      </c>
      <c r="F1440" t="str">
        <f>[1]Raw_Customer_Dim!$A$2</f>
        <v>CUST1000</v>
      </c>
      <c r="G1440" t="str">
        <f>_xlfn.XLOOKUP(E1440,Store_Dim!A:A,Store_Dim!B:B,"Not Found")</f>
        <v>Hill, Wagner and Ballard</v>
      </c>
      <c r="H1440" t="str">
        <f>_xlfn.XLOOKUP(D1440,Product_Dim!A:A,Product_Dim!C:C,"Not Found")</f>
        <v>Home</v>
      </c>
      <c r="I1440" t="str">
        <f>_xlfn.XLOOKUP(E1440,Store_Dim!A:A,Store_Dim!C:C,"Not Found")</f>
        <v>East</v>
      </c>
      <c r="J1440" t="str">
        <f>_xlfn.XLOOKUP(C1440,Customer_Dim!A:A,Customer_Dim!B:B,"Not Found")</f>
        <v>Ashley Griffin</v>
      </c>
      <c r="K1440">
        <v>3</v>
      </c>
      <c r="L1440" s="5">
        <v>130.38999999999999</v>
      </c>
      <c r="M1440">
        <v>0.24</v>
      </c>
      <c r="N1440" t="s">
        <v>1351</v>
      </c>
      <c r="O1440" s="5">
        <v>297.28919999999999</v>
      </c>
    </row>
    <row r="1441" spans="1:15">
      <c r="A1441" t="s">
        <v>2790</v>
      </c>
      <c r="B1441" s="7">
        <v>45322</v>
      </c>
      <c r="C1441" t="s">
        <v>646</v>
      </c>
      <c r="D1441" t="s">
        <v>1259</v>
      </c>
      <c r="E1441" t="s">
        <v>1304</v>
      </c>
      <c r="F1441" t="str">
        <f>[1]Raw_Customer_Dim!$A$2</f>
        <v>CUST1000</v>
      </c>
      <c r="G1441" t="str">
        <f>_xlfn.XLOOKUP(E1441,Store_Dim!A:A,Store_Dim!B:B,"Not Found")</f>
        <v>Martinez-Mullins</v>
      </c>
      <c r="H1441" t="str">
        <f>_xlfn.XLOOKUP(D1441,Product_Dim!A:A,Product_Dim!C:C,"Not Found")</f>
        <v>Electronics</v>
      </c>
      <c r="I1441" t="str">
        <f>_xlfn.XLOOKUP(E1441,Store_Dim!A:A,Store_Dim!C:C,"Not Found")</f>
        <v>South</v>
      </c>
      <c r="J1441" t="str">
        <f>_xlfn.XLOOKUP(C1441,Customer_Dim!A:A,Customer_Dim!B:B,"Not Found")</f>
        <v>James Powell</v>
      </c>
      <c r="K1441">
        <v>2</v>
      </c>
      <c r="L1441" s="5">
        <v>846.18</v>
      </c>
      <c r="M1441">
        <v>0.1</v>
      </c>
      <c r="N1441" t="s">
        <v>1354</v>
      </c>
      <c r="O1441" s="5">
        <v>1523.124</v>
      </c>
    </row>
    <row r="1442" spans="1:15">
      <c r="A1442" t="s">
        <v>2791</v>
      </c>
      <c r="B1442" s="7">
        <v>45829</v>
      </c>
      <c r="C1442" t="s">
        <v>771</v>
      </c>
      <c r="D1442" t="s">
        <v>1213</v>
      </c>
      <c r="E1442" t="s">
        <v>1324</v>
      </c>
      <c r="F1442" t="str">
        <f>[1]Raw_Customer_Dim!$A$2</f>
        <v>CUST1000</v>
      </c>
      <c r="G1442" t="str">
        <f>_xlfn.XLOOKUP(E1442,Store_Dim!A:A,Store_Dim!B:B,"Not Found")</f>
        <v>Mcdonald Inc</v>
      </c>
      <c r="H1442" t="str">
        <f>_xlfn.XLOOKUP(D1442,Product_Dim!A:A,Product_Dim!C:C,"Not Found")</f>
        <v>Home</v>
      </c>
      <c r="I1442" t="str">
        <f>_xlfn.XLOOKUP(E1442,Store_Dim!A:A,Store_Dim!C:C,"Not Found")</f>
        <v>South</v>
      </c>
      <c r="J1442" t="str">
        <f>_xlfn.XLOOKUP(C1442,Customer_Dim!A:A,Customer_Dim!B:B,"Not Found")</f>
        <v>Ryan Torres</v>
      </c>
      <c r="K1442">
        <v>2</v>
      </c>
      <c r="L1442" s="5">
        <v>424.53</v>
      </c>
      <c r="M1442">
        <v>0.14000000000000001</v>
      </c>
      <c r="N1442" t="s">
        <v>1354</v>
      </c>
      <c r="O1442" s="5">
        <v>730.19159999999999</v>
      </c>
    </row>
    <row r="1443" spans="1:15">
      <c r="A1443" t="s">
        <v>2792</v>
      </c>
      <c r="B1443" s="7">
        <v>45539</v>
      </c>
      <c r="C1443" t="s">
        <v>579</v>
      </c>
      <c r="D1443" t="s">
        <v>1249</v>
      </c>
      <c r="E1443" t="s">
        <v>1324</v>
      </c>
      <c r="F1443" t="str">
        <f>[1]Raw_Customer_Dim!$A$2</f>
        <v>CUST1000</v>
      </c>
      <c r="G1443" t="str">
        <f>_xlfn.XLOOKUP(E1443,Store_Dim!A:A,Store_Dim!B:B,"Not Found")</f>
        <v>Mcdonald Inc</v>
      </c>
      <c r="H1443" t="str">
        <f>_xlfn.XLOOKUP(D1443,Product_Dim!A:A,Product_Dim!C:C,"Not Found")</f>
        <v>Sports</v>
      </c>
      <c r="I1443" t="str">
        <f>_xlfn.XLOOKUP(E1443,Store_Dim!A:A,Store_Dim!C:C,"Not Found")</f>
        <v>South</v>
      </c>
      <c r="J1443" t="str">
        <f>_xlfn.XLOOKUP(C1443,Customer_Dim!A:A,Customer_Dim!B:B,"Not Found")</f>
        <v>Sarah Stewart</v>
      </c>
      <c r="K1443">
        <v>4</v>
      </c>
      <c r="L1443" s="5">
        <v>450.42</v>
      </c>
      <c r="M1443">
        <v>0.08</v>
      </c>
      <c r="N1443" t="s">
        <v>1354</v>
      </c>
      <c r="O1443" s="5">
        <v>1657.5455999999999</v>
      </c>
    </row>
    <row r="1444" spans="1:15">
      <c r="A1444" t="s">
        <v>2793</v>
      </c>
      <c r="B1444" s="7">
        <v>45893</v>
      </c>
      <c r="C1444" t="s">
        <v>373</v>
      </c>
      <c r="D1444" t="s">
        <v>1125</v>
      </c>
      <c r="E1444" t="s">
        <v>1311</v>
      </c>
      <c r="F1444" t="str">
        <f>[1]Raw_Customer_Dim!$A$2</f>
        <v>CUST1000</v>
      </c>
      <c r="G1444" t="str">
        <f>_xlfn.XLOOKUP(E1444,Store_Dim!A:A,Store_Dim!B:B,"Not Found")</f>
        <v>Moore, Padilla and Butler</v>
      </c>
      <c r="H1444" t="str">
        <f>_xlfn.XLOOKUP(D1444,Product_Dim!A:A,Product_Dim!C:C,"Not Found")</f>
        <v>Electronics</v>
      </c>
      <c r="I1444" t="str">
        <f>_xlfn.XLOOKUP(E1444,Store_Dim!A:A,Store_Dim!C:C,"Not Found")</f>
        <v>South</v>
      </c>
      <c r="J1444" t="str">
        <f>_xlfn.XLOOKUP(C1444,Customer_Dim!A:A,Customer_Dim!B:B,"Not Found")</f>
        <v>Maria Sanchez</v>
      </c>
      <c r="K1444">
        <v>4</v>
      </c>
      <c r="L1444" s="5">
        <v>896.91</v>
      </c>
      <c r="M1444">
        <v>0.1</v>
      </c>
      <c r="N1444" t="s">
        <v>1349</v>
      </c>
      <c r="O1444" s="5">
        <v>3228.8760000000002</v>
      </c>
    </row>
    <row r="1445" spans="1:15">
      <c r="A1445" t="s">
        <v>2794</v>
      </c>
      <c r="B1445" s="7">
        <v>45814</v>
      </c>
      <c r="C1445" t="s">
        <v>1031</v>
      </c>
      <c r="D1445" t="s">
        <v>1267</v>
      </c>
      <c r="E1445" t="s">
        <v>1314</v>
      </c>
      <c r="F1445" t="str">
        <f>[1]Raw_Customer_Dim!$A$2</f>
        <v>CUST1000</v>
      </c>
      <c r="G1445" t="str">
        <f>_xlfn.XLOOKUP(E1445,Store_Dim!A:A,Store_Dim!B:B,"Not Found")</f>
        <v>Hill, Wagner and Ballard</v>
      </c>
      <c r="H1445" t="str">
        <f>_xlfn.XLOOKUP(D1445,Product_Dim!A:A,Product_Dim!C:C,"Not Found")</f>
        <v>Sports</v>
      </c>
      <c r="I1445" t="str">
        <f>_xlfn.XLOOKUP(E1445,Store_Dim!A:A,Store_Dim!C:C,"Not Found")</f>
        <v>East</v>
      </c>
      <c r="J1445" t="str">
        <f>_xlfn.XLOOKUP(C1445,Customer_Dim!A:A,Customer_Dim!B:B,"Not Found")</f>
        <v>Sara Ingram</v>
      </c>
      <c r="K1445">
        <v>3</v>
      </c>
      <c r="L1445" s="5">
        <v>679.38</v>
      </c>
      <c r="M1445">
        <v>0.3</v>
      </c>
      <c r="N1445" t="s">
        <v>1354</v>
      </c>
      <c r="O1445" s="5">
        <v>1426.6980000000001</v>
      </c>
    </row>
    <row r="1446" spans="1:15">
      <c r="A1446" t="s">
        <v>2795</v>
      </c>
      <c r="B1446" s="7">
        <v>45571</v>
      </c>
      <c r="C1446" t="s">
        <v>59</v>
      </c>
      <c r="D1446" t="s">
        <v>1233</v>
      </c>
      <c r="E1446" t="s">
        <v>1329</v>
      </c>
      <c r="F1446" t="str">
        <f>[1]Raw_Customer_Dim!$A$2</f>
        <v>CUST1000</v>
      </c>
      <c r="G1446" t="str">
        <f>_xlfn.XLOOKUP(E1446,Store_Dim!A:A,Store_Dim!B:B,"Not Found")</f>
        <v>Frederick-Wright</v>
      </c>
      <c r="H1446" t="str">
        <f>_xlfn.XLOOKUP(D1446,Product_Dim!A:A,Product_Dim!C:C,"Not Found")</f>
        <v>Home</v>
      </c>
      <c r="I1446" t="str">
        <f>_xlfn.XLOOKUP(E1446,Store_Dim!A:A,Store_Dim!C:C,"Not Found")</f>
        <v>West</v>
      </c>
      <c r="J1446" t="str">
        <f>_xlfn.XLOOKUP(C1446,Customer_Dim!A:A,Customer_Dim!B:B,"Not Found")</f>
        <v>John Scott</v>
      </c>
      <c r="K1446">
        <v>3</v>
      </c>
      <c r="L1446" s="5">
        <v>483.63</v>
      </c>
      <c r="M1446">
        <v>0</v>
      </c>
      <c r="N1446" t="s">
        <v>1349</v>
      </c>
      <c r="O1446" s="5">
        <v>1450.89</v>
      </c>
    </row>
    <row r="1447" spans="1:15">
      <c r="A1447" t="s">
        <v>2796</v>
      </c>
      <c r="B1447" s="7">
        <v>45542</v>
      </c>
      <c r="C1447" t="s">
        <v>94</v>
      </c>
      <c r="D1447" t="s">
        <v>1151</v>
      </c>
      <c r="E1447" t="s">
        <v>1277</v>
      </c>
      <c r="F1447" t="str">
        <f>[1]Raw_Customer_Dim!$A$2</f>
        <v>CUST1000</v>
      </c>
      <c r="G1447" t="str">
        <f>_xlfn.XLOOKUP(E1447,Store_Dim!A:A,Store_Dim!B:B,"Not Found")</f>
        <v>Rivera-Warner</v>
      </c>
      <c r="H1447" t="str">
        <f>_xlfn.XLOOKUP(D1447,Product_Dim!A:A,Product_Dim!C:C,"Not Found")</f>
        <v>Electronics</v>
      </c>
      <c r="I1447" t="str">
        <f>_xlfn.XLOOKUP(E1447,Store_Dim!A:A,Store_Dim!C:C,"Not Found")</f>
        <v>East</v>
      </c>
      <c r="J1447" t="str">
        <f>_xlfn.XLOOKUP(C1447,Customer_Dim!A:A,Customer_Dim!B:B,"Not Found")</f>
        <v>Jessica Acevedo</v>
      </c>
      <c r="K1447">
        <v>3</v>
      </c>
      <c r="L1447" s="5">
        <v>158.27000000000001</v>
      </c>
      <c r="M1447">
        <v>0.24</v>
      </c>
      <c r="N1447" t="s">
        <v>1354</v>
      </c>
      <c r="O1447" s="5">
        <v>360.85559999999998</v>
      </c>
    </row>
    <row r="1448" spans="1:15">
      <c r="A1448" t="s">
        <v>2797</v>
      </c>
      <c r="B1448" s="7">
        <v>45758</v>
      </c>
      <c r="C1448" t="s">
        <v>290</v>
      </c>
      <c r="D1448" t="s">
        <v>1074</v>
      </c>
      <c r="E1448" t="s">
        <v>1326</v>
      </c>
      <c r="F1448" t="str">
        <f>[1]Raw_Customer_Dim!$A$2</f>
        <v>CUST1000</v>
      </c>
      <c r="G1448" t="str">
        <f>_xlfn.XLOOKUP(E1448,Store_Dim!A:A,Store_Dim!B:B,"Not Found")</f>
        <v>Shelton PLC</v>
      </c>
      <c r="H1448" t="str">
        <f>_xlfn.XLOOKUP(D1448,Product_Dim!A:A,Product_Dim!C:C,"Not Found")</f>
        <v>Clothing</v>
      </c>
      <c r="I1448" t="str">
        <f>_xlfn.XLOOKUP(E1448,Store_Dim!A:A,Store_Dim!C:C,"Not Found")</f>
        <v>North</v>
      </c>
      <c r="J1448" t="str">
        <f>_xlfn.XLOOKUP(C1448,Customer_Dim!A:A,Customer_Dim!B:B,"Not Found")</f>
        <v>Tyler Conrad</v>
      </c>
      <c r="K1448">
        <v>4</v>
      </c>
      <c r="L1448" s="5">
        <v>601.5</v>
      </c>
      <c r="M1448">
        <v>0.18</v>
      </c>
      <c r="N1448" t="s">
        <v>1349</v>
      </c>
      <c r="O1448" s="5">
        <v>1972.92</v>
      </c>
    </row>
    <row r="1449" spans="1:15">
      <c r="A1449" t="s">
        <v>2798</v>
      </c>
      <c r="B1449" s="7">
        <v>45709</v>
      </c>
      <c r="C1449" t="s">
        <v>188</v>
      </c>
      <c r="D1449" t="s">
        <v>1135</v>
      </c>
      <c r="E1449" t="s">
        <v>1335</v>
      </c>
      <c r="F1449" t="str">
        <f>[1]Raw_Customer_Dim!$A$2</f>
        <v>CUST1000</v>
      </c>
      <c r="G1449" t="str">
        <f>_xlfn.XLOOKUP(E1449,Store_Dim!A:A,Store_Dim!B:B,"Not Found")</f>
        <v>Guerrero-Schmitt</v>
      </c>
      <c r="H1449" t="str">
        <f>_xlfn.XLOOKUP(D1449,Product_Dim!A:A,Product_Dim!C:C,"Not Found")</f>
        <v>Sports</v>
      </c>
      <c r="I1449" t="str">
        <f>_xlfn.XLOOKUP(E1449,Store_Dim!A:A,Store_Dim!C:C,"Not Found")</f>
        <v>East</v>
      </c>
      <c r="J1449" t="str">
        <f>_xlfn.XLOOKUP(C1449,Customer_Dim!A:A,Customer_Dim!B:B,"Not Found")</f>
        <v>Roy Cole</v>
      </c>
      <c r="K1449">
        <v>2</v>
      </c>
      <c r="L1449" s="5">
        <v>46.39</v>
      </c>
      <c r="M1449">
        <v>7.0000000000000007E-2</v>
      </c>
      <c r="N1449" t="s">
        <v>1349</v>
      </c>
      <c r="O1449" s="5">
        <v>86.285399999999996</v>
      </c>
    </row>
    <row r="1450" spans="1:15">
      <c r="A1450" t="s">
        <v>2799</v>
      </c>
      <c r="B1450" s="7">
        <v>45587</v>
      </c>
      <c r="C1450" t="s">
        <v>298</v>
      </c>
      <c r="D1450" t="s">
        <v>1237</v>
      </c>
      <c r="E1450" t="s">
        <v>1307</v>
      </c>
      <c r="F1450" t="str">
        <f>[1]Raw_Customer_Dim!$A$2</f>
        <v>CUST1000</v>
      </c>
      <c r="G1450" t="str">
        <f>_xlfn.XLOOKUP(E1450,Store_Dim!A:A,Store_Dim!B:B,"Not Found")</f>
        <v>Bean, Jones and Park</v>
      </c>
      <c r="H1450" t="str">
        <f>_xlfn.XLOOKUP(D1450,Product_Dim!A:A,Product_Dim!C:C,"Not Found")</f>
        <v>Sports</v>
      </c>
      <c r="I1450" t="str">
        <f>_xlfn.XLOOKUP(E1450,Store_Dim!A:A,Store_Dim!C:C,"Not Found")</f>
        <v>West</v>
      </c>
      <c r="J1450" t="str">
        <f>_xlfn.XLOOKUP(C1450,Customer_Dim!A:A,Customer_Dim!B:B,"Not Found")</f>
        <v>Michael Jones</v>
      </c>
      <c r="K1450">
        <v>4</v>
      </c>
      <c r="L1450" s="5">
        <v>892.28</v>
      </c>
      <c r="M1450">
        <v>0.23</v>
      </c>
      <c r="N1450" t="s">
        <v>1349</v>
      </c>
      <c r="O1450" s="5">
        <v>2748.2224000000001</v>
      </c>
    </row>
    <row r="1451" spans="1:15">
      <c r="A1451" t="s">
        <v>2800</v>
      </c>
      <c r="B1451" s="7">
        <v>45494</v>
      </c>
      <c r="C1451" t="s">
        <v>505</v>
      </c>
      <c r="D1451" t="s">
        <v>1093</v>
      </c>
      <c r="E1451" t="s">
        <v>1304</v>
      </c>
      <c r="F1451" t="str">
        <f>[1]Raw_Customer_Dim!$A$2</f>
        <v>CUST1000</v>
      </c>
      <c r="G1451" t="str">
        <f>_xlfn.XLOOKUP(E1451,Store_Dim!A:A,Store_Dim!B:B,"Not Found")</f>
        <v>Martinez-Mullins</v>
      </c>
      <c r="H1451" t="str">
        <f>_xlfn.XLOOKUP(D1451,Product_Dim!A:A,Product_Dim!C:C,"Not Found")</f>
        <v>Home</v>
      </c>
      <c r="I1451" t="str">
        <f>_xlfn.XLOOKUP(E1451,Store_Dim!A:A,Store_Dim!C:C,"Not Found")</f>
        <v>South</v>
      </c>
      <c r="J1451" t="str">
        <f>_xlfn.XLOOKUP(C1451,Customer_Dim!A:A,Customer_Dim!B:B,"Not Found")</f>
        <v>Lisa Young</v>
      </c>
      <c r="K1451">
        <v>2</v>
      </c>
      <c r="L1451" s="5">
        <v>164.23</v>
      </c>
      <c r="M1451">
        <v>0.17</v>
      </c>
      <c r="N1451" t="s">
        <v>1349</v>
      </c>
      <c r="O1451" s="5">
        <v>272.62180000000001</v>
      </c>
    </row>
    <row r="1452" spans="1:15">
      <c r="A1452" t="s">
        <v>2801</v>
      </c>
      <c r="B1452" s="7">
        <v>45305</v>
      </c>
      <c r="C1452" t="s">
        <v>967</v>
      </c>
      <c r="D1452" t="s">
        <v>1090</v>
      </c>
      <c r="E1452" t="s">
        <v>1304</v>
      </c>
      <c r="F1452" t="str">
        <f>[1]Raw_Customer_Dim!$A$2</f>
        <v>CUST1000</v>
      </c>
      <c r="G1452" t="str">
        <f>_xlfn.XLOOKUP(E1452,Store_Dim!A:A,Store_Dim!B:B,"Not Found")</f>
        <v>Martinez-Mullins</v>
      </c>
      <c r="H1452" t="str">
        <f>_xlfn.XLOOKUP(D1452,Product_Dim!A:A,Product_Dim!C:C,"Not Found")</f>
        <v>Sports</v>
      </c>
      <c r="I1452" t="str">
        <f>_xlfn.XLOOKUP(E1452,Store_Dim!A:A,Store_Dim!C:C,"Not Found")</f>
        <v>South</v>
      </c>
      <c r="J1452" t="str">
        <f>_xlfn.XLOOKUP(C1452,Customer_Dim!A:A,Customer_Dim!B:B,"Not Found")</f>
        <v>Jeffery Wolf</v>
      </c>
      <c r="K1452">
        <v>1</v>
      </c>
      <c r="L1452" s="5">
        <v>484.23</v>
      </c>
      <c r="M1452">
        <v>0.12</v>
      </c>
      <c r="N1452" t="s">
        <v>1354</v>
      </c>
      <c r="O1452" s="5">
        <v>426.12240000000003</v>
      </c>
    </row>
    <row r="1453" spans="1:15">
      <c r="A1453" t="s">
        <v>2802</v>
      </c>
      <c r="B1453" s="7">
        <v>45383</v>
      </c>
      <c r="C1453" t="s">
        <v>27</v>
      </c>
      <c r="D1453" t="s">
        <v>1143</v>
      </c>
      <c r="E1453" t="s">
        <v>1335</v>
      </c>
      <c r="F1453" t="str">
        <f>[1]Raw_Customer_Dim!$A$2</f>
        <v>CUST1000</v>
      </c>
      <c r="G1453" t="str">
        <f>_xlfn.XLOOKUP(E1453,Store_Dim!A:A,Store_Dim!B:B,"Not Found")</f>
        <v>Guerrero-Schmitt</v>
      </c>
      <c r="H1453" t="str">
        <f>_xlfn.XLOOKUP(D1453,Product_Dim!A:A,Product_Dim!C:C,"Not Found")</f>
        <v>Home</v>
      </c>
      <c r="I1453" t="str">
        <f>_xlfn.XLOOKUP(E1453,Store_Dim!A:A,Store_Dim!C:C,"Not Found")</f>
        <v>East</v>
      </c>
      <c r="J1453" t="str">
        <f>_xlfn.XLOOKUP(C1453,Customer_Dim!A:A,Customer_Dim!B:B,"Not Found")</f>
        <v>Christine Vaughn</v>
      </c>
      <c r="K1453">
        <v>3</v>
      </c>
      <c r="L1453" s="5">
        <v>341.51</v>
      </c>
      <c r="M1453">
        <v>0.22</v>
      </c>
      <c r="N1453" t="s">
        <v>1354</v>
      </c>
      <c r="O1453" s="5">
        <v>799.13340000000005</v>
      </c>
    </row>
    <row r="1454" spans="1:15">
      <c r="A1454" t="s">
        <v>2803</v>
      </c>
      <c r="B1454" s="7">
        <v>45788</v>
      </c>
      <c r="C1454" t="s">
        <v>277</v>
      </c>
      <c r="D1454" t="s">
        <v>1269</v>
      </c>
      <c r="E1454" t="s">
        <v>1322</v>
      </c>
      <c r="F1454" t="str">
        <f>[1]Raw_Customer_Dim!$A$2</f>
        <v>CUST1000</v>
      </c>
      <c r="G1454" t="str">
        <f>_xlfn.XLOOKUP(E1454,Store_Dim!A:A,Store_Dim!B:B,"Not Found")</f>
        <v>Gardner, Humphrey and Contreras</v>
      </c>
      <c r="H1454" t="str">
        <f>_xlfn.XLOOKUP(D1454,Product_Dim!A:A,Product_Dim!C:C,"Not Found")</f>
        <v>Electronics</v>
      </c>
      <c r="I1454" t="str">
        <f>_xlfn.XLOOKUP(E1454,Store_Dim!A:A,Store_Dim!C:C,"Not Found")</f>
        <v>East</v>
      </c>
      <c r="J1454" t="str">
        <f>_xlfn.XLOOKUP(C1454,Customer_Dim!A:A,Customer_Dim!B:B,"Not Found")</f>
        <v>Amy Walker</v>
      </c>
      <c r="K1454">
        <v>3</v>
      </c>
      <c r="L1454" s="5">
        <v>758.87</v>
      </c>
      <c r="M1454">
        <v>0.11</v>
      </c>
      <c r="N1454" t="s">
        <v>1351</v>
      </c>
      <c r="O1454" s="5">
        <v>2026.1829</v>
      </c>
    </row>
    <row r="1455" spans="1:15">
      <c r="A1455" t="s">
        <v>2804</v>
      </c>
      <c r="B1455" s="7">
        <v>45855</v>
      </c>
      <c r="C1455" t="s">
        <v>1002</v>
      </c>
      <c r="D1455" t="s">
        <v>1185</v>
      </c>
      <c r="E1455" t="s">
        <v>1319</v>
      </c>
      <c r="F1455" t="str">
        <f>[1]Raw_Customer_Dim!$A$2</f>
        <v>CUST1000</v>
      </c>
      <c r="G1455" t="str">
        <f>_xlfn.XLOOKUP(E1455,Store_Dim!A:A,Store_Dim!B:B,"Not Found")</f>
        <v>Thomas, Bridges and Harris</v>
      </c>
      <c r="H1455" t="str">
        <f>_xlfn.XLOOKUP(D1455,Product_Dim!A:A,Product_Dim!C:C,"Not Found")</f>
        <v>Home</v>
      </c>
      <c r="I1455" t="str">
        <f>_xlfn.XLOOKUP(E1455,Store_Dim!A:A,Store_Dim!C:C,"Not Found")</f>
        <v>North</v>
      </c>
      <c r="J1455" t="str">
        <f>_xlfn.XLOOKUP(C1455,Customer_Dim!A:A,Customer_Dim!B:B,"Not Found")</f>
        <v>Manuel Fisher</v>
      </c>
      <c r="K1455">
        <v>3</v>
      </c>
      <c r="L1455" s="5">
        <v>560.52</v>
      </c>
      <c r="M1455">
        <v>0.17</v>
      </c>
      <c r="N1455" t="s">
        <v>1349</v>
      </c>
      <c r="O1455" s="5">
        <v>1395.6948</v>
      </c>
    </row>
    <row r="1456" spans="1:15">
      <c r="A1456" t="s">
        <v>2805</v>
      </c>
      <c r="B1456" s="7">
        <v>45533</v>
      </c>
      <c r="C1456" t="s">
        <v>766</v>
      </c>
      <c r="D1456" t="s">
        <v>1265</v>
      </c>
      <c r="E1456" t="s">
        <v>1332</v>
      </c>
      <c r="F1456" t="str">
        <f>[1]Raw_Customer_Dim!$A$2</f>
        <v>CUST1000</v>
      </c>
      <c r="G1456" t="str">
        <f>_xlfn.XLOOKUP(E1456,Store_Dim!A:A,Store_Dim!B:B,"Not Found")</f>
        <v>Holloway Ltd</v>
      </c>
      <c r="H1456" t="str">
        <f>_xlfn.XLOOKUP(D1456,Product_Dim!A:A,Product_Dim!C:C,"Not Found")</f>
        <v>Clothing</v>
      </c>
      <c r="I1456" t="str">
        <f>_xlfn.XLOOKUP(E1456,Store_Dim!A:A,Store_Dim!C:C,"Not Found")</f>
        <v>North</v>
      </c>
      <c r="J1456" t="str">
        <f>_xlfn.XLOOKUP(C1456,Customer_Dim!A:A,Customer_Dim!B:B,"Not Found")</f>
        <v>Jeffrey Mccarthy</v>
      </c>
      <c r="K1456">
        <v>2</v>
      </c>
      <c r="L1456" s="5">
        <v>977.18</v>
      </c>
      <c r="M1456">
        <v>0.19</v>
      </c>
      <c r="N1456" t="s">
        <v>1349</v>
      </c>
      <c r="O1456" s="5">
        <v>1583.0316</v>
      </c>
    </row>
    <row r="1457" spans="1:15">
      <c r="A1457" t="s">
        <v>2806</v>
      </c>
      <c r="B1457" s="7">
        <v>45763</v>
      </c>
      <c r="C1457" t="s">
        <v>535</v>
      </c>
      <c r="D1457" t="s">
        <v>1105</v>
      </c>
      <c r="E1457" t="s">
        <v>1324</v>
      </c>
      <c r="F1457" t="str">
        <f>[1]Raw_Customer_Dim!$A$2</f>
        <v>CUST1000</v>
      </c>
      <c r="G1457" t="str">
        <f>_xlfn.XLOOKUP(E1457,Store_Dim!A:A,Store_Dim!B:B,"Not Found")</f>
        <v>Mcdonald Inc</v>
      </c>
      <c r="H1457" t="str">
        <f>_xlfn.XLOOKUP(D1457,Product_Dim!A:A,Product_Dim!C:C,"Not Found")</f>
        <v>Not Found</v>
      </c>
      <c r="I1457" t="str">
        <f>_xlfn.XLOOKUP(E1457,Store_Dim!A:A,Store_Dim!C:C,"Not Found")</f>
        <v>South</v>
      </c>
      <c r="J1457" t="str">
        <f>_xlfn.XLOOKUP(C1457,Customer_Dim!A:A,Customer_Dim!B:B,"Not Found")</f>
        <v>Joshua Wilson</v>
      </c>
      <c r="K1457">
        <v>4</v>
      </c>
      <c r="L1457" s="5">
        <v>761.35</v>
      </c>
      <c r="M1457">
        <v>0.08</v>
      </c>
      <c r="N1457" t="s">
        <v>1349</v>
      </c>
      <c r="O1457" s="5">
        <v>2801.768</v>
      </c>
    </row>
    <row r="1458" spans="1:15">
      <c r="A1458" t="s">
        <v>2807</v>
      </c>
      <c r="B1458" s="7">
        <v>45900</v>
      </c>
      <c r="C1458" t="s">
        <v>420</v>
      </c>
      <c r="D1458" t="s">
        <v>1207</v>
      </c>
      <c r="E1458" t="s">
        <v>1335</v>
      </c>
      <c r="F1458" t="str">
        <f>[1]Raw_Customer_Dim!$A$2</f>
        <v>CUST1000</v>
      </c>
      <c r="G1458" t="str">
        <f>_xlfn.XLOOKUP(E1458,Store_Dim!A:A,Store_Dim!B:B,"Not Found")</f>
        <v>Guerrero-Schmitt</v>
      </c>
      <c r="H1458" t="str">
        <f>_xlfn.XLOOKUP(D1458,Product_Dim!A:A,Product_Dim!C:C,"Not Found")</f>
        <v>Electronics</v>
      </c>
      <c r="I1458" t="str">
        <f>_xlfn.XLOOKUP(E1458,Store_Dim!A:A,Store_Dim!C:C,"Not Found")</f>
        <v>East</v>
      </c>
      <c r="J1458" t="str">
        <f>_xlfn.XLOOKUP(C1458,Customer_Dim!A:A,Customer_Dim!B:B,"Not Found")</f>
        <v>Nicholas Bradshaw</v>
      </c>
      <c r="K1458">
        <v>2</v>
      </c>
      <c r="L1458" s="5">
        <v>947.56</v>
      </c>
      <c r="M1458">
        <v>0.02</v>
      </c>
      <c r="N1458" t="s">
        <v>1354</v>
      </c>
      <c r="O1458" s="5">
        <v>1857.2175999999999</v>
      </c>
    </row>
    <row r="1459" spans="1:15">
      <c r="A1459" t="s">
        <v>2808</v>
      </c>
      <c r="B1459" s="7">
        <v>45943</v>
      </c>
      <c r="C1459" t="s">
        <v>539</v>
      </c>
      <c r="D1459" t="s">
        <v>1159</v>
      </c>
      <c r="E1459" t="s">
        <v>1335</v>
      </c>
      <c r="F1459" t="str">
        <f>[1]Raw_Customer_Dim!$A$2</f>
        <v>CUST1000</v>
      </c>
      <c r="G1459" t="str">
        <f>_xlfn.XLOOKUP(E1459,Store_Dim!A:A,Store_Dim!B:B,"Not Found")</f>
        <v>Guerrero-Schmitt</v>
      </c>
      <c r="H1459" t="str">
        <f>_xlfn.XLOOKUP(D1459,Product_Dim!A:A,Product_Dim!C:C,"Not Found")</f>
        <v>Electronics</v>
      </c>
      <c r="I1459" t="str">
        <f>_xlfn.XLOOKUP(E1459,Store_Dim!A:A,Store_Dim!C:C,"Not Found")</f>
        <v>East</v>
      </c>
      <c r="J1459" t="str">
        <f>_xlfn.XLOOKUP(C1459,Customer_Dim!A:A,Customer_Dim!B:B,"Not Found")</f>
        <v>Steven Smith</v>
      </c>
      <c r="K1459">
        <v>4</v>
      </c>
      <c r="L1459" s="5">
        <v>975.47</v>
      </c>
      <c r="M1459">
        <v>0.04</v>
      </c>
      <c r="N1459" t="s">
        <v>1349</v>
      </c>
      <c r="O1459" s="5">
        <v>3745.8047999999999</v>
      </c>
    </row>
    <row r="1460" spans="1:15">
      <c r="A1460" t="s">
        <v>2809</v>
      </c>
      <c r="B1460" s="7">
        <v>45448</v>
      </c>
      <c r="C1460" t="s">
        <v>1016</v>
      </c>
      <c r="D1460" t="s">
        <v>1099</v>
      </c>
      <c r="E1460" t="s">
        <v>1311</v>
      </c>
      <c r="F1460" t="str">
        <f>[1]Raw_Customer_Dim!$A$2</f>
        <v>CUST1000</v>
      </c>
      <c r="G1460" t="str">
        <f>_xlfn.XLOOKUP(E1460,Store_Dim!A:A,Store_Dim!B:B,"Not Found")</f>
        <v>Moore, Padilla and Butler</v>
      </c>
      <c r="H1460" t="str">
        <f>_xlfn.XLOOKUP(D1460,Product_Dim!A:A,Product_Dim!C:C,"Not Found")</f>
        <v>Electronics</v>
      </c>
      <c r="I1460" t="str">
        <f>_xlfn.XLOOKUP(E1460,Store_Dim!A:A,Store_Dim!C:C,"Not Found")</f>
        <v>South</v>
      </c>
      <c r="J1460" t="str">
        <f>_xlfn.XLOOKUP(C1460,Customer_Dim!A:A,Customer_Dim!B:B,"Not Found")</f>
        <v>Andrea Harris</v>
      </c>
      <c r="K1460">
        <v>3</v>
      </c>
      <c r="L1460" s="5">
        <v>769.06</v>
      </c>
      <c r="M1460">
        <v>0.23</v>
      </c>
      <c r="N1460" t="s">
        <v>1354</v>
      </c>
      <c r="O1460" s="5">
        <v>1776.5286000000001</v>
      </c>
    </row>
    <row r="1461" spans="1:15">
      <c r="A1461" t="s">
        <v>2810</v>
      </c>
      <c r="B1461" s="7">
        <v>45929</v>
      </c>
      <c r="C1461" t="s">
        <v>1033</v>
      </c>
      <c r="D1461" t="s">
        <v>1151</v>
      </c>
      <c r="E1461" t="s">
        <v>1286</v>
      </c>
      <c r="F1461" t="str">
        <f>[1]Raw_Customer_Dim!$A$2</f>
        <v>CUST1000</v>
      </c>
      <c r="G1461" t="str">
        <f>_xlfn.XLOOKUP(E1461,Store_Dim!A:A,Store_Dim!B:B,"Not Found")</f>
        <v>Black-Horn</v>
      </c>
      <c r="H1461" t="str">
        <f>_xlfn.XLOOKUP(D1461,Product_Dim!A:A,Product_Dim!C:C,"Not Found")</f>
        <v>Electronics</v>
      </c>
      <c r="I1461" t="str">
        <f>_xlfn.XLOOKUP(E1461,Store_Dim!A:A,Store_Dim!C:C,"Not Found")</f>
        <v>South</v>
      </c>
      <c r="J1461" t="str">
        <f>_xlfn.XLOOKUP(C1461,Customer_Dim!A:A,Customer_Dim!B:B,"Not Found")</f>
        <v>Not Found</v>
      </c>
      <c r="K1461">
        <v>3</v>
      </c>
      <c r="L1461" s="5">
        <v>824.75</v>
      </c>
      <c r="M1461">
        <v>0.23</v>
      </c>
      <c r="N1461" t="s">
        <v>1349</v>
      </c>
      <c r="O1461" s="5">
        <v>1905.1724999999999</v>
      </c>
    </row>
    <row r="1462" spans="1:15">
      <c r="A1462" t="s">
        <v>2811</v>
      </c>
      <c r="B1462" s="7">
        <v>45478</v>
      </c>
      <c r="C1462" t="s">
        <v>865</v>
      </c>
      <c r="D1462" t="s">
        <v>1209</v>
      </c>
      <c r="E1462" t="s">
        <v>1294</v>
      </c>
      <c r="F1462" t="str">
        <f>[1]Raw_Customer_Dim!$A$2</f>
        <v>CUST1000</v>
      </c>
      <c r="G1462" t="str">
        <f>_xlfn.XLOOKUP(E1462,Store_Dim!A:A,Store_Dim!B:B,"Not Found")</f>
        <v>Alexander Group</v>
      </c>
      <c r="H1462" t="str">
        <f>_xlfn.XLOOKUP(D1462,Product_Dim!A:A,Product_Dim!C:C,"Not Found")</f>
        <v>Home</v>
      </c>
      <c r="I1462" t="str">
        <f>_xlfn.XLOOKUP(E1462,Store_Dim!A:A,Store_Dim!C:C,"Not Found")</f>
        <v>South</v>
      </c>
      <c r="J1462" t="str">
        <f>_xlfn.XLOOKUP(C1462,Customer_Dim!A:A,Customer_Dim!B:B,"Not Found")</f>
        <v>Terry Moses</v>
      </c>
      <c r="K1462">
        <v>2</v>
      </c>
      <c r="L1462" s="5">
        <v>821.35</v>
      </c>
      <c r="M1462">
        <v>0.11</v>
      </c>
      <c r="N1462" t="s">
        <v>1351</v>
      </c>
      <c r="O1462" s="5">
        <v>1462.0029999999999</v>
      </c>
    </row>
    <row r="1463" spans="1:15">
      <c r="A1463" t="s">
        <v>2812</v>
      </c>
      <c r="B1463" s="7">
        <v>45723</v>
      </c>
      <c r="C1463" t="s">
        <v>873</v>
      </c>
      <c r="D1463" t="s">
        <v>1099</v>
      </c>
      <c r="E1463" t="s">
        <v>1314</v>
      </c>
      <c r="F1463" t="str">
        <f>[1]Raw_Customer_Dim!$A$2</f>
        <v>CUST1000</v>
      </c>
      <c r="G1463" t="str">
        <f>_xlfn.XLOOKUP(E1463,Store_Dim!A:A,Store_Dim!B:B,"Not Found")</f>
        <v>Hill, Wagner and Ballard</v>
      </c>
      <c r="H1463" t="str">
        <f>_xlfn.XLOOKUP(D1463,Product_Dim!A:A,Product_Dim!C:C,"Not Found")</f>
        <v>Electronics</v>
      </c>
      <c r="I1463" t="str">
        <f>_xlfn.XLOOKUP(E1463,Store_Dim!A:A,Store_Dim!C:C,"Not Found")</f>
        <v>East</v>
      </c>
      <c r="J1463" t="str">
        <f>_xlfn.XLOOKUP(C1463,Customer_Dim!A:A,Customer_Dim!B:B,"Not Found")</f>
        <v>Eric Wolfe</v>
      </c>
      <c r="K1463">
        <v>1</v>
      </c>
      <c r="L1463" s="5">
        <v>120.57</v>
      </c>
      <c r="M1463">
        <v>0.06</v>
      </c>
      <c r="N1463" t="s">
        <v>1351</v>
      </c>
      <c r="O1463" s="5">
        <v>113.33580000000001</v>
      </c>
    </row>
    <row r="1464" spans="1:15">
      <c r="A1464" t="s">
        <v>2813</v>
      </c>
      <c r="B1464" s="7">
        <v>45240</v>
      </c>
      <c r="C1464" t="s">
        <v>734</v>
      </c>
      <c r="D1464" t="s">
        <v>1251</v>
      </c>
      <c r="E1464" t="s">
        <v>1282</v>
      </c>
      <c r="F1464" t="str">
        <f>[1]Raw_Customer_Dim!$A$2</f>
        <v>CUST1000</v>
      </c>
      <c r="G1464" t="str">
        <f>_xlfn.XLOOKUP(E1464,Store_Dim!A:A,Store_Dim!B:B,"Not Found")</f>
        <v>Martinez, Adkins and Johnson</v>
      </c>
      <c r="H1464" t="str">
        <f>_xlfn.XLOOKUP(D1464,Product_Dim!A:A,Product_Dim!C:C,"Not Found")</f>
        <v>Beauty</v>
      </c>
      <c r="I1464" t="str">
        <f>_xlfn.XLOOKUP(E1464,Store_Dim!A:A,Store_Dim!C:C,"Not Found")</f>
        <v>North</v>
      </c>
      <c r="J1464" t="str">
        <f>_xlfn.XLOOKUP(C1464,Customer_Dim!A:A,Customer_Dim!B:B,"Not Found")</f>
        <v>Jennifer Woods</v>
      </c>
      <c r="K1464">
        <v>1</v>
      </c>
      <c r="L1464" s="5">
        <v>122.27</v>
      </c>
      <c r="M1464">
        <v>0.26</v>
      </c>
      <c r="N1464" t="s">
        <v>1351</v>
      </c>
      <c r="O1464" s="5">
        <v>90.479799999999997</v>
      </c>
    </row>
    <row r="1465" spans="1:15">
      <c r="A1465" t="s">
        <v>2814</v>
      </c>
      <c r="B1465" s="7">
        <v>45890</v>
      </c>
      <c r="C1465" t="s">
        <v>401</v>
      </c>
      <c r="D1465" t="s">
        <v>1125</v>
      </c>
      <c r="E1465" t="s">
        <v>1286</v>
      </c>
      <c r="F1465" t="str">
        <f>[1]Raw_Customer_Dim!$A$2</f>
        <v>CUST1000</v>
      </c>
      <c r="G1465" t="str">
        <f>_xlfn.XLOOKUP(E1465,Store_Dim!A:A,Store_Dim!B:B,"Not Found")</f>
        <v>Black-Horn</v>
      </c>
      <c r="H1465" t="str">
        <f>_xlfn.XLOOKUP(D1465,Product_Dim!A:A,Product_Dim!C:C,"Not Found")</f>
        <v>Electronics</v>
      </c>
      <c r="I1465" t="str">
        <f>_xlfn.XLOOKUP(E1465,Store_Dim!A:A,Store_Dim!C:C,"Not Found")</f>
        <v>South</v>
      </c>
      <c r="J1465" t="str">
        <f>_xlfn.XLOOKUP(C1465,Customer_Dim!A:A,Customer_Dim!B:B,"Not Found")</f>
        <v>Christopher Garcia DDS</v>
      </c>
      <c r="K1465">
        <v>2</v>
      </c>
      <c r="L1465" s="5">
        <v>182.89</v>
      </c>
      <c r="M1465">
        <v>0.11</v>
      </c>
      <c r="N1465" t="s">
        <v>1349</v>
      </c>
      <c r="O1465" s="5">
        <v>325.54419999999999</v>
      </c>
    </row>
    <row r="1466" spans="1:15">
      <c r="A1466" t="s">
        <v>2815</v>
      </c>
      <c r="B1466" s="7">
        <v>45796</v>
      </c>
      <c r="C1466" t="s">
        <v>805</v>
      </c>
      <c r="D1466" t="s">
        <v>1165</v>
      </c>
      <c r="E1466" t="s">
        <v>1294</v>
      </c>
      <c r="F1466" t="str">
        <f>[1]Raw_Customer_Dim!$A$2</f>
        <v>CUST1000</v>
      </c>
      <c r="G1466" t="str">
        <f>_xlfn.XLOOKUP(E1466,Store_Dim!A:A,Store_Dim!B:B,"Not Found")</f>
        <v>Alexander Group</v>
      </c>
      <c r="H1466" t="str">
        <f>_xlfn.XLOOKUP(D1466,Product_Dim!A:A,Product_Dim!C:C,"Not Found")</f>
        <v>Clothing</v>
      </c>
      <c r="I1466" t="str">
        <f>_xlfn.XLOOKUP(E1466,Store_Dim!A:A,Store_Dim!C:C,"Not Found")</f>
        <v>South</v>
      </c>
      <c r="J1466" t="str">
        <f>_xlfn.XLOOKUP(C1466,Customer_Dim!A:A,Customer_Dim!B:B,"Not Found")</f>
        <v>Michael Garner</v>
      </c>
      <c r="K1466">
        <v>1</v>
      </c>
      <c r="L1466" s="5">
        <v>695.26</v>
      </c>
      <c r="M1466">
        <v>0.23</v>
      </c>
      <c r="N1466" t="s">
        <v>1351</v>
      </c>
      <c r="O1466" s="5">
        <v>535.35019999999997</v>
      </c>
    </row>
    <row r="1467" spans="1:15">
      <c r="A1467" t="s">
        <v>2816</v>
      </c>
      <c r="B1467" s="7">
        <v>45895</v>
      </c>
      <c r="C1467" t="s">
        <v>87</v>
      </c>
      <c r="D1467" t="s">
        <v>1131</v>
      </c>
      <c r="E1467" t="s">
        <v>1301</v>
      </c>
      <c r="F1467" t="str">
        <f>[1]Raw_Customer_Dim!$A$2</f>
        <v>CUST1000</v>
      </c>
      <c r="G1467" t="str">
        <f>_xlfn.XLOOKUP(E1467,Store_Dim!A:A,Store_Dim!B:B,"Not Found")</f>
        <v>Benson-Elliott</v>
      </c>
      <c r="H1467" t="str">
        <f>_xlfn.XLOOKUP(D1467,Product_Dim!A:A,Product_Dim!C:C,"Not Found")</f>
        <v>Home</v>
      </c>
      <c r="I1467" t="str">
        <f>_xlfn.XLOOKUP(E1467,Store_Dim!A:A,Store_Dim!C:C,"Not Found")</f>
        <v>East</v>
      </c>
      <c r="J1467" t="str">
        <f>_xlfn.XLOOKUP(C1467,Customer_Dim!A:A,Customer_Dim!B:B,"Not Found")</f>
        <v>Leslie Johnson</v>
      </c>
      <c r="K1467">
        <v>2</v>
      </c>
      <c r="L1467" s="5">
        <v>408.8</v>
      </c>
      <c r="M1467">
        <v>0.17</v>
      </c>
      <c r="N1467" t="s">
        <v>1354</v>
      </c>
      <c r="O1467" s="5">
        <v>678.60799999999995</v>
      </c>
    </row>
    <row r="1468" spans="1:15">
      <c r="A1468" t="s">
        <v>2817</v>
      </c>
      <c r="B1468" s="7">
        <v>45676</v>
      </c>
      <c r="C1468" t="s">
        <v>515</v>
      </c>
      <c r="D1468" t="s">
        <v>1171</v>
      </c>
      <c r="E1468" t="s">
        <v>1307</v>
      </c>
      <c r="F1468" t="str">
        <f>[1]Raw_Customer_Dim!$A$2</f>
        <v>CUST1000</v>
      </c>
      <c r="G1468" t="str">
        <f>_xlfn.XLOOKUP(E1468,Store_Dim!A:A,Store_Dim!B:B,"Not Found")</f>
        <v>Bean, Jones and Park</v>
      </c>
      <c r="H1468" t="str">
        <f>_xlfn.XLOOKUP(D1468,Product_Dim!A:A,Product_Dim!C:C,"Not Found")</f>
        <v>Beauty</v>
      </c>
      <c r="I1468" t="str">
        <f>_xlfn.XLOOKUP(E1468,Store_Dim!A:A,Store_Dim!C:C,"Not Found")</f>
        <v>West</v>
      </c>
      <c r="J1468" t="str">
        <f>_xlfn.XLOOKUP(C1468,Customer_Dim!A:A,Customer_Dim!B:B,"Not Found")</f>
        <v>Alexis Castaneda</v>
      </c>
      <c r="K1468">
        <v>3</v>
      </c>
      <c r="L1468" s="5">
        <v>512.15</v>
      </c>
      <c r="M1468">
        <v>0.12</v>
      </c>
      <c r="N1468" t="s">
        <v>1349</v>
      </c>
      <c r="O1468" s="5">
        <v>1352.076</v>
      </c>
    </row>
    <row r="1469" spans="1:15">
      <c r="A1469" t="s">
        <v>2818</v>
      </c>
      <c r="B1469" s="7">
        <v>45568</v>
      </c>
      <c r="C1469" t="s">
        <v>881</v>
      </c>
      <c r="D1469" t="s">
        <v>1090</v>
      </c>
      <c r="E1469" t="s">
        <v>1307</v>
      </c>
      <c r="F1469" t="str">
        <f>[1]Raw_Customer_Dim!$A$2</f>
        <v>CUST1000</v>
      </c>
      <c r="G1469" t="str">
        <f>_xlfn.XLOOKUP(E1469,Store_Dim!A:A,Store_Dim!B:B,"Not Found")</f>
        <v>Bean, Jones and Park</v>
      </c>
      <c r="H1469" t="str">
        <f>_xlfn.XLOOKUP(D1469,Product_Dim!A:A,Product_Dim!C:C,"Not Found")</f>
        <v>Sports</v>
      </c>
      <c r="I1469" t="str">
        <f>_xlfn.XLOOKUP(E1469,Store_Dim!A:A,Store_Dim!C:C,"Not Found")</f>
        <v>West</v>
      </c>
      <c r="J1469" t="str">
        <f>_xlfn.XLOOKUP(C1469,Customer_Dim!A:A,Customer_Dim!B:B,"Not Found")</f>
        <v>Sarah Smith</v>
      </c>
      <c r="K1469">
        <v>3</v>
      </c>
      <c r="L1469" s="5">
        <v>136.4</v>
      </c>
      <c r="M1469">
        <v>0.15</v>
      </c>
      <c r="N1469" t="s">
        <v>1351</v>
      </c>
      <c r="O1469" s="5">
        <v>347.82000000000011</v>
      </c>
    </row>
    <row r="1470" spans="1:15">
      <c r="A1470" t="s">
        <v>2819</v>
      </c>
      <c r="B1470" s="7">
        <v>45272</v>
      </c>
      <c r="C1470" t="s">
        <v>411</v>
      </c>
      <c r="D1470" t="s">
        <v>1082</v>
      </c>
      <c r="E1470" t="s">
        <v>1291</v>
      </c>
      <c r="F1470" t="str">
        <f>[1]Raw_Customer_Dim!$A$2</f>
        <v>CUST1000</v>
      </c>
      <c r="G1470" t="str">
        <f>_xlfn.XLOOKUP(E1470,Store_Dim!A:A,Store_Dim!B:B,"Not Found")</f>
        <v>Johnson-Wright</v>
      </c>
      <c r="H1470" t="str">
        <f>_xlfn.XLOOKUP(D1470,Product_Dim!A:A,Product_Dim!C:C,"Not Found")</f>
        <v>Beauty</v>
      </c>
      <c r="I1470" t="str">
        <f>_xlfn.XLOOKUP(E1470,Store_Dim!A:A,Store_Dim!C:C,"Not Found")</f>
        <v>North</v>
      </c>
      <c r="J1470" t="str">
        <f>_xlfn.XLOOKUP(C1470,Customer_Dim!A:A,Customer_Dim!B:B,"Not Found")</f>
        <v>Michelle Rogers</v>
      </c>
      <c r="K1470">
        <v>2</v>
      </c>
      <c r="L1470" s="5">
        <v>42.51</v>
      </c>
      <c r="M1470">
        <v>0.04</v>
      </c>
      <c r="N1470" t="s">
        <v>1354</v>
      </c>
      <c r="O1470" s="5">
        <v>81.619199999999992</v>
      </c>
    </row>
    <row r="1471" spans="1:15">
      <c r="A1471" t="s">
        <v>2820</v>
      </c>
      <c r="B1471" s="7">
        <v>45718</v>
      </c>
      <c r="C1471" t="s">
        <v>781</v>
      </c>
      <c r="D1471" t="s">
        <v>1223</v>
      </c>
      <c r="E1471" t="s">
        <v>1304</v>
      </c>
      <c r="F1471" t="str">
        <f>[1]Raw_Customer_Dim!$A$2</f>
        <v>CUST1000</v>
      </c>
      <c r="G1471" t="str">
        <f>_xlfn.XLOOKUP(E1471,Store_Dim!A:A,Store_Dim!B:B,"Not Found")</f>
        <v>Martinez-Mullins</v>
      </c>
      <c r="H1471" t="str">
        <f>_xlfn.XLOOKUP(D1471,Product_Dim!A:A,Product_Dim!C:C,"Not Found")</f>
        <v>Clothing</v>
      </c>
      <c r="I1471" t="str">
        <f>_xlfn.XLOOKUP(E1471,Store_Dim!A:A,Store_Dim!C:C,"Not Found")</f>
        <v>South</v>
      </c>
      <c r="J1471" t="str">
        <f>_xlfn.XLOOKUP(C1471,Customer_Dim!A:A,Customer_Dim!B:B,"Not Found")</f>
        <v>Melanie Lam</v>
      </c>
      <c r="K1471">
        <v>3</v>
      </c>
      <c r="L1471" s="5">
        <v>582.1</v>
      </c>
      <c r="M1471">
        <v>0.12</v>
      </c>
      <c r="N1471" t="s">
        <v>1351</v>
      </c>
      <c r="O1471" s="5">
        <v>1536.7439999999999</v>
      </c>
    </row>
    <row r="1472" spans="1:15">
      <c r="A1472" t="s">
        <v>2821</v>
      </c>
      <c r="B1472" s="7">
        <v>45356</v>
      </c>
      <c r="C1472" t="s">
        <v>500</v>
      </c>
      <c r="D1472" t="s">
        <v>1237</v>
      </c>
      <c r="E1472" t="s">
        <v>1332</v>
      </c>
      <c r="F1472" t="str">
        <f>[1]Raw_Customer_Dim!$A$2</f>
        <v>CUST1000</v>
      </c>
      <c r="G1472" t="str">
        <f>_xlfn.XLOOKUP(E1472,Store_Dim!A:A,Store_Dim!B:B,"Not Found")</f>
        <v>Holloway Ltd</v>
      </c>
      <c r="H1472" t="str">
        <f>_xlfn.XLOOKUP(D1472,Product_Dim!A:A,Product_Dim!C:C,"Not Found")</f>
        <v>Sports</v>
      </c>
      <c r="I1472" t="str">
        <f>_xlfn.XLOOKUP(E1472,Store_Dim!A:A,Store_Dim!C:C,"Not Found")</f>
        <v>North</v>
      </c>
      <c r="J1472" t="str">
        <f>_xlfn.XLOOKUP(C1472,Customer_Dim!A:A,Customer_Dim!B:B,"Not Found")</f>
        <v>Jordan Wells</v>
      </c>
      <c r="K1472">
        <v>4</v>
      </c>
      <c r="L1472" s="5">
        <v>461.52</v>
      </c>
      <c r="M1472">
        <v>0</v>
      </c>
      <c r="N1472" t="s">
        <v>1354</v>
      </c>
      <c r="O1472" s="5">
        <v>1846.08</v>
      </c>
    </row>
    <row r="1473" spans="1:15">
      <c r="A1473" t="s">
        <v>2822</v>
      </c>
      <c r="B1473" s="7">
        <v>45552</v>
      </c>
      <c r="C1473" t="s">
        <v>1053</v>
      </c>
      <c r="D1473" t="s">
        <v>1105</v>
      </c>
      <c r="E1473" t="s">
        <v>1317</v>
      </c>
      <c r="F1473" t="str">
        <f>[1]Raw_Customer_Dim!$A$2</f>
        <v>CUST1000</v>
      </c>
      <c r="G1473" t="str">
        <f>_xlfn.XLOOKUP(E1473,Store_Dim!A:A,Store_Dim!B:B,"Not Found")</f>
        <v>Aguirre-Keller</v>
      </c>
      <c r="H1473" t="str">
        <f>_xlfn.XLOOKUP(D1473,Product_Dim!A:A,Product_Dim!C:C,"Not Found")</f>
        <v>Not Found</v>
      </c>
      <c r="I1473" t="str">
        <f>_xlfn.XLOOKUP(E1473,Store_Dim!A:A,Store_Dim!C:C,"Not Found")</f>
        <v>South</v>
      </c>
      <c r="J1473" t="str">
        <f>_xlfn.XLOOKUP(C1473,Customer_Dim!A:A,Customer_Dim!B:B,"Not Found")</f>
        <v>Christopher Ford</v>
      </c>
      <c r="K1473">
        <v>1</v>
      </c>
      <c r="L1473" s="5">
        <v>558.41999999999996</v>
      </c>
      <c r="M1473">
        <v>0.03</v>
      </c>
      <c r="N1473" t="s">
        <v>1349</v>
      </c>
      <c r="O1473" s="5">
        <v>541.66739999999993</v>
      </c>
    </row>
    <row r="1474" spans="1:15">
      <c r="A1474" t="s">
        <v>2823</v>
      </c>
      <c r="B1474" s="7">
        <v>45288</v>
      </c>
      <c r="C1474" t="s">
        <v>589</v>
      </c>
      <c r="D1474" t="s">
        <v>1097</v>
      </c>
      <c r="E1474" t="s">
        <v>1335</v>
      </c>
      <c r="F1474" t="str">
        <f>[1]Raw_Customer_Dim!$A$2</f>
        <v>CUST1000</v>
      </c>
      <c r="G1474" t="str">
        <f>_xlfn.XLOOKUP(E1474,Store_Dim!A:A,Store_Dim!B:B,"Not Found")</f>
        <v>Guerrero-Schmitt</v>
      </c>
      <c r="H1474" t="str">
        <f>_xlfn.XLOOKUP(D1474,Product_Dim!A:A,Product_Dim!C:C,"Not Found")</f>
        <v>Beauty</v>
      </c>
      <c r="I1474" t="str">
        <f>_xlfn.XLOOKUP(E1474,Store_Dim!A:A,Store_Dim!C:C,"Not Found")</f>
        <v>East</v>
      </c>
      <c r="J1474" t="str">
        <f>_xlfn.XLOOKUP(C1474,Customer_Dim!A:A,Customer_Dim!B:B,"Not Found")</f>
        <v>Crystal Davis</v>
      </c>
      <c r="K1474">
        <v>4</v>
      </c>
      <c r="L1474" s="5">
        <v>700.98</v>
      </c>
      <c r="M1474">
        <v>0.12</v>
      </c>
      <c r="N1474" t="s">
        <v>1351</v>
      </c>
      <c r="O1474" s="5">
        <v>2467.4495999999999</v>
      </c>
    </row>
    <row r="1475" spans="1:15">
      <c r="A1475" t="s">
        <v>2824</v>
      </c>
      <c r="B1475" s="7">
        <v>45605</v>
      </c>
      <c r="C1475" t="s">
        <v>873</v>
      </c>
      <c r="D1475" t="s">
        <v>1243</v>
      </c>
      <c r="E1475" t="s">
        <v>1335</v>
      </c>
      <c r="F1475" t="str">
        <f>[1]Raw_Customer_Dim!$A$2</f>
        <v>CUST1000</v>
      </c>
      <c r="G1475" t="str">
        <f>_xlfn.XLOOKUP(E1475,Store_Dim!A:A,Store_Dim!B:B,"Not Found")</f>
        <v>Guerrero-Schmitt</v>
      </c>
      <c r="H1475" t="str">
        <f>_xlfn.XLOOKUP(D1475,Product_Dim!A:A,Product_Dim!C:C,"Not Found")</f>
        <v>Clothing</v>
      </c>
      <c r="I1475" t="str">
        <f>_xlfn.XLOOKUP(E1475,Store_Dim!A:A,Store_Dim!C:C,"Not Found")</f>
        <v>East</v>
      </c>
      <c r="J1475" t="str">
        <f>_xlfn.XLOOKUP(C1475,Customer_Dim!A:A,Customer_Dim!B:B,"Not Found")</f>
        <v>Eric Wolfe</v>
      </c>
      <c r="K1475">
        <v>2</v>
      </c>
      <c r="L1475" s="5">
        <v>227.97</v>
      </c>
      <c r="M1475">
        <v>0.08</v>
      </c>
      <c r="N1475" t="s">
        <v>1354</v>
      </c>
      <c r="O1475" s="5">
        <v>419.46480000000003</v>
      </c>
    </row>
    <row r="1476" spans="1:15">
      <c r="A1476" t="s">
        <v>2825</v>
      </c>
      <c r="B1476" s="7">
        <v>45516</v>
      </c>
      <c r="C1476" t="s">
        <v>1010</v>
      </c>
      <c r="D1476" t="s">
        <v>1151</v>
      </c>
      <c r="E1476" t="s">
        <v>1317</v>
      </c>
      <c r="F1476" t="str">
        <f>[1]Raw_Customer_Dim!$A$2</f>
        <v>CUST1000</v>
      </c>
      <c r="G1476" t="str">
        <f>_xlfn.XLOOKUP(E1476,Store_Dim!A:A,Store_Dim!B:B,"Not Found")</f>
        <v>Aguirre-Keller</v>
      </c>
      <c r="H1476" t="str">
        <f>_xlfn.XLOOKUP(D1476,Product_Dim!A:A,Product_Dim!C:C,"Not Found")</f>
        <v>Electronics</v>
      </c>
      <c r="I1476" t="str">
        <f>_xlfn.XLOOKUP(E1476,Store_Dim!A:A,Store_Dim!C:C,"Not Found")</f>
        <v>South</v>
      </c>
      <c r="J1476" t="str">
        <f>_xlfn.XLOOKUP(C1476,Customer_Dim!A:A,Customer_Dim!B:B,"Not Found")</f>
        <v>Joshua Howard</v>
      </c>
      <c r="K1476">
        <v>4</v>
      </c>
      <c r="L1476" s="5">
        <v>278.70999999999998</v>
      </c>
      <c r="M1476">
        <v>0.2</v>
      </c>
      <c r="N1476" t="s">
        <v>1351</v>
      </c>
      <c r="O1476" s="5">
        <v>891.87199999999996</v>
      </c>
    </row>
    <row r="1477" spans="1:15">
      <c r="A1477" t="s">
        <v>2826</v>
      </c>
      <c r="B1477" s="7">
        <v>45379</v>
      </c>
      <c r="C1477" t="s">
        <v>581</v>
      </c>
      <c r="D1477" t="s">
        <v>1271</v>
      </c>
      <c r="E1477" t="s">
        <v>1307</v>
      </c>
      <c r="F1477" t="str">
        <f>[1]Raw_Customer_Dim!$A$2</f>
        <v>CUST1000</v>
      </c>
      <c r="G1477" t="str">
        <f>_xlfn.XLOOKUP(E1477,Store_Dim!A:A,Store_Dim!B:B,"Not Found")</f>
        <v>Bean, Jones and Park</v>
      </c>
      <c r="H1477" t="str">
        <f>_xlfn.XLOOKUP(D1477,Product_Dim!A:A,Product_Dim!C:C,"Not Found")</f>
        <v>Home</v>
      </c>
      <c r="I1477" t="str">
        <f>_xlfn.XLOOKUP(E1477,Store_Dim!A:A,Store_Dim!C:C,"Not Found")</f>
        <v>West</v>
      </c>
      <c r="J1477" t="str">
        <f>_xlfn.XLOOKUP(C1477,Customer_Dim!A:A,Customer_Dim!B:B,"Not Found")</f>
        <v>Beth Allen</v>
      </c>
      <c r="K1477">
        <v>2</v>
      </c>
      <c r="L1477" s="5">
        <v>916.12</v>
      </c>
      <c r="M1477">
        <v>0.05</v>
      </c>
      <c r="N1477" t="s">
        <v>1351</v>
      </c>
      <c r="O1477" s="5">
        <v>1740.6279999999999</v>
      </c>
    </row>
    <row r="1478" spans="1:15">
      <c r="A1478" t="s">
        <v>2827</v>
      </c>
      <c r="B1478" s="7">
        <v>45567</v>
      </c>
      <c r="C1478" t="s">
        <v>327</v>
      </c>
      <c r="D1478" t="s">
        <v>1093</v>
      </c>
      <c r="E1478" t="s">
        <v>1319</v>
      </c>
      <c r="F1478" t="str">
        <f>[1]Raw_Customer_Dim!$A$2</f>
        <v>CUST1000</v>
      </c>
      <c r="G1478" t="str">
        <f>_xlfn.XLOOKUP(E1478,Store_Dim!A:A,Store_Dim!B:B,"Not Found")</f>
        <v>Thomas, Bridges and Harris</v>
      </c>
      <c r="H1478" t="str">
        <f>_xlfn.XLOOKUP(D1478,Product_Dim!A:A,Product_Dim!C:C,"Not Found")</f>
        <v>Home</v>
      </c>
      <c r="I1478" t="str">
        <f>_xlfn.XLOOKUP(E1478,Store_Dim!A:A,Store_Dim!C:C,"Not Found")</f>
        <v>North</v>
      </c>
      <c r="J1478" t="str">
        <f>_xlfn.XLOOKUP(C1478,Customer_Dim!A:A,Customer_Dim!B:B,"Not Found")</f>
        <v>Hayley Pope</v>
      </c>
      <c r="K1478">
        <v>4</v>
      </c>
      <c r="L1478" s="5">
        <v>228.98</v>
      </c>
      <c r="M1478">
        <v>0.22</v>
      </c>
      <c r="N1478" t="s">
        <v>1351</v>
      </c>
      <c r="O1478" s="5">
        <v>714.41759999999999</v>
      </c>
    </row>
    <row r="1479" spans="1:15">
      <c r="A1479" t="s">
        <v>2828</v>
      </c>
      <c r="B1479" s="7">
        <v>45510</v>
      </c>
      <c r="C1479" t="s">
        <v>531</v>
      </c>
      <c r="D1479" t="s">
        <v>1251</v>
      </c>
      <c r="E1479" t="s">
        <v>1326</v>
      </c>
      <c r="F1479" t="str">
        <f>[1]Raw_Customer_Dim!$A$2</f>
        <v>CUST1000</v>
      </c>
      <c r="G1479" t="str">
        <f>_xlfn.XLOOKUP(E1479,Store_Dim!A:A,Store_Dim!B:B,"Not Found")</f>
        <v>Shelton PLC</v>
      </c>
      <c r="H1479" t="str">
        <f>_xlfn.XLOOKUP(D1479,Product_Dim!A:A,Product_Dim!C:C,"Not Found")</f>
        <v>Beauty</v>
      </c>
      <c r="I1479" t="str">
        <f>_xlfn.XLOOKUP(E1479,Store_Dim!A:A,Store_Dim!C:C,"Not Found")</f>
        <v>North</v>
      </c>
      <c r="J1479" t="str">
        <f>_xlfn.XLOOKUP(C1479,Customer_Dim!A:A,Customer_Dim!B:B,"Not Found")</f>
        <v>Nathaniel Hill</v>
      </c>
      <c r="K1479">
        <v>4</v>
      </c>
      <c r="L1479" s="5">
        <v>904.82</v>
      </c>
      <c r="M1479">
        <v>0.09</v>
      </c>
      <c r="N1479" t="s">
        <v>1351</v>
      </c>
      <c r="O1479" s="5">
        <v>3293.5448000000001</v>
      </c>
    </row>
    <row r="1480" spans="1:15">
      <c r="A1480" t="s">
        <v>2829</v>
      </c>
      <c r="B1480" s="7">
        <v>45806</v>
      </c>
      <c r="C1480" t="s">
        <v>216</v>
      </c>
      <c r="D1480" t="s">
        <v>1119</v>
      </c>
      <c r="E1480" t="s">
        <v>1317</v>
      </c>
      <c r="F1480" t="str">
        <f>[1]Raw_Customer_Dim!$A$2</f>
        <v>CUST1000</v>
      </c>
      <c r="G1480" t="str">
        <f>_xlfn.XLOOKUP(E1480,Store_Dim!A:A,Store_Dim!B:B,"Not Found")</f>
        <v>Aguirre-Keller</v>
      </c>
      <c r="H1480" t="str">
        <f>_xlfn.XLOOKUP(D1480,Product_Dim!A:A,Product_Dim!C:C,"Not Found")</f>
        <v>Clothing</v>
      </c>
      <c r="I1480" t="str">
        <f>_xlfn.XLOOKUP(E1480,Store_Dim!A:A,Store_Dim!C:C,"Not Found")</f>
        <v>South</v>
      </c>
      <c r="J1480" t="str">
        <f>_xlfn.XLOOKUP(C1480,Customer_Dim!A:A,Customer_Dim!B:B,"Not Found")</f>
        <v>Krystal Ford</v>
      </c>
      <c r="K1480">
        <v>1</v>
      </c>
      <c r="L1480" s="5">
        <v>588.61</v>
      </c>
      <c r="M1480">
        <v>0.1</v>
      </c>
      <c r="N1480" t="s">
        <v>1351</v>
      </c>
      <c r="O1480" s="5">
        <v>529.74900000000002</v>
      </c>
    </row>
    <row r="1481" spans="1:15">
      <c r="A1481" t="s">
        <v>2830</v>
      </c>
      <c r="B1481" s="7">
        <v>45240</v>
      </c>
      <c r="C1481" t="s">
        <v>286</v>
      </c>
      <c r="D1481" t="s">
        <v>1139</v>
      </c>
      <c r="E1481" t="s">
        <v>1291</v>
      </c>
      <c r="F1481" t="str">
        <f>[1]Raw_Customer_Dim!$A$2</f>
        <v>CUST1000</v>
      </c>
      <c r="G1481" t="str">
        <f>_xlfn.XLOOKUP(E1481,Store_Dim!A:A,Store_Dim!B:B,"Not Found")</f>
        <v>Johnson-Wright</v>
      </c>
      <c r="H1481" t="str">
        <f>_xlfn.XLOOKUP(D1481,Product_Dim!A:A,Product_Dim!C:C,"Not Found")</f>
        <v>Home</v>
      </c>
      <c r="I1481" t="str">
        <f>_xlfn.XLOOKUP(E1481,Store_Dim!A:A,Store_Dim!C:C,"Not Found")</f>
        <v>North</v>
      </c>
      <c r="J1481" t="str">
        <f>_xlfn.XLOOKUP(C1481,Customer_Dim!A:A,Customer_Dim!B:B,"Not Found")</f>
        <v>Edward Hall</v>
      </c>
      <c r="K1481">
        <v>4</v>
      </c>
      <c r="L1481" s="5">
        <v>695.97</v>
      </c>
      <c r="M1481">
        <v>0.02</v>
      </c>
      <c r="N1481" t="s">
        <v>1349</v>
      </c>
      <c r="O1481" s="5">
        <v>2728.2024000000001</v>
      </c>
    </row>
    <row r="1482" spans="1:15">
      <c r="A1482" t="s">
        <v>2831</v>
      </c>
      <c r="B1482" s="7">
        <v>45309</v>
      </c>
      <c r="C1482" t="s">
        <v>666</v>
      </c>
      <c r="D1482" t="s">
        <v>1267</v>
      </c>
      <c r="E1482" t="s">
        <v>1317</v>
      </c>
      <c r="F1482" t="str">
        <f>[1]Raw_Customer_Dim!$A$2</f>
        <v>CUST1000</v>
      </c>
      <c r="G1482" t="str">
        <f>_xlfn.XLOOKUP(E1482,Store_Dim!A:A,Store_Dim!B:B,"Not Found")</f>
        <v>Aguirre-Keller</v>
      </c>
      <c r="H1482" t="str">
        <f>_xlfn.XLOOKUP(D1482,Product_Dim!A:A,Product_Dim!C:C,"Not Found")</f>
        <v>Sports</v>
      </c>
      <c r="I1482" t="str">
        <f>_xlfn.XLOOKUP(E1482,Store_Dim!A:A,Store_Dim!C:C,"Not Found")</f>
        <v>South</v>
      </c>
      <c r="J1482" t="str">
        <f>_xlfn.XLOOKUP(C1482,Customer_Dim!A:A,Customer_Dim!B:B,"Not Found")</f>
        <v>Ryan Kane</v>
      </c>
      <c r="K1482">
        <v>2</v>
      </c>
      <c r="L1482" s="5">
        <v>181.42</v>
      </c>
      <c r="M1482">
        <v>0.08</v>
      </c>
      <c r="N1482" t="s">
        <v>1351</v>
      </c>
      <c r="O1482" s="5">
        <v>333.81279999999998</v>
      </c>
    </row>
    <row r="1483" spans="1:15">
      <c r="A1483" t="s">
        <v>2832</v>
      </c>
      <c r="B1483" s="7">
        <v>45375</v>
      </c>
      <c r="C1483" t="s">
        <v>77</v>
      </c>
      <c r="D1483" t="s">
        <v>1267</v>
      </c>
      <c r="E1483" t="s">
        <v>1322</v>
      </c>
      <c r="F1483" t="str">
        <f>[1]Raw_Customer_Dim!$A$2</f>
        <v>CUST1000</v>
      </c>
      <c r="G1483" t="str">
        <f>_xlfn.XLOOKUP(E1483,Store_Dim!A:A,Store_Dim!B:B,"Not Found")</f>
        <v>Gardner, Humphrey and Contreras</v>
      </c>
      <c r="H1483" t="str">
        <f>_xlfn.XLOOKUP(D1483,Product_Dim!A:A,Product_Dim!C:C,"Not Found")</f>
        <v>Sports</v>
      </c>
      <c r="I1483" t="str">
        <f>_xlfn.XLOOKUP(E1483,Store_Dim!A:A,Store_Dim!C:C,"Not Found")</f>
        <v>East</v>
      </c>
      <c r="J1483" t="str">
        <f>_xlfn.XLOOKUP(C1483,Customer_Dim!A:A,Customer_Dim!B:B,"Not Found")</f>
        <v>Jonathan Steele</v>
      </c>
      <c r="K1483">
        <v>1</v>
      </c>
      <c r="L1483" s="5">
        <v>439.55</v>
      </c>
      <c r="M1483">
        <v>0.28999999999999998</v>
      </c>
      <c r="N1483" t="s">
        <v>1354</v>
      </c>
      <c r="O1483" s="5">
        <v>312.08049999999997</v>
      </c>
    </row>
    <row r="1484" spans="1:15">
      <c r="A1484" t="s">
        <v>2833</v>
      </c>
      <c r="B1484" s="7">
        <v>45733</v>
      </c>
      <c r="C1484" t="s">
        <v>288</v>
      </c>
      <c r="D1484" t="s">
        <v>1183</v>
      </c>
      <c r="E1484" t="s">
        <v>1335</v>
      </c>
      <c r="F1484" t="str">
        <f>[1]Raw_Customer_Dim!$A$2</f>
        <v>CUST1000</v>
      </c>
      <c r="G1484" t="str">
        <f>_xlfn.XLOOKUP(E1484,Store_Dim!A:A,Store_Dim!B:B,"Not Found")</f>
        <v>Guerrero-Schmitt</v>
      </c>
      <c r="H1484" t="str">
        <f>_xlfn.XLOOKUP(D1484,Product_Dim!A:A,Product_Dim!C:C,"Not Found")</f>
        <v>Home</v>
      </c>
      <c r="I1484" t="str">
        <f>_xlfn.XLOOKUP(E1484,Store_Dim!A:A,Store_Dim!C:C,"Not Found")</f>
        <v>East</v>
      </c>
      <c r="J1484" t="str">
        <f>_xlfn.XLOOKUP(C1484,Customer_Dim!A:A,Customer_Dim!B:B,"Not Found")</f>
        <v>Ryan Hernandez</v>
      </c>
      <c r="K1484">
        <v>3</v>
      </c>
      <c r="L1484" s="5">
        <v>471.27</v>
      </c>
      <c r="M1484">
        <v>0.27</v>
      </c>
      <c r="N1484" t="s">
        <v>1354</v>
      </c>
      <c r="O1484" s="5">
        <v>1032.0813000000001</v>
      </c>
    </row>
    <row r="1485" spans="1:15">
      <c r="A1485" t="s">
        <v>2834</v>
      </c>
      <c r="B1485" s="7">
        <v>45435</v>
      </c>
      <c r="C1485" t="s">
        <v>129</v>
      </c>
      <c r="D1485" t="s">
        <v>1191</v>
      </c>
      <c r="E1485" t="s">
        <v>1319</v>
      </c>
      <c r="F1485" t="str">
        <f>[1]Raw_Customer_Dim!$A$2</f>
        <v>CUST1000</v>
      </c>
      <c r="G1485" t="str">
        <f>_xlfn.XLOOKUP(E1485,Store_Dim!A:A,Store_Dim!B:B,"Not Found")</f>
        <v>Thomas, Bridges and Harris</v>
      </c>
      <c r="H1485" t="str">
        <f>_xlfn.XLOOKUP(D1485,Product_Dim!A:A,Product_Dim!C:C,"Not Found")</f>
        <v>Beauty</v>
      </c>
      <c r="I1485" t="str">
        <f>_xlfn.XLOOKUP(E1485,Store_Dim!A:A,Store_Dim!C:C,"Not Found")</f>
        <v>North</v>
      </c>
      <c r="J1485" t="str">
        <f>_xlfn.XLOOKUP(C1485,Customer_Dim!A:A,Customer_Dim!B:B,"Not Found")</f>
        <v>Denise Williams</v>
      </c>
      <c r="K1485">
        <v>1</v>
      </c>
      <c r="L1485" s="5">
        <v>758.89</v>
      </c>
      <c r="M1485">
        <v>0.1</v>
      </c>
      <c r="N1485" t="s">
        <v>1349</v>
      </c>
      <c r="O1485" s="5">
        <v>683.00099999999998</v>
      </c>
    </row>
    <row r="1486" spans="1:15">
      <c r="A1486" t="s">
        <v>2835</v>
      </c>
      <c r="B1486" s="7">
        <v>45864</v>
      </c>
      <c r="C1486" t="s">
        <v>1031</v>
      </c>
      <c r="D1486" t="s">
        <v>1263</v>
      </c>
      <c r="E1486" t="s">
        <v>1326</v>
      </c>
      <c r="F1486" t="str">
        <f>[1]Raw_Customer_Dim!$A$2</f>
        <v>CUST1000</v>
      </c>
      <c r="G1486" t="str">
        <f>_xlfn.XLOOKUP(E1486,Store_Dim!A:A,Store_Dim!B:B,"Not Found")</f>
        <v>Shelton PLC</v>
      </c>
      <c r="H1486" t="str">
        <f>_xlfn.XLOOKUP(D1486,Product_Dim!A:A,Product_Dim!C:C,"Not Found")</f>
        <v>Sports</v>
      </c>
      <c r="I1486" t="str">
        <f>_xlfn.XLOOKUP(E1486,Store_Dim!A:A,Store_Dim!C:C,"Not Found")</f>
        <v>North</v>
      </c>
      <c r="J1486" t="str">
        <f>_xlfn.XLOOKUP(C1486,Customer_Dim!A:A,Customer_Dim!B:B,"Not Found")</f>
        <v>Sara Ingram</v>
      </c>
      <c r="K1486">
        <v>4</v>
      </c>
      <c r="L1486" s="5">
        <v>918.1</v>
      </c>
      <c r="M1486">
        <v>0.19</v>
      </c>
      <c r="N1486" t="s">
        <v>1354</v>
      </c>
      <c r="O1486" s="5">
        <v>2974.6439999999998</v>
      </c>
    </row>
    <row r="1487" spans="1:15">
      <c r="A1487" t="s">
        <v>2836</v>
      </c>
      <c r="B1487" s="7">
        <v>45569</v>
      </c>
      <c r="C1487" t="s">
        <v>581</v>
      </c>
      <c r="D1487" t="s">
        <v>1261</v>
      </c>
      <c r="E1487" t="s">
        <v>1317</v>
      </c>
      <c r="F1487" t="str">
        <f>[1]Raw_Customer_Dim!$A$2</f>
        <v>CUST1000</v>
      </c>
      <c r="G1487" t="str">
        <f>_xlfn.XLOOKUP(E1487,Store_Dim!A:A,Store_Dim!B:B,"Not Found")</f>
        <v>Aguirre-Keller</v>
      </c>
      <c r="H1487" t="str">
        <f>_xlfn.XLOOKUP(D1487,Product_Dim!A:A,Product_Dim!C:C,"Not Found")</f>
        <v>Beauty</v>
      </c>
      <c r="I1487" t="str">
        <f>_xlfn.XLOOKUP(E1487,Store_Dim!A:A,Store_Dim!C:C,"Not Found")</f>
        <v>South</v>
      </c>
      <c r="J1487" t="str">
        <f>_xlfn.XLOOKUP(C1487,Customer_Dim!A:A,Customer_Dim!B:B,"Not Found")</f>
        <v>Beth Allen</v>
      </c>
      <c r="K1487">
        <v>1</v>
      </c>
      <c r="L1487" s="5">
        <v>861.5</v>
      </c>
      <c r="M1487">
        <v>0.05</v>
      </c>
      <c r="N1487" t="s">
        <v>1354</v>
      </c>
      <c r="O1487" s="5">
        <v>818.42499999999995</v>
      </c>
    </row>
    <row r="1488" spans="1:15">
      <c r="A1488" t="s">
        <v>2837</v>
      </c>
      <c r="B1488" s="7">
        <v>45664</v>
      </c>
      <c r="C1488" t="s">
        <v>986</v>
      </c>
      <c r="D1488" t="s">
        <v>1117</v>
      </c>
      <c r="E1488" t="s">
        <v>1324</v>
      </c>
      <c r="F1488" t="str">
        <f>[1]Raw_Customer_Dim!$A$2</f>
        <v>CUST1000</v>
      </c>
      <c r="G1488" t="str">
        <f>_xlfn.XLOOKUP(E1488,Store_Dim!A:A,Store_Dim!B:B,"Not Found")</f>
        <v>Mcdonald Inc</v>
      </c>
      <c r="H1488" t="str">
        <f>_xlfn.XLOOKUP(D1488,Product_Dim!A:A,Product_Dim!C:C,"Not Found")</f>
        <v>Sports</v>
      </c>
      <c r="I1488" t="str">
        <f>_xlfn.XLOOKUP(E1488,Store_Dim!A:A,Store_Dim!C:C,"Not Found")</f>
        <v>South</v>
      </c>
      <c r="J1488" t="str">
        <f>_xlfn.XLOOKUP(C1488,Customer_Dim!A:A,Customer_Dim!B:B,"Not Found")</f>
        <v>Beth Martin</v>
      </c>
      <c r="K1488">
        <v>1</v>
      </c>
      <c r="L1488" s="5">
        <v>588.29999999999995</v>
      </c>
      <c r="M1488">
        <v>0.26</v>
      </c>
      <c r="N1488" t="s">
        <v>1354</v>
      </c>
      <c r="O1488" s="5">
        <v>435.34199999999998</v>
      </c>
    </row>
    <row r="1489" spans="1:15">
      <c r="A1489" t="s">
        <v>2838</v>
      </c>
      <c r="B1489" s="7">
        <v>45645</v>
      </c>
      <c r="C1489" t="s">
        <v>986</v>
      </c>
      <c r="D1489" t="s">
        <v>1183</v>
      </c>
      <c r="E1489" t="s">
        <v>1304</v>
      </c>
      <c r="F1489" t="str">
        <f>[1]Raw_Customer_Dim!$A$2</f>
        <v>CUST1000</v>
      </c>
      <c r="G1489" t="str">
        <f>_xlfn.XLOOKUP(E1489,Store_Dim!A:A,Store_Dim!B:B,"Not Found")</f>
        <v>Martinez-Mullins</v>
      </c>
      <c r="H1489" t="str">
        <f>_xlfn.XLOOKUP(D1489,Product_Dim!A:A,Product_Dim!C:C,"Not Found")</f>
        <v>Home</v>
      </c>
      <c r="I1489" t="str">
        <f>_xlfn.XLOOKUP(E1489,Store_Dim!A:A,Store_Dim!C:C,"Not Found")</f>
        <v>South</v>
      </c>
      <c r="J1489" t="str">
        <f>_xlfn.XLOOKUP(C1489,Customer_Dim!A:A,Customer_Dim!B:B,"Not Found")</f>
        <v>Beth Martin</v>
      </c>
      <c r="K1489">
        <v>1</v>
      </c>
      <c r="L1489" s="5">
        <v>917.26</v>
      </c>
      <c r="M1489">
        <v>0.05</v>
      </c>
      <c r="N1489" t="s">
        <v>1351</v>
      </c>
      <c r="O1489" s="5">
        <v>871.39699999999993</v>
      </c>
    </row>
    <row r="1490" spans="1:15">
      <c r="A1490" t="s">
        <v>2839</v>
      </c>
      <c r="B1490" s="7">
        <v>45449</v>
      </c>
      <c r="C1490" t="s">
        <v>529</v>
      </c>
      <c r="D1490" t="s">
        <v>1082</v>
      </c>
      <c r="E1490" t="s">
        <v>1335</v>
      </c>
      <c r="F1490" t="str">
        <f>[1]Raw_Customer_Dim!$A$2</f>
        <v>CUST1000</v>
      </c>
      <c r="G1490" t="str">
        <f>_xlfn.XLOOKUP(E1490,Store_Dim!A:A,Store_Dim!B:B,"Not Found")</f>
        <v>Guerrero-Schmitt</v>
      </c>
      <c r="H1490" t="str">
        <f>_xlfn.XLOOKUP(D1490,Product_Dim!A:A,Product_Dim!C:C,"Not Found")</f>
        <v>Beauty</v>
      </c>
      <c r="I1490" t="str">
        <f>_xlfn.XLOOKUP(E1490,Store_Dim!A:A,Store_Dim!C:C,"Not Found")</f>
        <v>East</v>
      </c>
      <c r="J1490" t="str">
        <f>_xlfn.XLOOKUP(C1490,Customer_Dim!A:A,Customer_Dim!B:B,"Not Found")</f>
        <v>Michelle Gonzalez</v>
      </c>
      <c r="K1490">
        <v>4</v>
      </c>
      <c r="L1490" s="5">
        <v>96.78</v>
      </c>
      <c r="M1490">
        <v>0.11</v>
      </c>
      <c r="N1490" t="s">
        <v>1351</v>
      </c>
      <c r="O1490" s="5">
        <v>344.53680000000003</v>
      </c>
    </row>
    <row r="1491" spans="1:15">
      <c r="A1491" t="s">
        <v>2840</v>
      </c>
      <c r="B1491" s="7">
        <v>45629</v>
      </c>
      <c r="C1491" t="s">
        <v>1018</v>
      </c>
      <c r="D1491" t="s">
        <v>1129</v>
      </c>
      <c r="E1491" t="s">
        <v>1294</v>
      </c>
      <c r="F1491" t="str">
        <f>[1]Raw_Customer_Dim!$A$2</f>
        <v>CUST1000</v>
      </c>
      <c r="G1491" t="str">
        <f>_xlfn.XLOOKUP(E1491,Store_Dim!A:A,Store_Dim!B:B,"Not Found")</f>
        <v>Alexander Group</v>
      </c>
      <c r="H1491" t="str">
        <f>_xlfn.XLOOKUP(D1491,Product_Dim!A:A,Product_Dim!C:C,"Not Found")</f>
        <v>Sports</v>
      </c>
      <c r="I1491" t="str">
        <f>_xlfn.XLOOKUP(E1491,Store_Dim!A:A,Store_Dim!C:C,"Not Found")</f>
        <v>South</v>
      </c>
      <c r="J1491" t="str">
        <f>_xlfn.XLOOKUP(C1491,Customer_Dim!A:A,Customer_Dim!B:B,"Not Found")</f>
        <v>Earl Smith DDS</v>
      </c>
      <c r="K1491">
        <v>3</v>
      </c>
      <c r="L1491" s="5">
        <v>199.41</v>
      </c>
      <c r="M1491">
        <v>0.16</v>
      </c>
      <c r="N1491" t="s">
        <v>1354</v>
      </c>
      <c r="O1491" s="5">
        <v>502.51319999999998</v>
      </c>
    </row>
    <row r="1492" spans="1:15">
      <c r="A1492" t="s">
        <v>2841</v>
      </c>
      <c r="B1492" s="7">
        <v>45739</v>
      </c>
      <c r="C1492" t="s">
        <v>66</v>
      </c>
      <c r="D1492" t="s">
        <v>1181</v>
      </c>
      <c r="E1492" t="s">
        <v>1311</v>
      </c>
      <c r="F1492" t="str">
        <f>[1]Raw_Customer_Dim!$A$2</f>
        <v>CUST1000</v>
      </c>
      <c r="G1492" t="str">
        <f>_xlfn.XLOOKUP(E1492,Store_Dim!A:A,Store_Dim!B:B,"Not Found")</f>
        <v>Moore, Padilla and Butler</v>
      </c>
      <c r="H1492" t="str">
        <f>_xlfn.XLOOKUP(D1492,Product_Dim!A:A,Product_Dim!C:C,"Not Found")</f>
        <v>Sports</v>
      </c>
      <c r="I1492" t="str">
        <f>_xlfn.XLOOKUP(E1492,Store_Dim!A:A,Store_Dim!C:C,"Not Found")</f>
        <v>South</v>
      </c>
      <c r="J1492" t="str">
        <f>_xlfn.XLOOKUP(C1492,Customer_Dim!A:A,Customer_Dim!B:B,"Not Found")</f>
        <v>Michael Torres</v>
      </c>
      <c r="K1492">
        <v>1</v>
      </c>
      <c r="L1492" s="5">
        <v>687.91</v>
      </c>
      <c r="M1492">
        <v>0.25</v>
      </c>
      <c r="N1492" t="s">
        <v>1349</v>
      </c>
      <c r="O1492" s="5">
        <v>515.9325</v>
      </c>
    </row>
    <row r="1493" spans="1:15">
      <c r="A1493" t="s">
        <v>2842</v>
      </c>
      <c r="B1493" s="7">
        <v>45849</v>
      </c>
      <c r="C1493" t="s">
        <v>115</v>
      </c>
      <c r="D1493" t="s">
        <v>1215</v>
      </c>
      <c r="E1493" t="s">
        <v>1286</v>
      </c>
      <c r="F1493" t="str">
        <f>[1]Raw_Customer_Dim!$A$2</f>
        <v>CUST1000</v>
      </c>
      <c r="G1493" t="str">
        <f>_xlfn.XLOOKUP(E1493,Store_Dim!A:A,Store_Dim!B:B,"Not Found")</f>
        <v>Black-Horn</v>
      </c>
      <c r="H1493" t="str">
        <f>_xlfn.XLOOKUP(D1493,Product_Dim!A:A,Product_Dim!C:C,"Not Found")</f>
        <v>Beauty</v>
      </c>
      <c r="I1493" t="str">
        <f>_xlfn.XLOOKUP(E1493,Store_Dim!A:A,Store_Dim!C:C,"Not Found")</f>
        <v>South</v>
      </c>
      <c r="J1493" t="str">
        <f>_xlfn.XLOOKUP(C1493,Customer_Dim!A:A,Customer_Dim!B:B,"Not Found")</f>
        <v>Tonya Reynolds</v>
      </c>
      <c r="K1493">
        <v>3</v>
      </c>
      <c r="L1493" s="5">
        <v>769.62</v>
      </c>
      <c r="M1493">
        <v>0.09</v>
      </c>
      <c r="N1493" t="s">
        <v>1351</v>
      </c>
      <c r="O1493" s="5">
        <v>2101.0626000000002</v>
      </c>
    </row>
    <row r="1494" spans="1:15">
      <c r="A1494" t="s">
        <v>2843</v>
      </c>
      <c r="B1494" s="7">
        <v>45230</v>
      </c>
      <c r="C1494" t="s">
        <v>502</v>
      </c>
      <c r="D1494" t="s">
        <v>1078</v>
      </c>
      <c r="E1494" t="s">
        <v>1291</v>
      </c>
      <c r="F1494" t="str">
        <f>[1]Raw_Customer_Dim!$A$2</f>
        <v>CUST1000</v>
      </c>
      <c r="G1494" t="str">
        <f>_xlfn.XLOOKUP(E1494,Store_Dim!A:A,Store_Dim!B:B,"Not Found")</f>
        <v>Johnson-Wright</v>
      </c>
      <c r="H1494" t="str">
        <f>_xlfn.XLOOKUP(D1494,Product_Dim!A:A,Product_Dim!C:C,"Not Found")</f>
        <v>Clothing</v>
      </c>
      <c r="I1494" t="str">
        <f>_xlfn.XLOOKUP(E1494,Store_Dim!A:A,Store_Dim!C:C,"Not Found")</f>
        <v>North</v>
      </c>
      <c r="J1494" t="str">
        <f>_xlfn.XLOOKUP(C1494,Customer_Dim!A:A,Customer_Dim!B:B,"Not Found")</f>
        <v>George Davis</v>
      </c>
      <c r="K1494">
        <v>1</v>
      </c>
      <c r="L1494" s="5">
        <v>492.05</v>
      </c>
      <c r="M1494">
        <v>0.27</v>
      </c>
      <c r="N1494" t="s">
        <v>1349</v>
      </c>
      <c r="O1494" s="5">
        <v>359.19650000000001</v>
      </c>
    </row>
    <row r="1495" spans="1:15">
      <c r="A1495" t="s">
        <v>2844</v>
      </c>
      <c r="B1495" s="7">
        <v>45292</v>
      </c>
      <c r="C1495" t="s">
        <v>267</v>
      </c>
      <c r="D1495" t="s">
        <v>1107</v>
      </c>
      <c r="E1495" t="s">
        <v>1319</v>
      </c>
      <c r="F1495" t="str">
        <f>[1]Raw_Customer_Dim!$A$2</f>
        <v>CUST1000</v>
      </c>
      <c r="G1495" t="str">
        <f>_xlfn.XLOOKUP(E1495,Store_Dim!A:A,Store_Dim!B:B,"Not Found")</f>
        <v>Thomas, Bridges and Harris</v>
      </c>
      <c r="H1495" t="str">
        <f>_xlfn.XLOOKUP(D1495,Product_Dim!A:A,Product_Dim!C:C,"Not Found")</f>
        <v>Sports</v>
      </c>
      <c r="I1495" t="str">
        <f>_xlfn.XLOOKUP(E1495,Store_Dim!A:A,Store_Dim!C:C,"Not Found")</f>
        <v>North</v>
      </c>
      <c r="J1495" t="str">
        <f>_xlfn.XLOOKUP(C1495,Customer_Dim!A:A,Customer_Dim!B:B,"Not Found")</f>
        <v>Christopher Lester</v>
      </c>
      <c r="K1495">
        <v>2</v>
      </c>
      <c r="L1495" s="5">
        <v>428.55</v>
      </c>
      <c r="M1495">
        <v>0</v>
      </c>
      <c r="N1495" t="s">
        <v>1351</v>
      </c>
      <c r="O1495" s="5">
        <v>857.1</v>
      </c>
    </row>
    <row r="1496" spans="1:15">
      <c r="A1496" t="s">
        <v>2845</v>
      </c>
      <c r="B1496" s="7">
        <v>45251</v>
      </c>
      <c r="C1496" t="s">
        <v>521</v>
      </c>
      <c r="D1496" t="s">
        <v>1093</v>
      </c>
      <c r="E1496" t="s">
        <v>1326</v>
      </c>
      <c r="F1496" t="str">
        <f>[1]Raw_Customer_Dim!$A$2</f>
        <v>CUST1000</v>
      </c>
      <c r="G1496" t="str">
        <f>_xlfn.XLOOKUP(E1496,Store_Dim!A:A,Store_Dim!B:B,"Not Found")</f>
        <v>Shelton PLC</v>
      </c>
      <c r="H1496" t="str">
        <f>_xlfn.XLOOKUP(D1496,Product_Dim!A:A,Product_Dim!C:C,"Not Found")</f>
        <v>Home</v>
      </c>
      <c r="I1496" t="str">
        <f>_xlfn.XLOOKUP(E1496,Store_Dim!A:A,Store_Dim!C:C,"Not Found")</f>
        <v>North</v>
      </c>
      <c r="J1496" t="str">
        <f>_xlfn.XLOOKUP(C1496,Customer_Dim!A:A,Customer_Dim!B:B,"Not Found")</f>
        <v>Tanner Thompson</v>
      </c>
      <c r="K1496">
        <v>4</v>
      </c>
      <c r="L1496" s="5">
        <v>316.18</v>
      </c>
      <c r="M1496">
        <v>0.12</v>
      </c>
      <c r="N1496" t="s">
        <v>1349</v>
      </c>
      <c r="O1496" s="5">
        <v>1112.9536000000001</v>
      </c>
    </row>
    <row r="1497" spans="1:15">
      <c r="A1497" t="s">
        <v>2846</v>
      </c>
      <c r="B1497" s="7">
        <v>45555</v>
      </c>
      <c r="C1497" t="s">
        <v>33</v>
      </c>
      <c r="D1497" t="s">
        <v>1099</v>
      </c>
      <c r="E1497" t="s">
        <v>1291</v>
      </c>
      <c r="F1497" t="str">
        <f>[1]Raw_Customer_Dim!$A$2</f>
        <v>CUST1000</v>
      </c>
      <c r="G1497" t="str">
        <f>_xlfn.XLOOKUP(E1497,Store_Dim!A:A,Store_Dim!B:B,"Not Found")</f>
        <v>Johnson-Wright</v>
      </c>
      <c r="H1497" t="str">
        <f>_xlfn.XLOOKUP(D1497,Product_Dim!A:A,Product_Dim!C:C,"Not Found")</f>
        <v>Electronics</v>
      </c>
      <c r="I1497" t="str">
        <f>_xlfn.XLOOKUP(E1497,Store_Dim!A:A,Store_Dim!C:C,"Not Found")</f>
        <v>North</v>
      </c>
      <c r="J1497" t="str">
        <f>_xlfn.XLOOKUP(C1497,Customer_Dim!A:A,Customer_Dim!B:B,"Not Found")</f>
        <v>Daniel Boyd</v>
      </c>
      <c r="K1497">
        <v>3</v>
      </c>
      <c r="L1497" s="5">
        <v>162.16999999999999</v>
      </c>
      <c r="M1497">
        <v>0.15</v>
      </c>
      <c r="N1497" t="s">
        <v>1351</v>
      </c>
      <c r="O1497" s="5">
        <v>413.5335</v>
      </c>
    </row>
    <row r="1498" spans="1:15">
      <c r="A1498" t="s">
        <v>2847</v>
      </c>
      <c r="B1498" s="7">
        <v>45385</v>
      </c>
      <c r="C1498" t="s">
        <v>726</v>
      </c>
      <c r="D1498" t="s">
        <v>1078</v>
      </c>
      <c r="E1498" t="s">
        <v>1291</v>
      </c>
      <c r="F1498" t="str">
        <f>[1]Raw_Customer_Dim!$A$2</f>
        <v>CUST1000</v>
      </c>
      <c r="G1498" t="str">
        <f>_xlfn.XLOOKUP(E1498,Store_Dim!A:A,Store_Dim!B:B,"Not Found")</f>
        <v>Johnson-Wright</v>
      </c>
      <c r="H1498" t="str">
        <f>_xlfn.XLOOKUP(D1498,Product_Dim!A:A,Product_Dim!C:C,"Not Found")</f>
        <v>Clothing</v>
      </c>
      <c r="I1498" t="str">
        <f>_xlfn.XLOOKUP(E1498,Store_Dim!A:A,Store_Dim!C:C,"Not Found")</f>
        <v>North</v>
      </c>
      <c r="J1498" t="str">
        <f>_xlfn.XLOOKUP(C1498,Customer_Dim!A:A,Customer_Dim!B:B,"Not Found")</f>
        <v>Maria Phillips</v>
      </c>
      <c r="K1498">
        <v>3</v>
      </c>
      <c r="L1498" s="5">
        <v>698.14</v>
      </c>
      <c r="M1498">
        <v>0.04</v>
      </c>
      <c r="N1498" t="s">
        <v>1351</v>
      </c>
      <c r="O1498" s="5">
        <v>2010.6432</v>
      </c>
    </row>
    <row r="1499" spans="1:15">
      <c r="A1499" t="s">
        <v>2848</v>
      </c>
      <c r="B1499" s="7">
        <v>45787</v>
      </c>
      <c r="C1499" t="s">
        <v>684</v>
      </c>
      <c r="D1499" t="s">
        <v>1221</v>
      </c>
      <c r="E1499" t="s">
        <v>1335</v>
      </c>
      <c r="F1499" t="str">
        <f>[1]Raw_Customer_Dim!$A$2</f>
        <v>CUST1000</v>
      </c>
      <c r="G1499" t="str">
        <f>_xlfn.XLOOKUP(E1499,Store_Dim!A:A,Store_Dim!B:B,"Not Found")</f>
        <v>Guerrero-Schmitt</v>
      </c>
      <c r="H1499" t="str">
        <f>_xlfn.XLOOKUP(D1499,Product_Dim!A:A,Product_Dim!C:C,"Not Found")</f>
        <v>Electronics</v>
      </c>
      <c r="I1499" t="str">
        <f>_xlfn.XLOOKUP(E1499,Store_Dim!A:A,Store_Dim!C:C,"Not Found")</f>
        <v>East</v>
      </c>
      <c r="J1499" t="str">
        <f>_xlfn.XLOOKUP(C1499,Customer_Dim!A:A,Customer_Dim!B:B,"Not Found")</f>
        <v>Kara Dodson</v>
      </c>
      <c r="K1499">
        <v>1</v>
      </c>
      <c r="L1499" s="5">
        <v>478.08</v>
      </c>
      <c r="M1499">
        <v>7.0000000000000007E-2</v>
      </c>
      <c r="N1499" t="s">
        <v>1354</v>
      </c>
      <c r="O1499" s="5">
        <v>444.61439999999988</v>
      </c>
    </row>
    <row r="1500" spans="1:15">
      <c r="A1500" t="s">
        <v>2849</v>
      </c>
      <c r="B1500" s="7">
        <v>45822</v>
      </c>
      <c r="C1500" t="s">
        <v>478</v>
      </c>
      <c r="D1500" t="s">
        <v>1191</v>
      </c>
      <c r="E1500" t="s">
        <v>1304</v>
      </c>
      <c r="F1500" t="str">
        <f>[1]Raw_Customer_Dim!$A$2</f>
        <v>CUST1000</v>
      </c>
      <c r="G1500" t="str">
        <f>_xlfn.XLOOKUP(E1500,Store_Dim!A:A,Store_Dim!B:B,"Not Found")</f>
        <v>Martinez-Mullins</v>
      </c>
      <c r="H1500" t="str">
        <f>_xlfn.XLOOKUP(D1500,Product_Dim!A:A,Product_Dim!C:C,"Not Found")</f>
        <v>Beauty</v>
      </c>
      <c r="I1500" t="str">
        <f>_xlfn.XLOOKUP(E1500,Store_Dim!A:A,Store_Dim!C:C,"Not Found")</f>
        <v>South</v>
      </c>
      <c r="J1500" t="str">
        <f>_xlfn.XLOOKUP(C1500,Customer_Dim!A:A,Customer_Dim!B:B,"Not Found")</f>
        <v>John Perez</v>
      </c>
      <c r="K1500">
        <v>2</v>
      </c>
      <c r="L1500" s="5">
        <v>958.64</v>
      </c>
      <c r="M1500">
        <v>0.2</v>
      </c>
      <c r="N1500" t="s">
        <v>1351</v>
      </c>
      <c r="O1500" s="5">
        <v>1533.8240000000001</v>
      </c>
    </row>
    <row r="1501" spans="1:15">
      <c r="A1501" t="s">
        <v>2850</v>
      </c>
      <c r="B1501" s="7">
        <v>45590</v>
      </c>
      <c r="C1501" t="s">
        <v>990</v>
      </c>
      <c r="D1501" t="s">
        <v>1155</v>
      </c>
      <c r="E1501" t="s">
        <v>1319</v>
      </c>
      <c r="F1501" t="str">
        <f>[1]Raw_Customer_Dim!$A$2</f>
        <v>CUST1000</v>
      </c>
      <c r="G1501" t="str">
        <f>_xlfn.XLOOKUP(E1501,Store_Dim!A:A,Store_Dim!B:B,"Not Found")</f>
        <v>Thomas, Bridges and Harris</v>
      </c>
      <c r="H1501" t="str">
        <f>_xlfn.XLOOKUP(D1501,Product_Dim!A:A,Product_Dim!C:C,"Not Found")</f>
        <v>Sports</v>
      </c>
      <c r="I1501" t="str">
        <f>_xlfn.XLOOKUP(E1501,Store_Dim!A:A,Store_Dim!C:C,"Not Found")</f>
        <v>North</v>
      </c>
      <c r="J1501" t="str">
        <f>_xlfn.XLOOKUP(C1501,Customer_Dim!A:A,Customer_Dim!B:B,"Not Found")</f>
        <v>Not Found</v>
      </c>
      <c r="K1501">
        <v>2</v>
      </c>
      <c r="L1501" s="5">
        <v>581.19000000000005</v>
      </c>
      <c r="M1501">
        <v>7.0000000000000007E-2</v>
      </c>
      <c r="N1501" t="s">
        <v>1354</v>
      </c>
      <c r="O1501" s="5">
        <v>1081.0134</v>
      </c>
    </row>
    <row r="1502" spans="1:15">
      <c r="A1502" t="s">
        <v>2851</v>
      </c>
      <c r="B1502" s="7">
        <v>45618</v>
      </c>
      <c r="C1502" t="s">
        <v>283</v>
      </c>
      <c r="D1502" t="s">
        <v>1271</v>
      </c>
      <c r="E1502" t="s">
        <v>1317</v>
      </c>
      <c r="F1502" t="str">
        <f>[1]Raw_Customer_Dim!$A$2</f>
        <v>CUST1000</v>
      </c>
      <c r="G1502" t="str">
        <f>_xlfn.XLOOKUP(E1502,Store_Dim!A:A,Store_Dim!B:B,"Not Found")</f>
        <v>Aguirre-Keller</v>
      </c>
      <c r="H1502" t="str">
        <f>_xlfn.XLOOKUP(D1502,Product_Dim!A:A,Product_Dim!C:C,"Not Found")</f>
        <v>Home</v>
      </c>
      <c r="I1502" t="str">
        <f>_xlfn.XLOOKUP(E1502,Store_Dim!A:A,Store_Dim!C:C,"Not Found")</f>
        <v>South</v>
      </c>
      <c r="J1502" t="str">
        <f>_xlfn.XLOOKUP(C1502,Customer_Dim!A:A,Customer_Dim!B:B,"Not Found")</f>
        <v>David Cole</v>
      </c>
      <c r="K1502">
        <v>1</v>
      </c>
      <c r="L1502" s="5">
        <v>736.54</v>
      </c>
      <c r="M1502">
        <v>0.16</v>
      </c>
      <c r="N1502" t="s">
        <v>1351</v>
      </c>
      <c r="O1502" s="5">
        <v>618.69359999999995</v>
      </c>
    </row>
    <row r="1503" spans="1:15">
      <c r="A1503" t="s">
        <v>2852</v>
      </c>
      <c r="B1503" s="7">
        <v>45586</v>
      </c>
      <c r="C1503" t="s">
        <v>865</v>
      </c>
      <c r="D1503" t="s">
        <v>1203</v>
      </c>
      <c r="E1503" t="s">
        <v>1326</v>
      </c>
      <c r="F1503" t="str">
        <f>[1]Raw_Customer_Dim!$A$2</f>
        <v>CUST1000</v>
      </c>
      <c r="G1503" t="str">
        <f>_xlfn.XLOOKUP(E1503,Store_Dim!A:A,Store_Dim!B:B,"Not Found")</f>
        <v>Shelton PLC</v>
      </c>
      <c r="H1503" t="str">
        <f>_xlfn.XLOOKUP(D1503,Product_Dim!A:A,Product_Dim!C:C,"Not Found")</f>
        <v>Sports</v>
      </c>
      <c r="I1503" t="str">
        <f>_xlfn.XLOOKUP(E1503,Store_Dim!A:A,Store_Dim!C:C,"Not Found")</f>
        <v>North</v>
      </c>
      <c r="J1503" t="str">
        <f>_xlfn.XLOOKUP(C1503,Customer_Dim!A:A,Customer_Dim!B:B,"Not Found")</f>
        <v>Terry Moses</v>
      </c>
      <c r="K1503">
        <v>1</v>
      </c>
      <c r="L1503" s="5">
        <v>524</v>
      </c>
      <c r="M1503">
        <v>0.28000000000000003</v>
      </c>
      <c r="N1503" t="s">
        <v>1349</v>
      </c>
      <c r="O1503" s="5">
        <v>377.28</v>
      </c>
    </row>
    <row r="1504" spans="1:15">
      <c r="A1504" t="s">
        <v>2853</v>
      </c>
      <c r="B1504" s="7">
        <v>45548</v>
      </c>
      <c r="C1504" t="s">
        <v>133</v>
      </c>
      <c r="D1504" t="s">
        <v>1129</v>
      </c>
      <c r="E1504" t="s">
        <v>1291</v>
      </c>
      <c r="F1504" t="str">
        <f>[1]Raw_Customer_Dim!$A$2</f>
        <v>CUST1000</v>
      </c>
      <c r="G1504" t="str">
        <f>_xlfn.XLOOKUP(E1504,Store_Dim!A:A,Store_Dim!B:B,"Not Found")</f>
        <v>Johnson-Wright</v>
      </c>
      <c r="H1504" t="str">
        <f>_xlfn.XLOOKUP(D1504,Product_Dim!A:A,Product_Dim!C:C,"Not Found")</f>
        <v>Sports</v>
      </c>
      <c r="I1504" t="str">
        <f>_xlfn.XLOOKUP(E1504,Store_Dim!A:A,Store_Dim!C:C,"Not Found")</f>
        <v>North</v>
      </c>
      <c r="J1504" t="str">
        <f>_xlfn.XLOOKUP(C1504,Customer_Dim!A:A,Customer_Dim!B:B,"Not Found")</f>
        <v>Michelle Garcia DDS</v>
      </c>
      <c r="K1504">
        <v>4</v>
      </c>
      <c r="L1504" s="5">
        <v>566.09</v>
      </c>
      <c r="M1504">
        <v>0.28000000000000003</v>
      </c>
      <c r="N1504" t="s">
        <v>1354</v>
      </c>
      <c r="O1504" s="5">
        <v>1630.3391999999999</v>
      </c>
    </row>
    <row r="1505" spans="1:15">
      <c r="A1505" t="s">
        <v>2854</v>
      </c>
      <c r="B1505" s="7">
        <v>45772</v>
      </c>
      <c r="C1505" t="s">
        <v>581</v>
      </c>
      <c r="D1505" t="s">
        <v>1115</v>
      </c>
      <c r="E1505" t="s">
        <v>1314</v>
      </c>
      <c r="F1505" t="str">
        <f>[1]Raw_Customer_Dim!$A$2</f>
        <v>CUST1000</v>
      </c>
      <c r="G1505" t="str">
        <f>_xlfn.XLOOKUP(E1505,Store_Dim!A:A,Store_Dim!B:B,"Not Found")</f>
        <v>Hill, Wagner and Ballard</v>
      </c>
      <c r="H1505" t="str">
        <f>_xlfn.XLOOKUP(D1505,Product_Dim!A:A,Product_Dim!C:C,"Not Found")</f>
        <v>Home</v>
      </c>
      <c r="I1505" t="str">
        <f>_xlfn.XLOOKUP(E1505,Store_Dim!A:A,Store_Dim!C:C,"Not Found")</f>
        <v>East</v>
      </c>
      <c r="J1505" t="str">
        <f>_xlfn.XLOOKUP(C1505,Customer_Dim!A:A,Customer_Dim!B:B,"Not Found")</f>
        <v>Beth Allen</v>
      </c>
      <c r="K1505">
        <v>1</v>
      </c>
      <c r="L1505" s="5">
        <v>251.99</v>
      </c>
      <c r="M1505">
        <v>0.09</v>
      </c>
      <c r="N1505" t="s">
        <v>1349</v>
      </c>
      <c r="O1505" s="5">
        <v>229.3109</v>
      </c>
    </row>
    <row r="1506" spans="1:15">
      <c r="A1506" t="s">
        <v>2855</v>
      </c>
      <c r="B1506" s="7">
        <v>45361</v>
      </c>
      <c r="C1506" t="s">
        <v>505</v>
      </c>
      <c r="D1506" t="s">
        <v>1107</v>
      </c>
      <c r="E1506" t="s">
        <v>1338</v>
      </c>
      <c r="F1506" t="str">
        <f>[1]Raw_Customer_Dim!$A$2</f>
        <v>CUST1000</v>
      </c>
      <c r="G1506" t="str">
        <f>_xlfn.XLOOKUP(E1506,Store_Dim!A:A,Store_Dim!B:B,"Not Found")</f>
        <v>Mann-Austin</v>
      </c>
      <c r="H1506" t="str">
        <f>_xlfn.XLOOKUP(D1506,Product_Dim!A:A,Product_Dim!C:C,"Not Found")</f>
        <v>Sports</v>
      </c>
      <c r="I1506" t="str">
        <f>_xlfn.XLOOKUP(E1506,Store_Dim!A:A,Store_Dim!C:C,"Not Found")</f>
        <v>East</v>
      </c>
      <c r="J1506" t="str">
        <f>_xlfn.XLOOKUP(C1506,Customer_Dim!A:A,Customer_Dim!B:B,"Not Found")</f>
        <v>Lisa Young</v>
      </c>
      <c r="K1506">
        <v>1</v>
      </c>
      <c r="L1506" s="5">
        <v>259.2</v>
      </c>
      <c r="M1506">
        <v>0.27</v>
      </c>
      <c r="N1506" t="s">
        <v>1354</v>
      </c>
      <c r="O1506" s="5">
        <v>189.21600000000001</v>
      </c>
    </row>
    <row r="1507" spans="1:15">
      <c r="A1507" t="s">
        <v>2856</v>
      </c>
      <c r="B1507" s="7">
        <v>45235</v>
      </c>
      <c r="C1507" t="s">
        <v>955</v>
      </c>
      <c r="D1507" t="s">
        <v>1191</v>
      </c>
      <c r="E1507" t="s">
        <v>1326</v>
      </c>
      <c r="F1507" t="str">
        <f>[1]Raw_Customer_Dim!$A$2</f>
        <v>CUST1000</v>
      </c>
      <c r="G1507" t="str">
        <f>_xlfn.XLOOKUP(E1507,Store_Dim!A:A,Store_Dim!B:B,"Not Found")</f>
        <v>Shelton PLC</v>
      </c>
      <c r="H1507" t="str">
        <f>_xlfn.XLOOKUP(D1507,Product_Dim!A:A,Product_Dim!C:C,"Not Found")</f>
        <v>Beauty</v>
      </c>
      <c r="I1507" t="str">
        <f>_xlfn.XLOOKUP(E1507,Store_Dim!A:A,Store_Dim!C:C,"Not Found")</f>
        <v>North</v>
      </c>
      <c r="J1507" t="str">
        <f>_xlfn.XLOOKUP(C1507,Customer_Dim!A:A,Customer_Dim!B:B,"Not Found")</f>
        <v>Shannon Turner</v>
      </c>
      <c r="K1507">
        <v>1</v>
      </c>
      <c r="L1507" s="5">
        <v>935.66</v>
      </c>
      <c r="M1507">
        <v>0.26</v>
      </c>
      <c r="N1507" t="s">
        <v>1351</v>
      </c>
      <c r="O1507" s="5">
        <v>692.38839999999993</v>
      </c>
    </row>
    <row r="1508" spans="1:15">
      <c r="A1508" t="s">
        <v>2857</v>
      </c>
      <c r="B1508" s="7">
        <v>45864</v>
      </c>
      <c r="C1508" t="s">
        <v>1000</v>
      </c>
      <c r="D1508" t="s">
        <v>1143</v>
      </c>
      <c r="E1508" t="s">
        <v>1307</v>
      </c>
      <c r="F1508" t="str">
        <f>[1]Raw_Customer_Dim!$A$2</f>
        <v>CUST1000</v>
      </c>
      <c r="G1508" t="str">
        <f>_xlfn.XLOOKUP(E1508,Store_Dim!A:A,Store_Dim!B:B,"Not Found")</f>
        <v>Bean, Jones and Park</v>
      </c>
      <c r="H1508" t="str">
        <f>_xlfn.XLOOKUP(D1508,Product_Dim!A:A,Product_Dim!C:C,"Not Found")</f>
        <v>Home</v>
      </c>
      <c r="I1508" t="str">
        <f>_xlfn.XLOOKUP(E1508,Store_Dim!A:A,Store_Dim!C:C,"Not Found")</f>
        <v>West</v>
      </c>
      <c r="J1508" t="str">
        <f>_xlfn.XLOOKUP(C1508,Customer_Dim!A:A,Customer_Dim!B:B,"Not Found")</f>
        <v>James Foster</v>
      </c>
      <c r="K1508">
        <v>4</v>
      </c>
      <c r="L1508" s="5">
        <v>480.75</v>
      </c>
      <c r="M1508">
        <v>0.02</v>
      </c>
      <c r="N1508" t="s">
        <v>1349</v>
      </c>
      <c r="O1508" s="5">
        <v>1884.54</v>
      </c>
    </row>
    <row r="1509" spans="1:15">
      <c r="A1509" t="s">
        <v>2858</v>
      </c>
      <c r="B1509" s="7">
        <v>45681</v>
      </c>
      <c r="C1509" t="s">
        <v>801</v>
      </c>
      <c r="D1509" t="s">
        <v>1235</v>
      </c>
      <c r="E1509" t="s">
        <v>1326</v>
      </c>
      <c r="F1509" t="str">
        <f>[1]Raw_Customer_Dim!$A$2</f>
        <v>CUST1000</v>
      </c>
      <c r="G1509" t="str">
        <f>_xlfn.XLOOKUP(E1509,Store_Dim!A:A,Store_Dim!B:B,"Not Found")</f>
        <v>Shelton PLC</v>
      </c>
      <c r="H1509" t="str">
        <f>_xlfn.XLOOKUP(D1509,Product_Dim!A:A,Product_Dim!C:C,"Not Found")</f>
        <v>Sports</v>
      </c>
      <c r="I1509" t="str">
        <f>_xlfn.XLOOKUP(E1509,Store_Dim!A:A,Store_Dim!C:C,"Not Found")</f>
        <v>North</v>
      </c>
      <c r="J1509" t="str">
        <f>_xlfn.XLOOKUP(C1509,Customer_Dim!A:A,Customer_Dim!B:B,"Not Found")</f>
        <v>Gregory Allen</v>
      </c>
      <c r="K1509">
        <v>2</v>
      </c>
      <c r="L1509" s="5">
        <v>457.83</v>
      </c>
      <c r="M1509">
        <v>0.01</v>
      </c>
      <c r="N1509" t="s">
        <v>1354</v>
      </c>
      <c r="O1509" s="5">
        <v>906.50339999999994</v>
      </c>
    </row>
    <row r="1510" spans="1:15">
      <c r="A1510" t="s">
        <v>2859</v>
      </c>
      <c r="B1510" s="7">
        <v>45905</v>
      </c>
      <c r="C1510" t="s">
        <v>389</v>
      </c>
      <c r="D1510" t="s">
        <v>1169</v>
      </c>
      <c r="E1510" t="s">
        <v>1324</v>
      </c>
      <c r="F1510" t="str">
        <f>[1]Raw_Customer_Dim!$A$2</f>
        <v>CUST1000</v>
      </c>
      <c r="G1510" t="str">
        <f>_xlfn.XLOOKUP(E1510,Store_Dim!A:A,Store_Dim!B:B,"Not Found")</f>
        <v>Mcdonald Inc</v>
      </c>
      <c r="H1510" t="str">
        <f>_xlfn.XLOOKUP(D1510,Product_Dim!A:A,Product_Dim!C:C,"Not Found")</f>
        <v>Electronics</v>
      </c>
      <c r="I1510" t="str">
        <f>_xlfn.XLOOKUP(E1510,Store_Dim!A:A,Store_Dim!C:C,"Not Found")</f>
        <v>South</v>
      </c>
      <c r="J1510" t="str">
        <f>_xlfn.XLOOKUP(C1510,Customer_Dim!A:A,Customer_Dim!B:B,"Not Found")</f>
        <v>Daniel Rivas</v>
      </c>
      <c r="K1510">
        <v>1</v>
      </c>
      <c r="L1510" s="5">
        <v>994.63</v>
      </c>
      <c r="M1510">
        <v>0.28000000000000003</v>
      </c>
      <c r="N1510" t="s">
        <v>1349</v>
      </c>
      <c r="O1510" s="5">
        <v>716.1336</v>
      </c>
    </row>
    <row r="1511" spans="1:15">
      <c r="A1511" t="s">
        <v>2860</v>
      </c>
      <c r="B1511" s="7">
        <v>45765</v>
      </c>
      <c r="C1511" t="s">
        <v>553</v>
      </c>
      <c r="D1511" t="s">
        <v>1253</v>
      </c>
      <c r="E1511" t="s">
        <v>1277</v>
      </c>
      <c r="F1511" t="str">
        <f>[1]Raw_Customer_Dim!$A$2</f>
        <v>CUST1000</v>
      </c>
      <c r="G1511" t="str">
        <f>_xlfn.XLOOKUP(E1511,Store_Dim!A:A,Store_Dim!B:B,"Not Found")</f>
        <v>Rivera-Warner</v>
      </c>
      <c r="H1511" t="str">
        <f>_xlfn.XLOOKUP(D1511,Product_Dim!A:A,Product_Dim!C:C,"Not Found")</f>
        <v>Electronics</v>
      </c>
      <c r="I1511" t="str">
        <f>_xlfn.XLOOKUP(E1511,Store_Dim!A:A,Store_Dim!C:C,"Not Found")</f>
        <v>East</v>
      </c>
      <c r="J1511" t="str">
        <f>_xlfn.XLOOKUP(C1511,Customer_Dim!A:A,Customer_Dim!B:B,"Not Found")</f>
        <v>Laura Soto</v>
      </c>
      <c r="K1511">
        <v>3</v>
      </c>
      <c r="L1511" s="5">
        <v>65.569999999999993</v>
      </c>
      <c r="M1511">
        <v>0.3</v>
      </c>
      <c r="N1511" t="s">
        <v>1354</v>
      </c>
      <c r="O1511" s="5">
        <v>137.697</v>
      </c>
    </row>
    <row r="1512" spans="1:15">
      <c r="A1512" t="s">
        <v>2861</v>
      </c>
      <c r="B1512" s="7">
        <v>45821</v>
      </c>
      <c r="C1512" t="s">
        <v>381</v>
      </c>
      <c r="D1512" t="s">
        <v>1189</v>
      </c>
      <c r="E1512" t="s">
        <v>1332</v>
      </c>
      <c r="F1512" t="str">
        <f>[1]Raw_Customer_Dim!$A$2</f>
        <v>CUST1000</v>
      </c>
      <c r="G1512" t="str">
        <f>_xlfn.XLOOKUP(E1512,Store_Dim!A:A,Store_Dim!B:B,"Not Found")</f>
        <v>Holloway Ltd</v>
      </c>
      <c r="H1512" t="str">
        <f>_xlfn.XLOOKUP(D1512,Product_Dim!A:A,Product_Dim!C:C,"Not Found")</f>
        <v>Clothing</v>
      </c>
      <c r="I1512" t="str">
        <f>_xlfn.XLOOKUP(E1512,Store_Dim!A:A,Store_Dim!C:C,"Not Found")</f>
        <v>North</v>
      </c>
      <c r="J1512" t="str">
        <f>_xlfn.XLOOKUP(C1512,Customer_Dim!A:A,Customer_Dim!B:B,"Not Found")</f>
        <v>John Lawson</v>
      </c>
      <c r="K1512">
        <v>3</v>
      </c>
      <c r="L1512" s="5">
        <v>622.98</v>
      </c>
      <c r="M1512">
        <v>0.28000000000000003</v>
      </c>
      <c r="N1512" t="s">
        <v>1351</v>
      </c>
      <c r="O1512" s="5">
        <v>1345.6368</v>
      </c>
    </row>
    <row r="1513" spans="1:15">
      <c r="A1513" t="s">
        <v>2862</v>
      </c>
      <c r="B1513" s="7">
        <v>45691</v>
      </c>
      <c r="C1513" t="s">
        <v>563</v>
      </c>
      <c r="D1513" t="s">
        <v>1183</v>
      </c>
      <c r="E1513" t="s">
        <v>1322</v>
      </c>
      <c r="F1513" t="str">
        <f>[1]Raw_Customer_Dim!$A$2</f>
        <v>CUST1000</v>
      </c>
      <c r="G1513" t="str">
        <f>_xlfn.XLOOKUP(E1513,Store_Dim!A:A,Store_Dim!B:B,"Not Found")</f>
        <v>Gardner, Humphrey and Contreras</v>
      </c>
      <c r="H1513" t="str">
        <f>_xlfn.XLOOKUP(D1513,Product_Dim!A:A,Product_Dim!C:C,"Not Found")</f>
        <v>Home</v>
      </c>
      <c r="I1513" t="str">
        <f>_xlfn.XLOOKUP(E1513,Store_Dim!A:A,Store_Dim!C:C,"Not Found")</f>
        <v>East</v>
      </c>
      <c r="J1513" t="str">
        <f>_xlfn.XLOOKUP(C1513,Customer_Dim!A:A,Customer_Dim!B:B,"Not Found")</f>
        <v>Veronica Newman</v>
      </c>
      <c r="K1513">
        <v>1</v>
      </c>
      <c r="L1513" s="5">
        <v>170.68</v>
      </c>
      <c r="M1513">
        <v>0.13</v>
      </c>
      <c r="N1513" t="s">
        <v>1351</v>
      </c>
      <c r="O1513" s="5">
        <v>148.49160000000001</v>
      </c>
    </row>
    <row r="1514" spans="1:15">
      <c r="A1514" t="s">
        <v>2863</v>
      </c>
      <c r="B1514" s="7">
        <v>45860</v>
      </c>
      <c r="C1514" t="s">
        <v>250</v>
      </c>
      <c r="D1514" t="s">
        <v>1085</v>
      </c>
      <c r="E1514" t="s">
        <v>1307</v>
      </c>
      <c r="F1514" t="str">
        <f>[1]Raw_Customer_Dim!$A$2</f>
        <v>CUST1000</v>
      </c>
      <c r="G1514" t="str">
        <f>_xlfn.XLOOKUP(E1514,Store_Dim!A:A,Store_Dim!B:B,"Not Found")</f>
        <v>Bean, Jones and Park</v>
      </c>
      <c r="H1514" t="str">
        <f>_xlfn.XLOOKUP(D1514,Product_Dim!A:A,Product_Dim!C:C,"Not Found")</f>
        <v>Home</v>
      </c>
      <c r="I1514" t="str">
        <f>_xlfn.XLOOKUP(E1514,Store_Dim!A:A,Store_Dim!C:C,"Not Found")</f>
        <v>West</v>
      </c>
      <c r="J1514" t="str">
        <f>_xlfn.XLOOKUP(C1514,Customer_Dim!A:A,Customer_Dim!B:B,"Not Found")</f>
        <v>Samantha Walker</v>
      </c>
      <c r="K1514">
        <v>4</v>
      </c>
      <c r="L1514" s="5">
        <v>797.83</v>
      </c>
      <c r="M1514">
        <v>0.08</v>
      </c>
      <c r="N1514" t="s">
        <v>1349</v>
      </c>
      <c r="O1514" s="5">
        <v>2936.0144</v>
      </c>
    </row>
    <row r="1515" spans="1:15">
      <c r="A1515" t="s">
        <v>2864</v>
      </c>
      <c r="B1515" s="7">
        <v>45922</v>
      </c>
      <c r="C1515" t="s">
        <v>254</v>
      </c>
      <c r="D1515" t="s">
        <v>1074</v>
      </c>
      <c r="E1515" t="s">
        <v>1329</v>
      </c>
      <c r="F1515" t="str">
        <f>[1]Raw_Customer_Dim!$A$2</f>
        <v>CUST1000</v>
      </c>
      <c r="G1515" t="str">
        <f>_xlfn.XLOOKUP(E1515,Store_Dim!A:A,Store_Dim!B:B,"Not Found")</f>
        <v>Frederick-Wright</v>
      </c>
      <c r="H1515" t="str">
        <f>_xlfn.XLOOKUP(D1515,Product_Dim!A:A,Product_Dim!C:C,"Not Found")</f>
        <v>Clothing</v>
      </c>
      <c r="I1515" t="str">
        <f>_xlfn.XLOOKUP(E1515,Store_Dim!A:A,Store_Dim!C:C,"Not Found")</f>
        <v>West</v>
      </c>
      <c r="J1515" t="str">
        <f>_xlfn.XLOOKUP(C1515,Customer_Dim!A:A,Customer_Dim!B:B,"Not Found")</f>
        <v>Brittney Morgan</v>
      </c>
      <c r="K1515">
        <v>1</v>
      </c>
      <c r="L1515" s="5">
        <v>372.75</v>
      </c>
      <c r="M1515">
        <v>0.12</v>
      </c>
      <c r="N1515" t="s">
        <v>1349</v>
      </c>
      <c r="O1515" s="5">
        <v>328.02</v>
      </c>
    </row>
    <row r="1516" spans="1:15">
      <c r="A1516" t="s">
        <v>2865</v>
      </c>
      <c r="B1516" s="7">
        <v>45477</v>
      </c>
      <c r="C1516" t="s">
        <v>855</v>
      </c>
      <c r="D1516" t="s">
        <v>1195</v>
      </c>
      <c r="E1516" t="s">
        <v>1294</v>
      </c>
      <c r="F1516" t="str">
        <f>[1]Raw_Customer_Dim!$A$2</f>
        <v>CUST1000</v>
      </c>
      <c r="G1516" t="str">
        <f>_xlfn.XLOOKUP(E1516,Store_Dim!A:A,Store_Dim!B:B,"Not Found")</f>
        <v>Alexander Group</v>
      </c>
      <c r="H1516" t="str">
        <f>_xlfn.XLOOKUP(D1516,Product_Dim!A:A,Product_Dim!C:C,"Not Found")</f>
        <v>Sports</v>
      </c>
      <c r="I1516" t="str">
        <f>_xlfn.XLOOKUP(E1516,Store_Dim!A:A,Store_Dim!C:C,"Not Found")</f>
        <v>South</v>
      </c>
      <c r="J1516" t="str">
        <f>_xlfn.XLOOKUP(C1516,Customer_Dim!A:A,Customer_Dim!B:B,"Not Found")</f>
        <v>Alexander Byrd</v>
      </c>
      <c r="K1516">
        <v>1</v>
      </c>
      <c r="L1516" s="5">
        <v>994.18</v>
      </c>
      <c r="M1516">
        <v>0.05</v>
      </c>
      <c r="N1516" t="s">
        <v>1351</v>
      </c>
      <c r="O1516" s="5">
        <v>944.47099999999989</v>
      </c>
    </row>
    <row r="1517" spans="1:15">
      <c r="A1517" t="s">
        <v>2866</v>
      </c>
      <c r="B1517" s="7">
        <v>45504</v>
      </c>
      <c r="C1517" t="s">
        <v>907</v>
      </c>
      <c r="D1517" t="s">
        <v>1113</v>
      </c>
      <c r="E1517" t="s">
        <v>1322</v>
      </c>
      <c r="F1517" t="str">
        <f>[1]Raw_Customer_Dim!$A$2</f>
        <v>CUST1000</v>
      </c>
      <c r="G1517" t="str">
        <f>_xlfn.XLOOKUP(E1517,Store_Dim!A:A,Store_Dim!B:B,"Not Found")</f>
        <v>Gardner, Humphrey and Contreras</v>
      </c>
      <c r="H1517" t="str">
        <f>_xlfn.XLOOKUP(D1517,Product_Dim!A:A,Product_Dim!C:C,"Not Found")</f>
        <v>Sports</v>
      </c>
      <c r="I1517" t="str">
        <f>_xlfn.XLOOKUP(E1517,Store_Dim!A:A,Store_Dim!C:C,"Not Found")</f>
        <v>East</v>
      </c>
      <c r="J1517" t="str">
        <f>_xlfn.XLOOKUP(C1517,Customer_Dim!A:A,Customer_Dim!B:B,"Not Found")</f>
        <v>Brittany Edwards DDS</v>
      </c>
      <c r="K1517">
        <v>1</v>
      </c>
      <c r="L1517" s="5">
        <v>136.12</v>
      </c>
      <c r="M1517">
        <v>7.0000000000000007E-2</v>
      </c>
      <c r="N1517" t="s">
        <v>1349</v>
      </c>
      <c r="O1517" s="5">
        <v>126.5916</v>
      </c>
    </row>
    <row r="1518" spans="1:15">
      <c r="A1518" t="s">
        <v>2867</v>
      </c>
      <c r="B1518" s="7">
        <v>45862</v>
      </c>
      <c r="C1518" t="s">
        <v>94</v>
      </c>
      <c r="D1518" t="s">
        <v>1177</v>
      </c>
      <c r="E1518" t="s">
        <v>1335</v>
      </c>
      <c r="F1518" t="str">
        <f>[1]Raw_Customer_Dim!$A$2</f>
        <v>CUST1000</v>
      </c>
      <c r="G1518" t="str">
        <f>_xlfn.XLOOKUP(E1518,Store_Dim!A:A,Store_Dim!B:B,"Not Found")</f>
        <v>Guerrero-Schmitt</v>
      </c>
      <c r="H1518" t="str">
        <f>_xlfn.XLOOKUP(D1518,Product_Dim!A:A,Product_Dim!C:C,"Not Found")</f>
        <v>Sports</v>
      </c>
      <c r="I1518" t="str">
        <f>_xlfn.XLOOKUP(E1518,Store_Dim!A:A,Store_Dim!C:C,"Not Found")</f>
        <v>East</v>
      </c>
      <c r="J1518" t="str">
        <f>_xlfn.XLOOKUP(C1518,Customer_Dim!A:A,Customer_Dim!B:B,"Not Found")</f>
        <v>Jessica Acevedo</v>
      </c>
      <c r="K1518">
        <v>3</v>
      </c>
      <c r="L1518" s="5">
        <v>634.45000000000005</v>
      </c>
      <c r="M1518">
        <v>0.17</v>
      </c>
      <c r="N1518" t="s">
        <v>1351</v>
      </c>
      <c r="O1518" s="5">
        <v>1579.7805000000001</v>
      </c>
    </row>
    <row r="1519" spans="1:15">
      <c r="A1519" t="s">
        <v>2868</v>
      </c>
      <c r="B1519" s="7">
        <v>45579</v>
      </c>
      <c r="C1519" t="s">
        <v>722</v>
      </c>
      <c r="D1519" t="s">
        <v>1201</v>
      </c>
      <c r="E1519" t="s">
        <v>1277</v>
      </c>
      <c r="F1519" t="str">
        <f>[1]Raw_Customer_Dim!$A$2</f>
        <v>CUST1000</v>
      </c>
      <c r="G1519" t="str">
        <f>_xlfn.XLOOKUP(E1519,Store_Dim!A:A,Store_Dim!B:B,"Not Found")</f>
        <v>Rivera-Warner</v>
      </c>
      <c r="H1519" t="str">
        <f>_xlfn.XLOOKUP(D1519,Product_Dim!A:A,Product_Dim!C:C,"Not Found")</f>
        <v>Beauty</v>
      </c>
      <c r="I1519" t="str">
        <f>_xlfn.XLOOKUP(E1519,Store_Dim!A:A,Store_Dim!C:C,"Not Found")</f>
        <v>East</v>
      </c>
      <c r="J1519" t="str">
        <f>_xlfn.XLOOKUP(C1519,Customer_Dim!A:A,Customer_Dim!B:B,"Not Found")</f>
        <v>Victor Mcintosh</v>
      </c>
      <c r="K1519">
        <v>4</v>
      </c>
      <c r="L1519" s="5">
        <v>179.62</v>
      </c>
      <c r="M1519">
        <v>0.05</v>
      </c>
      <c r="N1519" t="s">
        <v>1349</v>
      </c>
      <c r="O1519" s="5">
        <v>682.55600000000004</v>
      </c>
    </row>
    <row r="1520" spans="1:15">
      <c r="A1520" t="s">
        <v>2869</v>
      </c>
      <c r="B1520" s="7">
        <v>45658</v>
      </c>
      <c r="C1520" t="s">
        <v>652</v>
      </c>
      <c r="D1520" t="s">
        <v>1113</v>
      </c>
      <c r="E1520" t="s">
        <v>1335</v>
      </c>
      <c r="F1520" t="str">
        <f>[1]Raw_Customer_Dim!$A$2</f>
        <v>CUST1000</v>
      </c>
      <c r="G1520" t="str">
        <f>_xlfn.XLOOKUP(E1520,Store_Dim!A:A,Store_Dim!B:B,"Not Found")</f>
        <v>Guerrero-Schmitt</v>
      </c>
      <c r="H1520" t="str">
        <f>_xlfn.XLOOKUP(D1520,Product_Dim!A:A,Product_Dim!C:C,"Not Found")</f>
        <v>Sports</v>
      </c>
      <c r="I1520" t="str">
        <f>_xlfn.XLOOKUP(E1520,Store_Dim!A:A,Store_Dim!C:C,"Not Found")</f>
        <v>East</v>
      </c>
      <c r="J1520" t="str">
        <f>_xlfn.XLOOKUP(C1520,Customer_Dim!A:A,Customer_Dim!B:B,"Not Found")</f>
        <v>Lisa Chandler</v>
      </c>
      <c r="K1520">
        <v>4</v>
      </c>
      <c r="L1520" s="5">
        <v>558.83000000000004</v>
      </c>
      <c r="M1520">
        <v>0.16</v>
      </c>
      <c r="N1520" t="s">
        <v>1351</v>
      </c>
      <c r="O1520" s="5">
        <v>1877.6687999999999</v>
      </c>
    </row>
    <row r="1521" spans="1:15">
      <c r="A1521" t="s">
        <v>2870</v>
      </c>
      <c r="B1521" s="7">
        <v>45664</v>
      </c>
      <c r="C1521" t="s">
        <v>403</v>
      </c>
      <c r="D1521" t="s">
        <v>1261</v>
      </c>
      <c r="E1521" t="s">
        <v>1301</v>
      </c>
      <c r="F1521" t="str">
        <f>[1]Raw_Customer_Dim!$A$2</f>
        <v>CUST1000</v>
      </c>
      <c r="G1521" t="str">
        <f>_xlfn.XLOOKUP(E1521,Store_Dim!A:A,Store_Dim!B:B,"Not Found")</f>
        <v>Benson-Elliott</v>
      </c>
      <c r="H1521" t="str">
        <f>_xlfn.XLOOKUP(D1521,Product_Dim!A:A,Product_Dim!C:C,"Not Found")</f>
        <v>Beauty</v>
      </c>
      <c r="I1521" t="str">
        <f>_xlfn.XLOOKUP(E1521,Store_Dim!A:A,Store_Dim!C:C,"Not Found")</f>
        <v>East</v>
      </c>
      <c r="J1521" t="str">
        <f>_xlfn.XLOOKUP(C1521,Customer_Dim!A:A,Customer_Dim!B:B,"Not Found")</f>
        <v>Amy Wilson</v>
      </c>
      <c r="K1521">
        <v>2</v>
      </c>
      <c r="L1521" s="5">
        <v>859.74</v>
      </c>
      <c r="M1521">
        <v>0.25</v>
      </c>
      <c r="N1521" t="s">
        <v>1354</v>
      </c>
      <c r="O1521" s="5">
        <v>1289.6099999999999</v>
      </c>
    </row>
    <row r="1522" spans="1:15">
      <c r="A1522" t="s">
        <v>2871</v>
      </c>
      <c r="B1522" s="7">
        <v>45936</v>
      </c>
      <c r="C1522" t="s">
        <v>271</v>
      </c>
      <c r="D1522" t="s">
        <v>1203</v>
      </c>
      <c r="E1522" t="s">
        <v>1329</v>
      </c>
      <c r="F1522" t="str">
        <f>[1]Raw_Customer_Dim!$A$2</f>
        <v>CUST1000</v>
      </c>
      <c r="G1522" t="str">
        <f>_xlfn.XLOOKUP(E1522,Store_Dim!A:A,Store_Dim!B:B,"Not Found")</f>
        <v>Frederick-Wright</v>
      </c>
      <c r="H1522" t="str">
        <f>_xlfn.XLOOKUP(D1522,Product_Dim!A:A,Product_Dim!C:C,"Not Found")</f>
        <v>Sports</v>
      </c>
      <c r="I1522" t="str">
        <f>_xlfn.XLOOKUP(E1522,Store_Dim!A:A,Store_Dim!C:C,"Not Found")</f>
        <v>West</v>
      </c>
      <c r="J1522" t="str">
        <f>_xlfn.XLOOKUP(C1522,Customer_Dim!A:A,Customer_Dim!B:B,"Not Found")</f>
        <v>Howard Summers</v>
      </c>
      <c r="K1522">
        <v>3</v>
      </c>
      <c r="L1522" s="5">
        <v>578.47</v>
      </c>
      <c r="M1522">
        <v>0.06</v>
      </c>
      <c r="N1522" t="s">
        <v>1354</v>
      </c>
      <c r="O1522" s="5">
        <v>1631.2854</v>
      </c>
    </row>
    <row r="1523" spans="1:15">
      <c r="A1523" t="s">
        <v>2872</v>
      </c>
      <c r="B1523" s="7">
        <v>45344</v>
      </c>
      <c r="C1523" t="s">
        <v>155</v>
      </c>
      <c r="D1523" t="s">
        <v>1115</v>
      </c>
      <c r="E1523" t="s">
        <v>1319</v>
      </c>
      <c r="F1523" t="str">
        <f>[1]Raw_Customer_Dim!$A$2</f>
        <v>CUST1000</v>
      </c>
      <c r="G1523" t="str">
        <f>_xlfn.XLOOKUP(E1523,Store_Dim!A:A,Store_Dim!B:B,"Not Found")</f>
        <v>Thomas, Bridges and Harris</v>
      </c>
      <c r="H1523" t="str">
        <f>_xlfn.XLOOKUP(D1523,Product_Dim!A:A,Product_Dim!C:C,"Not Found")</f>
        <v>Home</v>
      </c>
      <c r="I1523" t="str">
        <f>_xlfn.XLOOKUP(E1523,Store_Dim!A:A,Store_Dim!C:C,"Not Found")</f>
        <v>North</v>
      </c>
      <c r="J1523" t="str">
        <f>_xlfn.XLOOKUP(C1523,Customer_Dim!A:A,Customer_Dim!B:B,"Not Found")</f>
        <v>Wayne Mcpherson</v>
      </c>
      <c r="K1523">
        <v>1</v>
      </c>
      <c r="L1523" s="5">
        <v>440.48</v>
      </c>
      <c r="M1523">
        <v>0.11</v>
      </c>
      <c r="N1523" t="s">
        <v>1354</v>
      </c>
      <c r="O1523" s="5">
        <v>392.02720000000011</v>
      </c>
    </row>
    <row r="1524" spans="1:15">
      <c r="A1524" t="s">
        <v>2873</v>
      </c>
      <c r="B1524" s="7">
        <v>45329</v>
      </c>
      <c r="C1524" t="s">
        <v>59</v>
      </c>
      <c r="D1524" t="s">
        <v>1105</v>
      </c>
      <c r="E1524" t="s">
        <v>1338</v>
      </c>
      <c r="F1524" t="str">
        <f>[1]Raw_Customer_Dim!$A$2</f>
        <v>CUST1000</v>
      </c>
      <c r="G1524" t="str">
        <f>_xlfn.XLOOKUP(E1524,Store_Dim!A:A,Store_Dim!B:B,"Not Found")</f>
        <v>Mann-Austin</v>
      </c>
      <c r="H1524" t="str">
        <f>_xlfn.XLOOKUP(D1524,Product_Dim!A:A,Product_Dim!C:C,"Not Found")</f>
        <v>Not Found</v>
      </c>
      <c r="I1524" t="str">
        <f>_xlfn.XLOOKUP(E1524,Store_Dim!A:A,Store_Dim!C:C,"Not Found")</f>
        <v>East</v>
      </c>
      <c r="J1524" t="str">
        <f>_xlfn.XLOOKUP(C1524,Customer_Dim!A:A,Customer_Dim!B:B,"Not Found")</f>
        <v>John Scott</v>
      </c>
      <c r="K1524">
        <v>2</v>
      </c>
      <c r="L1524" s="5">
        <v>303.67</v>
      </c>
      <c r="M1524">
        <v>0.05</v>
      </c>
      <c r="N1524" t="s">
        <v>1351</v>
      </c>
      <c r="O1524" s="5">
        <v>576.97299999999996</v>
      </c>
    </row>
    <row r="1525" spans="1:15">
      <c r="A1525" t="s">
        <v>2874</v>
      </c>
      <c r="B1525" s="7">
        <v>45895</v>
      </c>
      <c r="C1525" t="s">
        <v>736</v>
      </c>
      <c r="D1525" t="s">
        <v>1221</v>
      </c>
      <c r="E1525" t="s">
        <v>1324</v>
      </c>
      <c r="F1525" t="str">
        <f>[1]Raw_Customer_Dim!$A$2</f>
        <v>CUST1000</v>
      </c>
      <c r="G1525" t="str">
        <f>_xlfn.XLOOKUP(E1525,Store_Dim!A:A,Store_Dim!B:B,"Not Found")</f>
        <v>Mcdonald Inc</v>
      </c>
      <c r="H1525" t="str">
        <f>_xlfn.XLOOKUP(D1525,Product_Dim!A:A,Product_Dim!C:C,"Not Found")</f>
        <v>Electronics</v>
      </c>
      <c r="I1525" t="str">
        <f>_xlfn.XLOOKUP(E1525,Store_Dim!A:A,Store_Dim!C:C,"Not Found")</f>
        <v>South</v>
      </c>
      <c r="J1525" t="str">
        <f>_xlfn.XLOOKUP(C1525,Customer_Dim!A:A,Customer_Dim!B:B,"Not Found")</f>
        <v>John Jones</v>
      </c>
      <c r="K1525">
        <v>2</v>
      </c>
      <c r="L1525" s="5">
        <v>611.21</v>
      </c>
      <c r="M1525">
        <v>0.22</v>
      </c>
      <c r="N1525" t="s">
        <v>1354</v>
      </c>
      <c r="O1525" s="5">
        <v>953.48760000000004</v>
      </c>
    </row>
    <row r="1526" spans="1:15">
      <c r="A1526" t="s">
        <v>2875</v>
      </c>
      <c r="B1526" s="7">
        <v>45239</v>
      </c>
      <c r="C1526" t="s">
        <v>466</v>
      </c>
      <c r="D1526" t="s">
        <v>1151</v>
      </c>
      <c r="E1526" t="s">
        <v>1326</v>
      </c>
      <c r="F1526" t="str">
        <f>[1]Raw_Customer_Dim!$A$2</f>
        <v>CUST1000</v>
      </c>
      <c r="G1526" t="str">
        <f>_xlfn.XLOOKUP(E1526,Store_Dim!A:A,Store_Dim!B:B,"Not Found")</f>
        <v>Shelton PLC</v>
      </c>
      <c r="H1526" t="str">
        <f>_xlfn.XLOOKUP(D1526,Product_Dim!A:A,Product_Dim!C:C,"Not Found")</f>
        <v>Electronics</v>
      </c>
      <c r="I1526" t="str">
        <f>_xlfn.XLOOKUP(E1526,Store_Dim!A:A,Store_Dim!C:C,"Not Found")</f>
        <v>North</v>
      </c>
      <c r="J1526" t="str">
        <f>_xlfn.XLOOKUP(C1526,Customer_Dim!A:A,Customer_Dim!B:B,"Not Found")</f>
        <v>Christina Garcia</v>
      </c>
      <c r="K1526">
        <v>2</v>
      </c>
      <c r="L1526" s="5">
        <v>768.08</v>
      </c>
      <c r="M1526">
        <v>0.26</v>
      </c>
      <c r="N1526" t="s">
        <v>1351</v>
      </c>
      <c r="O1526" s="5">
        <v>1136.7583999999999</v>
      </c>
    </row>
    <row r="1527" spans="1:15">
      <c r="A1527" t="s">
        <v>2876</v>
      </c>
      <c r="B1527" s="7">
        <v>45296</v>
      </c>
      <c r="C1527" t="s">
        <v>656</v>
      </c>
      <c r="D1527" t="s">
        <v>1119</v>
      </c>
      <c r="E1527" t="s">
        <v>1335</v>
      </c>
      <c r="F1527" t="str">
        <f>[1]Raw_Customer_Dim!$A$2</f>
        <v>CUST1000</v>
      </c>
      <c r="G1527" t="str">
        <f>_xlfn.XLOOKUP(E1527,Store_Dim!A:A,Store_Dim!B:B,"Not Found")</f>
        <v>Guerrero-Schmitt</v>
      </c>
      <c r="H1527" t="str">
        <f>_xlfn.XLOOKUP(D1527,Product_Dim!A:A,Product_Dim!C:C,"Not Found")</f>
        <v>Clothing</v>
      </c>
      <c r="I1527" t="str">
        <f>_xlfn.XLOOKUP(E1527,Store_Dim!A:A,Store_Dim!C:C,"Not Found")</f>
        <v>East</v>
      </c>
      <c r="J1527" t="str">
        <f>_xlfn.XLOOKUP(C1527,Customer_Dim!A:A,Customer_Dim!B:B,"Not Found")</f>
        <v>Jared Moran</v>
      </c>
      <c r="K1527">
        <v>1</v>
      </c>
      <c r="L1527" s="5">
        <v>616.82000000000005</v>
      </c>
      <c r="M1527">
        <v>0.24</v>
      </c>
      <c r="N1527" t="s">
        <v>1349</v>
      </c>
      <c r="O1527" s="5">
        <v>468.78320000000002</v>
      </c>
    </row>
    <row r="1528" spans="1:15">
      <c r="A1528" t="s">
        <v>2877</v>
      </c>
      <c r="B1528" s="7">
        <v>45672</v>
      </c>
      <c r="C1528" t="s">
        <v>428</v>
      </c>
      <c r="D1528" t="s">
        <v>1153</v>
      </c>
      <c r="E1528" t="s">
        <v>1335</v>
      </c>
      <c r="F1528" t="str">
        <f>[1]Raw_Customer_Dim!$A$2</f>
        <v>CUST1000</v>
      </c>
      <c r="G1528" t="str">
        <f>_xlfn.XLOOKUP(E1528,Store_Dim!A:A,Store_Dim!B:B,"Not Found")</f>
        <v>Guerrero-Schmitt</v>
      </c>
      <c r="H1528" t="str">
        <f>_xlfn.XLOOKUP(D1528,Product_Dim!A:A,Product_Dim!C:C,"Not Found")</f>
        <v>Electronics</v>
      </c>
      <c r="I1528" t="str">
        <f>_xlfn.XLOOKUP(E1528,Store_Dim!A:A,Store_Dim!C:C,"Not Found")</f>
        <v>East</v>
      </c>
      <c r="J1528" t="str">
        <f>_xlfn.XLOOKUP(C1528,Customer_Dim!A:A,Customer_Dim!B:B,"Not Found")</f>
        <v>Mario Jacobs</v>
      </c>
      <c r="K1528">
        <v>1</v>
      </c>
      <c r="L1528" s="5">
        <v>470.34</v>
      </c>
      <c r="M1528">
        <v>0.18</v>
      </c>
      <c r="N1528" t="s">
        <v>1354</v>
      </c>
      <c r="O1528" s="5">
        <v>385.67880000000002</v>
      </c>
    </row>
    <row r="1529" spans="1:15">
      <c r="A1529" t="s">
        <v>2878</v>
      </c>
      <c r="B1529" s="7">
        <v>45499</v>
      </c>
      <c r="C1529" t="s">
        <v>500</v>
      </c>
      <c r="D1529" t="s">
        <v>1179</v>
      </c>
      <c r="E1529" t="s">
        <v>1307</v>
      </c>
      <c r="F1529" t="str">
        <f>[1]Raw_Customer_Dim!$A$2</f>
        <v>CUST1000</v>
      </c>
      <c r="G1529" t="str">
        <f>_xlfn.XLOOKUP(E1529,Store_Dim!A:A,Store_Dim!B:B,"Not Found")</f>
        <v>Bean, Jones and Park</v>
      </c>
      <c r="H1529" t="str">
        <f>_xlfn.XLOOKUP(D1529,Product_Dim!A:A,Product_Dim!C:C,"Not Found")</f>
        <v>Clothing</v>
      </c>
      <c r="I1529" t="str">
        <f>_xlfn.XLOOKUP(E1529,Store_Dim!A:A,Store_Dim!C:C,"Not Found")</f>
        <v>West</v>
      </c>
      <c r="J1529" t="str">
        <f>_xlfn.XLOOKUP(C1529,Customer_Dim!A:A,Customer_Dim!B:B,"Not Found")</f>
        <v>Jordan Wells</v>
      </c>
      <c r="K1529">
        <v>2</v>
      </c>
      <c r="L1529" s="5">
        <v>616.36</v>
      </c>
      <c r="M1529">
        <v>0.12</v>
      </c>
      <c r="N1529" t="s">
        <v>1351</v>
      </c>
      <c r="O1529" s="5">
        <v>1084.7936</v>
      </c>
    </row>
    <row r="1530" spans="1:15">
      <c r="A1530" t="s">
        <v>2879</v>
      </c>
      <c r="B1530" s="7">
        <v>45434</v>
      </c>
      <c r="C1530" t="s">
        <v>218</v>
      </c>
      <c r="D1530" t="s">
        <v>1076</v>
      </c>
      <c r="E1530" t="s">
        <v>1311</v>
      </c>
      <c r="F1530" t="str">
        <f>[1]Raw_Customer_Dim!$A$2</f>
        <v>CUST1000</v>
      </c>
      <c r="G1530" t="str">
        <f>_xlfn.XLOOKUP(E1530,Store_Dim!A:A,Store_Dim!B:B,"Not Found")</f>
        <v>Moore, Padilla and Butler</v>
      </c>
      <c r="H1530" t="str">
        <f>_xlfn.XLOOKUP(D1530,Product_Dim!A:A,Product_Dim!C:C,"Not Found")</f>
        <v>Not Found</v>
      </c>
      <c r="I1530" t="str">
        <f>_xlfn.XLOOKUP(E1530,Store_Dim!A:A,Store_Dim!C:C,"Not Found")</f>
        <v>South</v>
      </c>
      <c r="J1530" t="str">
        <f>_xlfn.XLOOKUP(C1530,Customer_Dim!A:A,Customer_Dim!B:B,"Not Found")</f>
        <v>George Rosario</v>
      </c>
      <c r="K1530">
        <v>3</v>
      </c>
      <c r="L1530" s="5">
        <v>657.24</v>
      </c>
      <c r="M1530">
        <v>0.18</v>
      </c>
      <c r="N1530" t="s">
        <v>1351</v>
      </c>
      <c r="O1530" s="5">
        <v>1616.8104000000001</v>
      </c>
    </row>
    <row r="1531" spans="1:15">
      <c r="A1531" t="s">
        <v>2880</v>
      </c>
      <c r="B1531" s="7">
        <v>45893</v>
      </c>
      <c r="C1531" t="s">
        <v>104</v>
      </c>
      <c r="D1531" t="s">
        <v>1155</v>
      </c>
      <c r="E1531" t="s">
        <v>1338</v>
      </c>
      <c r="F1531" t="str">
        <f>[1]Raw_Customer_Dim!$A$2</f>
        <v>CUST1000</v>
      </c>
      <c r="G1531" t="str">
        <f>_xlfn.XLOOKUP(E1531,Store_Dim!A:A,Store_Dim!B:B,"Not Found")</f>
        <v>Mann-Austin</v>
      </c>
      <c r="H1531" t="str">
        <f>_xlfn.XLOOKUP(D1531,Product_Dim!A:A,Product_Dim!C:C,"Not Found")</f>
        <v>Sports</v>
      </c>
      <c r="I1531" t="str">
        <f>_xlfn.XLOOKUP(E1531,Store_Dim!A:A,Store_Dim!C:C,"Not Found")</f>
        <v>East</v>
      </c>
      <c r="J1531" t="str">
        <f>_xlfn.XLOOKUP(C1531,Customer_Dim!A:A,Customer_Dim!B:B,"Not Found")</f>
        <v>Christopher Olson</v>
      </c>
      <c r="K1531">
        <v>2</v>
      </c>
      <c r="L1531" s="5">
        <v>392.45</v>
      </c>
      <c r="M1531">
        <v>0.04</v>
      </c>
      <c r="N1531" t="s">
        <v>1351</v>
      </c>
      <c r="O1531" s="5">
        <v>753.50399999999991</v>
      </c>
    </row>
    <row r="1532" spans="1:15">
      <c r="A1532" t="s">
        <v>2881</v>
      </c>
      <c r="B1532" s="7">
        <v>45346</v>
      </c>
      <c r="C1532" t="s">
        <v>553</v>
      </c>
      <c r="D1532" t="s">
        <v>1153</v>
      </c>
      <c r="E1532" t="s">
        <v>1324</v>
      </c>
      <c r="F1532" t="str">
        <f>[1]Raw_Customer_Dim!$A$2</f>
        <v>CUST1000</v>
      </c>
      <c r="G1532" t="str">
        <f>_xlfn.XLOOKUP(E1532,Store_Dim!A:A,Store_Dim!B:B,"Not Found")</f>
        <v>Mcdonald Inc</v>
      </c>
      <c r="H1532" t="str">
        <f>_xlfn.XLOOKUP(D1532,Product_Dim!A:A,Product_Dim!C:C,"Not Found")</f>
        <v>Electronics</v>
      </c>
      <c r="I1532" t="str">
        <f>_xlfn.XLOOKUP(E1532,Store_Dim!A:A,Store_Dim!C:C,"Not Found")</f>
        <v>South</v>
      </c>
      <c r="J1532" t="str">
        <f>_xlfn.XLOOKUP(C1532,Customer_Dim!A:A,Customer_Dim!B:B,"Not Found")</f>
        <v>Laura Soto</v>
      </c>
      <c r="K1532">
        <v>3</v>
      </c>
      <c r="L1532" s="5">
        <v>62.03</v>
      </c>
      <c r="M1532">
        <v>0.01</v>
      </c>
      <c r="N1532" t="s">
        <v>1354</v>
      </c>
      <c r="O1532" s="5">
        <v>184.22909999999999</v>
      </c>
    </row>
    <row r="1533" spans="1:15">
      <c r="A1533" t="s">
        <v>2882</v>
      </c>
      <c r="B1533" s="7">
        <v>45613</v>
      </c>
      <c r="C1533" t="s">
        <v>242</v>
      </c>
      <c r="D1533" t="s">
        <v>1265</v>
      </c>
      <c r="E1533" t="s">
        <v>1291</v>
      </c>
      <c r="F1533" t="str">
        <f>[1]Raw_Customer_Dim!$A$2</f>
        <v>CUST1000</v>
      </c>
      <c r="G1533" t="str">
        <f>_xlfn.XLOOKUP(E1533,Store_Dim!A:A,Store_Dim!B:B,"Not Found")</f>
        <v>Johnson-Wright</v>
      </c>
      <c r="H1533" t="str">
        <f>_xlfn.XLOOKUP(D1533,Product_Dim!A:A,Product_Dim!C:C,"Not Found")</f>
        <v>Clothing</v>
      </c>
      <c r="I1533" t="str">
        <f>_xlfn.XLOOKUP(E1533,Store_Dim!A:A,Store_Dim!C:C,"Not Found")</f>
        <v>North</v>
      </c>
      <c r="J1533" t="str">
        <f>_xlfn.XLOOKUP(C1533,Customer_Dim!A:A,Customer_Dim!B:B,"Not Found")</f>
        <v>Robert Jackson</v>
      </c>
      <c r="K1533">
        <v>4</v>
      </c>
      <c r="L1533" s="5">
        <v>933.73</v>
      </c>
      <c r="M1533">
        <v>0.25</v>
      </c>
      <c r="N1533" t="s">
        <v>1351</v>
      </c>
      <c r="O1533" s="5">
        <v>2801.19</v>
      </c>
    </row>
    <row r="1534" spans="1:15">
      <c r="A1534" t="s">
        <v>2883</v>
      </c>
      <c r="B1534" s="7">
        <v>45928</v>
      </c>
      <c r="C1534" t="s">
        <v>371</v>
      </c>
      <c r="D1534" t="s">
        <v>1243</v>
      </c>
      <c r="E1534" t="s">
        <v>1329</v>
      </c>
      <c r="F1534" t="str">
        <f>[1]Raw_Customer_Dim!$A$2</f>
        <v>CUST1000</v>
      </c>
      <c r="G1534" t="str">
        <f>_xlfn.XLOOKUP(E1534,Store_Dim!A:A,Store_Dim!B:B,"Not Found")</f>
        <v>Frederick-Wright</v>
      </c>
      <c r="H1534" t="str">
        <f>_xlfn.XLOOKUP(D1534,Product_Dim!A:A,Product_Dim!C:C,"Not Found")</f>
        <v>Clothing</v>
      </c>
      <c r="I1534" t="str">
        <f>_xlfn.XLOOKUP(E1534,Store_Dim!A:A,Store_Dim!C:C,"Not Found")</f>
        <v>West</v>
      </c>
      <c r="J1534" t="str">
        <f>_xlfn.XLOOKUP(C1534,Customer_Dim!A:A,Customer_Dim!B:B,"Not Found")</f>
        <v>Curtis Haynes</v>
      </c>
      <c r="K1534">
        <v>3</v>
      </c>
      <c r="L1534" s="5">
        <v>615.30999999999995</v>
      </c>
      <c r="M1534">
        <v>0.14000000000000001</v>
      </c>
      <c r="N1534" t="s">
        <v>1351</v>
      </c>
      <c r="O1534" s="5">
        <v>1587.4998000000001</v>
      </c>
    </row>
    <row r="1535" spans="1:15">
      <c r="A1535" t="s">
        <v>2884</v>
      </c>
      <c r="B1535" s="7">
        <v>45619</v>
      </c>
      <c r="C1535" t="s">
        <v>809</v>
      </c>
      <c r="D1535" t="s">
        <v>1191</v>
      </c>
      <c r="E1535" t="s">
        <v>1335</v>
      </c>
      <c r="F1535" t="str">
        <f>[1]Raw_Customer_Dim!$A$2</f>
        <v>CUST1000</v>
      </c>
      <c r="G1535" t="str">
        <f>_xlfn.XLOOKUP(E1535,Store_Dim!A:A,Store_Dim!B:B,"Not Found")</f>
        <v>Guerrero-Schmitt</v>
      </c>
      <c r="H1535" t="str">
        <f>_xlfn.XLOOKUP(D1535,Product_Dim!A:A,Product_Dim!C:C,"Not Found")</f>
        <v>Beauty</v>
      </c>
      <c r="I1535" t="str">
        <f>_xlfn.XLOOKUP(E1535,Store_Dim!A:A,Store_Dim!C:C,"Not Found")</f>
        <v>East</v>
      </c>
      <c r="J1535" t="str">
        <f>_xlfn.XLOOKUP(C1535,Customer_Dim!A:A,Customer_Dim!B:B,"Not Found")</f>
        <v>James Orozco</v>
      </c>
      <c r="K1535">
        <v>4</v>
      </c>
      <c r="L1535" s="5">
        <v>790.38</v>
      </c>
      <c r="M1535">
        <v>0.22</v>
      </c>
      <c r="N1535" t="s">
        <v>1354</v>
      </c>
      <c r="O1535" s="5">
        <v>2465.9856</v>
      </c>
    </row>
    <row r="1536" spans="1:15">
      <c r="A1536" t="s">
        <v>2885</v>
      </c>
      <c r="B1536" s="7">
        <v>45533</v>
      </c>
      <c r="C1536" t="s">
        <v>602</v>
      </c>
      <c r="D1536" t="s">
        <v>1191</v>
      </c>
      <c r="E1536" t="s">
        <v>1332</v>
      </c>
      <c r="F1536" t="str">
        <f>[1]Raw_Customer_Dim!$A$2</f>
        <v>CUST1000</v>
      </c>
      <c r="G1536" t="str">
        <f>_xlfn.XLOOKUP(E1536,Store_Dim!A:A,Store_Dim!B:B,"Not Found")</f>
        <v>Holloway Ltd</v>
      </c>
      <c r="H1536" t="str">
        <f>_xlfn.XLOOKUP(D1536,Product_Dim!A:A,Product_Dim!C:C,"Not Found")</f>
        <v>Beauty</v>
      </c>
      <c r="I1536" t="str">
        <f>_xlfn.XLOOKUP(E1536,Store_Dim!A:A,Store_Dim!C:C,"Not Found")</f>
        <v>North</v>
      </c>
      <c r="J1536" t="str">
        <f>_xlfn.XLOOKUP(C1536,Customer_Dim!A:A,Customer_Dim!B:B,"Not Found")</f>
        <v>Tyrone Olson</v>
      </c>
      <c r="K1536">
        <v>2</v>
      </c>
      <c r="L1536" s="5">
        <v>102.85</v>
      </c>
      <c r="M1536">
        <v>0.08</v>
      </c>
      <c r="N1536" t="s">
        <v>1351</v>
      </c>
      <c r="O1536" s="5">
        <v>189.244</v>
      </c>
    </row>
    <row r="1537" spans="1:15">
      <c r="A1537" t="s">
        <v>2886</v>
      </c>
      <c r="B1537" s="7">
        <v>45781</v>
      </c>
      <c r="C1537" t="s">
        <v>115</v>
      </c>
      <c r="D1537" t="s">
        <v>1095</v>
      </c>
      <c r="E1537" t="s">
        <v>1329</v>
      </c>
      <c r="F1537" t="str">
        <f>[1]Raw_Customer_Dim!$A$2</f>
        <v>CUST1000</v>
      </c>
      <c r="G1537" t="str">
        <f>_xlfn.XLOOKUP(E1537,Store_Dim!A:A,Store_Dim!B:B,"Not Found")</f>
        <v>Frederick-Wright</v>
      </c>
      <c r="H1537" t="str">
        <f>_xlfn.XLOOKUP(D1537,Product_Dim!A:A,Product_Dim!C:C,"Not Found")</f>
        <v>Electronics</v>
      </c>
      <c r="I1537" t="str">
        <f>_xlfn.XLOOKUP(E1537,Store_Dim!A:A,Store_Dim!C:C,"Not Found")</f>
        <v>West</v>
      </c>
      <c r="J1537" t="str">
        <f>_xlfn.XLOOKUP(C1537,Customer_Dim!A:A,Customer_Dim!B:B,"Not Found")</f>
        <v>Tonya Reynolds</v>
      </c>
      <c r="K1537">
        <v>3</v>
      </c>
      <c r="L1537" s="5">
        <v>866.78</v>
      </c>
      <c r="M1537">
        <v>0.27</v>
      </c>
      <c r="N1537" t="s">
        <v>1351</v>
      </c>
      <c r="O1537" s="5">
        <v>1898.2482</v>
      </c>
    </row>
    <row r="1538" spans="1:15">
      <c r="A1538" t="s">
        <v>2887</v>
      </c>
      <c r="B1538" s="7">
        <v>45378</v>
      </c>
      <c r="C1538" t="s">
        <v>478</v>
      </c>
      <c r="D1538" t="s">
        <v>1229</v>
      </c>
      <c r="E1538" t="s">
        <v>1329</v>
      </c>
      <c r="F1538" t="str">
        <f>[1]Raw_Customer_Dim!$A$2</f>
        <v>CUST1000</v>
      </c>
      <c r="G1538" t="str">
        <f>_xlfn.XLOOKUP(E1538,Store_Dim!A:A,Store_Dim!B:B,"Not Found")</f>
        <v>Frederick-Wright</v>
      </c>
      <c r="H1538" t="str">
        <f>_xlfn.XLOOKUP(D1538,Product_Dim!A:A,Product_Dim!C:C,"Not Found")</f>
        <v>Home</v>
      </c>
      <c r="I1538" t="str">
        <f>_xlfn.XLOOKUP(E1538,Store_Dim!A:A,Store_Dim!C:C,"Not Found")</f>
        <v>West</v>
      </c>
      <c r="J1538" t="str">
        <f>_xlfn.XLOOKUP(C1538,Customer_Dim!A:A,Customer_Dim!B:B,"Not Found")</f>
        <v>John Perez</v>
      </c>
      <c r="K1538">
        <v>3</v>
      </c>
      <c r="L1538" s="5">
        <v>392.84</v>
      </c>
      <c r="M1538">
        <v>0.27</v>
      </c>
      <c r="N1538" t="s">
        <v>1351</v>
      </c>
      <c r="O1538" s="5">
        <v>860.31959999999992</v>
      </c>
    </row>
    <row r="1539" spans="1:15">
      <c r="A1539" t="s">
        <v>2888</v>
      </c>
      <c r="B1539" s="7">
        <v>45688</v>
      </c>
      <c r="C1539" t="s">
        <v>710</v>
      </c>
      <c r="D1539" t="s">
        <v>1090</v>
      </c>
      <c r="E1539" t="s">
        <v>1298</v>
      </c>
      <c r="F1539" t="str">
        <f>[1]Raw_Customer_Dim!$A$2</f>
        <v>CUST1000</v>
      </c>
      <c r="G1539" t="str">
        <f>_xlfn.XLOOKUP(E1539,Store_Dim!A:A,Store_Dim!B:B,"Not Found")</f>
        <v>Gray Ltd</v>
      </c>
      <c r="H1539" t="str">
        <f>_xlfn.XLOOKUP(D1539,Product_Dim!A:A,Product_Dim!C:C,"Not Found")</f>
        <v>Sports</v>
      </c>
      <c r="I1539" t="str">
        <f>_xlfn.XLOOKUP(E1539,Store_Dim!A:A,Store_Dim!C:C,"Not Found")</f>
        <v>North</v>
      </c>
      <c r="J1539" t="str">
        <f>_xlfn.XLOOKUP(C1539,Customer_Dim!A:A,Customer_Dim!B:B,"Not Found")</f>
        <v>Kristy Dunlap</v>
      </c>
      <c r="K1539">
        <v>2</v>
      </c>
      <c r="L1539" s="5">
        <v>753.1</v>
      </c>
      <c r="M1539">
        <v>0.19</v>
      </c>
      <c r="N1539" t="s">
        <v>1351</v>
      </c>
      <c r="O1539" s="5">
        <v>1220.0219999999999</v>
      </c>
    </row>
    <row r="1540" spans="1:15">
      <c r="A1540" t="s">
        <v>2889</v>
      </c>
      <c r="B1540" s="7">
        <v>45927</v>
      </c>
      <c r="C1540" t="s">
        <v>33</v>
      </c>
      <c r="D1540" t="s">
        <v>1181</v>
      </c>
      <c r="E1540" t="s">
        <v>1332</v>
      </c>
      <c r="F1540" t="str">
        <f>[1]Raw_Customer_Dim!$A$2</f>
        <v>CUST1000</v>
      </c>
      <c r="G1540" t="str">
        <f>_xlfn.XLOOKUP(E1540,Store_Dim!A:A,Store_Dim!B:B,"Not Found")</f>
        <v>Holloway Ltd</v>
      </c>
      <c r="H1540" t="str">
        <f>_xlfn.XLOOKUP(D1540,Product_Dim!A:A,Product_Dim!C:C,"Not Found")</f>
        <v>Sports</v>
      </c>
      <c r="I1540" t="str">
        <f>_xlfn.XLOOKUP(E1540,Store_Dim!A:A,Store_Dim!C:C,"Not Found")</f>
        <v>North</v>
      </c>
      <c r="J1540" t="str">
        <f>_xlfn.XLOOKUP(C1540,Customer_Dim!A:A,Customer_Dim!B:B,"Not Found")</f>
        <v>Daniel Boyd</v>
      </c>
      <c r="K1540">
        <v>2</v>
      </c>
      <c r="L1540" s="5">
        <v>700.91</v>
      </c>
      <c r="M1540">
        <v>0.1</v>
      </c>
      <c r="N1540" t="s">
        <v>1351</v>
      </c>
      <c r="O1540" s="5">
        <v>1261.6379999999999</v>
      </c>
    </row>
    <row r="1541" spans="1:15">
      <c r="A1541" t="s">
        <v>2890</v>
      </c>
      <c r="B1541" s="7">
        <v>45775</v>
      </c>
      <c r="C1541" t="s">
        <v>194</v>
      </c>
      <c r="D1541" t="s">
        <v>1103</v>
      </c>
      <c r="E1541" t="s">
        <v>1319</v>
      </c>
      <c r="F1541" t="str">
        <f>[1]Raw_Customer_Dim!$A$2</f>
        <v>CUST1000</v>
      </c>
      <c r="G1541" t="str">
        <f>_xlfn.XLOOKUP(E1541,Store_Dim!A:A,Store_Dim!B:B,"Not Found")</f>
        <v>Thomas, Bridges and Harris</v>
      </c>
      <c r="H1541" t="str">
        <f>_xlfn.XLOOKUP(D1541,Product_Dim!A:A,Product_Dim!C:C,"Not Found")</f>
        <v>Electronics</v>
      </c>
      <c r="I1541" t="str">
        <f>_xlfn.XLOOKUP(E1541,Store_Dim!A:A,Store_Dim!C:C,"Not Found")</f>
        <v>North</v>
      </c>
      <c r="J1541" t="str">
        <f>_xlfn.XLOOKUP(C1541,Customer_Dim!A:A,Customer_Dim!B:B,"Not Found")</f>
        <v>Tonya Burch</v>
      </c>
      <c r="K1541">
        <v>4</v>
      </c>
      <c r="L1541" s="5">
        <v>935.98</v>
      </c>
      <c r="M1541">
        <v>0.11</v>
      </c>
      <c r="N1541" t="s">
        <v>1351</v>
      </c>
      <c r="O1541" s="5">
        <v>3332.0888</v>
      </c>
    </row>
    <row r="1542" spans="1:15">
      <c r="A1542" t="s">
        <v>2891</v>
      </c>
      <c r="B1542" s="7">
        <v>45849</v>
      </c>
      <c r="C1542" t="s">
        <v>1031</v>
      </c>
      <c r="D1542" t="s">
        <v>1225</v>
      </c>
      <c r="E1542" t="s">
        <v>1329</v>
      </c>
      <c r="F1542" t="str">
        <f>[1]Raw_Customer_Dim!$A$2</f>
        <v>CUST1000</v>
      </c>
      <c r="G1542" t="str">
        <f>_xlfn.XLOOKUP(E1542,Store_Dim!A:A,Store_Dim!B:B,"Not Found")</f>
        <v>Frederick-Wright</v>
      </c>
      <c r="H1542" t="str">
        <f>_xlfn.XLOOKUP(D1542,Product_Dim!A:A,Product_Dim!C:C,"Not Found")</f>
        <v>Electronics</v>
      </c>
      <c r="I1542" t="str">
        <f>_xlfn.XLOOKUP(E1542,Store_Dim!A:A,Store_Dim!C:C,"Not Found")</f>
        <v>West</v>
      </c>
      <c r="J1542" t="str">
        <f>_xlfn.XLOOKUP(C1542,Customer_Dim!A:A,Customer_Dim!B:B,"Not Found")</f>
        <v>Sara Ingram</v>
      </c>
      <c r="K1542">
        <v>1</v>
      </c>
      <c r="L1542" s="5">
        <v>539.9</v>
      </c>
      <c r="M1542">
        <v>7.0000000000000007E-2</v>
      </c>
      <c r="N1542" t="s">
        <v>1349</v>
      </c>
      <c r="O1542" s="5">
        <v>502.10700000000003</v>
      </c>
    </row>
    <row r="1543" spans="1:15">
      <c r="A1543" t="s">
        <v>2892</v>
      </c>
      <c r="B1543" s="7">
        <v>45573</v>
      </c>
      <c r="C1543" t="s">
        <v>403</v>
      </c>
      <c r="D1543" t="s">
        <v>1153</v>
      </c>
      <c r="E1543" t="s">
        <v>1301</v>
      </c>
      <c r="F1543" t="str">
        <f>[1]Raw_Customer_Dim!$A$2</f>
        <v>CUST1000</v>
      </c>
      <c r="G1543" t="str">
        <f>_xlfn.XLOOKUP(E1543,Store_Dim!A:A,Store_Dim!B:B,"Not Found")</f>
        <v>Benson-Elliott</v>
      </c>
      <c r="H1543" t="str">
        <f>_xlfn.XLOOKUP(D1543,Product_Dim!A:A,Product_Dim!C:C,"Not Found")</f>
        <v>Electronics</v>
      </c>
      <c r="I1543" t="str">
        <f>_xlfn.XLOOKUP(E1543,Store_Dim!A:A,Store_Dim!C:C,"Not Found")</f>
        <v>East</v>
      </c>
      <c r="J1543" t="str">
        <f>_xlfn.XLOOKUP(C1543,Customer_Dim!A:A,Customer_Dim!B:B,"Not Found")</f>
        <v>Amy Wilson</v>
      </c>
      <c r="K1543">
        <v>1</v>
      </c>
      <c r="L1543" s="5">
        <v>312.81</v>
      </c>
      <c r="M1543">
        <v>0.14000000000000001</v>
      </c>
      <c r="N1543" t="s">
        <v>1351</v>
      </c>
      <c r="O1543" s="5">
        <v>269.01659999999998</v>
      </c>
    </row>
    <row r="1544" spans="1:15">
      <c r="A1544" t="s">
        <v>2893</v>
      </c>
      <c r="B1544" s="7">
        <v>45356</v>
      </c>
      <c r="C1544" t="s">
        <v>561</v>
      </c>
      <c r="D1544" t="s">
        <v>1169</v>
      </c>
      <c r="E1544" t="s">
        <v>1304</v>
      </c>
      <c r="F1544" t="str">
        <f>[1]Raw_Customer_Dim!$A$2</f>
        <v>CUST1000</v>
      </c>
      <c r="G1544" t="str">
        <f>_xlfn.XLOOKUP(E1544,Store_Dim!A:A,Store_Dim!B:B,"Not Found")</f>
        <v>Martinez-Mullins</v>
      </c>
      <c r="H1544" t="str">
        <f>_xlfn.XLOOKUP(D1544,Product_Dim!A:A,Product_Dim!C:C,"Not Found")</f>
        <v>Electronics</v>
      </c>
      <c r="I1544" t="str">
        <f>_xlfn.XLOOKUP(E1544,Store_Dim!A:A,Store_Dim!C:C,"Not Found")</f>
        <v>South</v>
      </c>
      <c r="J1544" t="str">
        <f>_xlfn.XLOOKUP(C1544,Customer_Dim!A:A,Customer_Dim!B:B,"Not Found")</f>
        <v>Lauren George</v>
      </c>
      <c r="K1544">
        <v>3</v>
      </c>
      <c r="L1544" s="5">
        <v>855.96</v>
      </c>
      <c r="M1544">
        <v>0.28999999999999998</v>
      </c>
      <c r="N1544" t="s">
        <v>1354</v>
      </c>
      <c r="O1544" s="5">
        <v>1823.1948</v>
      </c>
    </row>
    <row r="1545" spans="1:15">
      <c r="A1545" t="s">
        <v>2894</v>
      </c>
      <c r="B1545" s="7">
        <v>45326</v>
      </c>
      <c r="C1545" t="s">
        <v>773</v>
      </c>
      <c r="D1545" t="s">
        <v>1071</v>
      </c>
      <c r="E1545" t="s">
        <v>1317</v>
      </c>
      <c r="F1545" t="str">
        <f>[1]Raw_Customer_Dim!$A$2</f>
        <v>CUST1000</v>
      </c>
      <c r="G1545" t="str">
        <f>_xlfn.XLOOKUP(E1545,Store_Dim!A:A,Store_Dim!B:B,"Not Found")</f>
        <v>Aguirre-Keller</v>
      </c>
      <c r="H1545" t="str">
        <f>_xlfn.XLOOKUP(D1545,Product_Dim!A:A,Product_Dim!C:C,"Not Found")</f>
        <v>Clothing</v>
      </c>
      <c r="I1545" t="str">
        <f>_xlfn.XLOOKUP(E1545,Store_Dim!A:A,Store_Dim!C:C,"Not Found")</f>
        <v>South</v>
      </c>
      <c r="J1545" t="str">
        <f>_xlfn.XLOOKUP(C1545,Customer_Dim!A:A,Customer_Dim!B:B,"Not Found")</f>
        <v>Carlos Flores</v>
      </c>
      <c r="K1545">
        <v>3</v>
      </c>
      <c r="L1545" s="5">
        <v>305</v>
      </c>
      <c r="M1545">
        <v>0.01</v>
      </c>
      <c r="N1545" t="s">
        <v>1354</v>
      </c>
      <c r="O1545" s="5">
        <v>905.85</v>
      </c>
    </row>
    <row r="1546" spans="1:15">
      <c r="A1546" t="s">
        <v>2895</v>
      </c>
      <c r="B1546" s="7">
        <v>45361</v>
      </c>
      <c r="C1546" t="s">
        <v>998</v>
      </c>
      <c r="D1546" t="s">
        <v>1271</v>
      </c>
      <c r="E1546" t="s">
        <v>1319</v>
      </c>
      <c r="F1546" t="str">
        <f>[1]Raw_Customer_Dim!$A$2</f>
        <v>CUST1000</v>
      </c>
      <c r="G1546" t="str">
        <f>_xlfn.XLOOKUP(E1546,Store_Dim!A:A,Store_Dim!B:B,"Not Found")</f>
        <v>Thomas, Bridges and Harris</v>
      </c>
      <c r="H1546" t="str">
        <f>_xlfn.XLOOKUP(D1546,Product_Dim!A:A,Product_Dim!C:C,"Not Found")</f>
        <v>Home</v>
      </c>
      <c r="I1546" t="str">
        <f>_xlfn.XLOOKUP(E1546,Store_Dim!A:A,Store_Dim!C:C,"Not Found")</f>
        <v>North</v>
      </c>
      <c r="J1546" t="str">
        <f>_xlfn.XLOOKUP(C1546,Customer_Dim!A:A,Customer_Dim!B:B,"Not Found")</f>
        <v>Gregory Curtis</v>
      </c>
      <c r="K1546">
        <v>3</v>
      </c>
      <c r="L1546" s="5">
        <v>831.15</v>
      </c>
      <c r="M1546">
        <v>0.19</v>
      </c>
      <c r="N1546" t="s">
        <v>1349</v>
      </c>
      <c r="O1546" s="5">
        <v>2019.6945000000001</v>
      </c>
    </row>
    <row r="1547" spans="1:15">
      <c r="A1547" t="s">
        <v>2896</v>
      </c>
      <c r="B1547" s="7">
        <v>45926</v>
      </c>
      <c r="C1547" t="s">
        <v>476</v>
      </c>
      <c r="D1547" t="s">
        <v>1265</v>
      </c>
      <c r="E1547" t="s">
        <v>1291</v>
      </c>
      <c r="F1547" t="str">
        <f>[1]Raw_Customer_Dim!$A$2</f>
        <v>CUST1000</v>
      </c>
      <c r="G1547" t="str">
        <f>_xlfn.XLOOKUP(E1547,Store_Dim!A:A,Store_Dim!B:B,"Not Found")</f>
        <v>Johnson-Wright</v>
      </c>
      <c r="H1547" t="str">
        <f>_xlfn.XLOOKUP(D1547,Product_Dim!A:A,Product_Dim!C:C,"Not Found")</f>
        <v>Clothing</v>
      </c>
      <c r="I1547" t="str">
        <f>_xlfn.XLOOKUP(E1547,Store_Dim!A:A,Store_Dim!C:C,"Not Found")</f>
        <v>North</v>
      </c>
      <c r="J1547" t="str">
        <f>_xlfn.XLOOKUP(C1547,Customer_Dim!A:A,Customer_Dim!B:B,"Not Found")</f>
        <v>Jacqueline Pacheco</v>
      </c>
      <c r="K1547">
        <v>2</v>
      </c>
      <c r="L1547" s="5">
        <v>644.97</v>
      </c>
      <c r="M1547">
        <v>0.24</v>
      </c>
      <c r="N1547" t="s">
        <v>1354</v>
      </c>
      <c r="O1547" s="5">
        <v>980.35440000000006</v>
      </c>
    </row>
    <row r="1548" spans="1:15">
      <c r="A1548" t="s">
        <v>2897</v>
      </c>
      <c r="B1548" s="7">
        <v>45839</v>
      </c>
      <c r="C1548" t="s">
        <v>248</v>
      </c>
      <c r="D1548" t="s">
        <v>1249</v>
      </c>
      <c r="E1548" t="s">
        <v>1282</v>
      </c>
      <c r="F1548" t="str">
        <f>[1]Raw_Customer_Dim!$A$2</f>
        <v>CUST1000</v>
      </c>
      <c r="G1548" t="str">
        <f>_xlfn.XLOOKUP(E1548,Store_Dim!A:A,Store_Dim!B:B,"Not Found")</f>
        <v>Martinez, Adkins and Johnson</v>
      </c>
      <c r="H1548" t="str">
        <f>_xlfn.XLOOKUP(D1548,Product_Dim!A:A,Product_Dim!C:C,"Not Found")</f>
        <v>Sports</v>
      </c>
      <c r="I1548" t="str">
        <f>_xlfn.XLOOKUP(E1548,Store_Dim!A:A,Store_Dim!C:C,"Not Found")</f>
        <v>North</v>
      </c>
      <c r="J1548" t="str">
        <f>_xlfn.XLOOKUP(C1548,Customer_Dim!A:A,Customer_Dim!B:B,"Not Found")</f>
        <v>Amy Fowler</v>
      </c>
      <c r="K1548">
        <v>1</v>
      </c>
      <c r="L1548" s="5">
        <v>149.56</v>
      </c>
      <c r="M1548">
        <v>0.09</v>
      </c>
      <c r="N1548" t="s">
        <v>1349</v>
      </c>
      <c r="O1548" s="5">
        <v>136.09960000000001</v>
      </c>
    </row>
    <row r="1549" spans="1:15">
      <c r="A1549" t="s">
        <v>2898</v>
      </c>
      <c r="B1549" s="7">
        <v>45434</v>
      </c>
      <c r="C1549" t="s">
        <v>496</v>
      </c>
      <c r="D1549" t="s">
        <v>1159</v>
      </c>
      <c r="E1549" t="s">
        <v>1338</v>
      </c>
      <c r="F1549" t="str">
        <f>[1]Raw_Customer_Dim!$A$2</f>
        <v>CUST1000</v>
      </c>
      <c r="G1549" t="str">
        <f>_xlfn.XLOOKUP(E1549,Store_Dim!A:A,Store_Dim!B:B,"Not Found")</f>
        <v>Mann-Austin</v>
      </c>
      <c r="H1549" t="str">
        <f>_xlfn.XLOOKUP(D1549,Product_Dim!A:A,Product_Dim!C:C,"Not Found")</f>
        <v>Electronics</v>
      </c>
      <c r="I1549" t="str">
        <f>_xlfn.XLOOKUP(E1549,Store_Dim!A:A,Store_Dim!C:C,"Not Found")</f>
        <v>East</v>
      </c>
      <c r="J1549" t="str">
        <f>_xlfn.XLOOKUP(C1549,Customer_Dim!A:A,Customer_Dim!B:B,"Not Found")</f>
        <v>Kathy Copeland</v>
      </c>
      <c r="K1549">
        <v>1</v>
      </c>
      <c r="L1549" s="5">
        <v>661.77</v>
      </c>
      <c r="M1549">
        <v>0.03</v>
      </c>
      <c r="N1549" t="s">
        <v>1351</v>
      </c>
      <c r="O1549" s="5">
        <v>641.91689999999994</v>
      </c>
    </row>
    <row r="1550" spans="1:15">
      <c r="A1550" t="s">
        <v>2899</v>
      </c>
      <c r="B1550" s="7">
        <v>45819</v>
      </c>
      <c r="C1550" t="s">
        <v>275</v>
      </c>
      <c r="D1550" t="s">
        <v>1261</v>
      </c>
      <c r="E1550" t="s">
        <v>1304</v>
      </c>
      <c r="F1550" t="str">
        <f>[1]Raw_Customer_Dim!$A$2</f>
        <v>CUST1000</v>
      </c>
      <c r="G1550" t="str">
        <f>_xlfn.XLOOKUP(E1550,Store_Dim!A:A,Store_Dim!B:B,"Not Found")</f>
        <v>Martinez-Mullins</v>
      </c>
      <c r="H1550" t="str">
        <f>_xlfn.XLOOKUP(D1550,Product_Dim!A:A,Product_Dim!C:C,"Not Found")</f>
        <v>Beauty</v>
      </c>
      <c r="I1550" t="str">
        <f>_xlfn.XLOOKUP(E1550,Store_Dim!A:A,Store_Dim!C:C,"Not Found")</f>
        <v>South</v>
      </c>
      <c r="J1550" t="str">
        <f>_xlfn.XLOOKUP(C1550,Customer_Dim!A:A,Customer_Dim!B:B,"Not Found")</f>
        <v>Travis Holland</v>
      </c>
      <c r="K1550">
        <v>3</v>
      </c>
      <c r="L1550" s="5">
        <v>99.67</v>
      </c>
      <c r="M1550">
        <v>0.17</v>
      </c>
      <c r="N1550" t="s">
        <v>1349</v>
      </c>
      <c r="O1550" s="5">
        <v>248.17830000000001</v>
      </c>
    </row>
    <row r="1551" spans="1:15">
      <c r="A1551" t="s">
        <v>2900</v>
      </c>
      <c r="B1551" s="7">
        <v>45553</v>
      </c>
      <c r="C1551" t="s">
        <v>505</v>
      </c>
      <c r="D1551" t="s">
        <v>1197</v>
      </c>
      <c r="E1551" t="s">
        <v>1282</v>
      </c>
      <c r="F1551" t="str">
        <f>[1]Raw_Customer_Dim!$A$2</f>
        <v>CUST1000</v>
      </c>
      <c r="G1551" t="str">
        <f>_xlfn.XLOOKUP(E1551,Store_Dim!A:A,Store_Dim!B:B,"Not Found")</f>
        <v>Martinez, Adkins and Johnson</v>
      </c>
      <c r="H1551" t="str">
        <f>_xlfn.XLOOKUP(D1551,Product_Dim!A:A,Product_Dim!C:C,"Not Found")</f>
        <v>Electronics</v>
      </c>
      <c r="I1551" t="str">
        <f>_xlfn.XLOOKUP(E1551,Store_Dim!A:A,Store_Dim!C:C,"Not Found")</f>
        <v>North</v>
      </c>
      <c r="J1551" t="str">
        <f>_xlfn.XLOOKUP(C1551,Customer_Dim!A:A,Customer_Dim!B:B,"Not Found")</f>
        <v>Lisa Young</v>
      </c>
      <c r="K1551">
        <v>3</v>
      </c>
      <c r="L1551" s="5">
        <v>103.66</v>
      </c>
      <c r="M1551">
        <v>0.26</v>
      </c>
      <c r="N1551" t="s">
        <v>1354</v>
      </c>
      <c r="O1551" s="5">
        <v>230.12520000000001</v>
      </c>
    </row>
    <row r="1552" spans="1:15">
      <c r="A1552" t="s">
        <v>2901</v>
      </c>
      <c r="B1552" s="7">
        <v>45258</v>
      </c>
      <c r="C1552" t="s">
        <v>935</v>
      </c>
      <c r="D1552" t="s">
        <v>1153</v>
      </c>
      <c r="E1552" t="s">
        <v>1286</v>
      </c>
      <c r="F1552" t="str">
        <f>[1]Raw_Customer_Dim!$A$2</f>
        <v>CUST1000</v>
      </c>
      <c r="G1552" t="str">
        <f>_xlfn.XLOOKUP(E1552,Store_Dim!A:A,Store_Dim!B:B,"Not Found")</f>
        <v>Black-Horn</v>
      </c>
      <c r="H1552" t="str">
        <f>_xlfn.XLOOKUP(D1552,Product_Dim!A:A,Product_Dim!C:C,"Not Found")</f>
        <v>Electronics</v>
      </c>
      <c r="I1552" t="str">
        <f>_xlfn.XLOOKUP(E1552,Store_Dim!A:A,Store_Dim!C:C,"Not Found")</f>
        <v>South</v>
      </c>
      <c r="J1552" t="str">
        <f>_xlfn.XLOOKUP(C1552,Customer_Dim!A:A,Customer_Dim!B:B,"Not Found")</f>
        <v>Sharon Simpson</v>
      </c>
      <c r="K1552">
        <v>4</v>
      </c>
      <c r="L1552" s="5">
        <v>54.4</v>
      </c>
      <c r="M1552">
        <v>0.22</v>
      </c>
      <c r="N1552" t="s">
        <v>1349</v>
      </c>
      <c r="O1552" s="5">
        <v>169.72800000000001</v>
      </c>
    </row>
    <row r="1553" spans="1:15">
      <c r="A1553" t="s">
        <v>2902</v>
      </c>
      <c r="B1553" s="7">
        <v>45435</v>
      </c>
      <c r="C1553" t="s">
        <v>1041</v>
      </c>
      <c r="D1553" t="s">
        <v>1241</v>
      </c>
      <c r="E1553" t="s">
        <v>1324</v>
      </c>
      <c r="F1553" t="str">
        <f>[1]Raw_Customer_Dim!$A$2</f>
        <v>CUST1000</v>
      </c>
      <c r="G1553" t="str">
        <f>_xlfn.XLOOKUP(E1553,Store_Dim!A:A,Store_Dim!B:B,"Not Found")</f>
        <v>Mcdonald Inc</v>
      </c>
      <c r="H1553" t="str">
        <f>_xlfn.XLOOKUP(D1553,Product_Dim!A:A,Product_Dim!C:C,"Not Found")</f>
        <v>Home</v>
      </c>
      <c r="I1553" t="str">
        <f>_xlfn.XLOOKUP(E1553,Store_Dim!A:A,Store_Dim!C:C,"Not Found")</f>
        <v>South</v>
      </c>
      <c r="J1553" t="str">
        <f>_xlfn.XLOOKUP(C1553,Customer_Dim!A:A,Customer_Dim!B:B,"Not Found")</f>
        <v>Scott Harris</v>
      </c>
      <c r="K1553">
        <v>1</v>
      </c>
      <c r="L1553" s="5">
        <v>46.66</v>
      </c>
      <c r="M1553">
        <v>0.2</v>
      </c>
      <c r="N1553" t="s">
        <v>1349</v>
      </c>
      <c r="O1553" s="5">
        <v>37.328000000000003</v>
      </c>
    </row>
    <row r="1554" spans="1:15">
      <c r="A1554" t="s">
        <v>2903</v>
      </c>
      <c r="B1554" s="7">
        <v>45447</v>
      </c>
      <c r="C1554" t="s">
        <v>33</v>
      </c>
      <c r="D1554" t="s">
        <v>1219</v>
      </c>
      <c r="E1554" t="s">
        <v>1317</v>
      </c>
      <c r="F1554" t="str">
        <f>[1]Raw_Customer_Dim!$A$2</f>
        <v>CUST1000</v>
      </c>
      <c r="G1554" t="str">
        <f>_xlfn.XLOOKUP(E1554,Store_Dim!A:A,Store_Dim!B:B,"Not Found")</f>
        <v>Aguirre-Keller</v>
      </c>
      <c r="H1554" t="str">
        <f>_xlfn.XLOOKUP(D1554,Product_Dim!A:A,Product_Dim!C:C,"Not Found")</f>
        <v>Sports</v>
      </c>
      <c r="I1554" t="str">
        <f>_xlfn.XLOOKUP(E1554,Store_Dim!A:A,Store_Dim!C:C,"Not Found")</f>
        <v>South</v>
      </c>
      <c r="J1554" t="str">
        <f>_xlfn.XLOOKUP(C1554,Customer_Dim!A:A,Customer_Dim!B:B,"Not Found")</f>
        <v>Daniel Boyd</v>
      </c>
      <c r="K1554">
        <v>4</v>
      </c>
      <c r="L1554" s="5">
        <v>871.2</v>
      </c>
      <c r="M1554">
        <v>0.28999999999999998</v>
      </c>
      <c r="N1554" t="s">
        <v>1349</v>
      </c>
      <c r="O1554" s="5">
        <v>2474.2080000000001</v>
      </c>
    </row>
    <row r="1555" spans="1:15">
      <c r="A1555" t="s">
        <v>2904</v>
      </c>
      <c r="B1555" s="7">
        <v>45724</v>
      </c>
      <c r="C1555" t="s">
        <v>821</v>
      </c>
      <c r="D1555" t="s">
        <v>1109</v>
      </c>
      <c r="E1555" t="s">
        <v>1324</v>
      </c>
      <c r="F1555" t="str">
        <f>[1]Raw_Customer_Dim!$A$2</f>
        <v>CUST1000</v>
      </c>
      <c r="G1555" t="str">
        <f>_xlfn.XLOOKUP(E1555,Store_Dim!A:A,Store_Dim!B:B,"Not Found")</f>
        <v>Mcdonald Inc</v>
      </c>
      <c r="H1555" t="str">
        <f>_xlfn.XLOOKUP(D1555,Product_Dim!A:A,Product_Dim!C:C,"Not Found")</f>
        <v>Clothing</v>
      </c>
      <c r="I1555" t="str">
        <f>_xlfn.XLOOKUP(E1555,Store_Dim!A:A,Store_Dim!C:C,"Not Found")</f>
        <v>South</v>
      </c>
      <c r="J1555" t="str">
        <f>_xlfn.XLOOKUP(C1555,Customer_Dim!A:A,Customer_Dim!B:B,"Not Found")</f>
        <v>Tanya Lopez</v>
      </c>
      <c r="K1555">
        <v>4</v>
      </c>
      <c r="L1555" s="5">
        <v>317.11</v>
      </c>
      <c r="M1555">
        <v>0.16</v>
      </c>
      <c r="N1555" t="s">
        <v>1351</v>
      </c>
      <c r="O1555" s="5">
        <v>1065.4896000000001</v>
      </c>
    </row>
    <row r="1556" spans="1:15">
      <c r="A1556" t="s">
        <v>2905</v>
      </c>
      <c r="B1556" s="7">
        <v>45338</v>
      </c>
      <c r="C1556" t="s">
        <v>579</v>
      </c>
      <c r="D1556" t="s">
        <v>1123</v>
      </c>
      <c r="E1556" t="s">
        <v>1322</v>
      </c>
      <c r="F1556" t="str">
        <f>[1]Raw_Customer_Dim!$A$2</f>
        <v>CUST1000</v>
      </c>
      <c r="G1556" t="str">
        <f>_xlfn.XLOOKUP(E1556,Store_Dim!A:A,Store_Dim!B:B,"Not Found")</f>
        <v>Gardner, Humphrey and Contreras</v>
      </c>
      <c r="H1556" t="str">
        <f>_xlfn.XLOOKUP(D1556,Product_Dim!A:A,Product_Dim!C:C,"Not Found")</f>
        <v>Clothing</v>
      </c>
      <c r="I1556" t="str">
        <f>_xlfn.XLOOKUP(E1556,Store_Dim!A:A,Store_Dim!C:C,"Not Found")</f>
        <v>East</v>
      </c>
      <c r="J1556" t="str">
        <f>_xlfn.XLOOKUP(C1556,Customer_Dim!A:A,Customer_Dim!B:B,"Not Found")</f>
        <v>Sarah Stewart</v>
      </c>
      <c r="K1556">
        <v>2</v>
      </c>
      <c r="L1556" s="5">
        <v>388.34</v>
      </c>
      <c r="M1556">
        <v>0.09</v>
      </c>
      <c r="N1556" t="s">
        <v>1351</v>
      </c>
      <c r="O1556" s="5">
        <v>706.77879999999993</v>
      </c>
    </row>
    <row r="1557" spans="1:15">
      <c r="A1557" t="s">
        <v>2906</v>
      </c>
      <c r="B1557" s="7">
        <v>45252</v>
      </c>
      <c r="C1557" t="s">
        <v>702</v>
      </c>
      <c r="D1557" t="s">
        <v>1133</v>
      </c>
      <c r="E1557" t="s">
        <v>1301</v>
      </c>
      <c r="F1557" t="str">
        <f>[1]Raw_Customer_Dim!$A$2</f>
        <v>CUST1000</v>
      </c>
      <c r="G1557" t="str">
        <f>_xlfn.XLOOKUP(E1557,Store_Dim!A:A,Store_Dim!B:B,"Not Found")</f>
        <v>Benson-Elliott</v>
      </c>
      <c r="H1557" t="str">
        <f>_xlfn.XLOOKUP(D1557,Product_Dim!A:A,Product_Dim!C:C,"Not Found")</f>
        <v>Home</v>
      </c>
      <c r="I1557" t="str">
        <f>_xlfn.XLOOKUP(E1557,Store_Dim!A:A,Store_Dim!C:C,"Not Found")</f>
        <v>East</v>
      </c>
      <c r="J1557" t="str">
        <f>_xlfn.XLOOKUP(C1557,Customer_Dim!A:A,Customer_Dim!B:B,"Not Found")</f>
        <v>Casey Simpson</v>
      </c>
      <c r="K1557">
        <v>4</v>
      </c>
      <c r="L1557" s="5">
        <v>998.2</v>
      </c>
      <c r="M1557">
        <v>0.15</v>
      </c>
      <c r="N1557" t="s">
        <v>1349</v>
      </c>
      <c r="O1557" s="5">
        <v>3393.88</v>
      </c>
    </row>
    <row r="1558" spans="1:15">
      <c r="A1558" t="s">
        <v>2907</v>
      </c>
      <c r="B1558" s="7">
        <v>45606</v>
      </c>
      <c r="C1558" t="s">
        <v>1047</v>
      </c>
      <c r="D1558" t="s">
        <v>1145</v>
      </c>
      <c r="E1558" t="s">
        <v>1277</v>
      </c>
      <c r="F1558" t="str">
        <f>[1]Raw_Customer_Dim!$A$2</f>
        <v>CUST1000</v>
      </c>
      <c r="G1558" t="str">
        <f>_xlfn.XLOOKUP(E1558,Store_Dim!A:A,Store_Dim!B:B,"Not Found")</f>
        <v>Rivera-Warner</v>
      </c>
      <c r="H1558" t="str">
        <f>_xlfn.XLOOKUP(D1558,Product_Dim!A:A,Product_Dim!C:C,"Not Found")</f>
        <v>Clothing</v>
      </c>
      <c r="I1558" t="str">
        <f>_xlfn.XLOOKUP(E1558,Store_Dim!A:A,Store_Dim!C:C,"Not Found")</f>
        <v>East</v>
      </c>
      <c r="J1558" t="str">
        <f>_xlfn.XLOOKUP(C1558,Customer_Dim!A:A,Customer_Dim!B:B,"Not Found")</f>
        <v>Amanda Powell</v>
      </c>
      <c r="K1558">
        <v>1</v>
      </c>
      <c r="L1558" s="5">
        <v>887.38</v>
      </c>
      <c r="M1558">
        <v>0.01</v>
      </c>
      <c r="N1558" t="s">
        <v>1354</v>
      </c>
      <c r="O1558" s="5">
        <v>878.50620000000004</v>
      </c>
    </row>
    <row r="1559" spans="1:15">
      <c r="A1559" t="s">
        <v>2908</v>
      </c>
      <c r="B1559" s="7">
        <v>45524</v>
      </c>
      <c r="C1559" t="s">
        <v>688</v>
      </c>
      <c r="D1559" t="s">
        <v>1147</v>
      </c>
      <c r="E1559" t="s">
        <v>1319</v>
      </c>
      <c r="F1559" t="str">
        <f>[1]Raw_Customer_Dim!$A$2</f>
        <v>CUST1000</v>
      </c>
      <c r="G1559" t="str">
        <f>_xlfn.XLOOKUP(E1559,Store_Dim!A:A,Store_Dim!B:B,"Not Found")</f>
        <v>Thomas, Bridges and Harris</v>
      </c>
      <c r="H1559" t="str">
        <f>_xlfn.XLOOKUP(D1559,Product_Dim!A:A,Product_Dim!C:C,"Not Found")</f>
        <v>Clothing</v>
      </c>
      <c r="I1559" t="str">
        <f>_xlfn.XLOOKUP(E1559,Store_Dim!A:A,Store_Dim!C:C,"Not Found")</f>
        <v>North</v>
      </c>
      <c r="J1559" t="str">
        <f>_xlfn.XLOOKUP(C1559,Customer_Dim!A:A,Customer_Dim!B:B,"Not Found")</f>
        <v>Jason Mullins</v>
      </c>
      <c r="K1559">
        <v>4</v>
      </c>
      <c r="L1559" s="5">
        <v>332.97</v>
      </c>
      <c r="M1559">
        <v>0.28000000000000003</v>
      </c>
      <c r="N1559" t="s">
        <v>1349</v>
      </c>
      <c r="O1559" s="5">
        <v>958.95360000000005</v>
      </c>
    </row>
    <row r="1560" spans="1:15">
      <c r="A1560" t="s">
        <v>2909</v>
      </c>
      <c r="B1560" s="7">
        <v>45934</v>
      </c>
      <c r="C1560" t="s">
        <v>72</v>
      </c>
      <c r="D1560" t="s">
        <v>1165</v>
      </c>
      <c r="E1560" t="s">
        <v>1277</v>
      </c>
      <c r="F1560" t="str">
        <f>[1]Raw_Customer_Dim!$A$2</f>
        <v>CUST1000</v>
      </c>
      <c r="G1560" t="str">
        <f>_xlfn.XLOOKUP(E1560,Store_Dim!A:A,Store_Dim!B:B,"Not Found")</f>
        <v>Rivera-Warner</v>
      </c>
      <c r="H1560" t="str">
        <f>_xlfn.XLOOKUP(D1560,Product_Dim!A:A,Product_Dim!C:C,"Not Found")</f>
        <v>Clothing</v>
      </c>
      <c r="I1560" t="str">
        <f>_xlfn.XLOOKUP(E1560,Store_Dim!A:A,Store_Dim!C:C,"Not Found")</f>
        <v>East</v>
      </c>
      <c r="J1560" t="str">
        <f>_xlfn.XLOOKUP(C1560,Customer_Dim!A:A,Customer_Dim!B:B,"Not Found")</f>
        <v>Jeff Martinez</v>
      </c>
      <c r="K1560">
        <v>2</v>
      </c>
      <c r="L1560" s="5">
        <v>157.91</v>
      </c>
      <c r="M1560">
        <v>0.09</v>
      </c>
      <c r="N1560" t="s">
        <v>1354</v>
      </c>
      <c r="O1560" s="5">
        <v>287.39620000000002</v>
      </c>
    </row>
    <row r="1561" spans="1:15">
      <c r="A1561" t="s">
        <v>2910</v>
      </c>
      <c r="B1561" s="7">
        <v>45539</v>
      </c>
      <c r="C1561" t="s">
        <v>775</v>
      </c>
      <c r="D1561" t="s">
        <v>1097</v>
      </c>
      <c r="E1561" t="s">
        <v>1335</v>
      </c>
      <c r="F1561" t="str">
        <f>[1]Raw_Customer_Dim!$A$2</f>
        <v>CUST1000</v>
      </c>
      <c r="G1561" t="str">
        <f>_xlfn.XLOOKUP(E1561,Store_Dim!A:A,Store_Dim!B:B,"Not Found")</f>
        <v>Guerrero-Schmitt</v>
      </c>
      <c r="H1561" t="str">
        <f>_xlfn.XLOOKUP(D1561,Product_Dim!A:A,Product_Dim!C:C,"Not Found")</f>
        <v>Beauty</v>
      </c>
      <c r="I1561" t="str">
        <f>_xlfn.XLOOKUP(E1561,Store_Dim!A:A,Store_Dim!C:C,"Not Found")</f>
        <v>East</v>
      </c>
      <c r="J1561" t="str">
        <f>_xlfn.XLOOKUP(C1561,Customer_Dim!A:A,Customer_Dim!B:B,"Not Found")</f>
        <v>Steve Hunt</v>
      </c>
      <c r="K1561">
        <v>1</v>
      </c>
      <c r="L1561" s="5">
        <v>548.15</v>
      </c>
      <c r="M1561">
        <v>0.11</v>
      </c>
      <c r="N1561" t="s">
        <v>1349</v>
      </c>
      <c r="O1561" s="5">
        <v>487.8535</v>
      </c>
    </row>
    <row r="1562" spans="1:15">
      <c r="A1562" t="s">
        <v>2911</v>
      </c>
      <c r="B1562" s="7">
        <v>45555</v>
      </c>
      <c r="C1562" t="s">
        <v>480</v>
      </c>
      <c r="D1562" t="s">
        <v>1169</v>
      </c>
      <c r="E1562" t="s">
        <v>1326</v>
      </c>
      <c r="F1562" t="str">
        <f>[1]Raw_Customer_Dim!$A$2</f>
        <v>CUST1000</v>
      </c>
      <c r="G1562" t="str">
        <f>_xlfn.XLOOKUP(E1562,Store_Dim!A:A,Store_Dim!B:B,"Not Found")</f>
        <v>Shelton PLC</v>
      </c>
      <c r="H1562" t="str">
        <f>_xlfn.XLOOKUP(D1562,Product_Dim!A:A,Product_Dim!C:C,"Not Found")</f>
        <v>Electronics</v>
      </c>
      <c r="I1562" t="str">
        <f>_xlfn.XLOOKUP(E1562,Store_Dim!A:A,Store_Dim!C:C,"Not Found")</f>
        <v>North</v>
      </c>
      <c r="J1562" t="str">
        <f>_xlfn.XLOOKUP(C1562,Customer_Dim!A:A,Customer_Dim!B:B,"Not Found")</f>
        <v>Joan Johnson</v>
      </c>
      <c r="K1562">
        <v>1</v>
      </c>
      <c r="L1562" s="5">
        <v>135.13</v>
      </c>
      <c r="M1562">
        <v>0.04</v>
      </c>
      <c r="N1562" t="s">
        <v>1349</v>
      </c>
      <c r="O1562" s="5">
        <v>129.72479999999999</v>
      </c>
    </row>
    <row r="1563" spans="1:15">
      <c r="A1563" t="s">
        <v>2912</v>
      </c>
      <c r="B1563" s="7">
        <v>45281</v>
      </c>
      <c r="C1563" t="s">
        <v>500</v>
      </c>
      <c r="D1563" t="s">
        <v>1185</v>
      </c>
      <c r="E1563" t="s">
        <v>1291</v>
      </c>
      <c r="F1563" t="str">
        <f>[1]Raw_Customer_Dim!$A$2</f>
        <v>CUST1000</v>
      </c>
      <c r="G1563" t="str">
        <f>_xlfn.XLOOKUP(E1563,Store_Dim!A:A,Store_Dim!B:B,"Not Found")</f>
        <v>Johnson-Wright</v>
      </c>
      <c r="H1563" t="str">
        <f>_xlfn.XLOOKUP(D1563,Product_Dim!A:A,Product_Dim!C:C,"Not Found")</f>
        <v>Home</v>
      </c>
      <c r="I1563" t="str">
        <f>_xlfn.XLOOKUP(E1563,Store_Dim!A:A,Store_Dim!C:C,"Not Found")</f>
        <v>North</v>
      </c>
      <c r="J1563" t="str">
        <f>_xlfn.XLOOKUP(C1563,Customer_Dim!A:A,Customer_Dim!B:B,"Not Found")</f>
        <v>Jordan Wells</v>
      </c>
      <c r="K1563">
        <v>3</v>
      </c>
      <c r="L1563" s="5">
        <v>579.26</v>
      </c>
      <c r="M1563">
        <v>0.19</v>
      </c>
      <c r="N1563" t="s">
        <v>1349</v>
      </c>
      <c r="O1563" s="5">
        <v>1407.6017999999999</v>
      </c>
    </row>
    <row r="1564" spans="1:15">
      <c r="A1564" t="s">
        <v>2913</v>
      </c>
      <c r="B1564" s="7">
        <v>45582</v>
      </c>
      <c r="C1564" t="s">
        <v>841</v>
      </c>
      <c r="D1564" t="s">
        <v>1107</v>
      </c>
      <c r="E1564" t="s">
        <v>1277</v>
      </c>
      <c r="F1564" t="str">
        <f>[1]Raw_Customer_Dim!$A$2</f>
        <v>CUST1000</v>
      </c>
      <c r="G1564" t="str">
        <f>_xlfn.XLOOKUP(E1564,Store_Dim!A:A,Store_Dim!B:B,"Not Found")</f>
        <v>Rivera-Warner</v>
      </c>
      <c r="H1564" t="str">
        <f>_xlfn.XLOOKUP(D1564,Product_Dim!A:A,Product_Dim!C:C,"Not Found")</f>
        <v>Sports</v>
      </c>
      <c r="I1564" t="str">
        <f>_xlfn.XLOOKUP(E1564,Store_Dim!A:A,Store_Dim!C:C,"Not Found")</f>
        <v>East</v>
      </c>
      <c r="J1564" t="str">
        <f>_xlfn.XLOOKUP(C1564,Customer_Dim!A:A,Customer_Dim!B:B,"Not Found")</f>
        <v>Cynthia Lopez</v>
      </c>
      <c r="K1564">
        <v>1</v>
      </c>
      <c r="L1564" s="5">
        <v>465.63</v>
      </c>
      <c r="M1564">
        <v>0.25</v>
      </c>
      <c r="N1564" t="s">
        <v>1349</v>
      </c>
      <c r="O1564" s="5">
        <v>349.22250000000003</v>
      </c>
    </row>
    <row r="1565" spans="1:15">
      <c r="A1565" t="s">
        <v>2914</v>
      </c>
      <c r="B1565" s="7">
        <v>45372</v>
      </c>
      <c r="C1565" t="s">
        <v>135</v>
      </c>
      <c r="D1565" t="s">
        <v>1225</v>
      </c>
      <c r="E1565" t="s">
        <v>1329</v>
      </c>
      <c r="F1565" t="str">
        <f>[1]Raw_Customer_Dim!$A$2</f>
        <v>CUST1000</v>
      </c>
      <c r="G1565" t="str">
        <f>_xlfn.XLOOKUP(E1565,Store_Dim!A:A,Store_Dim!B:B,"Not Found")</f>
        <v>Frederick-Wright</v>
      </c>
      <c r="H1565" t="str">
        <f>_xlfn.XLOOKUP(D1565,Product_Dim!A:A,Product_Dim!C:C,"Not Found")</f>
        <v>Electronics</v>
      </c>
      <c r="I1565" t="str">
        <f>_xlfn.XLOOKUP(E1565,Store_Dim!A:A,Store_Dim!C:C,"Not Found")</f>
        <v>West</v>
      </c>
      <c r="J1565" t="str">
        <f>_xlfn.XLOOKUP(C1565,Customer_Dim!A:A,Customer_Dim!B:B,"Not Found")</f>
        <v>Gina Knight</v>
      </c>
      <c r="K1565">
        <v>2</v>
      </c>
      <c r="L1565" s="5">
        <v>675.61</v>
      </c>
      <c r="M1565">
        <v>0.08</v>
      </c>
      <c r="N1565" t="s">
        <v>1354</v>
      </c>
      <c r="O1565" s="5">
        <v>1243.1224</v>
      </c>
    </row>
    <row r="1566" spans="1:15">
      <c r="A1566" t="s">
        <v>2915</v>
      </c>
      <c r="B1566" s="7">
        <v>45458</v>
      </c>
      <c r="C1566" t="s">
        <v>895</v>
      </c>
      <c r="D1566" t="s">
        <v>1139</v>
      </c>
      <c r="E1566" t="s">
        <v>1301</v>
      </c>
      <c r="F1566" t="str">
        <f>[1]Raw_Customer_Dim!$A$2</f>
        <v>CUST1000</v>
      </c>
      <c r="G1566" t="str">
        <f>_xlfn.XLOOKUP(E1566,Store_Dim!A:A,Store_Dim!B:B,"Not Found")</f>
        <v>Benson-Elliott</v>
      </c>
      <c r="H1566" t="str">
        <f>_xlfn.XLOOKUP(D1566,Product_Dim!A:A,Product_Dim!C:C,"Not Found")</f>
        <v>Home</v>
      </c>
      <c r="I1566" t="str">
        <f>_xlfn.XLOOKUP(E1566,Store_Dim!A:A,Store_Dim!C:C,"Not Found")</f>
        <v>East</v>
      </c>
      <c r="J1566" t="str">
        <f>_xlfn.XLOOKUP(C1566,Customer_Dim!A:A,Customer_Dim!B:B,"Not Found")</f>
        <v>Jennifer Myers</v>
      </c>
      <c r="K1566">
        <v>1</v>
      </c>
      <c r="L1566" s="5">
        <v>718.99</v>
      </c>
      <c r="M1566">
        <v>0.08</v>
      </c>
      <c r="N1566" t="s">
        <v>1351</v>
      </c>
      <c r="O1566" s="5">
        <v>661.47080000000005</v>
      </c>
    </row>
    <row r="1567" spans="1:15">
      <c r="A1567" t="s">
        <v>2916</v>
      </c>
      <c r="B1567" s="7">
        <v>45943</v>
      </c>
      <c r="C1567" t="s">
        <v>815</v>
      </c>
      <c r="D1567" t="s">
        <v>1101</v>
      </c>
      <c r="E1567" t="s">
        <v>1314</v>
      </c>
      <c r="F1567" t="str">
        <f>[1]Raw_Customer_Dim!$A$2</f>
        <v>CUST1000</v>
      </c>
      <c r="G1567" t="str">
        <f>_xlfn.XLOOKUP(E1567,Store_Dim!A:A,Store_Dim!B:B,"Not Found")</f>
        <v>Hill, Wagner and Ballard</v>
      </c>
      <c r="H1567" t="str">
        <f>_xlfn.XLOOKUP(D1567,Product_Dim!A:A,Product_Dim!C:C,"Not Found")</f>
        <v>Home</v>
      </c>
      <c r="I1567" t="str">
        <f>_xlfn.XLOOKUP(E1567,Store_Dim!A:A,Store_Dim!C:C,"Not Found")</f>
        <v>East</v>
      </c>
      <c r="J1567" t="str">
        <f>_xlfn.XLOOKUP(C1567,Customer_Dim!A:A,Customer_Dim!B:B,"Not Found")</f>
        <v>Michele Burke</v>
      </c>
      <c r="K1567">
        <v>2</v>
      </c>
      <c r="L1567" s="5">
        <v>675.65</v>
      </c>
      <c r="M1567">
        <v>0.2</v>
      </c>
      <c r="N1567" t="s">
        <v>1354</v>
      </c>
      <c r="O1567" s="5">
        <v>1081.04</v>
      </c>
    </row>
    <row r="1568" spans="1:15">
      <c r="A1568" t="s">
        <v>2917</v>
      </c>
      <c r="B1568" s="7">
        <v>45374</v>
      </c>
      <c r="C1568" t="s">
        <v>736</v>
      </c>
      <c r="D1568" t="s">
        <v>1263</v>
      </c>
      <c r="E1568" t="s">
        <v>1326</v>
      </c>
      <c r="F1568" t="str">
        <f>[1]Raw_Customer_Dim!$A$2</f>
        <v>CUST1000</v>
      </c>
      <c r="G1568" t="str">
        <f>_xlfn.XLOOKUP(E1568,Store_Dim!A:A,Store_Dim!B:B,"Not Found")</f>
        <v>Shelton PLC</v>
      </c>
      <c r="H1568" t="str">
        <f>_xlfn.XLOOKUP(D1568,Product_Dim!A:A,Product_Dim!C:C,"Not Found")</f>
        <v>Sports</v>
      </c>
      <c r="I1568" t="str">
        <f>_xlfn.XLOOKUP(E1568,Store_Dim!A:A,Store_Dim!C:C,"Not Found")</f>
        <v>North</v>
      </c>
      <c r="J1568" t="str">
        <f>_xlfn.XLOOKUP(C1568,Customer_Dim!A:A,Customer_Dim!B:B,"Not Found")</f>
        <v>John Jones</v>
      </c>
      <c r="K1568">
        <v>4</v>
      </c>
      <c r="L1568" s="5">
        <v>284.24</v>
      </c>
      <c r="M1568">
        <v>0.1</v>
      </c>
      <c r="N1568" t="s">
        <v>1349</v>
      </c>
      <c r="O1568" s="5">
        <v>1023.264</v>
      </c>
    </row>
    <row r="1569" spans="1:15">
      <c r="A1569" t="s">
        <v>2918</v>
      </c>
      <c r="B1569" s="7">
        <v>45374</v>
      </c>
      <c r="C1569" t="s">
        <v>488</v>
      </c>
      <c r="D1569" t="s">
        <v>1071</v>
      </c>
      <c r="E1569" t="s">
        <v>1291</v>
      </c>
      <c r="F1569" t="str">
        <f>[1]Raw_Customer_Dim!$A$2</f>
        <v>CUST1000</v>
      </c>
      <c r="G1569" t="str">
        <f>_xlfn.XLOOKUP(E1569,Store_Dim!A:A,Store_Dim!B:B,"Not Found")</f>
        <v>Johnson-Wright</v>
      </c>
      <c r="H1569" t="str">
        <f>_xlfn.XLOOKUP(D1569,Product_Dim!A:A,Product_Dim!C:C,"Not Found")</f>
        <v>Clothing</v>
      </c>
      <c r="I1569" t="str">
        <f>_xlfn.XLOOKUP(E1569,Store_Dim!A:A,Store_Dim!C:C,"Not Found")</f>
        <v>North</v>
      </c>
      <c r="J1569" t="str">
        <f>_xlfn.XLOOKUP(C1569,Customer_Dim!A:A,Customer_Dim!B:B,"Not Found")</f>
        <v>Stuart Johnson</v>
      </c>
      <c r="K1569">
        <v>1</v>
      </c>
      <c r="L1569" s="5">
        <v>94.26</v>
      </c>
      <c r="M1569">
        <v>0.18</v>
      </c>
      <c r="N1569" t="s">
        <v>1351</v>
      </c>
      <c r="O1569" s="5">
        <v>77.293200000000013</v>
      </c>
    </row>
    <row r="1570" spans="1:15">
      <c r="A1570" t="s">
        <v>2919</v>
      </c>
      <c r="B1570" s="7">
        <v>45789</v>
      </c>
      <c r="C1570" t="s">
        <v>895</v>
      </c>
      <c r="D1570" t="s">
        <v>1082</v>
      </c>
      <c r="E1570" t="s">
        <v>1314</v>
      </c>
      <c r="F1570" t="str">
        <f>[1]Raw_Customer_Dim!$A$2</f>
        <v>CUST1000</v>
      </c>
      <c r="G1570" t="str">
        <f>_xlfn.XLOOKUP(E1570,Store_Dim!A:A,Store_Dim!B:B,"Not Found")</f>
        <v>Hill, Wagner and Ballard</v>
      </c>
      <c r="H1570" t="str">
        <f>_xlfn.XLOOKUP(D1570,Product_Dim!A:A,Product_Dim!C:C,"Not Found")</f>
        <v>Beauty</v>
      </c>
      <c r="I1570" t="str">
        <f>_xlfn.XLOOKUP(E1570,Store_Dim!A:A,Store_Dim!C:C,"Not Found")</f>
        <v>East</v>
      </c>
      <c r="J1570" t="str">
        <f>_xlfn.XLOOKUP(C1570,Customer_Dim!A:A,Customer_Dim!B:B,"Not Found")</f>
        <v>Jennifer Myers</v>
      </c>
      <c r="K1570">
        <v>4</v>
      </c>
      <c r="L1570" s="5">
        <v>458.58</v>
      </c>
      <c r="M1570">
        <v>0.28999999999999998</v>
      </c>
      <c r="N1570" t="s">
        <v>1354</v>
      </c>
      <c r="O1570" s="5">
        <v>1302.3671999999999</v>
      </c>
    </row>
    <row r="1571" spans="1:15">
      <c r="A1571" t="s">
        <v>2920</v>
      </c>
      <c r="B1571" s="7">
        <v>45452</v>
      </c>
      <c r="C1571" t="s">
        <v>286</v>
      </c>
      <c r="D1571" t="s">
        <v>1203</v>
      </c>
      <c r="E1571" t="s">
        <v>1314</v>
      </c>
      <c r="F1571" t="str">
        <f>[1]Raw_Customer_Dim!$A$2</f>
        <v>CUST1000</v>
      </c>
      <c r="G1571" t="str">
        <f>_xlfn.XLOOKUP(E1571,Store_Dim!A:A,Store_Dim!B:B,"Not Found")</f>
        <v>Hill, Wagner and Ballard</v>
      </c>
      <c r="H1571" t="str">
        <f>_xlfn.XLOOKUP(D1571,Product_Dim!A:A,Product_Dim!C:C,"Not Found")</f>
        <v>Sports</v>
      </c>
      <c r="I1571" t="str">
        <f>_xlfn.XLOOKUP(E1571,Store_Dim!A:A,Store_Dim!C:C,"Not Found")</f>
        <v>East</v>
      </c>
      <c r="J1571" t="str">
        <f>_xlfn.XLOOKUP(C1571,Customer_Dim!A:A,Customer_Dim!B:B,"Not Found")</f>
        <v>Edward Hall</v>
      </c>
      <c r="K1571">
        <v>4</v>
      </c>
      <c r="L1571" s="5">
        <v>704.49</v>
      </c>
      <c r="M1571">
        <v>0.05</v>
      </c>
      <c r="N1571" t="s">
        <v>1354</v>
      </c>
      <c r="O1571" s="5">
        <v>2677.0619999999999</v>
      </c>
    </row>
    <row r="1572" spans="1:15">
      <c r="A1572" t="s">
        <v>2921</v>
      </c>
      <c r="B1572" s="7">
        <v>45284</v>
      </c>
      <c r="C1572" t="s">
        <v>99</v>
      </c>
      <c r="D1572" t="s">
        <v>1127</v>
      </c>
      <c r="E1572" t="s">
        <v>1338</v>
      </c>
      <c r="F1572" t="str">
        <f>[1]Raw_Customer_Dim!$A$2</f>
        <v>CUST1000</v>
      </c>
      <c r="G1572" t="str">
        <f>_xlfn.XLOOKUP(E1572,Store_Dim!A:A,Store_Dim!B:B,"Not Found")</f>
        <v>Mann-Austin</v>
      </c>
      <c r="H1572" t="str">
        <f>_xlfn.XLOOKUP(D1572,Product_Dim!A:A,Product_Dim!C:C,"Not Found")</f>
        <v>Home</v>
      </c>
      <c r="I1572" t="str">
        <f>_xlfn.XLOOKUP(E1572,Store_Dim!A:A,Store_Dim!C:C,"Not Found")</f>
        <v>East</v>
      </c>
      <c r="J1572" t="str">
        <f>_xlfn.XLOOKUP(C1572,Customer_Dim!A:A,Customer_Dim!B:B,"Not Found")</f>
        <v>Mike Jennings</v>
      </c>
      <c r="K1572">
        <v>4</v>
      </c>
      <c r="L1572" s="5">
        <v>822.32</v>
      </c>
      <c r="M1572">
        <v>0.26</v>
      </c>
      <c r="N1572" t="s">
        <v>1351</v>
      </c>
      <c r="O1572" s="5">
        <v>2434.0672</v>
      </c>
    </row>
    <row r="1573" spans="1:15">
      <c r="A1573" t="s">
        <v>2922</v>
      </c>
      <c r="B1573" s="7">
        <v>45325</v>
      </c>
      <c r="C1573" t="s">
        <v>553</v>
      </c>
      <c r="D1573" t="s">
        <v>1076</v>
      </c>
      <c r="E1573" t="s">
        <v>1322</v>
      </c>
      <c r="F1573" t="str">
        <f>[1]Raw_Customer_Dim!$A$2</f>
        <v>CUST1000</v>
      </c>
      <c r="G1573" t="str">
        <f>_xlfn.XLOOKUP(E1573,Store_Dim!A:A,Store_Dim!B:B,"Not Found")</f>
        <v>Gardner, Humphrey and Contreras</v>
      </c>
      <c r="H1573" t="str">
        <f>_xlfn.XLOOKUP(D1573,Product_Dim!A:A,Product_Dim!C:C,"Not Found")</f>
        <v>Not Found</v>
      </c>
      <c r="I1573" t="str">
        <f>_xlfn.XLOOKUP(E1573,Store_Dim!A:A,Store_Dim!C:C,"Not Found")</f>
        <v>East</v>
      </c>
      <c r="J1573" t="str">
        <f>_xlfn.XLOOKUP(C1573,Customer_Dim!A:A,Customer_Dim!B:B,"Not Found")</f>
        <v>Laura Soto</v>
      </c>
      <c r="K1573">
        <v>4</v>
      </c>
      <c r="L1573" s="5">
        <v>785.41</v>
      </c>
      <c r="M1573">
        <v>0.13</v>
      </c>
      <c r="N1573" t="s">
        <v>1354</v>
      </c>
      <c r="O1573" s="5">
        <v>2733.2267999999999</v>
      </c>
    </row>
    <row r="1574" spans="1:15">
      <c r="A1574" t="s">
        <v>2923</v>
      </c>
      <c r="B1574" s="7">
        <v>45465</v>
      </c>
      <c r="C1574" t="s">
        <v>96</v>
      </c>
      <c r="D1574" t="s">
        <v>1151</v>
      </c>
      <c r="E1574" t="s">
        <v>1324</v>
      </c>
      <c r="F1574" t="str">
        <f>[1]Raw_Customer_Dim!$A$2</f>
        <v>CUST1000</v>
      </c>
      <c r="G1574" t="str">
        <f>_xlfn.XLOOKUP(E1574,Store_Dim!A:A,Store_Dim!B:B,"Not Found")</f>
        <v>Mcdonald Inc</v>
      </c>
      <c r="H1574" t="str">
        <f>_xlfn.XLOOKUP(D1574,Product_Dim!A:A,Product_Dim!C:C,"Not Found")</f>
        <v>Electronics</v>
      </c>
      <c r="I1574" t="str">
        <f>_xlfn.XLOOKUP(E1574,Store_Dim!A:A,Store_Dim!C:C,"Not Found")</f>
        <v>South</v>
      </c>
      <c r="J1574" t="str">
        <f>_xlfn.XLOOKUP(C1574,Customer_Dim!A:A,Customer_Dim!B:B,"Not Found")</f>
        <v>Sarah Vance</v>
      </c>
      <c r="K1574">
        <v>1</v>
      </c>
      <c r="L1574" s="5">
        <v>405.8</v>
      </c>
      <c r="M1574">
        <v>0.11</v>
      </c>
      <c r="N1574" t="s">
        <v>1351</v>
      </c>
      <c r="O1574" s="5">
        <v>361.16199999999998</v>
      </c>
    </row>
    <row r="1575" spans="1:15">
      <c r="A1575" t="s">
        <v>2924</v>
      </c>
      <c r="B1575" s="7">
        <v>45612</v>
      </c>
      <c r="C1575" t="s">
        <v>929</v>
      </c>
      <c r="D1575" t="s">
        <v>1255</v>
      </c>
      <c r="E1575" t="s">
        <v>1311</v>
      </c>
      <c r="F1575" t="str">
        <f>[1]Raw_Customer_Dim!$A$2</f>
        <v>CUST1000</v>
      </c>
      <c r="G1575" t="str">
        <f>_xlfn.XLOOKUP(E1575,Store_Dim!A:A,Store_Dim!B:B,"Not Found")</f>
        <v>Moore, Padilla and Butler</v>
      </c>
      <c r="H1575" t="str">
        <f>_xlfn.XLOOKUP(D1575,Product_Dim!A:A,Product_Dim!C:C,"Not Found")</f>
        <v>Clothing</v>
      </c>
      <c r="I1575" t="str">
        <f>_xlfn.XLOOKUP(E1575,Store_Dim!A:A,Store_Dim!C:C,"Not Found")</f>
        <v>South</v>
      </c>
      <c r="J1575" t="str">
        <f>_xlfn.XLOOKUP(C1575,Customer_Dim!A:A,Customer_Dim!B:B,"Not Found")</f>
        <v>Thomas Moore</v>
      </c>
      <c r="K1575">
        <v>2</v>
      </c>
      <c r="L1575" s="5">
        <v>976.83</v>
      </c>
      <c r="M1575">
        <v>0.1</v>
      </c>
      <c r="N1575" t="s">
        <v>1351</v>
      </c>
      <c r="O1575" s="5">
        <v>1758.2940000000001</v>
      </c>
    </row>
    <row r="1576" spans="1:15">
      <c r="A1576" t="s">
        <v>2925</v>
      </c>
      <c r="B1576" s="7">
        <v>45472</v>
      </c>
      <c r="C1576" t="s">
        <v>610</v>
      </c>
      <c r="D1576" t="s">
        <v>1201</v>
      </c>
      <c r="E1576" t="s">
        <v>1286</v>
      </c>
      <c r="F1576" t="str">
        <f>[1]Raw_Customer_Dim!$A$2</f>
        <v>CUST1000</v>
      </c>
      <c r="G1576" t="str">
        <f>_xlfn.XLOOKUP(E1576,Store_Dim!A:A,Store_Dim!B:B,"Not Found")</f>
        <v>Black-Horn</v>
      </c>
      <c r="H1576" t="str">
        <f>_xlfn.XLOOKUP(D1576,Product_Dim!A:A,Product_Dim!C:C,"Not Found")</f>
        <v>Beauty</v>
      </c>
      <c r="I1576" t="str">
        <f>_xlfn.XLOOKUP(E1576,Store_Dim!A:A,Store_Dim!C:C,"Not Found")</f>
        <v>South</v>
      </c>
      <c r="J1576" t="str">
        <f>_xlfn.XLOOKUP(C1576,Customer_Dim!A:A,Customer_Dim!B:B,"Not Found")</f>
        <v>Samantha Robinson</v>
      </c>
      <c r="K1576">
        <v>1</v>
      </c>
      <c r="L1576" s="5">
        <v>644.15</v>
      </c>
      <c r="M1576">
        <v>0.06</v>
      </c>
      <c r="N1576" t="s">
        <v>1349</v>
      </c>
      <c r="O1576" s="5">
        <v>605.50099999999998</v>
      </c>
    </row>
    <row r="1577" spans="1:15">
      <c r="A1577" t="s">
        <v>2926</v>
      </c>
      <c r="B1577" s="7">
        <v>45897</v>
      </c>
      <c r="C1577" t="s">
        <v>738</v>
      </c>
      <c r="D1577" t="s">
        <v>1207</v>
      </c>
      <c r="E1577" t="s">
        <v>1322</v>
      </c>
      <c r="F1577" t="str">
        <f>[1]Raw_Customer_Dim!$A$2</f>
        <v>CUST1000</v>
      </c>
      <c r="G1577" t="str">
        <f>_xlfn.XLOOKUP(E1577,Store_Dim!A:A,Store_Dim!B:B,"Not Found")</f>
        <v>Gardner, Humphrey and Contreras</v>
      </c>
      <c r="H1577" t="str">
        <f>_xlfn.XLOOKUP(D1577,Product_Dim!A:A,Product_Dim!C:C,"Not Found")</f>
        <v>Electronics</v>
      </c>
      <c r="I1577" t="str">
        <f>_xlfn.XLOOKUP(E1577,Store_Dim!A:A,Store_Dim!C:C,"Not Found")</f>
        <v>East</v>
      </c>
      <c r="J1577" t="str">
        <f>_xlfn.XLOOKUP(C1577,Customer_Dim!A:A,Customer_Dim!B:B,"Not Found")</f>
        <v>Carol Lewis</v>
      </c>
      <c r="K1577">
        <v>1</v>
      </c>
      <c r="L1577" s="5">
        <v>470.55</v>
      </c>
      <c r="M1577">
        <v>0.23</v>
      </c>
      <c r="N1577" t="s">
        <v>1351</v>
      </c>
      <c r="O1577" s="5">
        <v>362.32350000000002</v>
      </c>
    </row>
    <row r="1578" spans="1:15">
      <c r="A1578" t="s">
        <v>2927</v>
      </c>
      <c r="B1578" s="7">
        <v>45241</v>
      </c>
      <c r="C1578" t="s">
        <v>1018</v>
      </c>
      <c r="D1578" t="s">
        <v>1085</v>
      </c>
      <c r="E1578" t="s">
        <v>1301</v>
      </c>
      <c r="F1578" t="str">
        <f>[1]Raw_Customer_Dim!$A$2</f>
        <v>CUST1000</v>
      </c>
      <c r="G1578" t="str">
        <f>_xlfn.XLOOKUP(E1578,Store_Dim!A:A,Store_Dim!B:B,"Not Found")</f>
        <v>Benson-Elliott</v>
      </c>
      <c r="H1578" t="str">
        <f>_xlfn.XLOOKUP(D1578,Product_Dim!A:A,Product_Dim!C:C,"Not Found")</f>
        <v>Home</v>
      </c>
      <c r="I1578" t="str">
        <f>_xlfn.XLOOKUP(E1578,Store_Dim!A:A,Store_Dim!C:C,"Not Found")</f>
        <v>East</v>
      </c>
      <c r="J1578" t="str">
        <f>_xlfn.XLOOKUP(C1578,Customer_Dim!A:A,Customer_Dim!B:B,"Not Found")</f>
        <v>Earl Smith DDS</v>
      </c>
      <c r="K1578">
        <v>3</v>
      </c>
      <c r="L1578" s="5">
        <v>598.82000000000005</v>
      </c>
      <c r="M1578">
        <v>0.19</v>
      </c>
      <c r="N1578" t="s">
        <v>1354</v>
      </c>
      <c r="O1578" s="5">
        <v>1455.1325999999999</v>
      </c>
    </row>
    <row r="1579" spans="1:15">
      <c r="A1579" t="s">
        <v>2928</v>
      </c>
      <c r="B1579" s="7">
        <v>45851</v>
      </c>
      <c r="C1579" t="s">
        <v>261</v>
      </c>
      <c r="D1579" t="s">
        <v>1113</v>
      </c>
      <c r="E1579" t="s">
        <v>1319</v>
      </c>
      <c r="F1579" t="str">
        <f>[1]Raw_Customer_Dim!$A$2</f>
        <v>CUST1000</v>
      </c>
      <c r="G1579" t="str">
        <f>_xlfn.XLOOKUP(E1579,Store_Dim!A:A,Store_Dim!B:B,"Not Found")</f>
        <v>Thomas, Bridges and Harris</v>
      </c>
      <c r="H1579" t="str">
        <f>_xlfn.XLOOKUP(D1579,Product_Dim!A:A,Product_Dim!C:C,"Not Found")</f>
        <v>Sports</v>
      </c>
      <c r="I1579" t="str">
        <f>_xlfn.XLOOKUP(E1579,Store_Dim!A:A,Store_Dim!C:C,"Not Found")</f>
        <v>North</v>
      </c>
      <c r="J1579" t="str">
        <f>_xlfn.XLOOKUP(C1579,Customer_Dim!A:A,Customer_Dim!B:B,"Not Found")</f>
        <v>Colleen Maynard</v>
      </c>
      <c r="K1579">
        <v>4</v>
      </c>
      <c r="L1579" s="5">
        <v>659.17</v>
      </c>
      <c r="M1579">
        <v>0.12</v>
      </c>
      <c r="N1579" t="s">
        <v>1349</v>
      </c>
      <c r="O1579" s="5">
        <v>2320.2784000000001</v>
      </c>
    </row>
    <row r="1580" spans="1:15">
      <c r="A1580" t="s">
        <v>2929</v>
      </c>
      <c r="B1580" s="7">
        <v>45572</v>
      </c>
      <c r="C1580" t="s">
        <v>267</v>
      </c>
      <c r="D1580" t="s">
        <v>1165</v>
      </c>
      <c r="E1580" t="s">
        <v>1282</v>
      </c>
      <c r="F1580" t="str">
        <f>[1]Raw_Customer_Dim!$A$2</f>
        <v>CUST1000</v>
      </c>
      <c r="G1580" t="str">
        <f>_xlfn.XLOOKUP(E1580,Store_Dim!A:A,Store_Dim!B:B,"Not Found")</f>
        <v>Martinez, Adkins and Johnson</v>
      </c>
      <c r="H1580" t="str">
        <f>_xlfn.XLOOKUP(D1580,Product_Dim!A:A,Product_Dim!C:C,"Not Found")</f>
        <v>Clothing</v>
      </c>
      <c r="I1580" t="str">
        <f>_xlfn.XLOOKUP(E1580,Store_Dim!A:A,Store_Dim!C:C,"Not Found")</f>
        <v>North</v>
      </c>
      <c r="J1580" t="str">
        <f>_xlfn.XLOOKUP(C1580,Customer_Dim!A:A,Customer_Dim!B:B,"Not Found")</f>
        <v>Christopher Lester</v>
      </c>
      <c r="K1580">
        <v>2</v>
      </c>
      <c r="L1580" s="5">
        <v>216.02</v>
      </c>
      <c r="M1580">
        <v>0.25</v>
      </c>
      <c r="N1580" t="s">
        <v>1349</v>
      </c>
      <c r="O1580" s="5">
        <v>324.02999999999997</v>
      </c>
    </row>
    <row r="1581" spans="1:15">
      <c r="A1581" t="s">
        <v>2930</v>
      </c>
      <c r="B1581" s="7">
        <v>45774</v>
      </c>
      <c r="C1581" t="s">
        <v>94</v>
      </c>
      <c r="D1581" t="s">
        <v>1135</v>
      </c>
      <c r="E1581" t="s">
        <v>1314</v>
      </c>
      <c r="F1581" t="str">
        <f>[1]Raw_Customer_Dim!$A$2</f>
        <v>CUST1000</v>
      </c>
      <c r="G1581" t="str">
        <f>_xlfn.XLOOKUP(E1581,Store_Dim!A:A,Store_Dim!B:B,"Not Found")</f>
        <v>Hill, Wagner and Ballard</v>
      </c>
      <c r="H1581" t="str">
        <f>_xlfn.XLOOKUP(D1581,Product_Dim!A:A,Product_Dim!C:C,"Not Found")</f>
        <v>Sports</v>
      </c>
      <c r="I1581" t="str">
        <f>_xlfn.XLOOKUP(E1581,Store_Dim!A:A,Store_Dim!C:C,"Not Found")</f>
        <v>East</v>
      </c>
      <c r="J1581" t="str">
        <f>_xlfn.XLOOKUP(C1581,Customer_Dim!A:A,Customer_Dim!B:B,"Not Found")</f>
        <v>Jessica Acevedo</v>
      </c>
      <c r="K1581">
        <v>2</v>
      </c>
      <c r="L1581" s="5">
        <v>613.47</v>
      </c>
      <c r="M1581">
        <v>0.02</v>
      </c>
      <c r="N1581" t="s">
        <v>1351</v>
      </c>
      <c r="O1581" s="5">
        <v>1202.4012</v>
      </c>
    </row>
    <row r="1582" spans="1:15">
      <c r="A1582" t="s">
        <v>2931</v>
      </c>
      <c r="B1582" s="7">
        <v>45921</v>
      </c>
      <c r="C1582" t="s">
        <v>254</v>
      </c>
      <c r="D1582" t="s">
        <v>1189</v>
      </c>
      <c r="E1582" t="s">
        <v>1319</v>
      </c>
      <c r="F1582" t="str">
        <f>[1]Raw_Customer_Dim!$A$2</f>
        <v>CUST1000</v>
      </c>
      <c r="G1582" t="str">
        <f>_xlfn.XLOOKUP(E1582,Store_Dim!A:A,Store_Dim!B:B,"Not Found")</f>
        <v>Thomas, Bridges and Harris</v>
      </c>
      <c r="H1582" t="str">
        <f>_xlfn.XLOOKUP(D1582,Product_Dim!A:A,Product_Dim!C:C,"Not Found")</f>
        <v>Clothing</v>
      </c>
      <c r="I1582" t="str">
        <f>_xlfn.XLOOKUP(E1582,Store_Dim!A:A,Store_Dim!C:C,"Not Found")</f>
        <v>North</v>
      </c>
      <c r="J1582" t="str">
        <f>_xlfn.XLOOKUP(C1582,Customer_Dim!A:A,Customer_Dim!B:B,"Not Found")</f>
        <v>Brittney Morgan</v>
      </c>
      <c r="K1582">
        <v>2</v>
      </c>
      <c r="L1582" s="5">
        <v>485.17</v>
      </c>
      <c r="M1582">
        <v>0.11</v>
      </c>
      <c r="N1582" t="s">
        <v>1351</v>
      </c>
      <c r="O1582" s="5">
        <v>863.60260000000005</v>
      </c>
    </row>
    <row r="1583" spans="1:15">
      <c r="A1583" t="s">
        <v>2932</v>
      </c>
      <c r="B1583" s="7">
        <v>45268</v>
      </c>
      <c r="C1583" t="s">
        <v>678</v>
      </c>
      <c r="D1583" t="s">
        <v>1165</v>
      </c>
      <c r="E1583" t="s">
        <v>1314</v>
      </c>
      <c r="F1583" t="str">
        <f>[1]Raw_Customer_Dim!$A$2</f>
        <v>CUST1000</v>
      </c>
      <c r="G1583" t="str">
        <f>_xlfn.XLOOKUP(E1583,Store_Dim!A:A,Store_Dim!B:B,"Not Found")</f>
        <v>Hill, Wagner and Ballard</v>
      </c>
      <c r="H1583" t="str">
        <f>_xlfn.XLOOKUP(D1583,Product_Dim!A:A,Product_Dim!C:C,"Not Found")</f>
        <v>Clothing</v>
      </c>
      <c r="I1583" t="str">
        <f>_xlfn.XLOOKUP(E1583,Store_Dim!A:A,Store_Dim!C:C,"Not Found")</f>
        <v>East</v>
      </c>
      <c r="J1583" t="str">
        <f>_xlfn.XLOOKUP(C1583,Customer_Dim!A:A,Customer_Dim!B:B,"Not Found")</f>
        <v>Brandy Thompson</v>
      </c>
      <c r="K1583">
        <v>1</v>
      </c>
      <c r="L1583" s="5">
        <v>209.7</v>
      </c>
      <c r="M1583">
        <v>0.2</v>
      </c>
      <c r="N1583" t="s">
        <v>1351</v>
      </c>
      <c r="O1583" s="5">
        <v>167.76</v>
      </c>
    </row>
    <row r="1584" spans="1:15">
      <c r="A1584" t="s">
        <v>2933</v>
      </c>
      <c r="B1584" s="7">
        <v>45402</v>
      </c>
      <c r="C1584" t="s">
        <v>716</v>
      </c>
      <c r="D1584" t="s">
        <v>1257</v>
      </c>
      <c r="E1584" t="s">
        <v>1277</v>
      </c>
      <c r="F1584" t="str">
        <f>[1]Raw_Customer_Dim!$A$2</f>
        <v>CUST1000</v>
      </c>
      <c r="G1584" t="str">
        <f>_xlfn.XLOOKUP(E1584,Store_Dim!A:A,Store_Dim!B:B,"Not Found")</f>
        <v>Rivera-Warner</v>
      </c>
      <c r="H1584" t="str">
        <f>_xlfn.XLOOKUP(D1584,Product_Dim!A:A,Product_Dim!C:C,"Not Found")</f>
        <v>Home</v>
      </c>
      <c r="I1584" t="str">
        <f>_xlfn.XLOOKUP(E1584,Store_Dim!A:A,Store_Dim!C:C,"Not Found")</f>
        <v>East</v>
      </c>
      <c r="J1584" t="str">
        <f>_xlfn.XLOOKUP(C1584,Customer_Dim!A:A,Customer_Dim!B:B,"Not Found")</f>
        <v>Robert King</v>
      </c>
      <c r="K1584">
        <v>1</v>
      </c>
      <c r="L1584" s="5">
        <v>681.47</v>
      </c>
      <c r="M1584">
        <v>0.15</v>
      </c>
      <c r="N1584" t="s">
        <v>1349</v>
      </c>
      <c r="O1584" s="5">
        <v>579.24950000000001</v>
      </c>
    </row>
    <row r="1585" spans="1:15">
      <c r="A1585" t="s">
        <v>2934</v>
      </c>
      <c r="B1585" s="7">
        <v>45667</v>
      </c>
      <c r="C1585" t="s">
        <v>943</v>
      </c>
      <c r="D1585" t="s">
        <v>1225</v>
      </c>
      <c r="E1585" t="s">
        <v>1332</v>
      </c>
      <c r="F1585" t="str">
        <f>[1]Raw_Customer_Dim!$A$2</f>
        <v>CUST1000</v>
      </c>
      <c r="G1585" t="str">
        <f>_xlfn.XLOOKUP(E1585,Store_Dim!A:A,Store_Dim!B:B,"Not Found")</f>
        <v>Holloway Ltd</v>
      </c>
      <c r="H1585" t="str">
        <f>_xlfn.XLOOKUP(D1585,Product_Dim!A:A,Product_Dim!C:C,"Not Found")</f>
        <v>Electronics</v>
      </c>
      <c r="I1585" t="str">
        <f>_xlfn.XLOOKUP(E1585,Store_Dim!A:A,Store_Dim!C:C,"Not Found")</f>
        <v>North</v>
      </c>
      <c r="J1585" t="str">
        <f>_xlfn.XLOOKUP(C1585,Customer_Dim!A:A,Customer_Dim!B:B,"Not Found")</f>
        <v>Tammy Trevino</v>
      </c>
      <c r="K1585">
        <v>2</v>
      </c>
      <c r="L1585" s="5">
        <v>877.21</v>
      </c>
      <c r="M1585">
        <v>0.1</v>
      </c>
      <c r="N1585" t="s">
        <v>1349</v>
      </c>
      <c r="O1585" s="5">
        <v>1578.9780000000001</v>
      </c>
    </row>
    <row r="1586" spans="1:15">
      <c r="A1586" t="s">
        <v>2935</v>
      </c>
      <c r="B1586" s="7">
        <v>45902</v>
      </c>
      <c r="C1586" t="s">
        <v>700</v>
      </c>
      <c r="D1586" t="s">
        <v>1229</v>
      </c>
      <c r="E1586" t="s">
        <v>1298</v>
      </c>
      <c r="F1586" t="str">
        <f>[1]Raw_Customer_Dim!$A$2</f>
        <v>CUST1000</v>
      </c>
      <c r="G1586" t="str">
        <f>_xlfn.XLOOKUP(E1586,Store_Dim!A:A,Store_Dim!B:B,"Not Found")</f>
        <v>Gray Ltd</v>
      </c>
      <c r="H1586" t="str">
        <f>_xlfn.XLOOKUP(D1586,Product_Dim!A:A,Product_Dim!C:C,"Not Found")</f>
        <v>Home</v>
      </c>
      <c r="I1586" t="str">
        <f>_xlfn.XLOOKUP(E1586,Store_Dim!A:A,Store_Dim!C:C,"Not Found")</f>
        <v>North</v>
      </c>
      <c r="J1586" t="str">
        <f>_xlfn.XLOOKUP(C1586,Customer_Dim!A:A,Customer_Dim!B:B,"Not Found")</f>
        <v>Madison Wright</v>
      </c>
      <c r="K1586">
        <v>2</v>
      </c>
      <c r="L1586" s="5">
        <v>479.77</v>
      </c>
      <c r="M1586">
        <v>0.21</v>
      </c>
      <c r="N1586" t="s">
        <v>1351</v>
      </c>
      <c r="O1586" s="5">
        <v>758.03660000000002</v>
      </c>
    </row>
    <row r="1587" spans="1:15">
      <c r="A1587" t="s">
        <v>2936</v>
      </c>
      <c r="B1587" s="7">
        <v>45589</v>
      </c>
      <c r="C1587" t="s">
        <v>708</v>
      </c>
      <c r="D1587" t="s">
        <v>1239</v>
      </c>
      <c r="E1587" t="s">
        <v>1326</v>
      </c>
      <c r="F1587" t="str">
        <f>[1]Raw_Customer_Dim!$A$2</f>
        <v>CUST1000</v>
      </c>
      <c r="G1587" t="str">
        <f>_xlfn.XLOOKUP(E1587,Store_Dim!A:A,Store_Dim!B:B,"Not Found")</f>
        <v>Shelton PLC</v>
      </c>
      <c r="H1587" t="str">
        <f>_xlfn.XLOOKUP(D1587,Product_Dim!A:A,Product_Dim!C:C,"Not Found")</f>
        <v>Beauty</v>
      </c>
      <c r="I1587" t="str">
        <f>_xlfn.XLOOKUP(E1587,Store_Dim!A:A,Store_Dim!C:C,"Not Found")</f>
        <v>North</v>
      </c>
      <c r="J1587" t="str">
        <f>_xlfn.XLOOKUP(C1587,Customer_Dim!A:A,Customer_Dim!B:B,"Not Found")</f>
        <v>Samuel Arias</v>
      </c>
      <c r="K1587">
        <v>1</v>
      </c>
      <c r="L1587" s="5">
        <v>140.72</v>
      </c>
      <c r="M1587">
        <v>0</v>
      </c>
      <c r="N1587" t="s">
        <v>1354</v>
      </c>
      <c r="O1587" s="5">
        <v>140.72</v>
      </c>
    </row>
    <row r="1588" spans="1:15">
      <c r="A1588" t="s">
        <v>2937</v>
      </c>
      <c r="B1588" s="7">
        <v>45668</v>
      </c>
      <c r="C1588" t="s">
        <v>87</v>
      </c>
      <c r="D1588" t="s">
        <v>1111</v>
      </c>
      <c r="E1588" t="s">
        <v>1301</v>
      </c>
      <c r="F1588" t="str">
        <f>[1]Raw_Customer_Dim!$A$2</f>
        <v>CUST1000</v>
      </c>
      <c r="G1588" t="str">
        <f>_xlfn.XLOOKUP(E1588,Store_Dim!A:A,Store_Dim!B:B,"Not Found")</f>
        <v>Benson-Elliott</v>
      </c>
      <c r="H1588" t="str">
        <f>_xlfn.XLOOKUP(D1588,Product_Dim!A:A,Product_Dim!C:C,"Not Found")</f>
        <v>Sports</v>
      </c>
      <c r="I1588" t="str">
        <f>_xlfn.XLOOKUP(E1588,Store_Dim!A:A,Store_Dim!C:C,"Not Found")</f>
        <v>East</v>
      </c>
      <c r="J1588" t="str">
        <f>_xlfn.XLOOKUP(C1588,Customer_Dim!A:A,Customer_Dim!B:B,"Not Found")</f>
        <v>Leslie Johnson</v>
      </c>
      <c r="K1588">
        <v>2</v>
      </c>
      <c r="L1588" s="5">
        <v>764.25</v>
      </c>
      <c r="M1588">
        <v>0.23</v>
      </c>
      <c r="N1588" t="s">
        <v>1351</v>
      </c>
      <c r="O1588" s="5">
        <v>1176.9449999999999</v>
      </c>
    </row>
    <row r="1589" spans="1:15">
      <c r="A1589" t="s">
        <v>2938</v>
      </c>
      <c r="B1589" s="7">
        <v>45300</v>
      </c>
      <c r="C1589" t="s">
        <v>507</v>
      </c>
      <c r="D1589" t="s">
        <v>1239</v>
      </c>
      <c r="E1589" t="s">
        <v>1298</v>
      </c>
      <c r="F1589" t="str">
        <f>[1]Raw_Customer_Dim!$A$2</f>
        <v>CUST1000</v>
      </c>
      <c r="G1589" t="str">
        <f>_xlfn.XLOOKUP(E1589,Store_Dim!A:A,Store_Dim!B:B,"Not Found")</f>
        <v>Gray Ltd</v>
      </c>
      <c r="H1589" t="str">
        <f>_xlfn.XLOOKUP(D1589,Product_Dim!A:A,Product_Dim!C:C,"Not Found")</f>
        <v>Beauty</v>
      </c>
      <c r="I1589" t="str">
        <f>_xlfn.XLOOKUP(E1589,Store_Dim!A:A,Store_Dim!C:C,"Not Found")</f>
        <v>North</v>
      </c>
      <c r="J1589" t="str">
        <f>_xlfn.XLOOKUP(C1589,Customer_Dim!A:A,Customer_Dim!B:B,"Not Found")</f>
        <v>Alejandro Doyle</v>
      </c>
      <c r="K1589">
        <v>3</v>
      </c>
      <c r="L1589" s="5">
        <v>107.8</v>
      </c>
      <c r="M1589">
        <v>0.28999999999999998</v>
      </c>
      <c r="N1589" t="s">
        <v>1351</v>
      </c>
      <c r="O1589" s="5">
        <v>229.614</v>
      </c>
    </row>
    <row r="1590" spans="1:15">
      <c r="A1590" t="s">
        <v>2939</v>
      </c>
      <c r="B1590" s="7">
        <v>45757</v>
      </c>
      <c r="C1590" t="s">
        <v>355</v>
      </c>
      <c r="D1590" t="s">
        <v>1117</v>
      </c>
      <c r="E1590" t="s">
        <v>1307</v>
      </c>
      <c r="F1590" t="str">
        <f>[1]Raw_Customer_Dim!$A$2</f>
        <v>CUST1000</v>
      </c>
      <c r="G1590" t="str">
        <f>_xlfn.XLOOKUP(E1590,Store_Dim!A:A,Store_Dim!B:B,"Not Found")</f>
        <v>Bean, Jones and Park</v>
      </c>
      <c r="H1590" t="str">
        <f>_xlfn.XLOOKUP(D1590,Product_Dim!A:A,Product_Dim!C:C,"Not Found")</f>
        <v>Sports</v>
      </c>
      <c r="I1590" t="str">
        <f>_xlfn.XLOOKUP(E1590,Store_Dim!A:A,Store_Dim!C:C,"Not Found")</f>
        <v>West</v>
      </c>
      <c r="J1590" t="str">
        <f>_xlfn.XLOOKUP(C1590,Customer_Dim!A:A,Customer_Dim!B:B,"Not Found")</f>
        <v>Rhonda Young</v>
      </c>
      <c r="K1590">
        <v>4</v>
      </c>
      <c r="L1590" s="5">
        <v>565.37</v>
      </c>
      <c r="M1590">
        <v>7.0000000000000007E-2</v>
      </c>
      <c r="N1590" t="s">
        <v>1351</v>
      </c>
      <c r="O1590" s="5">
        <v>2103.1763999999998</v>
      </c>
    </row>
    <row r="1591" spans="1:15">
      <c r="A1591" t="s">
        <v>2940</v>
      </c>
      <c r="B1591" s="7">
        <v>45235</v>
      </c>
      <c r="C1591" t="s">
        <v>104</v>
      </c>
      <c r="D1591" t="s">
        <v>1145</v>
      </c>
      <c r="E1591" t="s">
        <v>1294</v>
      </c>
      <c r="F1591" t="str">
        <f>[1]Raw_Customer_Dim!$A$2</f>
        <v>CUST1000</v>
      </c>
      <c r="G1591" t="str">
        <f>_xlfn.XLOOKUP(E1591,Store_Dim!A:A,Store_Dim!B:B,"Not Found")</f>
        <v>Alexander Group</v>
      </c>
      <c r="H1591" t="str">
        <f>_xlfn.XLOOKUP(D1591,Product_Dim!A:A,Product_Dim!C:C,"Not Found")</f>
        <v>Clothing</v>
      </c>
      <c r="I1591" t="str">
        <f>_xlfn.XLOOKUP(E1591,Store_Dim!A:A,Store_Dim!C:C,"Not Found")</f>
        <v>South</v>
      </c>
      <c r="J1591" t="str">
        <f>_xlfn.XLOOKUP(C1591,Customer_Dim!A:A,Customer_Dim!B:B,"Not Found")</f>
        <v>Christopher Olson</v>
      </c>
      <c r="K1591">
        <v>3</v>
      </c>
      <c r="L1591" s="5">
        <v>811.45</v>
      </c>
      <c r="M1591">
        <v>0.26</v>
      </c>
      <c r="N1591" t="s">
        <v>1349</v>
      </c>
      <c r="O1591" s="5">
        <v>1801.4190000000001</v>
      </c>
    </row>
    <row r="1592" spans="1:15">
      <c r="A1592" t="s">
        <v>2941</v>
      </c>
      <c r="B1592" s="7">
        <v>45749</v>
      </c>
      <c r="C1592" t="s">
        <v>883</v>
      </c>
      <c r="D1592" t="s">
        <v>1139</v>
      </c>
      <c r="E1592" t="s">
        <v>1338</v>
      </c>
      <c r="F1592" t="str">
        <f>[1]Raw_Customer_Dim!$A$2</f>
        <v>CUST1000</v>
      </c>
      <c r="G1592" t="str">
        <f>_xlfn.XLOOKUP(E1592,Store_Dim!A:A,Store_Dim!B:B,"Not Found")</f>
        <v>Mann-Austin</v>
      </c>
      <c r="H1592" t="str">
        <f>_xlfn.XLOOKUP(D1592,Product_Dim!A:A,Product_Dim!C:C,"Not Found")</f>
        <v>Home</v>
      </c>
      <c r="I1592" t="str">
        <f>_xlfn.XLOOKUP(E1592,Store_Dim!A:A,Store_Dim!C:C,"Not Found")</f>
        <v>East</v>
      </c>
      <c r="J1592" t="str">
        <f>_xlfn.XLOOKUP(C1592,Customer_Dim!A:A,Customer_Dim!B:B,"Not Found")</f>
        <v>Jackie Thompson</v>
      </c>
      <c r="K1592">
        <v>4</v>
      </c>
      <c r="L1592" s="5">
        <v>62.25</v>
      </c>
      <c r="M1592">
        <v>0.11</v>
      </c>
      <c r="N1592" t="s">
        <v>1351</v>
      </c>
      <c r="O1592" s="5">
        <v>221.61</v>
      </c>
    </row>
    <row r="1593" spans="1:15">
      <c r="A1593" t="s">
        <v>2942</v>
      </c>
      <c r="B1593" s="7">
        <v>45807</v>
      </c>
      <c r="C1593" t="s">
        <v>82</v>
      </c>
      <c r="D1593" t="s">
        <v>1263</v>
      </c>
      <c r="E1593" t="s">
        <v>1314</v>
      </c>
      <c r="F1593" t="str">
        <f>[1]Raw_Customer_Dim!$A$2</f>
        <v>CUST1000</v>
      </c>
      <c r="G1593" t="str">
        <f>_xlfn.XLOOKUP(E1593,Store_Dim!A:A,Store_Dim!B:B,"Not Found")</f>
        <v>Hill, Wagner and Ballard</v>
      </c>
      <c r="H1593" t="str">
        <f>_xlfn.XLOOKUP(D1593,Product_Dim!A:A,Product_Dim!C:C,"Not Found")</f>
        <v>Sports</v>
      </c>
      <c r="I1593" t="str">
        <f>_xlfn.XLOOKUP(E1593,Store_Dim!A:A,Store_Dim!C:C,"Not Found")</f>
        <v>East</v>
      </c>
      <c r="J1593" t="str">
        <f>_xlfn.XLOOKUP(C1593,Customer_Dim!A:A,Customer_Dim!B:B,"Not Found")</f>
        <v>Diana Taylor</v>
      </c>
      <c r="K1593">
        <v>1</v>
      </c>
      <c r="L1593" s="5">
        <v>749.78</v>
      </c>
      <c r="M1593">
        <v>0.03</v>
      </c>
      <c r="N1593" t="s">
        <v>1349</v>
      </c>
      <c r="O1593" s="5">
        <v>727.28659999999991</v>
      </c>
    </row>
    <row r="1594" spans="1:15">
      <c r="A1594" t="s">
        <v>2943</v>
      </c>
      <c r="B1594" s="7">
        <v>45496</v>
      </c>
      <c r="C1594" t="s">
        <v>764</v>
      </c>
      <c r="D1594" t="s">
        <v>1191</v>
      </c>
      <c r="E1594" t="s">
        <v>1298</v>
      </c>
      <c r="F1594" t="str">
        <f>[1]Raw_Customer_Dim!$A$2</f>
        <v>CUST1000</v>
      </c>
      <c r="G1594" t="str">
        <f>_xlfn.XLOOKUP(E1594,Store_Dim!A:A,Store_Dim!B:B,"Not Found")</f>
        <v>Gray Ltd</v>
      </c>
      <c r="H1594" t="str">
        <f>_xlfn.XLOOKUP(D1594,Product_Dim!A:A,Product_Dim!C:C,"Not Found")</f>
        <v>Beauty</v>
      </c>
      <c r="I1594" t="str">
        <f>_xlfn.XLOOKUP(E1594,Store_Dim!A:A,Store_Dim!C:C,"Not Found")</f>
        <v>North</v>
      </c>
      <c r="J1594" t="str">
        <f>_xlfn.XLOOKUP(C1594,Customer_Dim!A:A,Customer_Dim!B:B,"Not Found")</f>
        <v>Charles Miller</v>
      </c>
      <c r="K1594">
        <v>3</v>
      </c>
      <c r="L1594" s="5">
        <v>630.28</v>
      </c>
      <c r="M1594">
        <v>7.0000000000000007E-2</v>
      </c>
      <c r="N1594" t="s">
        <v>1354</v>
      </c>
      <c r="O1594" s="5">
        <v>1758.4811999999999</v>
      </c>
    </row>
    <row r="1595" spans="1:15">
      <c r="A1595" t="s">
        <v>2944</v>
      </c>
      <c r="B1595" s="7">
        <v>45355</v>
      </c>
      <c r="C1595" t="s">
        <v>347</v>
      </c>
      <c r="D1595" t="s">
        <v>1133</v>
      </c>
      <c r="E1595" t="s">
        <v>1329</v>
      </c>
      <c r="F1595" t="str">
        <f>[1]Raw_Customer_Dim!$A$2</f>
        <v>CUST1000</v>
      </c>
      <c r="G1595" t="str">
        <f>_xlfn.XLOOKUP(E1595,Store_Dim!A:A,Store_Dim!B:B,"Not Found")</f>
        <v>Frederick-Wright</v>
      </c>
      <c r="H1595" t="str">
        <f>_xlfn.XLOOKUP(D1595,Product_Dim!A:A,Product_Dim!C:C,"Not Found")</f>
        <v>Home</v>
      </c>
      <c r="I1595" t="str">
        <f>_xlfn.XLOOKUP(E1595,Store_Dim!A:A,Store_Dim!C:C,"Not Found")</f>
        <v>West</v>
      </c>
      <c r="J1595" t="str">
        <f>_xlfn.XLOOKUP(C1595,Customer_Dim!A:A,Customer_Dim!B:B,"Not Found")</f>
        <v>Carlos Skinner</v>
      </c>
      <c r="K1595">
        <v>1</v>
      </c>
      <c r="L1595" s="5">
        <v>101.84</v>
      </c>
      <c r="M1595">
        <v>0.17</v>
      </c>
      <c r="N1595" t="s">
        <v>1349</v>
      </c>
      <c r="O1595" s="5">
        <v>84.527199999999993</v>
      </c>
    </row>
    <row r="1596" spans="1:15">
      <c r="A1596" t="s">
        <v>2945</v>
      </c>
      <c r="B1596" s="7">
        <v>45256</v>
      </c>
      <c r="C1596" t="s">
        <v>155</v>
      </c>
      <c r="D1596" t="s">
        <v>1121</v>
      </c>
      <c r="E1596" t="s">
        <v>1335</v>
      </c>
      <c r="F1596" t="str">
        <f>[1]Raw_Customer_Dim!$A$2</f>
        <v>CUST1000</v>
      </c>
      <c r="G1596" t="str">
        <f>_xlfn.XLOOKUP(E1596,Store_Dim!A:A,Store_Dim!B:B,"Not Found")</f>
        <v>Guerrero-Schmitt</v>
      </c>
      <c r="H1596" t="str">
        <f>_xlfn.XLOOKUP(D1596,Product_Dim!A:A,Product_Dim!C:C,"Not Found")</f>
        <v>Sports</v>
      </c>
      <c r="I1596" t="str">
        <f>_xlfn.XLOOKUP(E1596,Store_Dim!A:A,Store_Dim!C:C,"Not Found")</f>
        <v>East</v>
      </c>
      <c r="J1596" t="str">
        <f>_xlfn.XLOOKUP(C1596,Customer_Dim!A:A,Customer_Dim!B:B,"Not Found")</f>
        <v>Wayne Mcpherson</v>
      </c>
      <c r="K1596">
        <v>4</v>
      </c>
      <c r="L1596" s="5">
        <v>641.45000000000005</v>
      </c>
      <c r="M1596">
        <v>0.16</v>
      </c>
      <c r="N1596" t="s">
        <v>1354</v>
      </c>
      <c r="O1596" s="5">
        <v>2155.2719999999999</v>
      </c>
    </row>
    <row r="1597" spans="1:15">
      <c r="A1597" t="s">
        <v>2946</v>
      </c>
      <c r="B1597" s="7">
        <v>45849</v>
      </c>
      <c r="C1597" t="s">
        <v>1004</v>
      </c>
      <c r="D1597" t="s">
        <v>1159</v>
      </c>
      <c r="E1597" t="s">
        <v>1282</v>
      </c>
      <c r="F1597" t="str">
        <f>[1]Raw_Customer_Dim!$A$2</f>
        <v>CUST1000</v>
      </c>
      <c r="G1597" t="str">
        <f>_xlfn.XLOOKUP(E1597,Store_Dim!A:A,Store_Dim!B:B,"Not Found")</f>
        <v>Martinez, Adkins and Johnson</v>
      </c>
      <c r="H1597" t="str">
        <f>_xlfn.XLOOKUP(D1597,Product_Dim!A:A,Product_Dim!C:C,"Not Found")</f>
        <v>Electronics</v>
      </c>
      <c r="I1597" t="str">
        <f>_xlfn.XLOOKUP(E1597,Store_Dim!A:A,Store_Dim!C:C,"Not Found")</f>
        <v>North</v>
      </c>
      <c r="J1597" t="str">
        <f>_xlfn.XLOOKUP(C1597,Customer_Dim!A:A,Customer_Dim!B:B,"Not Found")</f>
        <v>Debra Mccullough</v>
      </c>
      <c r="K1597">
        <v>1</v>
      </c>
      <c r="L1597" s="5">
        <v>135.87</v>
      </c>
      <c r="M1597">
        <v>0.23</v>
      </c>
      <c r="N1597" t="s">
        <v>1351</v>
      </c>
      <c r="O1597" s="5">
        <v>104.6199</v>
      </c>
    </row>
    <row r="1598" spans="1:15">
      <c r="A1598" t="s">
        <v>2947</v>
      </c>
      <c r="B1598" s="7">
        <v>45344</v>
      </c>
      <c r="C1598" t="s">
        <v>248</v>
      </c>
      <c r="D1598" t="s">
        <v>1115</v>
      </c>
      <c r="E1598" t="s">
        <v>1301</v>
      </c>
      <c r="F1598" t="str">
        <f>[1]Raw_Customer_Dim!$A$2</f>
        <v>CUST1000</v>
      </c>
      <c r="G1598" t="str">
        <f>_xlfn.XLOOKUP(E1598,Store_Dim!A:A,Store_Dim!B:B,"Not Found")</f>
        <v>Benson-Elliott</v>
      </c>
      <c r="H1598" t="str">
        <f>_xlfn.XLOOKUP(D1598,Product_Dim!A:A,Product_Dim!C:C,"Not Found")</f>
        <v>Home</v>
      </c>
      <c r="I1598" t="str">
        <f>_xlfn.XLOOKUP(E1598,Store_Dim!A:A,Store_Dim!C:C,"Not Found")</f>
        <v>East</v>
      </c>
      <c r="J1598" t="str">
        <f>_xlfn.XLOOKUP(C1598,Customer_Dim!A:A,Customer_Dim!B:B,"Not Found")</f>
        <v>Amy Fowler</v>
      </c>
      <c r="K1598">
        <v>1</v>
      </c>
      <c r="L1598" s="5">
        <v>388.35</v>
      </c>
      <c r="M1598">
        <v>0.01</v>
      </c>
      <c r="N1598" t="s">
        <v>1351</v>
      </c>
      <c r="O1598" s="5">
        <v>384.4665</v>
      </c>
    </row>
    <row r="1599" spans="1:15">
      <c r="A1599" t="s">
        <v>2948</v>
      </c>
      <c r="B1599" s="7">
        <v>45367</v>
      </c>
      <c r="C1599" t="s">
        <v>1033</v>
      </c>
      <c r="D1599" t="s">
        <v>1149</v>
      </c>
      <c r="E1599" t="s">
        <v>1311</v>
      </c>
      <c r="F1599" t="str">
        <f>[1]Raw_Customer_Dim!$A$2</f>
        <v>CUST1000</v>
      </c>
      <c r="G1599" t="str">
        <f>_xlfn.XLOOKUP(E1599,Store_Dim!A:A,Store_Dim!B:B,"Not Found")</f>
        <v>Moore, Padilla and Butler</v>
      </c>
      <c r="H1599" t="str">
        <f>_xlfn.XLOOKUP(D1599,Product_Dim!A:A,Product_Dim!C:C,"Not Found")</f>
        <v>Sports</v>
      </c>
      <c r="I1599" t="str">
        <f>_xlfn.XLOOKUP(E1599,Store_Dim!A:A,Store_Dim!C:C,"Not Found")</f>
        <v>South</v>
      </c>
      <c r="J1599" t="str">
        <f>_xlfn.XLOOKUP(C1599,Customer_Dim!A:A,Customer_Dim!B:B,"Not Found")</f>
        <v>Not Found</v>
      </c>
      <c r="K1599">
        <v>2</v>
      </c>
      <c r="L1599" s="5">
        <v>999.08</v>
      </c>
      <c r="M1599">
        <v>0.3</v>
      </c>
      <c r="N1599" t="s">
        <v>1351</v>
      </c>
      <c r="O1599" s="5">
        <v>1398.712</v>
      </c>
    </row>
    <row r="1600" spans="1:15">
      <c r="A1600" t="s">
        <v>2949</v>
      </c>
      <c r="B1600" s="7">
        <v>45887</v>
      </c>
      <c r="C1600" t="s">
        <v>401</v>
      </c>
      <c r="D1600" t="s">
        <v>1149</v>
      </c>
      <c r="E1600" t="s">
        <v>1332</v>
      </c>
      <c r="F1600" t="str">
        <f>[1]Raw_Customer_Dim!$A$2</f>
        <v>CUST1000</v>
      </c>
      <c r="G1600" t="str">
        <f>_xlfn.XLOOKUP(E1600,Store_Dim!A:A,Store_Dim!B:B,"Not Found")</f>
        <v>Holloway Ltd</v>
      </c>
      <c r="H1600" t="str">
        <f>_xlfn.XLOOKUP(D1600,Product_Dim!A:A,Product_Dim!C:C,"Not Found")</f>
        <v>Sports</v>
      </c>
      <c r="I1600" t="str">
        <f>_xlfn.XLOOKUP(E1600,Store_Dim!A:A,Store_Dim!C:C,"Not Found")</f>
        <v>North</v>
      </c>
      <c r="J1600" t="str">
        <f>_xlfn.XLOOKUP(C1600,Customer_Dim!A:A,Customer_Dim!B:B,"Not Found")</f>
        <v>Christopher Garcia DDS</v>
      </c>
      <c r="K1600">
        <v>3</v>
      </c>
      <c r="L1600" s="5">
        <v>453.19</v>
      </c>
      <c r="M1600">
        <v>0.08</v>
      </c>
      <c r="N1600" t="s">
        <v>1354</v>
      </c>
      <c r="O1600" s="5">
        <v>1250.8044</v>
      </c>
    </row>
    <row r="1601" spans="1:15">
      <c r="A1601" t="s">
        <v>2950</v>
      </c>
      <c r="B1601" s="7">
        <v>45567</v>
      </c>
      <c r="C1601" t="s">
        <v>533</v>
      </c>
      <c r="D1601" t="s">
        <v>1233</v>
      </c>
      <c r="E1601" t="s">
        <v>1314</v>
      </c>
      <c r="F1601" t="str">
        <f>[1]Raw_Customer_Dim!$A$2</f>
        <v>CUST1000</v>
      </c>
      <c r="G1601" t="str">
        <f>_xlfn.XLOOKUP(E1601,Store_Dim!A:A,Store_Dim!B:B,"Not Found")</f>
        <v>Hill, Wagner and Ballard</v>
      </c>
      <c r="H1601" t="str">
        <f>_xlfn.XLOOKUP(D1601,Product_Dim!A:A,Product_Dim!C:C,"Not Found")</f>
        <v>Home</v>
      </c>
      <c r="I1601" t="str">
        <f>_xlfn.XLOOKUP(E1601,Store_Dim!A:A,Store_Dim!C:C,"Not Found")</f>
        <v>East</v>
      </c>
      <c r="J1601" t="str">
        <f>_xlfn.XLOOKUP(C1601,Customer_Dim!A:A,Customer_Dim!B:B,"Not Found")</f>
        <v>Jon Ortiz</v>
      </c>
      <c r="K1601">
        <v>2</v>
      </c>
      <c r="L1601" s="5">
        <v>61.31</v>
      </c>
      <c r="M1601">
        <v>0.15</v>
      </c>
      <c r="N1601" t="s">
        <v>1354</v>
      </c>
      <c r="O1601" s="5">
        <v>104.227</v>
      </c>
    </row>
    <row r="1602" spans="1:15">
      <c r="A1602" t="s">
        <v>2951</v>
      </c>
      <c r="B1602" s="7">
        <v>45223</v>
      </c>
      <c r="C1602" t="s">
        <v>748</v>
      </c>
      <c r="D1602" t="s">
        <v>1235</v>
      </c>
      <c r="E1602" t="s">
        <v>1314</v>
      </c>
      <c r="F1602" t="str">
        <f>[1]Raw_Customer_Dim!$A$2</f>
        <v>CUST1000</v>
      </c>
      <c r="G1602" t="str">
        <f>_xlfn.XLOOKUP(E1602,Store_Dim!A:A,Store_Dim!B:B,"Not Found")</f>
        <v>Hill, Wagner and Ballard</v>
      </c>
      <c r="H1602" t="str">
        <f>_xlfn.XLOOKUP(D1602,Product_Dim!A:A,Product_Dim!C:C,"Not Found")</f>
        <v>Sports</v>
      </c>
      <c r="I1602" t="str">
        <f>_xlfn.XLOOKUP(E1602,Store_Dim!A:A,Store_Dim!C:C,"Not Found")</f>
        <v>East</v>
      </c>
      <c r="J1602" t="str">
        <f>_xlfn.XLOOKUP(C1602,Customer_Dim!A:A,Customer_Dim!B:B,"Not Found")</f>
        <v>Michelle Cunningham</v>
      </c>
      <c r="K1602">
        <v>2</v>
      </c>
      <c r="L1602" s="5">
        <v>870.13</v>
      </c>
      <c r="M1602">
        <v>0.23</v>
      </c>
      <c r="N1602" t="s">
        <v>1349</v>
      </c>
      <c r="O1602" s="5">
        <v>1340.0001999999999</v>
      </c>
    </row>
    <row r="1603" spans="1:15">
      <c r="A1603" t="s">
        <v>2952</v>
      </c>
      <c r="B1603" s="7">
        <v>45664</v>
      </c>
      <c r="C1603" t="s">
        <v>182</v>
      </c>
      <c r="D1603" t="s">
        <v>1103</v>
      </c>
      <c r="E1603" t="s">
        <v>1338</v>
      </c>
      <c r="F1603" t="str">
        <f>[1]Raw_Customer_Dim!$A$2</f>
        <v>CUST1000</v>
      </c>
      <c r="G1603" t="str">
        <f>_xlfn.XLOOKUP(E1603,Store_Dim!A:A,Store_Dim!B:B,"Not Found")</f>
        <v>Mann-Austin</v>
      </c>
      <c r="H1603" t="str">
        <f>_xlfn.XLOOKUP(D1603,Product_Dim!A:A,Product_Dim!C:C,"Not Found")</f>
        <v>Electronics</v>
      </c>
      <c r="I1603" t="str">
        <f>_xlfn.XLOOKUP(E1603,Store_Dim!A:A,Store_Dim!C:C,"Not Found")</f>
        <v>East</v>
      </c>
      <c r="J1603" t="str">
        <f>_xlfn.XLOOKUP(C1603,Customer_Dim!A:A,Customer_Dim!B:B,"Not Found")</f>
        <v>Amber Mcclain</v>
      </c>
      <c r="K1603">
        <v>1</v>
      </c>
      <c r="L1603" s="5">
        <v>336.51</v>
      </c>
      <c r="M1603">
        <v>0.11</v>
      </c>
      <c r="N1603" t="s">
        <v>1351</v>
      </c>
      <c r="O1603" s="5">
        <v>299.4939</v>
      </c>
    </row>
    <row r="1604" spans="1:15">
      <c r="A1604" t="s">
        <v>2953</v>
      </c>
      <c r="B1604" s="7">
        <v>45313</v>
      </c>
      <c r="C1604" t="s">
        <v>424</v>
      </c>
      <c r="D1604" t="s">
        <v>1207</v>
      </c>
      <c r="E1604" t="s">
        <v>1277</v>
      </c>
      <c r="F1604" t="str">
        <f>[1]Raw_Customer_Dim!$A$2</f>
        <v>CUST1000</v>
      </c>
      <c r="G1604" t="str">
        <f>_xlfn.XLOOKUP(E1604,Store_Dim!A:A,Store_Dim!B:B,"Not Found")</f>
        <v>Rivera-Warner</v>
      </c>
      <c r="H1604" t="str">
        <f>_xlfn.XLOOKUP(D1604,Product_Dim!A:A,Product_Dim!C:C,"Not Found")</f>
        <v>Electronics</v>
      </c>
      <c r="I1604" t="str">
        <f>_xlfn.XLOOKUP(E1604,Store_Dim!A:A,Store_Dim!C:C,"Not Found")</f>
        <v>East</v>
      </c>
      <c r="J1604" t="str">
        <f>_xlfn.XLOOKUP(C1604,Customer_Dim!A:A,Customer_Dim!B:B,"Not Found")</f>
        <v>Erin Ward</v>
      </c>
      <c r="K1604">
        <v>1</v>
      </c>
      <c r="L1604" s="5">
        <v>305.70999999999998</v>
      </c>
      <c r="M1604">
        <v>0.26</v>
      </c>
      <c r="N1604" t="s">
        <v>1354</v>
      </c>
      <c r="O1604" s="5">
        <v>226.22540000000001</v>
      </c>
    </row>
    <row r="1605" spans="1:15">
      <c r="A1605" t="s">
        <v>2954</v>
      </c>
      <c r="B1605" s="7">
        <v>45224</v>
      </c>
      <c r="C1605" t="s">
        <v>302</v>
      </c>
      <c r="D1605" t="s">
        <v>1093</v>
      </c>
      <c r="E1605" t="s">
        <v>1335</v>
      </c>
      <c r="F1605" t="str">
        <f>[1]Raw_Customer_Dim!$A$2</f>
        <v>CUST1000</v>
      </c>
      <c r="G1605" t="str">
        <f>_xlfn.XLOOKUP(E1605,Store_Dim!A:A,Store_Dim!B:B,"Not Found")</f>
        <v>Guerrero-Schmitt</v>
      </c>
      <c r="H1605" t="str">
        <f>_xlfn.XLOOKUP(D1605,Product_Dim!A:A,Product_Dim!C:C,"Not Found")</f>
        <v>Home</v>
      </c>
      <c r="I1605" t="str">
        <f>_xlfn.XLOOKUP(E1605,Store_Dim!A:A,Store_Dim!C:C,"Not Found")</f>
        <v>East</v>
      </c>
      <c r="J1605" t="str">
        <f>_xlfn.XLOOKUP(C1605,Customer_Dim!A:A,Customer_Dim!B:B,"Not Found")</f>
        <v>Joel Robinson</v>
      </c>
      <c r="K1605">
        <v>2</v>
      </c>
      <c r="L1605" s="5">
        <v>635.39</v>
      </c>
      <c r="M1605">
        <v>0.28999999999999998</v>
      </c>
      <c r="N1605" t="s">
        <v>1354</v>
      </c>
      <c r="O1605" s="5">
        <v>902.25379999999996</v>
      </c>
    </row>
    <row r="1606" spans="1:15">
      <c r="A1606" t="s">
        <v>2955</v>
      </c>
      <c r="B1606" s="7">
        <v>45491</v>
      </c>
      <c r="C1606" t="s">
        <v>292</v>
      </c>
      <c r="D1606" t="s">
        <v>1257</v>
      </c>
      <c r="E1606" t="s">
        <v>1338</v>
      </c>
      <c r="F1606" t="str">
        <f>[1]Raw_Customer_Dim!$A$2</f>
        <v>CUST1000</v>
      </c>
      <c r="G1606" t="str">
        <f>_xlfn.XLOOKUP(E1606,Store_Dim!A:A,Store_Dim!B:B,"Not Found")</f>
        <v>Mann-Austin</v>
      </c>
      <c r="H1606" t="str">
        <f>_xlfn.XLOOKUP(D1606,Product_Dim!A:A,Product_Dim!C:C,"Not Found")</f>
        <v>Home</v>
      </c>
      <c r="I1606" t="str">
        <f>_xlfn.XLOOKUP(E1606,Store_Dim!A:A,Store_Dim!C:C,"Not Found")</f>
        <v>East</v>
      </c>
      <c r="J1606" t="str">
        <f>_xlfn.XLOOKUP(C1606,Customer_Dim!A:A,Customer_Dim!B:B,"Not Found")</f>
        <v>Anthony Phillips</v>
      </c>
      <c r="K1606">
        <v>2</v>
      </c>
      <c r="L1606" s="5">
        <v>253.87</v>
      </c>
      <c r="M1606">
        <v>0.23</v>
      </c>
      <c r="N1606" t="s">
        <v>1354</v>
      </c>
      <c r="O1606" s="5">
        <v>390.95979999999997</v>
      </c>
    </row>
    <row r="1607" spans="1:15">
      <c r="A1607" t="s">
        <v>2956</v>
      </c>
      <c r="B1607" s="7">
        <v>45472</v>
      </c>
      <c r="C1607" t="s">
        <v>1029</v>
      </c>
      <c r="D1607" t="s">
        <v>1225</v>
      </c>
      <c r="E1607" t="s">
        <v>1332</v>
      </c>
      <c r="F1607" t="str">
        <f>[1]Raw_Customer_Dim!$A$2</f>
        <v>CUST1000</v>
      </c>
      <c r="G1607" t="str">
        <f>_xlfn.XLOOKUP(E1607,Store_Dim!A:A,Store_Dim!B:B,"Not Found")</f>
        <v>Holloway Ltd</v>
      </c>
      <c r="H1607" t="str">
        <f>_xlfn.XLOOKUP(D1607,Product_Dim!A:A,Product_Dim!C:C,"Not Found")</f>
        <v>Electronics</v>
      </c>
      <c r="I1607" t="str">
        <f>_xlfn.XLOOKUP(E1607,Store_Dim!A:A,Store_Dim!C:C,"Not Found")</f>
        <v>North</v>
      </c>
      <c r="J1607" t="str">
        <f>_xlfn.XLOOKUP(C1607,Customer_Dim!A:A,Customer_Dim!B:B,"Not Found")</f>
        <v>Jessica Castro</v>
      </c>
      <c r="K1607">
        <v>3</v>
      </c>
      <c r="L1607" s="5">
        <v>915.81</v>
      </c>
      <c r="M1607">
        <v>0.17</v>
      </c>
      <c r="N1607" t="s">
        <v>1354</v>
      </c>
      <c r="O1607" s="5">
        <v>2280.3669</v>
      </c>
    </row>
    <row r="1608" spans="1:15">
      <c r="A1608" t="s">
        <v>2957</v>
      </c>
      <c r="B1608" s="7">
        <v>45795</v>
      </c>
      <c r="C1608" t="s">
        <v>480</v>
      </c>
      <c r="D1608" t="s">
        <v>1157</v>
      </c>
      <c r="E1608" t="s">
        <v>1307</v>
      </c>
      <c r="F1608" t="str">
        <f>[1]Raw_Customer_Dim!$A$2</f>
        <v>CUST1000</v>
      </c>
      <c r="G1608" t="str">
        <f>_xlfn.XLOOKUP(E1608,Store_Dim!A:A,Store_Dim!B:B,"Not Found")</f>
        <v>Bean, Jones and Park</v>
      </c>
      <c r="H1608" t="str">
        <f>_xlfn.XLOOKUP(D1608,Product_Dim!A:A,Product_Dim!C:C,"Not Found")</f>
        <v>Electronics</v>
      </c>
      <c r="I1608" t="str">
        <f>_xlfn.XLOOKUP(E1608,Store_Dim!A:A,Store_Dim!C:C,"Not Found")</f>
        <v>West</v>
      </c>
      <c r="J1608" t="str">
        <f>_xlfn.XLOOKUP(C1608,Customer_Dim!A:A,Customer_Dim!B:B,"Not Found")</f>
        <v>Joan Johnson</v>
      </c>
      <c r="K1608">
        <v>3</v>
      </c>
      <c r="L1608" s="5">
        <v>779.5</v>
      </c>
      <c r="M1608">
        <v>0.02</v>
      </c>
      <c r="N1608" t="s">
        <v>1349</v>
      </c>
      <c r="O1608" s="5">
        <v>2291.73</v>
      </c>
    </row>
    <row r="1609" spans="1:15">
      <c r="A1609" t="s">
        <v>2958</v>
      </c>
      <c r="B1609" s="7">
        <v>45470</v>
      </c>
      <c r="C1609" t="s">
        <v>1000</v>
      </c>
      <c r="D1609" t="s">
        <v>1195</v>
      </c>
      <c r="E1609" t="s">
        <v>1329</v>
      </c>
      <c r="F1609" t="str">
        <f>[1]Raw_Customer_Dim!$A$2</f>
        <v>CUST1000</v>
      </c>
      <c r="G1609" t="str">
        <f>_xlfn.XLOOKUP(E1609,Store_Dim!A:A,Store_Dim!B:B,"Not Found")</f>
        <v>Frederick-Wright</v>
      </c>
      <c r="H1609" t="str">
        <f>_xlfn.XLOOKUP(D1609,Product_Dim!A:A,Product_Dim!C:C,"Not Found")</f>
        <v>Sports</v>
      </c>
      <c r="I1609" t="str">
        <f>_xlfn.XLOOKUP(E1609,Store_Dim!A:A,Store_Dim!C:C,"Not Found")</f>
        <v>West</v>
      </c>
      <c r="J1609" t="str">
        <f>_xlfn.XLOOKUP(C1609,Customer_Dim!A:A,Customer_Dim!B:B,"Not Found")</f>
        <v>James Foster</v>
      </c>
      <c r="K1609">
        <v>2</v>
      </c>
      <c r="L1609" s="5">
        <v>780.57</v>
      </c>
      <c r="M1609">
        <v>0.26</v>
      </c>
      <c r="N1609" t="s">
        <v>1349</v>
      </c>
      <c r="O1609" s="5">
        <v>1155.2436</v>
      </c>
    </row>
    <row r="1610" spans="1:15">
      <c r="A1610" t="s">
        <v>2959</v>
      </c>
      <c r="B1610" s="7">
        <v>45390</v>
      </c>
      <c r="C1610" t="s">
        <v>829</v>
      </c>
      <c r="D1610" t="s">
        <v>1263</v>
      </c>
      <c r="E1610" t="s">
        <v>1338</v>
      </c>
      <c r="F1610" t="str">
        <f>[1]Raw_Customer_Dim!$A$2</f>
        <v>CUST1000</v>
      </c>
      <c r="G1610" t="str">
        <f>_xlfn.XLOOKUP(E1610,Store_Dim!A:A,Store_Dim!B:B,"Not Found")</f>
        <v>Mann-Austin</v>
      </c>
      <c r="H1610" t="str">
        <f>_xlfn.XLOOKUP(D1610,Product_Dim!A:A,Product_Dim!C:C,"Not Found")</f>
        <v>Sports</v>
      </c>
      <c r="I1610" t="str">
        <f>_xlfn.XLOOKUP(E1610,Store_Dim!A:A,Store_Dim!C:C,"Not Found")</f>
        <v>East</v>
      </c>
      <c r="J1610" t="str">
        <f>_xlfn.XLOOKUP(C1610,Customer_Dim!A:A,Customer_Dim!B:B,"Not Found")</f>
        <v>Kristine Higgins</v>
      </c>
      <c r="K1610">
        <v>1</v>
      </c>
      <c r="L1610" s="5">
        <v>511.35</v>
      </c>
      <c r="M1610">
        <v>0</v>
      </c>
      <c r="N1610" t="s">
        <v>1349</v>
      </c>
      <c r="O1610" s="5">
        <v>511.35</v>
      </c>
    </row>
    <row r="1611" spans="1:15">
      <c r="A1611" t="s">
        <v>2960</v>
      </c>
      <c r="B1611" s="7">
        <v>45803</v>
      </c>
      <c r="C1611" t="s">
        <v>59</v>
      </c>
      <c r="D1611" t="s">
        <v>1267</v>
      </c>
      <c r="E1611" t="s">
        <v>1291</v>
      </c>
      <c r="F1611" t="str">
        <f>[1]Raw_Customer_Dim!$A$2</f>
        <v>CUST1000</v>
      </c>
      <c r="G1611" t="str">
        <f>_xlfn.XLOOKUP(E1611,Store_Dim!A:A,Store_Dim!B:B,"Not Found")</f>
        <v>Johnson-Wright</v>
      </c>
      <c r="H1611" t="str">
        <f>_xlfn.XLOOKUP(D1611,Product_Dim!A:A,Product_Dim!C:C,"Not Found")</f>
        <v>Sports</v>
      </c>
      <c r="I1611" t="str">
        <f>_xlfn.XLOOKUP(E1611,Store_Dim!A:A,Store_Dim!C:C,"Not Found")</f>
        <v>North</v>
      </c>
      <c r="J1611" t="str">
        <f>_xlfn.XLOOKUP(C1611,Customer_Dim!A:A,Customer_Dim!B:B,"Not Found")</f>
        <v>John Scott</v>
      </c>
      <c r="K1611">
        <v>4</v>
      </c>
      <c r="L1611" s="5">
        <v>44.07</v>
      </c>
      <c r="M1611">
        <v>0.28999999999999998</v>
      </c>
      <c r="N1611" t="s">
        <v>1354</v>
      </c>
      <c r="O1611" s="5">
        <v>125.1588</v>
      </c>
    </row>
    <row r="1612" spans="1:15">
      <c r="A1612" t="s">
        <v>2961</v>
      </c>
      <c r="B1612" s="7">
        <v>45320</v>
      </c>
      <c r="C1612" t="s">
        <v>456</v>
      </c>
      <c r="D1612" t="s">
        <v>1211</v>
      </c>
      <c r="E1612" t="s">
        <v>1317</v>
      </c>
      <c r="F1612" t="str">
        <f>[1]Raw_Customer_Dim!$A$2</f>
        <v>CUST1000</v>
      </c>
      <c r="G1612" t="str">
        <f>_xlfn.XLOOKUP(E1612,Store_Dim!A:A,Store_Dim!B:B,"Not Found")</f>
        <v>Aguirre-Keller</v>
      </c>
      <c r="H1612" t="str">
        <f>_xlfn.XLOOKUP(D1612,Product_Dim!A:A,Product_Dim!C:C,"Not Found")</f>
        <v>Clothing</v>
      </c>
      <c r="I1612" t="str">
        <f>_xlfn.XLOOKUP(E1612,Store_Dim!A:A,Store_Dim!C:C,"Not Found")</f>
        <v>South</v>
      </c>
      <c r="J1612" t="str">
        <f>_xlfn.XLOOKUP(C1612,Customer_Dim!A:A,Customer_Dim!B:B,"Not Found")</f>
        <v>Andrea Jacobs</v>
      </c>
      <c r="K1612">
        <v>2</v>
      </c>
      <c r="L1612" s="5">
        <v>895.92</v>
      </c>
      <c r="M1612">
        <v>0.15</v>
      </c>
      <c r="N1612" t="s">
        <v>1349</v>
      </c>
      <c r="O1612" s="5">
        <v>1523.0640000000001</v>
      </c>
    </row>
    <row r="1613" spans="1:15">
      <c r="A1613" t="s">
        <v>2962</v>
      </c>
      <c r="B1613" s="7">
        <v>45619</v>
      </c>
      <c r="C1613" t="s">
        <v>674</v>
      </c>
      <c r="D1613" t="s">
        <v>1179</v>
      </c>
      <c r="E1613" t="s">
        <v>1286</v>
      </c>
      <c r="F1613" t="str">
        <f>[1]Raw_Customer_Dim!$A$2</f>
        <v>CUST1000</v>
      </c>
      <c r="G1613" t="str">
        <f>_xlfn.XLOOKUP(E1613,Store_Dim!A:A,Store_Dim!B:B,"Not Found")</f>
        <v>Black-Horn</v>
      </c>
      <c r="H1613" t="str">
        <f>_xlfn.XLOOKUP(D1613,Product_Dim!A:A,Product_Dim!C:C,"Not Found")</f>
        <v>Clothing</v>
      </c>
      <c r="I1613" t="str">
        <f>_xlfn.XLOOKUP(E1613,Store_Dim!A:A,Store_Dim!C:C,"Not Found")</f>
        <v>South</v>
      </c>
      <c r="J1613" t="str">
        <f>_xlfn.XLOOKUP(C1613,Customer_Dim!A:A,Customer_Dim!B:B,"Not Found")</f>
        <v>Roberta Green</v>
      </c>
      <c r="K1613">
        <v>4</v>
      </c>
      <c r="L1613" s="5">
        <v>456.32</v>
      </c>
      <c r="M1613">
        <v>0.22</v>
      </c>
      <c r="N1613" t="s">
        <v>1354</v>
      </c>
      <c r="O1613" s="5">
        <v>1423.7184</v>
      </c>
    </row>
    <row r="1614" spans="1:15">
      <c r="A1614" t="s">
        <v>2963</v>
      </c>
      <c r="B1614" s="7">
        <v>45777</v>
      </c>
      <c r="C1614" t="s">
        <v>903</v>
      </c>
      <c r="D1614" t="s">
        <v>1141</v>
      </c>
      <c r="E1614" t="s">
        <v>1277</v>
      </c>
      <c r="F1614" t="str">
        <f>[1]Raw_Customer_Dim!$A$2</f>
        <v>CUST1000</v>
      </c>
      <c r="G1614" t="str">
        <f>_xlfn.XLOOKUP(E1614,Store_Dim!A:A,Store_Dim!B:B,"Not Found")</f>
        <v>Rivera-Warner</v>
      </c>
      <c r="H1614" t="str">
        <f>_xlfn.XLOOKUP(D1614,Product_Dim!A:A,Product_Dim!C:C,"Not Found")</f>
        <v>Electronics</v>
      </c>
      <c r="I1614" t="str">
        <f>_xlfn.XLOOKUP(E1614,Store_Dim!A:A,Store_Dim!C:C,"Not Found")</f>
        <v>East</v>
      </c>
      <c r="J1614" t="str">
        <f>_xlfn.XLOOKUP(C1614,Customer_Dim!A:A,Customer_Dim!B:B,"Not Found")</f>
        <v>Dr. Tamara White MD</v>
      </c>
      <c r="K1614">
        <v>1</v>
      </c>
      <c r="L1614" s="5">
        <v>905.5</v>
      </c>
      <c r="M1614">
        <v>0.28999999999999998</v>
      </c>
      <c r="N1614" t="s">
        <v>1354</v>
      </c>
      <c r="O1614" s="5">
        <v>642.90499999999997</v>
      </c>
    </row>
    <row r="1615" spans="1:15">
      <c r="A1615" t="s">
        <v>2964</v>
      </c>
      <c r="B1615" s="7">
        <v>45523</v>
      </c>
      <c r="C1615" t="s">
        <v>470</v>
      </c>
      <c r="D1615" t="s">
        <v>1105</v>
      </c>
      <c r="E1615" t="s">
        <v>1322</v>
      </c>
      <c r="F1615" t="str">
        <f>[1]Raw_Customer_Dim!$A$2</f>
        <v>CUST1000</v>
      </c>
      <c r="G1615" t="str">
        <f>_xlfn.XLOOKUP(E1615,Store_Dim!A:A,Store_Dim!B:B,"Not Found")</f>
        <v>Gardner, Humphrey and Contreras</v>
      </c>
      <c r="H1615" t="str">
        <f>_xlfn.XLOOKUP(D1615,Product_Dim!A:A,Product_Dim!C:C,"Not Found")</f>
        <v>Not Found</v>
      </c>
      <c r="I1615" t="str">
        <f>_xlfn.XLOOKUP(E1615,Store_Dim!A:A,Store_Dim!C:C,"Not Found")</f>
        <v>East</v>
      </c>
      <c r="J1615" t="str">
        <f>_xlfn.XLOOKUP(C1615,Customer_Dim!A:A,Customer_Dim!B:B,"Not Found")</f>
        <v>Tiffany Herrera</v>
      </c>
      <c r="K1615">
        <v>3</v>
      </c>
      <c r="L1615" s="5">
        <v>63.19</v>
      </c>
      <c r="M1615">
        <v>0.08</v>
      </c>
      <c r="N1615" t="s">
        <v>1349</v>
      </c>
      <c r="O1615" s="5">
        <v>174.40440000000001</v>
      </c>
    </row>
    <row r="1616" spans="1:15">
      <c r="A1616" t="s">
        <v>2965</v>
      </c>
      <c r="B1616" s="7">
        <v>45628</v>
      </c>
      <c r="C1616" t="s">
        <v>142</v>
      </c>
      <c r="D1616" t="s">
        <v>1213</v>
      </c>
      <c r="E1616" t="s">
        <v>1304</v>
      </c>
      <c r="F1616" t="str">
        <f>[1]Raw_Customer_Dim!$A$2</f>
        <v>CUST1000</v>
      </c>
      <c r="G1616" t="str">
        <f>_xlfn.XLOOKUP(E1616,Store_Dim!A:A,Store_Dim!B:B,"Not Found")</f>
        <v>Martinez-Mullins</v>
      </c>
      <c r="H1616" t="str">
        <f>_xlfn.XLOOKUP(D1616,Product_Dim!A:A,Product_Dim!C:C,"Not Found")</f>
        <v>Home</v>
      </c>
      <c r="I1616" t="str">
        <f>_xlfn.XLOOKUP(E1616,Store_Dim!A:A,Store_Dim!C:C,"Not Found")</f>
        <v>South</v>
      </c>
      <c r="J1616" t="str">
        <f>_xlfn.XLOOKUP(C1616,Customer_Dim!A:A,Customer_Dim!B:B,"Not Found")</f>
        <v>Matthew Hunter Jr.</v>
      </c>
      <c r="K1616">
        <v>3</v>
      </c>
      <c r="L1616" s="5">
        <v>687.66</v>
      </c>
      <c r="M1616">
        <v>0.06</v>
      </c>
      <c r="N1616" t="s">
        <v>1351</v>
      </c>
      <c r="O1616" s="5">
        <v>1939.2012</v>
      </c>
    </row>
    <row r="1617" spans="1:15">
      <c r="A1617" t="s">
        <v>2966</v>
      </c>
      <c r="B1617" s="7">
        <v>45742</v>
      </c>
      <c r="C1617" t="s">
        <v>500</v>
      </c>
      <c r="D1617" t="s">
        <v>1159</v>
      </c>
      <c r="E1617" t="s">
        <v>1311</v>
      </c>
      <c r="F1617" t="str">
        <f>[1]Raw_Customer_Dim!$A$2</f>
        <v>CUST1000</v>
      </c>
      <c r="G1617" t="str">
        <f>_xlfn.XLOOKUP(E1617,Store_Dim!A:A,Store_Dim!B:B,"Not Found")</f>
        <v>Moore, Padilla and Butler</v>
      </c>
      <c r="H1617" t="str">
        <f>_xlfn.XLOOKUP(D1617,Product_Dim!A:A,Product_Dim!C:C,"Not Found")</f>
        <v>Electronics</v>
      </c>
      <c r="I1617" t="str">
        <f>_xlfn.XLOOKUP(E1617,Store_Dim!A:A,Store_Dim!C:C,"Not Found")</f>
        <v>South</v>
      </c>
      <c r="J1617" t="str">
        <f>_xlfn.XLOOKUP(C1617,Customer_Dim!A:A,Customer_Dim!B:B,"Not Found")</f>
        <v>Jordan Wells</v>
      </c>
      <c r="K1617">
        <v>4</v>
      </c>
      <c r="L1617" s="5">
        <v>639.05999999999995</v>
      </c>
      <c r="M1617">
        <v>0.12</v>
      </c>
      <c r="N1617" t="s">
        <v>1351</v>
      </c>
      <c r="O1617" s="5">
        <v>2249.4911999999999</v>
      </c>
    </row>
    <row r="1618" spans="1:15">
      <c r="A1618" t="s">
        <v>2967</v>
      </c>
      <c r="B1618" s="7">
        <v>45456</v>
      </c>
      <c r="C1618" t="s">
        <v>182</v>
      </c>
      <c r="D1618" t="s">
        <v>1215</v>
      </c>
      <c r="E1618" t="s">
        <v>1304</v>
      </c>
      <c r="F1618" t="str">
        <f>[1]Raw_Customer_Dim!$A$2</f>
        <v>CUST1000</v>
      </c>
      <c r="G1618" t="str">
        <f>_xlfn.XLOOKUP(E1618,Store_Dim!A:A,Store_Dim!B:B,"Not Found")</f>
        <v>Martinez-Mullins</v>
      </c>
      <c r="H1618" t="str">
        <f>_xlfn.XLOOKUP(D1618,Product_Dim!A:A,Product_Dim!C:C,"Not Found")</f>
        <v>Beauty</v>
      </c>
      <c r="I1618" t="str">
        <f>_xlfn.XLOOKUP(E1618,Store_Dim!A:A,Store_Dim!C:C,"Not Found")</f>
        <v>South</v>
      </c>
      <c r="J1618" t="str">
        <f>_xlfn.XLOOKUP(C1618,Customer_Dim!A:A,Customer_Dim!B:B,"Not Found")</f>
        <v>Amber Mcclain</v>
      </c>
      <c r="K1618">
        <v>1</v>
      </c>
      <c r="L1618" s="5">
        <v>475.15</v>
      </c>
      <c r="M1618">
        <v>0.04</v>
      </c>
      <c r="N1618" t="s">
        <v>1354</v>
      </c>
      <c r="O1618" s="5">
        <v>456.14399999999989</v>
      </c>
    </row>
    <row r="1619" spans="1:15">
      <c r="A1619" t="s">
        <v>2968</v>
      </c>
      <c r="B1619" s="7">
        <v>45534</v>
      </c>
      <c r="C1619" t="s">
        <v>442</v>
      </c>
      <c r="D1619" t="s">
        <v>1161</v>
      </c>
      <c r="E1619" t="s">
        <v>1301</v>
      </c>
      <c r="F1619" t="str">
        <f>[1]Raw_Customer_Dim!$A$2</f>
        <v>CUST1000</v>
      </c>
      <c r="G1619" t="str">
        <f>_xlfn.XLOOKUP(E1619,Store_Dim!A:A,Store_Dim!B:B,"Not Found")</f>
        <v>Benson-Elliott</v>
      </c>
      <c r="H1619" t="str">
        <f>_xlfn.XLOOKUP(D1619,Product_Dim!A:A,Product_Dim!C:C,"Not Found")</f>
        <v>Sports</v>
      </c>
      <c r="I1619" t="str">
        <f>_xlfn.XLOOKUP(E1619,Store_Dim!A:A,Store_Dim!C:C,"Not Found")</f>
        <v>East</v>
      </c>
      <c r="J1619" t="str">
        <f>_xlfn.XLOOKUP(C1619,Customer_Dim!A:A,Customer_Dim!B:B,"Not Found")</f>
        <v>Christopher Stewart</v>
      </c>
      <c r="K1619">
        <v>1</v>
      </c>
      <c r="L1619" s="5">
        <v>62.38</v>
      </c>
      <c r="M1619">
        <v>0.08</v>
      </c>
      <c r="N1619" t="s">
        <v>1354</v>
      </c>
      <c r="O1619" s="5">
        <v>57.389600000000002</v>
      </c>
    </row>
    <row r="1620" spans="1:15">
      <c r="A1620" t="s">
        <v>2969</v>
      </c>
      <c r="B1620" s="7">
        <v>45375</v>
      </c>
      <c r="C1620" t="s">
        <v>771</v>
      </c>
      <c r="D1620" t="s">
        <v>1103</v>
      </c>
      <c r="E1620" t="s">
        <v>1304</v>
      </c>
      <c r="F1620" t="str">
        <f>[1]Raw_Customer_Dim!$A$2</f>
        <v>CUST1000</v>
      </c>
      <c r="G1620" t="str">
        <f>_xlfn.XLOOKUP(E1620,Store_Dim!A:A,Store_Dim!B:B,"Not Found")</f>
        <v>Martinez-Mullins</v>
      </c>
      <c r="H1620" t="str">
        <f>_xlfn.XLOOKUP(D1620,Product_Dim!A:A,Product_Dim!C:C,"Not Found")</f>
        <v>Electronics</v>
      </c>
      <c r="I1620" t="str">
        <f>_xlfn.XLOOKUP(E1620,Store_Dim!A:A,Store_Dim!C:C,"Not Found")</f>
        <v>South</v>
      </c>
      <c r="J1620" t="str">
        <f>_xlfn.XLOOKUP(C1620,Customer_Dim!A:A,Customer_Dim!B:B,"Not Found")</f>
        <v>Ryan Torres</v>
      </c>
      <c r="K1620">
        <v>1</v>
      </c>
      <c r="L1620" s="5">
        <v>977.02</v>
      </c>
      <c r="M1620">
        <v>0.2</v>
      </c>
      <c r="N1620" t="s">
        <v>1354</v>
      </c>
      <c r="O1620" s="5">
        <v>781.61599999999999</v>
      </c>
    </row>
    <row r="1621" spans="1:15">
      <c r="A1621" t="s">
        <v>2970</v>
      </c>
      <c r="B1621" s="7">
        <v>45546</v>
      </c>
      <c r="C1621" t="s">
        <v>199</v>
      </c>
      <c r="D1621" t="s">
        <v>1239</v>
      </c>
      <c r="E1621" t="s">
        <v>1294</v>
      </c>
      <c r="F1621" t="str">
        <f>[1]Raw_Customer_Dim!$A$2</f>
        <v>CUST1000</v>
      </c>
      <c r="G1621" t="str">
        <f>_xlfn.XLOOKUP(E1621,Store_Dim!A:A,Store_Dim!B:B,"Not Found")</f>
        <v>Alexander Group</v>
      </c>
      <c r="H1621" t="str">
        <f>_xlfn.XLOOKUP(D1621,Product_Dim!A:A,Product_Dim!C:C,"Not Found")</f>
        <v>Beauty</v>
      </c>
      <c r="I1621" t="str">
        <f>_xlfn.XLOOKUP(E1621,Store_Dim!A:A,Store_Dim!C:C,"Not Found")</f>
        <v>South</v>
      </c>
      <c r="J1621" t="str">
        <f>_xlfn.XLOOKUP(C1621,Customer_Dim!A:A,Customer_Dim!B:B,"Not Found")</f>
        <v>John Mayer</v>
      </c>
      <c r="K1621">
        <v>2</v>
      </c>
      <c r="L1621" s="5">
        <v>898.81</v>
      </c>
      <c r="M1621">
        <v>0.25</v>
      </c>
      <c r="N1621" t="s">
        <v>1349</v>
      </c>
      <c r="O1621" s="5">
        <v>1348.2149999999999</v>
      </c>
    </row>
    <row r="1622" spans="1:15">
      <c r="A1622" t="s">
        <v>2971</v>
      </c>
      <c r="B1622" s="7">
        <v>45769</v>
      </c>
      <c r="C1622" t="s">
        <v>766</v>
      </c>
      <c r="D1622" t="s">
        <v>1187</v>
      </c>
      <c r="E1622" t="s">
        <v>1291</v>
      </c>
      <c r="F1622" t="str">
        <f>[1]Raw_Customer_Dim!$A$2</f>
        <v>CUST1000</v>
      </c>
      <c r="G1622" t="str">
        <f>_xlfn.XLOOKUP(E1622,Store_Dim!A:A,Store_Dim!B:B,"Not Found")</f>
        <v>Johnson-Wright</v>
      </c>
      <c r="H1622" t="str">
        <f>_xlfn.XLOOKUP(D1622,Product_Dim!A:A,Product_Dim!C:C,"Not Found")</f>
        <v>Sports</v>
      </c>
      <c r="I1622" t="str">
        <f>_xlfn.XLOOKUP(E1622,Store_Dim!A:A,Store_Dim!C:C,"Not Found")</f>
        <v>North</v>
      </c>
      <c r="J1622" t="str">
        <f>_xlfn.XLOOKUP(C1622,Customer_Dim!A:A,Customer_Dim!B:B,"Not Found")</f>
        <v>Jeffrey Mccarthy</v>
      </c>
      <c r="K1622">
        <v>2</v>
      </c>
      <c r="L1622" s="5">
        <v>422.13</v>
      </c>
      <c r="M1622">
        <v>0.28000000000000003</v>
      </c>
      <c r="N1622" t="s">
        <v>1349</v>
      </c>
      <c r="O1622" s="5">
        <v>607.86720000000003</v>
      </c>
    </row>
    <row r="1623" spans="1:15">
      <c r="A1623" t="s">
        <v>2972</v>
      </c>
      <c r="B1623" s="7">
        <v>45524</v>
      </c>
      <c r="C1623" t="s">
        <v>142</v>
      </c>
      <c r="D1623" t="s">
        <v>1141</v>
      </c>
      <c r="E1623" t="s">
        <v>1317</v>
      </c>
      <c r="F1623" t="str">
        <f>[1]Raw_Customer_Dim!$A$2</f>
        <v>CUST1000</v>
      </c>
      <c r="G1623" t="str">
        <f>_xlfn.XLOOKUP(E1623,Store_Dim!A:A,Store_Dim!B:B,"Not Found")</f>
        <v>Aguirre-Keller</v>
      </c>
      <c r="H1623" t="str">
        <f>_xlfn.XLOOKUP(D1623,Product_Dim!A:A,Product_Dim!C:C,"Not Found")</f>
        <v>Electronics</v>
      </c>
      <c r="I1623" t="str">
        <f>_xlfn.XLOOKUP(E1623,Store_Dim!A:A,Store_Dim!C:C,"Not Found")</f>
        <v>South</v>
      </c>
      <c r="J1623" t="str">
        <f>_xlfn.XLOOKUP(C1623,Customer_Dim!A:A,Customer_Dim!B:B,"Not Found")</f>
        <v>Matthew Hunter Jr.</v>
      </c>
      <c r="K1623">
        <v>1</v>
      </c>
      <c r="L1623" s="5">
        <v>324.56</v>
      </c>
      <c r="M1623">
        <v>0.03</v>
      </c>
      <c r="N1623" t="s">
        <v>1354</v>
      </c>
      <c r="O1623" s="5">
        <v>314.82319999999999</v>
      </c>
    </row>
    <row r="1624" spans="1:15">
      <c r="A1624" t="s">
        <v>2973</v>
      </c>
      <c r="B1624" s="7">
        <v>45531</v>
      </c>
      <c r="C1624" t="s">
        <v>998</v>
      </c>
      <c r="D1624" t="s">
        <v>1183</v>
      </c>
      <c r="E1624" t="s">
        <v>1329</v>
      </c>
      <c r="F1624" t="str">
        <f>[1]Raw_Customer_Dim!$A$2</f>
        <v>CUST1000</v>
      </c>
      <c r="G1624" t="str">
        <f>_xlfn.XLOOKUP(E1624,Store_Dim!A:A,Store_Dim!B:B,"Not Found")</f>
        <v>Frederick-Wright</v>
      </c>
      <c r="H1624" t="str">
        <f>_xlfn.XLOOKUP(D1624,Product_Dim!A:A,Product_Dim!C:C,"Not Found")</f>
        <v>Home</v>
      </c>
      <c r="I1624" t="str">
        <f>_xlfn.XLOOKUP(E1624,Store_Dim!A:A,Store_Dim!C:C,"Not Found")</f>
        <v>West</v>
      </c>
      <c r="J1624" t="str">
        <f>_xlfn.XLOOKUP(C1624,Customer_Dim!A:A,Customer_Dim!B:B,"Not Found")</f>
        <v>Gregory Curtis</v>
      </c>
      <c r="K1624">
        <v>4</v>
      </c>
      <c r="L1624" s="5">
        <v>570.38</v>
      </c>
      <c r="M1624">
        <v>0.26</v>
      </c>
      <c r="N1624" t="s">
        <v>1351</v>
      </c>
      <c r="O1624" s="5">
        <v>1688.3248000000001</v>
      </c>
    </row>
    <row r="1625" spans="1:15">
      <c r="A1625" t="s">
        <v>2974</v>
      </c>
      <c r="B1625" s="7">
        <v>45479</v>
      </c>
      <c r="C1625" t="s">
        <v>851</v>
      </c>
      <c r="D1625" t="s">
        <v>1141</v>
      </c>
      <c r="E1625" t="s">
        <v>1326</v>
      </c>
      <c r="F1625" t="str">
        <f>[1]Raw_Customer_Dim!$A$2</f>
        <v>CUST1000</v>
      </c>
      <c r="G1625" t="str">
        <f>_xlfn.XLOOKUP(E1625,Store_Dim!A:A,Store_Dim!B:B,"Not Found")</f>
        <v>Shelton PLC</v>
      </c>
      <c r="H1625" t="str">
        <f>_xlfn.XLOOKUP(D1625,Product_Dim!A:A,Product_Dim!C:C,"Not Found")</f>
        <v>Electronics</v>
      </c>
      <c r="I1625" t="str">
        <f>_xlfn.XLOOKUP(E1625,Store_Dim!A:A,Store_Dim!C:C,"Not Found")</f>
        <v>North</v>
      </c>
      <c r="J1625" t="str">
        <f>_xlfn.XLOOKUP(C1625,Customer_Dim!A:A,Customer_Dim!B:B,"Not Found")</f>
        <v>Alejandro Evans</v>
      </c>
      <c r="K1625">
        <v>2</v>
      </c>
      <c r="L1625" s="5">
        <v>223.73</v>
      </c>
      <c r="M1625">
        <v>0.11</v>
      </c>
      <c r="N1625" t="s">
        <v>1351</v>
      </c>
      <c r="O1625" s="5">
        <v>398.23939999999999</v>
      </c>
    </row>
    <row r="1626" spans="1:15">
      <c r="A1626" t="s">
        <v>2975</v>
      </c>
      <c r="B1626" s="7">
        <v>45868</v>
      </c>
      <c r="C1626" t="s">
        <v>766</v>
      </c>
      <c r="D1626" t="s">
        <v>1245</v>
      </c>
      <c r="E1626" t="s">
        <v>1329</v>
      </c>
      <c r="F1626" t="str">
        <f>[1]Raw_Customer_Dim!$A$2</f>
        <v>CUST1000</v>
      </c>
      <c r="G1626" t="str">
        <f>_xlfn.XLOOKUP(E1626,Store_Dim!A:A,Store_Dim!B:B,"Not Found")</f>
        <v>Frederick-Wright</v>
      </c>
      <c r="H1626" t="str">
        <f>_xlfn.XLOOKUP(D1626,Product_Dim!A:A,Product_Dim!C:C,"Not Found")</f>
        <v>Home</v>
      </c>
      <c r="I1626" t="str">
        <f>_xlfn.XLOOKUP(E1626,Store_Dim!A:A,Store_Dim!C:C,"Not Found")</f>
        <v>West</v>
      </c>
      <c r="J1626" t="str">
        <f>_xlfn.XLOOKUP(C1626,Customer_Dim!A:A,Customer_Dim!B:B,"Not Found")</f>
        <v>Jeffrey Mccarthy</v>
      </c>
      <c r="K1626">
        <v>4</v>
      </c>
      <c r="L1626" s="5">
        <v>164.93</v>
      </c>
      <c r="M1626">
        <v>0.11</v>
      </c>
      <c r="N1626" t="s">
        <v>1349</v>
      </c>
      <c r="O1626" s="5">
        <v>587.1508</v>
      </c>
    </row>
    <row r="1627" spans="1:15">
      <c r="A1627" t="s">
        <v>2976</v>
      </c>
      <c r="B1627" s="7">
        <v>45569</v>
      </c>
      <c r="C1627" t="s">
        <v>561</v>
      </c>
      <c r="D1627" t="s">
        <v>1103</v>
      </c>
      <c r="E1627" t="s">
        <v>1304</v>
      </c>
      <c r="F1627" t="str">
        <f>[1]Raw_Customer_Dim!$A$2</f>
        <v>CUST1000</v>
      </c>
      <c r="G1627" t="str">
        <f>_xlfn.XLOOKUP(E1627,Store_Dim!A:A,Store_Dim!B:B,"Not Found")</f>
        <v>Martinez-Mullins</v>
      </c>
      <c r="H1627" t="str">
        <f>_xlfn.XLOOKUP(D1627,Product_Dim!A:A,Product_Dim!C:C,"Not Found")</f>
        <v>Electronics</v>
      </c>
      <c r="I1627" t="str">
        <f>_xlfn.XLOOKUP(E1627,Store_Dim!A:A,Store_Dim!C:C,"Not Found")</f>
        <v>South</v>
      </c>
      <c r="J1627" t="str">
        <f>_xlfn.XLOOKUP(C1627,Customer_Dim!A:A,Customer_Dim!B:B,"Not Found")</f>
        <v>Lauren George</v>
      </c>
      <c r="K1627">
        <v>3</v>
      </c>
      <c r="L1627" s="5">
        <v>326.66000000000003</v>
      </c>
      <c r="M1627">
        <v>0.28000000000000003</v>
      </c>
      <c r="N1627" t="s">
        <v>1354</v>
      </c>
      <c r="O1627" s="5">
        <v>705.5856</v>
      </c>
    </row>
    <row r="1628" spans="1:15">
      <c r="A1628" t="s">
        <v>2977</v>
      </c>
      <c r="B1628" s="7">
        <v>45382</v>
      </c>
      <c r="C1628" t="s">
        <v>426</v>
      </c>
      <c r="D1628" t="s">
        <v>1071</v>
      </c>
      <c r="E1628" t="s">
        <v>1326</v>
      </c>
      <c r="F1628" t="str">
        <f>[1]Raw_Customer_Dim!$A$2</f>
        <v>CUST1000</v>
      </c>
      <c r="G1628" t="str">
        <f>_xlfn.XLOOKUP(E1628,Store_Dim!A:A,Store_Dim!B:B,"Not Found")</f>
        <v>Shelton PLC</v>
      </c>
      <c r="H1628" t="str">
        <f>_xlfn.XLOOKUP(D1628,Product_Dim!A:A,Product_Dim!C:C,"Not Found")</f>
        <v>Clothing</v>
      </c>
      <c r="I1628" t="str">
        <f>_xlfn.XLOOKUP(E1628,Store_Dim!A:A,Store_Dim!C:C,"Not Found")</f>
        <v>North</v>
      </c>
      <c r="J1628" t="str">
        <f>_xlfn.XLOOKUP(C1628,Customer_Dim!A:A,Customer_Dim!B:B,"Not Found")</f>
        <v>Melissa Hamilton</v>
      </c>
      <c r="K1628">
        <v>2</v>
      </c>
      <c r="L1628" s="5">
        <v>462.93</v>
      </c>
      <c r="M1628">
        <v>0.17</v>
      </c>
      <c r="N1628" t="s">
        <v>1351</v>
      </c>
      <c r="O1628" s="5">
        <v>768.46379999999999</v>
      </c>
    </row>
    <row r="1629" spans="1:15">
      <c r="A1629" t="s">
        <v>2978</v>
      </c>
      <c r="B1629" s="7">
        <v>45885</v>
      </c>
      <c r="C1629" t="s">
        <v>355</v>
      </c>
      <c r="D1629" t="s">
        <v>1068</v>
      </c>
      <c r="E1629" t="s">
        <v>1329</v>
      </c>
      <c r="F1629" t="str">
        <f>[1]Raw_Customer_Dim!$A$2</f>
        <v>CUST1000</v>
      </c>
      <c r="G1629" t="str">
        <f>_xlfn.XLOOKUP(E1629,Store_Dim!A:A,Store_Dim!B:B,"Not Found")</f>
        <v>Frederick-Wright</v>
      </c>
      <c r="H1629" t="str">
        <f>_xlfn.XLOOKUP(D1629,Product_Dim!A:A,Product_Dim!C:C,"Not Found")</f>
        <v>Electronics</v>
      </c>
      <c r="I1629" t="str">
        <f>_xlfn.XLOOKUP(E1629,Store_Dim!A:A,Store_Dim!C:C,"Not Found")</f>
        <v>West</v>
      </c>
      <c r="J1629" t="str">
        <f>_xlfn.XLOOKUP(C1629,Customer_Dim!A:A,Customer_Dim!B:B,"Not Found")</f>
        <v>Rhonda Young</v>
      </c>
      <c r="K1629">
        <v>3</v>
      </c>
      <c r="L1629" s="5">
        <v>60.26</v>
      </c>
      <c r="M1629">
        <v>0.04</v>
      </c>
      <c r="N1629" t="s">
        <v>1349</v>
      </c>
      <c r="O1629" s="5">
        <v>173.5488</v>
      </c>
    </row>
    <row r="1630" spans="1:15">
      <c r="A1630" t="s">
        <v>2979</v>
      </c>
      <c r="B1630" s="7">
        <v>45829</v>
      </c>
      <c r="C1630" t="s">
        <v>192</v>
      </c>
      <c r="D1630" t="s">
        <v>1141</v>
      </c>
      <c r="E1630" t="s">
        <v>1311</v>
      </c>
      <c r="F1630" t="str">
        <f>[1]Raw_Customer_Dim!$A$2</f>
        <v>CUST1000</v>
      </c>
      <c r="G1630" t="str">
        <f>_xlfn.XLOOKUP(E1630,Store_Dim!A:A,Store_Dim!B:B,"Not Found")</f>
        <v>Moore, Padilla and Butler</v>
      </c>
      <c r="H1630" t="str">
        <f>_xlfn.XLOOKUP(D1630,Product_Dim!A:A,Product_Dim!C:C,"Not Found")</f>
        <v>Electronics</v>
      </c>
      <c r="I1630" t="str">
        <f>_xlfn.XLOOKUP(E1630,Store_Dim!A:A,Store_Dim!C:C,"Not Found")</f>
        <v>South</v>
      </c>
      <c r="J1630" t="str">
        <f>_xlfn.XLOOKUP(C1630,Customer_Dim!A:A,Customer_Dim!B:B,"Not Found")</f>
        <v>Andrea Perez</v>
      </c>
      <c r="K1630">
        <v>3</v>
      </c>
      <c r="L1630" s="5">
        <v>109.5</v>
      </c>
      <c r="M1630">
        <v>0.06</v>
      </c>
      <c r="N1630" t="s">
        <v>1354</v>
      </c>
      <c r="O1630" s="5">
        <v>308.79000000000002</v>
      </c>
    </row>
    <row r="1631" spans="1:15">
      <c r="A1631" t="s">
        <v>2980</v>
      </c>
      <c r="B1631" s="7">
        <v>45721</v>
      </c>
      <c r="C1631" t="s">
        <v>827</v>
      </c>
      <c r="D1631" t="s">
        <v>1213</v>
      </c>
      <c r="E1631" t="s">
        <v>1329</v>
      </c>
      <c r="F1631" t="str">
        <f>[1]Raw_Customer_Dim!$A$2</f>
        <v>CUST1000</v>
      </c>
      <c r="G1631" t="str">
        <f>_xlfn.XLOOKUP(E1631,Store_Dim!A:A,Store_Dim!B:B,"Not Found")</f>
        <v>Frederick-Wright</v>
      </c>
      <c r="H1631" t="str">
        <f>_xlfn.XLOOKUP(D1631,Product_Dim!A:A,Product_Dim!C:C,"Not Found")</f>
        <v>Home</v>
      </c>
      <c r="I1631" t="str">
        <f>_xlfn.XLOOKUP(E1631,Store_Dim!A:A,Store_Dim!C:C,"Not Found")</f>
        <v>West</v>
      </c>
      <c r="J1631" t="str">
        <f>_xlfn.XLOOKUP(C1631,Customer_Dim!A:A,Customer_Dim!B:B,"Not Found")</f>
        <v>Martha Brown</v>
      </c>
      <c r="K1631">
        <v>1</v>
      </c>
      <c r="L1631" s="5">
        <v>505.83</v>
      </c>
      <c r="M1631">
        <v>0.14000000000000001</v>
      </c>
      <c r="N1631" t="s">
        <v>1354</v>
      </c>
      <c r="O1631" s="5">
        <v>435.0138</v>
      </c>
    </row>
    <row r="1632" spans="1:15">
      <c r="A1632" t="s">
        <v>2981</v>
      </c>
      <c r="B1632" s="7">
        <v>45511</v>
      </c>
      <c r="C1632" t="s">
        <v>387</v>
      </c>
      <c r="D1632" t="s">
        <v>1269</v>
      </c>
      <c r="E1632" t="s">
        <v>1314</v>
      </c>
      <c r="F1632" t="str">
        <f>[1]Raw_Customer_Dim!$A$2</f>
        <v>CUST1000</v>
      </c>
      <c r="G1632" t="str">
        <f>_xlfn.XLOOKUP(E1632,Store_Dim!A:A,Store_Dim!B:B,"Not Found")</f>
        <v>Hill, Wagner and Ballard</v>
      </c>
      <c r="H1632" t="str">
        <f>_xlfn.XLOOKUP(D1632,Product_Dim!A:A,Product_Dim!C:C,"Not Found")</f>
        <v>Electronics</v>
      </c>
      <c r="I1632" t="str">
        <f>_xlfn.XLOOKUP(E1632,Store_Dim!A:A,Store_Dim!C:C,"Not Found")</f>
        <v>East</v>
      </c>
      <c r="J1632" t="str">
        <f>_xlfn.XLOOKUP(C1632,Customer_Dim!A:A,Customer_Dim!B:B,"Not Found")</f>
        <v>Joseph Jones</v>
      </c>
      <c r="K1632">
        <v>2</v>
      </c>
      <c r="L1632" s="5">
        <v>443.15</v>
      </c>
      <c r="M1632">
        <v>0.27</v>
      </c>
      <c r="N1632" t="s">
        <v>1351</v>
      </c>
      <c r="O1632" s="5">
        <v>646.99899999999991</v>
      </c>
    </row>
    <row r="1633" spans="1:15">
      <c r="A1633" t="s">
        <v>2982</v>
      </c>
      <c r="B1633" s="7">
        <v>45739</v>
      </c>
      <c r="C1633" t="s">
        <v>1055</v>
      </c>
      <c r="D1633" t="s">
        <v>1085</v>
      </c>
      <c r="E1633" t="s">
        <v>1304</v>
      </c>
      <c r="F1633" t="str">
        <f>[1]Raw_Customer_Dim!$A$2</f>
        <v>CUST1000</v>
      </c>
      <c r="G1633" t="str">
        <f>_xlfn.XLOOKUP(E1633,Store_Dim!A:A,Store_Dim!B:B,"Not Found")</f>
        <v>Martinez-Mullins</v>
      </c>
      <c r="H1633" t="str">
        <f>_xlfn.XLOOKUP(D1633,Product_Dim!A:A,Product_Dim!C:C,"Not Found")</f>
        <v>Home</v>
      </c>
      <c r="I1633" t="str">
        <f>_xlfn.XLOOKUP(E1633,Store_Dim!A:A,Store_Dim!C:C,"Not Found")</f>
        <v>South</v>
      </c>
      <c r="J1633" t="str">
        <f>_xlfn.XLOOKUP(C1633,Customer_Dim!A:A,Customer_Dim!B:B,"Not Found")</f>
        <v>Sarah Marsh</v>
      </c>
      <c r="K1633">
        <v>2</v>
      </c>
      <c r="L1633" s="5">
        <v>784.26</v>
      </c>
      <c r="M1633">
        <v>0.23</v>
      </c>
      <c r="N1633" t="s">
        <v>1351</v>
      </c>
      <c r="O1633" s="5">
        <v>1207.7603999999999</v>
      </c>
    </row>
    <row r="1634" spans="1:15">
      <c r="A1634" t="s">
        <v>2983</v>
      </c>
      <c r="B1634" s="7">
        <v>45533</v>
      </c>
      <c r="C1634" t="s">
        <v>973</v>
      </c>
      <c r="D1634" t="s">
        <v>1151</v>
      </c>
      <c r="E1634" t="s">
        <v>1317</v>
      </c>
      <c r="F1634" t="str">
        <f>[1]Raw_Customer_Dim!$A$2</f>
        <v>CUST1000</v>
      </c>
      <c r="G1634" t="str">
        <f>_xlfn.XLOOKUP(E1634,Store_Dim!A:A,Store_Dim!B:B,"Not Found")</f>
        <v>Aguirre-Keller</v>
      </c>
      <c r="H1634" t="str">
        <f>_xlfn.XLOOKUP(D1634,Product_Dim!A:A,Product_Dim!C:C,"Not Found")</f>
        <v>Electronics</v>
      </c>
      <c r="I1634" t="str">
        <f>_xlfn.XLOOKUP(E1634,Store_Dim!A:A,Store_Dim!C:C,"Not Found")</f>
        <v>South</v>
      </c>
      <c r="J1634" t="str">
        <f>_xlfn.XLOOKUP(C1634,Customer_Dim!A:A,Customer_Dim!B:B,"Not Found")</f>
        <v>Tyler Weber</v>
      </c>
      <c r="K1634">
        <v>3</v>
      </c>
      <c r="L1634" s="5">
        <v>590.30999999999995</v>
      </c>
      <c r="M1634">
        <v>0.17</v>
      </c>
      <c r="N1634" t="s">
        <v>1351</v>
      </c>
      <c r="O1634" s="5">
        <v>1469.8719000000001</v>
      </c>
    </row>
    <row r="1635" spans="1:15">
      <c r="A1635" t="s">
        <v>2984</v>
      </c>
      <c r="B1635" s="7">
        <v>45553</v>
      </c>
      <c r="C1635" t="s">
        <v>300</v>
      </c>
      <c r="D1635" t="s">
        <v>1211</v>
      </c>
      <c r="E1635" t="s">
        <v>1329</v>
      </c>
      <c r="F1635" t="str">
        <f>[1]Raw_Customer_Dim!$A$2</f>
        <v>CUST1000</v>
      </c>
      <c r="G1635" t="str">
        <f>_xlfn.XLOOKUP(E1635,Store_Dim!A:A,Store_Dim!B:B,"Not Found")</f>
        <v>Frederick-Wright</v>
      </c>
      <c r="H1635" t="str">
        <f>_xlfn.XLOOKUP(D1635,Product_Dim!A:A,Product_Dim!C:C,"Not Found")</f>
        <v>Clothing</v>
      </c>
      <c r="I1635" t="str">
        <f>_xlfn.XLOOKUP(E1635,Store_Dim!A:A,Store_Dim!C:C,"Not Found")</f>
        <v>West</v>
      </c>
      <c r="J1635" t="str">
        <f>_xlfn.XLOOKUP(C1635,Customer_Dim!A:A,Customer_Dim!B:B,"Not Found")</f>
        <v>Jacob Hopkins</v>
      </c>
      <c r="K1635">
        <v>1</v>
      </c>
      <c r="L1635" s="5">
        <v>696.13</v>
      </c>
      <c r="M1635">
        <v>0.06</v>
      </c>
      <c r="N1635" t="s">
        <v>1354</v>
      </c>
      <c r="O1635" s="5">
        <v>654.36219999999992</v>
      </c>
    </row>
    <row r="1636" spans="1:15">
      <c r="A1636" t="s">
        <v>2985</v>
      </c>
      <c r="B1636" s="7">
        <v>45341</v>
      </c>
      <c r="C1636" t="s">
        <v>267</v>
      </c>
      <c r="D1636" t="s">
        <v>1175</v>
      </c>
      <c r="E1636" t="s">
        <v>1301</v>
      </c>
      <c r="F1636" t="str">
        <f>[1]Raw_Customer_Dim!$A$2</f>
        <v>CUST1000</v>
      </c>
      <c r="G1636" t="str">
        <f>_xlfn.XLOOKUP(E1636,Store_Dim!A:A,Store_Dim!B:B,"Not Found")</f>
        <v>Benson-Elliott</v>
      </c>
      <c r="H1636" t="str">
        <f>_xlfn.XLOOKUP(D1636,Product_Dim!A:A,Product_Dim!C:C,"Not Found")</f>
        <v>Electronics</v>
      </c>
      <c r="I1636" t="str">
        <f>_xlfn.XLOOKUP(E1636,Store_Dim!A:A,Store_Dim!C:C,"Not Found")</f>
        <v>East</v>
      </c>
      <c r="J1636" t="str">
        <f>_xlfn.XLOOKUP(C1636,Customer_Dim!A:A,Customer_Dim!B:B,"Not Found")</f>
        <v>Christopher Lester</v>
      </c>
      <c r="K1636">
        <v>4</v>
      </c>
      <c r="L1636" s="5">
        <v>194.39</v>
      </c>
      <c r="M1636">
        <v>0.25</v>
      </c>
      <c r="N1636" t="s">
        <v>1349</v>
      </c>
      <c r="O1636" s="5">
        <v>583.16999999999996</v>
      </c>
    </row>
    <row r="1637" spans="1:15">
      <c r="A1637" t="s">
        <v>2986</v>
      </c>
      <c r="B1637" s="7">
        <v>45430</v>
      </c>
      <c r="C1637" t="s">
        <v>724</v>
      </c>
      <c r="D1637" t="s">
        <v>1139</v>
      </c>
      <c r="E1637" t="s">
        <v>1282</v>
      </c>
      <c r="F1637" t="str">
        <f>[1]Raw_Customer_Dim!$A$2</f>
        <v>CUST1000</v>
      </c>
      <c r="G1637" t="str">
        <f>_xlfn.XLOOKUP(E1637,Store_Dim!A:A,Store_Dim!B:B,"Not Found")</f>
        <v>Martinez, Adkins and Johnson</v>
      </c>
      <c r="H1637" t="str">
        <f>_xlfn.XLOOKUP(D1637,Product_Dim!A:A,Product_Dim!C:C,"Not Found")</f>
        <v>Home</v>
      </c>
      <c r="I1637" t="str">
        <f>_xlfn.XLOOKUP(E1637,Store_Dim!A:A,Store_Dim!C:C,"Not Found")</f>
        <v>North</v>
      </c>
      <c r="J1637" t="str">
        <f>_xlfn.XLOOKUP(C1637,Customer_Dim!A:A,Customer_Dim!B:B,"Not Found")</f>
        <v>Pamela Mcguire</v>
      </c>
      <c r="K1637">
        <v>1</v>
      </c>
      <c r="L1637" s="5">
        <v>339.7</v>
      </c>
      <c r="M1637">
        <v>0.1</v>
      </c>
      <c r="N1637" t="s">
        <v>1349</v>
      </c>
      <c r="O1637" s="5">
        <v>305.73</v>
      </c>
    </row>
    <row r="1638" spans="1:15">
      <c r="A1638" t="s">
        <v>2987</v>
      </c>
      <c r="B1638" s="7">
        <v>45912</v>
      </c>
      <c r="C1638" t="s">
        <v>138</v>
      </c>
      <c r="D1638" t="s">
        <v>1209</v>
      </c>
      <c r="E1638" t="s">
        <v>1322</v>
      </c>
      <c r="F1638" t="str">
        <f>[1]Raw_Customer_Dim!$A$2</f>
        <v>CUST1000</v>
      </c>
      <c r="G1638" t="str">
        <f>_xlfn.XLOOKUP(E1638,Store_Dim!A:A,Store_Dim!B:B,"Not Found")</f>
        <v>Gardner, Humphrey and Contreras</v>
      </c>
      <c r="H1638" t="str">
        <f>_xlfn.XLOOKUP(D1638,Product_Dim!A:A,Product_Dim!C:C,"Not Found")</f>
        <v>Home</v>
      </c>
      <c r="I1638" t="str">
        <f>_xlfn.XLOOKUP(E1638,Store_Dim!A:A,Store_Dim!C:C,"Not Found")</f>
        <v>East</v>
      </c>
      <c r="J1638" t="str">
        <f>_xlfn.XLOOKUP(C1638,Customer_Dim!A:A,Customer_Dim!B:B,"Not Found")</f>
        <v>April Mullins</v>
      </c>
      <c r="K1638">
        <v>4</v>
      </c>
      <c r="L1638" s="5">
        <v>463.16</v>
      </c>
      <c r="M1638">
        <v>0.27</v>
      </c>
      <c r="N1638" t="s">
        <v>1351</v>
      </c>
      <c r="O1638" s="5">
        <v>1352.4272000000001</v>
      </c>
    </row>
    <row r="1639" spans="1:15">
      <c r="A1639" t="s">
        <v>2988</v>
      </c>
      <c r="B1639" s="7">
        <v>45709</v>
      </c>
      <c r="C1639" t="s">
        <v>273</v>
      </c>
      <c r="D1639" t="s">
        <v>1080</v>
      </c>
      <c r="E1639" t="s">
        <v>1314</v>
      </c>
      <c r="F1639" t="str">
        <f>[1]Raw_Customer_Dim!$A$2</f>
        <v>CUST1000</v>
      </c>
      <c r="G1639" t="str">
        <f>_xlfn.XLOOKUP(E1639,Store_Dim!A:A,Store_Dim!B:B,"Not Found")</f>
        <v>Hill, Wagner and Ballard</v>
      </c>
      <c r="H1639" t="str">
        <f>_xlfn.XLOOKUP(D1639,Product_Dim!A:A,Product_Dim!C:C,"Not Found")</f>
        <v>Clothing</v>
      </c>
      <c r="I1639" t="str">
        <f>_xlfn.XLOOKUP(E1639,Store_Dim!A:A,Store_Dim!C:C,"Not Found")</f>
        <v>East</v>
      </c>
      <c r="J1639" t="str">
        <f>_xlfn.XLOOKUP(C1639,Customer_Dim!A:A,Customer_Dim!B:B,"Not Found")</f>
        <v>Erica Carney</v>
      </c>
      <c r="K1639">
        <v>2</v>
      </c>
      <c r="L1639" s="5">
        <v>824.91</v>
      </c>
      <c r="M1639">
        <v>0.09</v>
      </c>
      <c r="N1639" t="s">
        <v>1349</v>
      </c>
      <c r="O1639" s="5">
        <v>1501.3362</v>
      </c>
    </row>
    <row r="1640" spans="1:15">
      <c r="A1640" t="s">
        <v>2989</v>
      </c>
      <c r="B1640" s="7">
        <v>45520</v>
      </c>
      <c r="C1640" t="s">
        <v>190</v>
      </c>
      <c r="D1640" t="s">
        <v>1080</v>
      </c>
      <c r="E1640" t="s">
        <v>1286</v>
      </c>
      <c r="F1640" t="str">
        <f>[1]Raw_Customer_Dim!$A$2</f>
        <v>CUST1000</v>
      </c>
      <c r="G1640" t="str">
        <f>_xlfn.XLOOKUP(E1640,Store_Dim!A:A,Store_Dim!B:B,"Not Found")</f>
        <v>Black-Horn</v>
      </c>
      <c r="H1640" t="str">
        <f>_xlfn.XLOOKUP(D1640,Product_Dim!A:A,Product_Dim!C:C,"Not Found")</f>
        <v>Clothing</v>
      </c>
      <c r="I1640" t="str">
        <f>_xlfn.XLOOKUP(E1640,Store_Dim!A:A,Store_Dim!C:C,"Not Found")</f>
        <v>South</v>
      </c>
      <c r="J1640" t="str">
        <f>_xlfn.XLOOKUP(C1640,Customer_Dim!A:A,Customer_Dim!B:B,"Not Found")</f>
        <v>Eric Singh</v>
      </c>
      <c r="K1640">
        <v>4</v>
      </c>
      <c r="L1640" s="5">
        <v>796.89</v>
      </c>
      <c r="M1640">
        <v>0.17</v>
      </c>
      <c r="N1640" t="s">
        <v>1349</v>
      </c>
      <c r="O1640" s="5">
        <v>2645.6747999999998</v>
      </c>
    </row>
    <row r="1641" spans="1:15">
      <c r="A1641" t="s">
        <v>2990</v>
      </c>
      <c r="B1641" s="7">
        <v>45478</v>
      </c>
      <c r="C1641" t="s">
        <v>543</v>
      </c>
      <c r="D1641" t="s">
        <v>1125</v>
      </c>
      <c r="E1641" t="s">
        <v>1332</v>
      </c>
      <c r="F1641" t="str">
        <f>[1]Raw_Customer_Dim!$A$2</f>
        <v>CUST1000</v>
      </c>
      <c r="G1641" t="str">
        <f>_xlfn.XLOOKUP(E1641,Store_Dim!A:A,Store_Dim!B:B,"Not Found")</f>
        <v>Holloway Ltd</v>
      </c>
      <c r="H1641" t="str">
        <f>_xlfn.XLOOKUP(D1641,Product_Dim!A:A,Product_Dim!C:C,"Not Found")</f>
        <v>Electronics</v>
      </c>
      <c r="I1641" t="str">
        <f>_xlfn.XLOOKUP(E1641,Store_Dim!A:A,Store_Dim!C:C,"Not Found")</f>
        <v>North</v>
      </c>
      <c r="J1641" t="str">
        <f>_xlfn.XLOOKUP(C1641,Customer_Dim!A:A,Customer_Dim!B:B,"Not Found")</f>
        <v>William Hull</v>
      </c>
      <c r="K1641">
        <v>3</v>
      </c>
      <c r="L1641" s="5">
        <v>543.92999999999995</v>
      </c>
      <c r="M1641">
        <v>0.3</v>
      </c>
      <c r="N1641" t="s">
        <v>1354</v>
      </c>
      <c r="O1641" s="5">
        <v>1142.2529999999999</v>
      </c>
    </row>
    <row r="1642" spans="1:15">
      <c r="A1642" t="s">
        <v>2991</v>
      </c>
      <c r="B1642" s="7">
        <v>45496</v>
      </c>
      <c r="C1642" t="s">
        <v>407</v>
      </c>
      <c r="D1642" t="s">
        <v>1101</v>
      </c>
      <c r="E1642" t="s">
        <v>1304</v>
      </c>
      <c r="F1642" t="str">
        <f>[1]Raw_Customer_Dim!$A$2</f>
        <v>CUST1000</v>
      </c>
      <c r="G1642" t="str">
        <f>_xlfn.XLOOKUP(E1642,Store_Dim!A:A,Store_Dim!B:B,"Not Found")</f>
        <v>Martinez-Mullins</v>
      </c>
      <c r="H1642" t="str">
        <f>_xlfn.XLOOKUP(D1642,Product_Dim!A:A,Product_Dim!C:C,"Not Found")</f>
        <v>Home</v>
      </c>
      <c r="I1642" t="str">
        <f>_xlfn.XLOOKUP(E1642,Store_Dim!A:A,Store_Dim!C:C,"Not Found")</f>
        <v>South</v>
      </c>
      <c r="J1642" t="str">
        <f>_xlfn.XLOOKUP(C1642,Customer_Dim!A:A,Customer_Dim!B:B,"Not Found")</f>
        <v>Teresa Stokes</v>
      </c>
      <c r="K1642">
        <v>2</v>
      </c>
      <c r="L1642" s="5">
        <v>44.65</v>
      </c>
      <c r="M1642">
        <v>0.03</v>
      </c>
      <c r="N1642" t="s">
        <v>1351</v>
      </c>
      <c r="O1642" s="5">
        <v>86.620999999999995</v>
      </c>
    </row>
    <row r="1643" spans="1:15">
      <c r="A1643" t="s">
        <v>2992</v>
      </c>
      <c r="B1643" s="7">
        <v>45742</v>
      </c>
      <c r="C1643" t="s">
        <v>563</v>
      </c>
      <c r="D1643" t="s">
        <v>1185</v>
      </c>
      <c r="E1643" t="s">
        <v>1277</v>
      </c>
      <c r="F1643" t="str">
        <f>[1]Raw_Customer_Dim!$A$2</f>
        <v>CUST1000</v>
      </c>
      <c r="G1643" t="str">
        <f>_xlfn.XLOOKUP(E1643,Store_Dim!A:A,Store_Dim!B:B,"Not Found")</f>
        <v>Rivera-Warner</v>
      </c>
      <c r="H1643" t="str">
        <f>_xlfn.XLOOKUP(D1643,Product_Dim!A:A,Product_Dim!C:C,"Not Found")</f>
        <v>Home</v>
      </c>
      <c r="I1643" t="str">
        <f>_xlfn.XLOOKUP(E1643,Store_Dim!A:A,Store_Dim!C:C,"Not Found")</f>
        <v>East</v>
      </c>
      <c r="J1643" t="str">
        <f>_xlfn.XLOOKUP(C1643,Customer_Dim!A:A,Customer_Dim!B:B,"Not Found")</f>
        <v>Veronica Newman</v>
      </c>
      <c r="K1643">
        <v>4</v>
      </c>
      <c r="L1643" s="5">
        <v>827.39</v>
      </c>
      <c r="M1643">
        <v>0.06</v>
      </c>
      <c r="N1643" t="s">
        <v>1354</v>
      </c>
      <c r="O1643" s="5">
        <v>3110.9863999999998</v>
      </c>
    </row>
    <row r="1644" spans="1:15">
      <c r="A1644" t="s">
        <v>2993</v>
      </c>
      <c r="B1644" s="7">
        <v>45301</v>
      </c>
      <c r="C1644" t="s">
        <v>680</v>
      </c>
      <c r="D1644" t="s">
        <v>1101</v>
      </c>
      <c r="E1644" t="s">
        <v>1319</v>
      </c>
      <c r="F1644" t="str">
        <f>[1]Raw_Customer_Dim!$A$2</f>
        <v>CUST1000</v>
      </c>
      <c r="G1644" t="str">
        <f>_xlfn.XLOOKUP(E1644,Store_Dim!A:A,Store_Dim!B:B,"Not Found")</f>
        <v>Thomas, Bridges and Harris</v>
      </c>
      <c r="H1644" t="str">
        <f>_xlfn.XLOOKUP(D1644,Product_Dim!A:A,Product_Dim!C:C,"Not Found")</f>
        <v>Home</v>
      </c>
      <c r="I1644" t="str">
        <f>_xlfn.XLOOKUP(E1644,Store_Dim!A:A,Store_Dim!C:C,"Not Found")</f>
        <v>North</v>
      </c>
      <c r="J1644" t="str">
        <f>_xlfn.XLOOKUP(C1644,Customer_Dim!A:A,Customer_Dim!B:B,"Not Found")</f>
        <v>Jennifer Zamora</v>
      </c>
      <c r="K1644">
        <v>2</v>
      </c>
      <c r="L1644" s="5">
        <v>403.2</v>
      </c>
      <c r="M1644">
        <v>0.21</v>
      </c>
      <c r="N1644" t="s">
        <v>1351</v>
      </c>
      <c r="O1644" s="5">
        <v>637.05600000000004</v>
      </c>
    </row>
    <row r="1645" spans="1:15">
      <c r="A1645" t="s">
        <v>2994</v>
      </c>
      <c r="B1645" s="7">
        <v>45547</v>
      </c>
      <c r="C1645" t="s">
        <v>61</v>
      </c>
      <c r="D1645" t="s">
        <v>1245</v>
      </c>
      <c r="E1645" t="s">
        <v>1322</v>
      </c>
      <c r="F1645" t="str">
        <f>[1]Raw_Customer_Dim!$A$2</f>
        <v>CUST1000</v>
      </c>
      <c r="G1645" t="str">
        <f>_xlfn.XLOOKUP(E1645,Store_Dim!A:A,Store_Dim!B:B,"Not Found")</f>
        <v>Gardner, Humphrey and Contreras</v>
      </c>
      <c r="H1645" t="str">
        <f>_xlfn.XLOOKUP(D1645,Product_Dim!A:A,Product_Dim!C:C,"Not Found")</f>
        <v>Home</v>
      </c>
      <c r="I1645" t="str">
        <f>_xlfn.XLOOKUP(E1645,Store_Dim!A:A,Store_Dim!C:C,"Not Found")</f>
        <v>East</v>
      </c>
      <c r="J1645" t="str">
        <f>_xlfn.XLOOKUP(C1645,Customer_Dim!A:A,Customer_Dim!B:B,"Not Found")</f>
        <v>Adam Cruz</v>
      </c>
      <c r="K1645">
        <v>4</v>
      </c>
      <c r="L1645" s="5">
        <v>292.31</v>
      </c>
      <c r="M1645">
        <v>0.27</v>
      </c>
      <c r="N1645" t="s">
        <v>1351</v>
      </c>
      <c r="O1645" s="5">
        <v>853.54520000000002</v>
      </c>
    </row>
    <row r="1646" spans="1:15">
      <c r="A1646" t="s">
        <v>2995</v>
      </c>
      <c r="B1646" s="7">
        <v>45806</v>
      </c>
      <c r="C1646" t="s">
        <v>1045</v>
      </c>
      <c r="D1646" t="s">
        <v>1074</v>
      </c>
      <c r="E1646" t="s">
        <v>1314</v>
      </c>
      <c r="F1646" t="str">
        <f>[1]Raw_Customer_Dim!$A$2</f>
        <v>CUST1000</v>
      </c>
      <c r="G1646" t="str">
        <f>_xlfn.XLOOKUP(E1646,Store_Dim!A:A,Store_Dim!B:B,"Not Found")</f>
        <v>Hill, Wagner and Ballard</v>
      </c>
      <c r="H1646" t="str">
        <f>_xlfn.XLOOKUP(D1646,Product_Dim!A:A,Product_Dim!C:C,"Not Found")</f>
        <v>Clothing</v>
      </c>
      <c r="I1646" t="str">
        <f>_xlfn.XLOOKUP(E1646,Store_Dim!A:A,Store_Dim!C:C,"Not Found")</f>
        <v>East</v>
      </c>
      <c r="J1646" t="str">
        <f>_xlfn.XLOOKUP(C1646,Customer_Dim!A:A,Customer_Dim!B:B,"Not Found")</f>
        <v>Darrell Miller</v>
      </c>
      <c r="K1646">
        <v>1</v>
      </c>
      <c r="L1646" s="5">
        <v>948.33</v>
      </c>
      <c r="M1646">
        <v>0.11</v>
      </c>
      <c r="N1646" t="s">
        <v>1349</v>
      </c>
      <c r="O1646" s="5">
        <v>844.01370000000009</v>
      </c>
    </row>
    <row r="1647" spans="1:15">
      <c r="A1647" t="s">
        <v>2996</v>
      </c>
      <c r="B1647" s="7">
        <v>45294</v>
      </c>
      <c r="C1647" t="s">
        <v>750</v>
      </c>
      <c r="D1647" t="s">
        <v>1151</v>
      </c>
      <c r="E1647" t="s">
        <v>1298</v>
      </c>
      <c r="F1647" t="str">
        <f>[1]Raw_Customer_Dim!$A$2</f>
        <v>CUST1000</v>
      </c>
      <c r="G1647" t="str">
        <f>_xlfn.XLOOKUP(E1647,Store_Dim!A:A,Store_Dim!B:B,"Not Found")</f>
        <v>Gray Ltd</v>
      </c>
      <c r="H1647" t="str">
        <f>_xlfn.XLOOKUP(D1647,Product_Dim!A:A,Product_Dim!C:C,"Not Found")</f>
        <v>Electronics</v>
      </c>
      <c r="I1647" t="str">
        <f>_xlfn.XLOOKUP(E1647,Store_Dim!A:A,Store_Dim!C:C,"Not Found")</f>
        <v>North</v>
      </c>
      <c r="J1647" t="str">
        <f>_xlfn.XLOOKUP(C1647,Customer_Dim!A:A,Customer_Dim!B:B,"Not Found")</f>
        <v>Ryan Moore</v>
      </c>
      <c r="K1647">
        <v>1</v>
      </c>
      <c r="L1647" s="5">
        <v>702.27</v>
      </c>
      <c r="M1647">
        <v>0.17</v>
      </c>
      <c r="N1647" t="s">
        <v>1354</v>
      </c>
      <c r="O1647" s="5">
        <v>582.88409999999999</v>
      </c>
    </row>
    <row r="1648" spans="1:15">
      <c r="A1648" t="s">
        <v>2997</v>
      </c>
      <c r="B1648" s="7">
        <v>45875</v>
      </c>
      <c r="C1648" t="s">
        <v>120</v>
      </c>
      <c r="D1648" t="s">
        <v>1133</v>
      </c>
      <c r="E1648" t="s">
        <v>1291</v>
      </c>
      <c r="F1648" t="str">
        <f>[1]Raw_Customer_Dim!$A$2</f>
        <v>CUST1000</v>
      </c>
      <c r="G1648" t="str">
        <f>_xlfn.XLOOKUP(E1648,Store_Dim!A:A,Store_Dim!B:B,"Not Found")</f>
        <v>Johnson-Wright</v>
      </c>
      <c r="H1648" t="str">
        <f>_xlfn.XLOOKUP(D1648,Product_Dim!A:A,Product_Dim!C:C,"Not Found")</f>
        <v>Home</v>
      </c>
      <c r="I1648" t="str">
        <f>_xlfn.XLOOKUP(E1648,Store_Dim!A:A,Store_Dim!C:C,"Not Found")</f>
        <v>North</v>
      </c>
      <c r="J1648" t="str">
        <f>_xlfn.XLOOKUP(C1648,Customer_Dim!A:A,Customer_Dim!B:B,"Not Found")</f>
        <v>James Gibbs</v>
      </c>
      <c r="K1648">
        <v>2</v>
      </c>
      <c r="L1648" s="5">
        <v>379.28</v>
      </c>
      <c r="M1648">
        <v>0.26</v>
      </c>
      <c r="N1648" t="s">
        <v>1349</v>
      </c>
      <c r="O1648" s="5">
        <v>561.33439999999996</v>
      </c>
    </row>
    <row r="1649" spans="1:15">
      <c r="A1649" t="s">
        <v>2998</v>
      </c>
      <c r="B1649" s="7">
        <v>45669</v>
      </c>
      <c r="C1649" t="s">
        <v>325</v>
      </c>
      <c r="D1649" t="s">
        <v>1167</v>
      </c>
      <c r="E1649" t="s">
        <v>1277</v>
      </c>
      <c r="F1649" t="str">
        <f>[1]Raw_Customer_Dim!$A$2</f>
        <v>CUST1000</v>
      </c>
      <c r="G1649" t="str">
        <f>_xlfn.XLOOKUP(E1649,Store_Dim!A:A,Store_Dim!B:B,"Not Found")</f>
        <v>Rivera-Warner</v>
      </c>
      <c r="H1649" t="str">
        <f>_xlfn.XLOOKUP(D1649,Product_Dim!A:A,Product_Dim!C:C,"Not Found")</f>
        <v>Beauty</v>
      </c>
      <c r="I1649" t="str">
        <f>_xlfn.XLOOKUP(E1649,Store_Dim!A:A,Store_Dim!C:C,"Not Found")</f>
        <v>East</v>
      </c>
      <c r="J1649" t="str">
        <f>_xlfn.XLOOKUP(C1649,Customer_Dim!A:A,Customer_Dim!B:B,"Not Found")</f>
        <v>Miguel Reynolds</v>
      </c>
      <c r="K1649">
        <v>4</v>
      </c>
      <c r="L1649" s="5">
        <v>92.35</v>
      </c>
      <c r="M1649">
        <v>0.15</v>
      </c>
      <c r="N1649" t="s">
        <v>1349</v>
      </c>
      <c r="O1649" s="5">
        <v>313.99</v>
      </c>
    </row>
    <row r="1650" spans="1:15">
      <c r="A1650" t="s">
        <v>2999</v>
      </c>
      <c r="B1650" s="7">
        <v>45606</v>
      </c>
      <c r="C1650" t="s">
        <v>500</v>
      </c>
      <c r="D1650" t="s">
        <v>1151</v>
      </c>
      <c r="E1650" t="s">
        <v>1319</v>
      </c>
      <c r="F1650" t="str">
        <f>[1]Raw_Customer_Dim!$A$2</f>
        <v>CUST1000</v>
      </c>
      <c r="G1650" t="str">
        <f>_xlfn.XLOOKUP(E1650,Store_Dim!A:A,Store_Dim!B:B,"Not Found")</f>
        <v>Thomas, Bridges and Harris</v>
      </c>
      <c r="H1650" t="str">
        <f>_xlfn.XLOOKUP(D1650,Product_Dim!A:A,Product_Dim!C:C,"Not Found")</f>
        <v>Electronics</v>
      </c>
      <c r="I1650" t="str">
        <f>_xlfn.XLOOKUP(E1650,Store_Dim!A:A,Store_Dim!C:C,"Not Found")</f>
        <v>North</v>
      </c>
      <c r="J1650" t="str">
        <f>_xlfn.XLOOKUP(C1650,Customer_Dim!A:A,Customer_Dim!B:B,"Not Found")</f>
        <v>Jordan Wells</v>
      </c>
      <c r="K1650">
        <v>4</v>
      </c>
      <c r="L1650" s="5">
        <v>721.54</v>
      </c>
      <c r="M1650">
        <v>0.21</v>
      </c>
      <c r="N1650" t="s">
        <v>1349</v>
      </c>
      <c r="O1650" s="5">
        <v>2280.0664000000002</v>
      </c>
    </row>
    <row r="1651" spans="1:15">
      <c r="A1651" t="s">
        <v>3000</v>
      </c>
      <c r="B1651" s="7">
        <v>45787</v>
      </c>
      <c r="C1651" t="s">
        <v>150</v>
      </c>
      <c r="D1651" t="s">
        <v>1149</v>
      </c>
      <c r="E1651" t="s">
        <v>1311</v>
      </c>
      <c r="F1651" t="str">
        <f>[1]Raw_Customer_Dim!$A$2</f>
        <v>CUST1000</v>
      </c>
      <c r="G1651" t="str">
        <f>_xlfn.XLOOKUP(E1651,Store_Dim!A:A,Store_Dim!B:B,"Not Found")</f>
        <v>Moore, Padilla and Butler</v>
      </c>
      <c r="H1651" t="str">
        <f>_xlfn.XLOOKUP(D1651,Product_Dim!A:A,Product_Dim!C:C,"Not Found")</f>
        <v>Sports</v>
      </c>
      <c r="I1651" t="str">
        <f>_xlfn.XLOOKUP(E1651,Store_Dim!A:A,Store_Dim!C:C,"Not Found")</f>
        <v>South</v>
      </c>
      <c r="J1651" t="str">
        <f>_xlfn.XLOOKUP(C1651,Customer_Dim!A:A,Customer_Dim!B:B,"Not Found")</f>
        <v>Sharon Brown</v>
      </c>
      <c r="K1651">
        <v>1</v>
      </c>
      <c r="L1651" s="5">
        <v>228.69</v>
      </c>
      <c r="M1651">
        <v>0.14000000000000001</v>
      </c>
      <c r="N1651" t="s">
        <v>1349</v>
      </c>
      <c r="O1651" s="5">
        <v>196.67339999999999</v>
      </c>
    </row>
    <row r="1652" spans="1:15">
      <c r="A1652" t="s">
        <v>3001</v>
      </c>
      <c r="B1652" s="7">
        <v>45929</v>
      </c>
      <c r="C1652" t="s">
        <v>773</v>
      </c>
      <c r="D1652" t="s">
        <v>1179</v>
      </c>
      <c r="E1652" t="s">
        <v>1314</v>
      </c>
      <c r="F1652" t="str">
        <f>[1]Raw_Customer_Dim!$A$2</f>
        <v>CUST1000</v>
      </c>
      <c r="G1652" t="str">
        <f>_xlfn.XLOOKUP(E1652,Store_Dim!A:A,Store_Dim!B:B,"Not Found")</f>
        <v>Hill, Wagner and Ballard</v>
      </c>
      <c r="H1652" t="str">
        <f>_xlfn.XLOOKUP(D1652,Product_Dim!A:A,Product_Dim!C:C,"Not Found")</f>
        <v>Clothing</v>
      </c>
      <c r="I1652" t="str">
        <f>_xlfn.XLOOKUP(E1652,Store_Dim!A:A,Store_Dim!C:C,"Not Found")</f>
        <v>East</v>
      </c>
      <c r="J1652" t="str">
        <f>_xlfn.XLOOKUP(C1652,Customer_Dim!A:A,Customer_Dim!B:B,"Not Found")</f>
        <v>Carlos Flores</v>
      </c>
      <c r="K1652">
        <v>1</v>
      </c>
      <c r="L1652" s="5">
        <v>899.09</v>
      </c>
      <c r="M1652">
        <v>0.2</v>
      </c>
      <c r="N1652" t="s">
        <v>1351</v>
      </c>
      <c r="O1652" s="5">
        <v>719.27200000000005</v>
      </c>
    </row>
    <row r="1653" spans="1:15">
      <c r="A1653" t="s">
        <v>3002</v>
      </c>
      <c r="B1653" s="7">
        <v>45379</v>
      </c>
      <c r="C1653" t="s">
        <v>831</v>
      </c>
      <c r="D1653" t="s">
        <v>1087</v>
      </c>
      <c r="E1653" t="s">
        <v>1307</v>
      </c>
      <c r="F1653" t="str">
        <f>[1]Raw_Customer_Dim!$A$2</f>
        <v>CUST1000</v>
      </c>
      <c r="G1653" t="str">
        <f>_xlfn.XLOOKUP(E1653,Store_Dim!A:A,Store_Dim!B:B,"Not Found")</f>
        <v>Bean, Jones and Park</v>
      </c>
      <c r="H1653" t="str">
        <f>_xlfn.XLOOKUP(D1653,Product_Dim!A:A,Product_Dim!C:C,"Not Found")</f>
        <v>Electronics</v>
      </c>
      <c r="I1653" t="str">
        <f>_xlfn.XLOOKUP(E1653,Store_Dim!A:A,Store_Dim!C:C,"Not Found")</f>
        <v>West</v>
      </c>
      <c r="J1653" t="str">
        <f>_xlfn.XLOOKUP(C1653,Customer_Dim!A:A,Customer_Dim!B:B,"Not Found")</f>
        <v>Andrew Mason</v>
      </c>
      <c r="K1653">
        <v>4</v>
      </c>
      <c r="L1653" s="5">
        <v>195.75</v>
      </c>
      <c r="M1653">
        <v>0.17</v>
      </c>
      <c r="N1653" t="s">
        <v>1349</v>
      </c>
      <c r="O1653" s="5">
        <v>649.89</v>
      </c>
    </row>
    <row r="1654" spans="1:15">
      <c r="A1654" t="s">
        <v>3003</v>
      </c>
      <c r="B1654" s="7">
        <v>45532</v>
      </c>
      <c r="C1654" t="s">
        <v>915</v>
      </c>
      <c r="D1654" t="s">
        <v>1259</v>
      </c>
      <c r="E1654" t="s">
        <v>1326</v>
      </c>
      <c r="F1654" t="str">
        <f>[1]Raw_Customer_Dim!$A$2</f>
        <v>CUST1000</v>
      </c>
      <c r="G1654" t="str">
        <f>_xlfn.XLOOKUP(E1654,Store_Dim!A:A,Store_Dim!B:B,"Not Found")</f>
        <v>Shelton PLC</v>
      </c>
      <c r="H1654" t="str">
        <f>_xlfn.XLOOKUP(D1654,Product_Dim!A:A,Product_Dim!C:C,"Not Found")</f>
        <v>Electronics</v>
      </c>
      <c r="I1654" t="str">
        <f>_xlfn.XLOOKUP(E1654,Store_Dim!A:A,Store_Dim!C:C,"Not Found")</f>
        <v>North</v>
      </c>
      <c r="J1654" t="str">
        <f>_xlfn.XLOOKUP(C1654,Customer_Dim!A:A,Customer_Dim!B:B,"Not Found")</f>
        <v>Jeanette Nichols</v>
      </c>
      <c r="K1654">
        <v>3</v>
      </c>
      <c r="L1654" s="5">
        <v>199.13</v>
      </c>
      <c r="M1654">
        <v>0.24</v>
      </c>
      <c r="N1654" t="s">
        <v>1349</v>
      </c>
      <c r="O1654" s="5">
        <v>454.01639999999998</v>
      </c>
    </row>
    <row r="1655" spans="1:15">
      <c r="A1655" t="s">
        <v>3004</v>
      </c>
      <c r="B1655" s="7">
        <v>45466</v>
      </c>
      <c r="C1655" t="s">
        <v>381</v>
      </c>
      <c r="D1655" t="s">
        <v>1117</v>
      </c>
      <c r="E1655" t="s">
        <v>1324</v>
      </c>
      <c r="F1655" t="str">
        <f>[1]Raw_Customer_Dim!$A$2</f>
        <v>CUST1000</v>
      </c>
      <c r="G1655" t="str">
        <f>_xlfn.XLOOKUP(E1655,Store_Dim!A:A,Store_Dim!B:B,"Not Found")</f>
        <v>Mcdonald Inc</v>
      </c>
      <c r="H1655" t="str">
        <f>_xlfn.XLOOKUP(D1655,Product_Dim!A:A,Product_Dim!C:C,"Not Found")</f>
        <v>Sports</v>
      </c>
      <c r="I1655" t="str">
        <f>_xlfn.XLOOKUP(E1655,Store_Dim!A:A,Store_Dim!C:C,"Not Found")</f>
        <v>South</v>
      </c>
      <c r="J1655" t="str">
        <f>_xlfn.XLOOKUP(C1655,Customer_Dim!A:A,Customer_Dim!B:B,"Not Found")</f>
        <v>John Lawson</v>
      </c>
      <c r="K1655">
        <v>2</v>
      </c>
      <c r="L1655" s="5">
        <v>833.62</v>
      </c>
      <c r="M1655">
        <v>0.18</v>
      </c>
      <c r="N1655" t="s">
        <v>1349</v>
      </c>
      <c r="O1655" s="5">
        <v>1367.1368</v>
      </c>
    </row>
    <row r="1656" spans="1:15">
      <c r="A1656" t="s">
        <v>3005</v>
      </c>
      <c r="B1656" s="7">
        <v>45395</v>
      </c>
      <c r="C1656" t="s">
        <v>1029</v>
      </c>
      <c r="D1656" t="s">
        <v>1223</v>
      </c>
      <c r="E1656" t="s">
        <v>1277</v>
      </c>
      <c r="F1656" t="str">
        <f>[1]Raw_Customer_Dim!$A$2</f>
        <v>CUST1000</v>
      </c>
      <c r="G1656" t="str">
        <f>_xlfn.XLOOKUP(E1656,Store_Dim!A:A,Store_Dim!B:B,"Not Found")</f>
        <v>Rivera-Warner</v>
      </c>
      <c r="H1656" t="str">
        <f>_xlfn.XLOOKUP(D1656,Product_Dim!A:A,Product_Dim!C:C,"Not Found")</f>
        <v>Clothing</v>
      </c>
      <c r="I1656" t="str">
        <f>_xlfn.XLOOKUP(E1656,Store_Dim!A:A,Store_Dim!C:C,"Not Found")</f>
        <v>East</v>
      </c>
      <c r="J1656" t="str">
        <f>_xlfn.XLOOKUP(C1656,Customer_Dim!A:A,Customer_Dim!B:B,"Not Found")</f>
        <v>Jessica Castro</v>
      </c>
      <c r="K1656">
        <v>1</v>
      </c>
      <c r="L1656" s="5">
        <v>676.26</v>
      </c>
      <c r="M1656">
        <v>0.14000000000000001</v>
      </c>
      <c r="N1656" t="s">
        <v>1349</v>
      </c>
      <c r="O1656" s="5">
        <v>581.58359999999993</v>
      </c>
    </row>
    <row r="1657" spans="1:15">
      <c r="A1657" t="s">
        <v>3006</v>
      </c>
      <c r="B1657" s="7">
        <v>45708</v>
      </c>
      <c r="C1657" t="s">
        <v>99</v>
      </c>
      <c r="D1657" t="s">
        <v>1193</v>
      </c>
      <c r="E1657" t="s">
        <v>1311</v>
      </c>
      <c r="F1657" t="str">
        <f>[1]Raw_Customer_Dim!$A$2</f>
        <v>CUST1000</v>
      </c>
      <c r="G1657" t="str">
        <f>_xlfn.XLOOKUP(E1657,Store_Dim!A:A,Store_Dim!B:B,"Not Found")</f>
        <v>Moore, Padilla and Butler</v>
      </c>
      <c r="H1657" t="str">
        <f>_xlfn.XLOOKUP(D1657,Product_Dim!A:A,Product_Dim!C:C,"Not Found")</f>
        <v>Beauty</v>
      </c>
      <c r="I1657" t="str">
        <f>_xlfn.XLOOKUP(E1657,Store_Dim!A:A,Store_Dim!C:C,"Not Found")</f>
        <v>South</v>
      </c>
      <c r="J1657" t="str">
        <f>_xlfn.XLOOKUP(C1657,Customer_Dim!A:A,Customer_Dim!B:B,"Not Found")</f>
        <v>Mike Jennings</v>
      </c>
      <c r="K1657">
        <v>2</v>
      </c>
      <c r="L1657" s="5">
        <v>666.49</v>
      </c>
      <c r="M1657">
        <v>0.06</v>
      </c>
      <c r="N1657" t="s">
        <v>1349</v>
      </c>
      <c r="O1657" s="5">
        <v>1253.0011999999999</v>
      </c>
    </row>
    <row r="1658" spans="1:15">
      <c r="A1658" t="s">
        <v>3007</v>
      </c>
      <c r="B1658" s="7">
        <v>45735</v>
      </c>
      <c r="C1658" t="s">
        <v>982</v>
      </c>
      <c r="D1658" t="s">
        <v>1103</v>
      </c>
      <c r="E1658" t="s">
        <v>1294</v>
      </c>
      <c r="F1658" t="str">
        <f>[1]Raw_Customer_Dim!$A$2</f>
        <v>CUST1000</v>
      </c>
      <c r="G1658" t="str">
        <f>_xlfn.XLOOKUP(E1658,Store_Dim!A:A,Store_Dim!B:B,"Not Found")</f>
        <v>Alexander Group</v>
      </c>
      <c r="H1658" t="str">
        <f>_xlfn.XLOOKUP(D1658,Product_Dim!A:A,Product_Dim!C:C,"Not Found")</f>
        <v>Electronics</v>
      </c>
      <c r="I1658" t="str">
        <f>_xlfn.XLOOKUP(E1658,Store_Dim!A:A,Store_Dim!C:C,"Not Found")</f>
        <v>South</v>
      </c>
      <c r="J1658" t="str">
        <f>_xlfn.XLOOKUP(C1658,Customer_Dim!A:A,Customer_Dim!B:B,"Not Found")</f>
        <v>Justin Johnson</v>
      </c>
      <c r="K1658">
        <v>3</v>
      </c>
      <c r="L1658" s="5">
        <v>471.19</v>
      </c>
      <c r="M1658">
        <v>0.28000000000000003</v>
      </c>
      <c r="N1658" t="s">
        <v>1354</v>
      </c>
      <c r="O1658" s="5">
        <v>1017.7704</v>
      </c>
    </row>
    <row r="1659" spans="1:15">
      <c r="A1659" t="s">
        <v>3008</v>
      </c>
      <c r="B1659" s="7">
        <v>45237</v>
      </c>
      <c r="C1659" t="s">
        <v>298</v>
      </c>
      <c r="D1659" t="s">
        <v>1087</v>
      </c>
      <c r="E1659" t="s">
        <v>1291</v>
      </c>
      <c r="F1659" t="str">
        <f>[1]Raw_Customer_Dim!$A$2</f>
        <v>CUST1000</v>
      </c>
      <c r="G1659" t="str">
        <f>_xlfn.XLOOKUP(E1659,Store_Dim!A:A,Store_Dim!B:B,"Not Found")</f>
        <v>Johnson-Wright</v>
      </c>
      <c r="H1659" t="str">
        <f>_xlfn.XLOOKUP(D1659,Product_Dim!A:A,Product_Dim!C:C,"Not Found")</f>
        <v>Electronics</v>
      </c>
      <c r="I1659" t="str">
        <f>_xlfn.XLOOKUP(E1659,Store_Dim!A:A,Store_Dim!C:C,"Not Found")</f>
        <v>North</v>
      </c>
      <c r="J1659" t="str">
        <f>_xlfn.XLOOKUP(C1659,Customer_Dim!A:A,Customer_Dim!B:B,"Not Found")</f>
        <v>Michael Jones</v>
      </c>
      <c r="K1659">
        <v>4</v>
      </c>
      <c r="L1659" s="5">
        <v>555.65</v>
      </c>
      <c r="M1659">
        <v>0.25</v>
      </c>
      <c r="N1659" t="s">
        <v>1354</v>
      </c>
      <c r="O1659" s="5">
        <v>1666.95</v>
      </c>
    </row>
    <row r="1660" spans="1:15">
      <c r="A1660" t="s">
        <v>3009</v>
      </c>
      <c r="B1660" s="7">
        <v>45282</v>
      </c>
      <c r="C1660" t="s">
        <v>107</v>
      </c>
      <c r="D1660" t="s">
        <v>1263</v>
      </c>
      <c r="E1660" t="s">
        <v>1324</v>
      </c>
      <c r="F1660" t="str">
        <f>[1]Raw_Customer_Dim!$A$2</f>
        <v>CUST1000</v>
      </c>
      <c r="G1660" t="str">
        <f>_xlfn.XLOOKUP(E1660,Store_Dim!A:A,Store_Dim!B:B,"Not Found")</f>
        <v>Mcdonald Inc</v>
      </c>
      <c r="H1660" t="str">
        <f>_xlfn.XLOOKUP(D1660,Product_Dim!A:A,Product_Dim!C:C,"Not Found")</f>
        <v>Sports</v>
      </c>
      <c r="I1660" t="str">
        <f>_xlfn.XLOOKUP(E1660,Store_Dim!A:A,Store_Dim!C:C,"Not Found")</f>
        <v>South</v>
      </c>
      <c r="J1660" t="str">
        <f>_xlfn.XLOOKUP(C1660,Customer_Dim!A:A,Customer_Dim!B:B,"Not Found")</f>
        <v>Rachel Myers</v>
      </c>
      <c r="K1660">
        <v>2</v>
      </c>
      <c r="L1660" s="5">
        <v>100.42</v>
      </c>
      <c r="M1660">
        <v>0.06</v>
      </c>
      <c r="N1660" t="s">
        <v>1349</v>
      </c>
      <c r="O1660" s="5">
        <v>188.78960000000001</v>
      </c>
    </row>
    <row r="1661" spans="1:15">
      <c r="A1661" t="s">
        <v>3010</v>
      </c>
      <c r="B1661" s="7">
        <v>45337</v>
      </c>
      <c r="C1661" t="s">
        <v>142</v>
      </c>
      <c r="D1661" t="s">
        <v>1269</v>
      </c>
      <c r="E1661" t="s">
        <v>1335</v>
      </c>
      <c r="F1661" t="str">
        <f>[1]Raw_Customer_Dim!$A$2</f>
        <v>CUST1000</v>
      </c>
      <c r="G1661" t="str">
        <f>_xlfn.XLOOKUP(E1661,Store_Dim!A:A,Store_Dim!B:B,"Not Found")</f>
        <v>Guerrero-Schmitt</v>
      </c>
      <c r="H1661" t="str">
        <f>_xlfn.XLOOKUP(D1661,Product_Dim!A:A,Product_Dim!C:C,"Not Found")</f>
        <v>Electronics</v>
      </c>
      <c r="I1661" t="str">
        <f>_xlfn.XLOOKUP(E1661,Store_Dim!A:A,Store_Dim!C:C,"Not Found")</f>
        <v>East</v>
      </c>
      <c r="J1661" t="str">
        <f>_xlfn.XLOOKUP(C1661,Customer_Dim!A:A,Customer_Dim!B:B,"Not Found")</f>
        <v>Matthew Hunter Jr.</v>
      </c>
      <c r="K1661">
        <v>3</v>
      </c>
      <c r="L1661" s="5">
        <v>981.69</v>
      </c>
      <c r="M1661">
        <v>0.05</v>
      </c>
      <c r="N1661" t="s">
        <v>1354</v>
      </c>
      <c r="O1661" s="5">
        <v>2797.8164999999999</v>
      </c>
    </row>
    <row r="1662" spans="1:15">
      <c r="A1662" t="s">
        <v>3011</v>
      </c>
      <c r="B1662" s="7">
        <v>45310</v>
      </c>
      <c r="C1662" t="s">
        <v>718</v>
      </c>
      <c r="D1662" t="s">
        <v>1093</v>
      </c>
      <c r="E1662" t="s">
        <v>1329</v>
      </c>
      <c r="F1662" t="str">
        <f>[1]Raw_Customer_Dim!$A$2</f>
        <v>CUST1000</v>
      </c>
      <c r="G1662" t="str">
        <f>_xlfn.XLOOKUP(E1662,Store_Dim!A:A,Store_Dim!B:B,"Not Found")</f>
        <v>Frederick-Wright</v>
      </c>
      <c r="H1662" t="str">
        <f>_xlfn.XLOOKUP(D1662,Product_Dim!A:A,Product_Dim!C:C,"Not Found")</f>
        <v>Home</v>
      </c>
      <c r="I1662" t="str">
        <f>_xlfn.XLOOKUP(E1662,Store_Dim!A:A,Store_Dim!C:C,"Not Found")</f>
        <v>West</v>
      </c>
      <c r="J1662" t="str">
        <f>_xlfn.XLOOKUP(C1662,Customer_Dim!A:A,Customer_Dim!B:B,"Not Found")</f>
        <v>Reginald Willis</v>
      </c>
      <c r="K1662">
        <v>2</v>
      </c>
      <c r="L1662" s="5">
        <v>848.87</v>
      </c>
      <c r="M1662">
        <v>0.09</v>
      </c>
      <c r="N1662" t="s">
        <v>1354</v>
      </c>
      <c r="O1662" s="5">
        <v>1544.9434000000001</v>
      </c>
    </row>
    <row r="1663" spans="1:15">
      <c r="A1663" t="s">
        <v>3012</v>
      </c>
      <c r="B1663" s="7">
        <v>45230</v>
      </c>
      <c r="C1663" t="s">
        <v>813</v>
      </c>
      <c r="D1663" t="s">
        <v>1265</v>
      </c>
      <c r="E1663" t="s">
        <v>1314</v>
      </c>
      <c r="F1663" t="str">
        <f>[1]Raw_Customer_Dim!$A$2</f>
        <v>CUST1000</v>
      </c>
      <c r="G1663" t="str">
        <f>_xlfn.XLOOKUP(E1663,Store_Dim!A:A,Store_Dim!B:B,"Not Found")</f>
        <v>Hill, Wagner and Ballard</v>
      </c>
      <c r="H1663" t="str">
        <f>_xlfn.XLOOKUP(D1663,Product_Dim!A:A,Product_Dim!C:C,"Not Found")</f>
        <v>Clothing</v>
      </c>
      <c r="I1663" t="str">
        <f>_xlfn.XLOOKUP(E1663,Store_Dim!A:A,Store_Dim!C:C,"Not Found")</f>
        <v>East</v>
      </c>
      <c r="J1663" t="str">
        <f>_xlfn.XLOOKUP(C1663,Customer_Dim!A:A,Customer_Dim!B:B,"Not Found")</f>
        <v>Joshua Bell</v>
      </c>
      <c r="K1663">
        <v>3</v>
      </c>
      <c r="L1663" s="5">
        <v>582.32000000000005</v>
      </c>
      <c r="M1663">
        <v>0</v>
      </c>
      <c r="N1663" t="s">
        <v>1351</v>
      </c>
      <c r="O1663" s="5">
        <v>1746.96</v>
      </c>
    </row>
    <row r="1664" spans="1:15">
      <c r="A1664" t="s">
        <v>3013</v>
      </c>
      <c r="B1664" s="7">
        <v>45341</v>
      </c>
      <c r="C1664" t="s">
        <v>403</v>
      </c>
      <c r="D1664" t="s">
        <v>1171</v>
      </c>
      <c r="E1664" t="s">
        <v>1332</v>
      </c>
      <c r="F1664" t="str">
        <f>[1]Raw_Customer_Dim!$A$2</f>
        <v>CUST1000</v>
      </c>
      <c r="G1664" t="str">
        <f>_xlfn.XLOOKUP(E1664,Store_Dim!A:A,Store_Dim!B:B,"Not Found")</f>
        <v>Holloway Ltd</v>
      </c>
      <c r="H1664" t="str">
        <f>_xlfn.XLOOKUP(D1664,Product_Dim!A:A,Product_Dim!C:C,"Not Found")</f>
        <v>Beauty</v>
      </c>
      <c r="I1664" t="str">
        <f>_xlfn.XLOOKUP(E1664,Store_Dim!A:A,Store_Dim!C:C,"Not Found")</f>
        <v>North</v>
      </c>
      <c r="J1664" t="str">
        <f>_xlfn.XLOOKUP(C1664,Customer_Dim!A:A,Customer_Dim!B:B,"Not Found")</f>
        <v>Amy Wilson</v>
      </c>
      <c r="K1664">
        <v>2</v>
      </c>
      <c r="L1664" s="5">
        <v>869.43</v>
      </c>
      <c r="M1664">
        <v>0.24</v>
      </c>
      <c r="N1664" t="s">
        <v>1354</v>
      </c>
      <c r="O1664" s="5">
        <v>1321.5336</v>
      </c>
    </row>
    <row r="1665" spans="1:15">
      <c r="A1665" t="s">
        <v>3014</v>
      </c>
      <c r="B1665" s="7">
        <v>45440</v>
      </c>
      <c r="C1665" t="s">
        <v>72</v>
      </c>
      <c r="D1665" t="s">
        <v>1181</v>
      </c>
      <c r="E1665" t="s">
        <v>1294</v>
      </c>
      <c r="F1665" t="str">
        <f>[1]Raw_Customer_Dim!$A$2</f>
        <v>CUST1000</v>
      </c>
      <c r="G1665" t="str">
        <f>_xlfn.XLOOKUP(E1665,Store_Dim!A:A,Store_Dim!B:B,"Not Found")</f>
        <v>Alexander Group</v>
      </c>
      <c r="H1665" t="str">
        <f>_xlfn.XLOOKUP(D1665,Product_Dim!A:A,Product_Dim!C:C,"Not Found")</f>
        <v>Sports</v>
      </c>
      <c r="I1665" t="str">
        <f>_xlfn.XLOOKUP(E1665,Store_Dim!A:A,Store_Dim!C:C,"Not Found")</f>
        <v>South</v>
      </c>
      <c r="J1665" t="str">
        <f>_xlfn.XLOOKUP(C1665,Customer_Dim!A:A,Customer_Dim!B:B,"Not Found")</f>
        <v>Jeff Martinez</v>
      </c>
      <c r="K1665">
        <v>1</v>
      </c>
      <c r="L1665" s="5">
        <v>62.26</v>
      </c>
      <c r="M1665">
        <v>0.03</v>
      </c>
      <c r="N1665" t="s">
        <v>1354</v>
      </c>
      <c r="O1665" s="5">
        <v>60.392200000000003</v>
      </c>
    </row>
    <row r="1666" spans="1:15">
      <c r="A1666" t="s">
        <v>3015</v>
      </c>
      <c r="B1666" s="7">
        <v>45798</v>
      </c>
      <c r="C1666" t="s">
        <v>365</v>
      </c>
      <c r="D1666" t="s">
        <v>1151</v>
      </c>
      <c r="E1666" t="s">
        <v>1324</v>
      </c>
      <c r="F1666" t="str">
        <f>[1]Raw_Customer_Dim!$A$2</f>
        <v>CUST1000</v>
      </c>
      <c r="G1666" t="str">
        <f>_xlfn.XLOOKUP(E1666,Store_Dim!A:A,Store_Dim!B:B,"Not Found")</f>
        <v>Mcdonald Inc</v>
      </c>
      <c r="H1666" t="str">
        <f>_xlfn.XLOOKUP(D1666,Product_Dim!A:A,Product_Dim!C:C,"Not Found")</f>
        <v>Electronics</v>
      </c>
      <c r="I1666" t="str">
        <f>_xlfn.XLOOKUP(E1666,Store_Dim!A:A,Store_Dim!C:C,"Not Found")</f>
        <v>South</v>
      </c>
      <c r="J1666" t="str">
        <f>_xlfn.XLOOKUP(C1666,Customer_Dim!A:A,Customer_Dim!B:B,"Not Found")</f>
        <v>Patrick Roberts</v>
      </c>
      <c r="K1666">
        <v>3</v>
      </c>
      <c r="L1666" s="5">
        <v>343.97</v>
      </c>
      <c r="M1666">
        <v>0.04</v>
      </c>
      <c r="N1666" t="s">
        <v>1354</v>
      </c>
      <c r="O1666" s="5">
        <v>990.6336</v>
      </c>
    </row>
    <row r="1667" spans="1:15">
      <c r="A1667" t="s">
        <v>3016</v>
      </c>
      <c r="B1667" s="7">
        <v>45293</v>
      </c>
      <c r="C1667" t="s">
        <v>670</v>
      </c>
      <c r="D1667" t="s">
        <v>1121</v>
      </c>
      <c r="E1667" t="s">
        <v>1319</v>
      </c>
      <c r="F1667" t="str">
        <f>[1]Raw_Customer_Dim!$A$2</f>
        <v>CUST1000</v>
      </c>
      <c r="G1667" t="str">
        <f>_xlfn.XLOOKUP(E1667,Store_Dim!A:A,Store_Dim!B:B,"Not Found")</f>
        <v>Thomas, Bridges and Harris</v>
      </c>
      <c r="H1667" t="str">
        <f>_xlfn.XLOOKUP(D1667,Product_Dim!A:A,Product_Dim!C:C,"Not Found")</f>
        <v>Sports</v>
      </c>
      <c r="I1667" t="str">
        <f>_xlfn.XLOOKUP(E1667,Store_Dim!A:A,Store_Dim!C:C,"Not Found")</f>
        <v>North</v>
      </c>
      <c r="J1667" t="str">
        <f>_xlfn.XLOOKUP(C1667,Customer_Dim!A:A,Customer_Dim!B:B,"Not Found")</f>
        <v>John Sloan</v>
      </c>
      <c r="K1667">
        <v>3</v>
      </c>
      <c r="L1667" s="5">
        <v>304.67</v>
      </c>
      <c r="M1667">
        <v>0.11</v>
      </c>
      <c r="N1667" t="s">
        <v>1349</v>
      </c>
      <c r="O1667" s="5">
        <v>813.46889999999996</v>
      </c>
    </row>
    <row r="1668" spans="1:15">
      <c r="A1668" t="s">
        <v>3017</v>
      </c>
      <c r="B1668" s="7">
        <v>45296</v>
      </c>
      <c r="C1668" t="s">
        <v>793</v>
      </c>
      <c r="D1668" t="s">
        <v>1127</v>
      </c>
      <c r="E1668" t="s">
        <v>1311</v>
      </c>
      <c r="F1668" t="str">
        <f>[1]Raw_Customer_Dim!$A$2</f>
        <v>CUST1000</v>
      </c>
      <c r="G1668" t="str">
        <f>_xlfn.XLOOKUP(E1668,Store_Dim!A:A,Store_Dim!B:B,"Not Found")</f>
        <v>Moore, Padilla and Butler</v>
      </c>
      <c r="H1668" t="str">
        <f>_xlfn.XLOOKUP(D1668,Product_Dim!A:A,Product_Dim!C:C,"Not Found")</f>
        <v>Home</v>
      </c>
      <c r="I1668" t="str">
        <f>_xlfn.XLOOKUP(E1668,Store_Dim!A:A,Store_Dim!C:C,"Not Found")</f>
        <v>South</v>
      </c>
      <c r="J1668" t="str">
        <f>_xlfn.XLOOKUP(C1668,Customer_Dim!A:A,Customer_Dim!B:B,"Not Found")</f>
        <v>Brandon Mcbride</v>
      </c>
      <c r="K1668">
        <v>4</v>
      </c>
      <c r="L1668" s="5">
        <v>208.34</v>
      </c>
      <c r="M1668">
        <v>0.01</v>
      </c>
      <c r="N1668" t="s">
        <v>1351</v>
      </c>
      <c r="O1668" s="5">
        <v>825.02639999999997</v>
      </c>
    </row>
    <row r="1669" spans="1:15">
      <c r="A1669" t="s">
        <v>3018</v>
      </c>
      <c r="B1669" s="7">
        <v>45860</v>
      </c>
      <c r="C1669" t="s">
        <v>688</v>
      </c>
      <c r="D1669" t="s">
        <v>1245</v>
      </c>
      <c r="E1669" t="s">
        <v>1282</v>
      </c>
      <c r="F1669" t="str">
        <f>[1]Raw_Customer_Dim!$A$2</f>
        <v>CUST1000</v>
      </c>
      <c r="G1669" t="str">
        <f>_xlfn.XLOOKUP(E1669,Store_Dim!A:A,Store_Dim!B:B,"Not Found")</f>
        <v>Martinez, Adkins and Johnson</v>
      </c>
      <c r="H1669" t="str">
        <f>_xlfn.XLOOKUP(D1669,Product_Dim!A:A,Product_Dim!C:C,"Not Found")</f>
        <v>Home</v>
      </c>
      <c r="I1669" t="str">
        <f>_xlfn.XLOOKUP(E1669,Store_Dim!A:A,Store_Dim!C:C,"Not Found")</f>
        <v>North</v>
      </c>
      <c r="J1669" t="str">
        <f>_xlfn.XLOOKUP(C1669,Customer_Dim!A:A,Customer_Dim!B:B,"Not Found")</f>
        <v>Jason Mullins</v>
      </c>
      <c r="K1669">
        <v>1</v>
      </c>
      <c r="L1669" s="5">
        <v>119.04</v>
      </c>
      <c r="M1669">
        <v>0.13</v>
      </c>
      <c r="N1669" t="s">
        <v>1354</v>
      </c>
      <c r="O1669" s="5">
        <v>103.56480000000001</v>
      </c>
    </row>
    <row r="1670" spans="1:15">
      <c r="A1670" t="s">
        <v>3019</v>
      </c>
      <c r="B1670" s="7">
        <v>45843</v>
      </c>
      <c r="C1670" t="s">
        <v>706</v>
      </c>
      <c r="D1670" t="s">
        <v>1161</v>
      </c>
      <c r="E1670" t="s">
        <v>1311</v>
      </c>
      <c r="F1670" t="str">
        <f>[1]Raw_Customer_Dim!$A$2</f>
        <v>CUST1000</v>
      </c>
      <c r="G1670" t="str">
        <f>_xlfn.XLOOKUP(E1670,Store_Dim!A:A,Store_Dim!B:B,"Not Found")</f>
        <v>Moore, Padilla and Butler</v>
      </c>
      <c r="H1670" t="str">
        <f>_xlfn.XLOOKUP(D1670,Product_Dim!A:A,Product_Dim!C:C,"Not Found")</f>
        <v>Sports</v>
      </c>
      <c r="I1670" t="str">
        <f>_xlfn.XLOOKUP(E1670,Store_Dim!A:A,Store_Dim!C:C,"Not Found")</f>
        <v>South</v>
      </c>
      <c r="J1670" t="str">
        <f>_xlfn.XLOOKUP(C1670,Customer_Dim!A:A,Customer_Dim!B:B,"Not Found")</f>
        <v>Darren Burton</v>
      </c>
      <c r="K1670">
        <v>4</v>
      </c>
      <c r="L1670" s="5">
        <v>791.65</v>
      </c>
      <c r="M1670">
        <v>0.06</v>
      </c>
      <c r="N1670" t="s">
        <v>1354</v>
      </c>
      <c r="O1670" s="5">
        <v>2976.6039999999998</v>
      </c>
    </row>
    <row r="1671" spans="1:15">
      <c r="A1671" t="s">
        <v>3020</v>
      </c>
      <c r="B1671" s="7">
        <v>45862</v>
      </c>
      <c r="C1671" t="s">
        <v>147</v>
      </c>
      <c r="D1671" t="s">
        <v>1101</v>
      </c>
      <c r="E1671" t="s">
        <v>1286</v>
      </c>
      <c r="F1671" t="str">
        <f>[1]Raw_Customer_Dim!$A$2</f>
        <v>CUST1000</v>
      </c>
      <c r="G1671" t="str">
        <f>_xlfn.XLOOKUP(E1671,Store_Dim!A:A,Store_Dim!B:B,"Not Found")</f>
        <v>Black-Horn</v>
      </c>
      <c r="H1671" t="str">
        <f>_xlfn.XLOOKUP(D1671,Product_Dim!A:A,Product_Dim!C:C,"Not Found")</f>
        <v>Home</v>
      </c>
      <c r="I1671" t="str">
        <f>_xlfn.XLOOKUP(E1671,Store_Dim!A:A,Store_Dim!C:C,"Not Found")</f>
        <v>South</v>
      </c>
      <c r="J1671" t="str">
        <f>_xlfn.XLOOKUP(C1671,Customer_Dim!A:A,Customer_Dim!B:B,"Not Found")</f>
        <v>Debra Liu</v>
      </c>
      <c r="K1671">
        <v>2</v>
      </c>
      <c r="L1671" s="5">
        <v>414.86</v>
      </c>
      <c r="M1671">
        <v>0.23</v>
      </c>
      <c r="N1671" t="s">
        <v>1349</v>
      </c>
      <c r="O1671" s="5">
        <v>638.88440000000003</v>
      </c>
    </row>
    <row r="1672" spans="1:15">
      <c r="A1672" t="s">
        <v>3021</v>
      </c>
      <c r="B1672" s="7">
        <v>45385</v>
      </c>
      <c r="C1672" t="s">
        <v>1018</v>
      </c>
      <c r="D1672" t="s">
        <v>1149</v>
      </c>
      <c r="E1672" t="s">
        <v>1319</v>
      </c>
      <c r="F1672" t="str">
        <f>[1]Raw_Customer_Dim!$A$2</f>
        <v>CUST1000</v>
      </c>
      <c r="G1672" t="str">
        <f>_xlfn.XLOOKUP(E1672,Store_Dim!A:A,Store_Dim!B:B,"Not Found")</f>
        <v>Thomas, Bridges and Harris</v>
      </c>
      <c r="H1672" t="str">
        <f>_xlfn.XLOOKUP(D1672,Product_Dim!A:A,Product_Dim!C:C,"Not Found")</f>
        <v>Sports</v>
      </c>
      <c r="I1672" t="str">
        <f>_xlfn.XLOOKUP(E1672,Store_Dim!A:A,Store_Dim!C:C,"Not Found")</f>
        <v>North</v>
      </c>
      <c r="J1672" t="str">
        <f>_xlfn.XLOOKUP(C1672,Customer_Dim!A:A,Customer_Dim!B:B,"Not Found")</f>
        <v>Earl Smith DDS</v>
      </c>
      <c r="K1672">
        <v>2</v>
      </c>
      <c r="L1672" s="5">
        <v>960.81</v>
      </c>
      <c r="M1672">
        <v>0.28000000000000003</v>
      </c>
      <c r="N1672" t="s">
        <v>1351</v>
      </c>
      <c r="O1672" s="5">
        <v>1383.5663999999999</v>
      </c>
    </row>
    <row r="1673" spans="1:15">
      <c r="A1673" t="s">
        <v>3022</v>
      </c>
      <c r="B1673" s="7">
        <v>45668</v>
      </c>
      <c r="C1673" t="s">
        <v>486</v>
      </c>
      <c r="D1673" t="s">
        <v>1173</v>
      </c>
      <c r="E1673" t="s">
        <v>1294</v>
      </c>
      <c r="F1673" t="str">
        <f>[1]Raw_Customer_Dim!$A$2</f>
        <v>CUST1000</v>
      </c>
      <c r="G1673" t="str">
        <f>_xlfn.XLOOKUP(E1673,Store_Dim!A:A,Store_Dim!B:B,"Not Found")</f>
        <v>Alexander Group</v>
      </c>
      <c r="H1673" t="str">
        <f>_xlfn.XLOOKUP(D1673,Product_Dim!A:A,Product_Dim!C:C,"Not Found")</f>
        <v>Sports</v>
      </c>
      <c r="I1673" t="str">
        <f>_xlfn.XLOOKUP(E1673,Store_Dim!A:A,Store_Dim!C:C,"Not Found")</f>
        <v>South</v>
      </c>
      <c r="J1673" t="str">
        <f>_xlfn.XLOOKUP(C1673,Customer_Dim!A:A,Customer_Dim!B:B,"Not Found")</f>
        <v>Blake Harrison</v>
      </c>
      <c r="K1673">
        <v>4</v>
      </c>
      <c r="L1673" s="5">
        <v>943.36</v>
      </c>
      <c r="M1673">
        <v>0.18</v>
      </c>
      <c r="N1673" t="s">
        <v>1351</v>
      </c>
      <c r="O1673" s="5">
        <v>3094.2208000000001</v>
      </c>
    </row>
    <row r="1674" spans="1:15">
      <c r="A1674" t="s">
        <v>3023</v>
      </c>
      <c r="B1674" s="7">
        <v>45561</v>
      </c>
      <c r="C1674" t="s">
        <v>488</v>
      </c>
      <c r="D1674" t="s">
        <v>1076</v>
      </c>
      <c r="E1674" t="s">
        <v>1322</v>
      </c>
      <c r="F1674" t="str">
        <f>[1]Raw_Customer_Dim!$A$2</f>
        <v>CUST1000</v>
      </c>
      <c r="G1674" t="str">
        <f>_xlfn.XLOOKUP(E1674,Store_Dim!A:A,Store_Dim!B:B,"Not Found")</f>
        <v>Gardner, Humphrey and Contreras</v>
      </c>
      <c r="H1674" t="str">
        <f>_xlfn.XLOOKUP(D1674,Product_Dim!A:A,Product_Dim!C:C,"Not Found")</f>
        <v>Not Found</v>
      </c>
      <c r="I1674" t="str">
        <f>_xlfn.XLOOKUP(E1674,Store_Dim!A:A,Store_Dim!C:C,"Not Found")</f>
        <v>East</v>
      </c>
      <c r="J1674" t="str">
        <f>_xlfn.XLOOKUP(C1674,Customer_Dim!A:A,Customer_Dim!B:B,"Not Found")</f>
        <v>Stuart Johnson</v>
      </c>
      <c r="K1674">
        <v>1</v>
      </c>
      <c r="L1674" s="5">
        <v>830.42</v>
      </c>
      <c r="M1674">
        <v>0.26</v>
      </c>
      <c r="N1674" t="s">
        <v>1354</v>
      </c>
      <c r="O1674" s="5">
        <v>614.51080000000002</v>
      </c>
    </row>
    <row r="1675" spans="1:15">
      <c r="A1675" t="s">
        <v>3024</v>
      </c>
      <c r="B1675" s="7">
        <v>45637</v>
      </c>
      <c r="C1675" t="s">
        <v>770</v>
      </c>
      <c r="D1675" t="s">
        <v>1207</v>
      </c>
      <c r="E1675" t="s">
        <v>1332</v>
      </c>
      <c r="F1675" t="str">
        <f>[1]Raw_Customer_Dim!$A$2</f>
        <v>CUST1000</v>
      </c>
      <c r="G1675" t="str">
        <f>_xlfn.XLOOKUP(E1675,Store_Dim!A:A,Store_Dim!B:B,"Not Found")</f>
        <v>Holloway Ltd</v>
      </c>
      <c r="H1675" t="str">
        <f>_xlfn.XLOOKUP(D1675,Product_Dim!A:A,Product_Dim!C:C,"Not Found")</f>
        <v>Electronics</v>
      </c>
      <c r="I1675" t="str">
        <f>_xlfn.XLOOKUP(E1675,Store_Dim!A:A,Store_Dim!C:C,"Not Found")</f>
        <v>North</v>
      </c>
      <c r="J1675" t="str">
        <f>_xlfn.XLOOKUP(C1675,Customer_Dim!A:A,Customer_Dim!B:B,"Not Found")</f>
        <v xml:space="preserve">   laura green</v>
      </c>
      <c r="K1675">
        <v>1</v>
      </c>
      <c r="L1675" s="5">
        <v>762.55</v>
      </c>
      <c r="M1675">
        <v>0.19</v>
      </c>
      <c r="N1675" t="s">
        <v>1349</v>
      </c>
      <c r="O1675" s="5">
        <v>617.66549999999995</v>
      </c>
    </row>
    <row r="1676" spans="1:15">
      <c r="A1676" t="s">
        <v>3025</v>
      </c>
      <c r="B1676" s="7">
        <v>45839</v>
      </c>
      <c r="C1676" t="s">
        <v>750</v>
      </c>
      <c r="D1676" t="s">
        <v>1221</v>
      </c>
      <c r="E1676" t="s">
        <v>1335</v>
      </c>
      <c r="F1676" t="str">
        <f>[1]Raw_Customer_Dim!$A$2</f>
        <v>CUST1000</v>
      </c>
      <c r="G1676" t="str">
        <f>_xlfn.XLOOKUP(E1676,Store_Dim!A:A,Store_Dim!B:B,"Not Found")</f>
        <v>Guerrero-Schmitt</v>
      </c>
      <c r="H1676" t="str">
        <f>_xlfn.XLOOKUP(D1676,Product_Dim!A:A,Product_Dim!C:C,"Not Found")</f>
        <v>Electronics</v>
      </c>
      <c r="I1676" t="str">
        <f>_xlfn.XLOOKUP(E1676,Store_Dim!A:A,Store_Dim!C:C,"Not Found")</f>
        <v>East</v>
      </c>
      <c r="J1676" t="str">
        <f>_xlfn.XLOOKUP(C1676,Customer_Dim!A:A,Customer_Dim!B:B,"Not Found")</f>
        <v>Ryan Moore</v>
      </c>
      <c r="K1676">
        <v>2</v>
      </c>
      <c r="L1676" s="5">
        <v>464.43</v>
      </c>
      <c r="M1676">
        <v>0.24</v>
      </c>
      <c r="N1676" t="s">
        <v>1354</v>
      </c>
      <c r="O1676" s="5">
        <v>705.93360000000007</v>
      </c>
    </row>
    <row r="1677" spans="1:15">
      <c r="A1677" t="s">
        <v>3026</v>
      </c>
      <c r="B1677" s="7">
        <v>45851</v>
      </c>
      <c r="C1677" t="s">
        <v>59</v>
      </c>
      <c r="D1677" t="s">
        <v>1201</v>
      </c>
      <c r="E1677" t="s">
        <v>1335</v>
      </c>
      <c r="F1677" t="str">
        <f>[1]Raw_Customer_Dim!$A$2</f>
        <v>CUST1000</v>
      </c>
      <c r="G1677" t="str">
        <f>_xlfn.XLOOKUP(E1677,Store_Dim!A:A,Store_Dim!B:B,"Not Found")</f>
        <v>Guerrero-Schmitt</v>
      </c>
      <c r="H1677" t="str">
        <f>_xlfn.XLOOKUP(D1677,Product_Dim!A:A,Product_Dim!C:C,"Not Found")</f>
        <v>Beauty</v>
      </c>
      <c r="I1677" t="str">
        <f>_xlfn.XLOOKUP(E1677,Store_Dim!A:A,Store_Dim!C:C,"Not Found")</f>
        <v>East</v>
      </c>
      <c r="J1677" t="str">
        <f>_xlfn.XLOOKUP(C1677,Customer_Dim!A:A,Customer_Dim!B:B,"Not Found")</f>
        <v>John Scott</v>
      </c>
      <c r="K1677">
        <v>1</v>
      </c>
      <c r="L1677" s="5">
        <v>711.08</v>
      </c>
      <c r="M1677">
        <v>0.24</v>
      </c>
      <c r="N1677" t="s">
        <v>1351</v>
      </c>
      <c r="O1677" s="5">
        <v>540.42079999999999</v>
      </c>
    </row>
    <row r="1678" spans="1:15">
      <c r="A1678" t="s">
        <v>3027</v>
      </c>
      <c r="B1678" s="7">
        <v>45656</v>
      </c>
      <c r="C1678" t="s">
        <v>565</v>
      </c>
      <c r="D1678" t="s">
        <v>1163</v>
      </c>
      <c r="E1678" t="s">
        <v>1324</v>
      </c>
      <c r="F1678" t="str">
        <f>[1]Raw_Customer_Dim!$A$2</f>
        <v>CUST1000</v>
      </c>
      <c r="G1678" t="str">
        <f>_xlfn.XLOOKUP(E1678,Store_Dim!A:A,Store_Dim!B:B,"Not Found")</f>
        <v>Mcdonald Inc</v>
      </c>
      <c r="H1678" t="str">
        <f>_xlfn.XLOOKUP(D1678,Product_Dim!A:A,Product_Dim!C:C,"Not Found")</f>
        <v>Sports</v>
      </c>
      <c r="I1678" t="str">
        <f>_xlfn.XLOOKUP(E1678,Store_Dim!A:A,Store_Dim!C:C,"Not Found")</f>
        <v>South</v>
      </c>
      <c r="J1678" t="str">
        <f>_xlfn.XLOOKUP(C1678,Customer_Dim!A:A,Customer_Dim!B:B,"Not Found")</f>
        <v>Tyler Garner</v>
      </c>
      <c r="K1678">
        <v>2</v>
      </c>
      <c r="L1678" s="5">
        <v>984.96</v>
      </c>
      <c r="M1678">
        <v>0.16</v>
      </c>
      <c r="N1678" t="s">
        <v>1351</v>
      </c>
      <c r="O1678" s="5">
        <v>1654.7328</v>
      </c>
    </row>
    <row r="1679" spans="1:15">
      <c r="A1679" t="s">
        <v>3028</v>
      </c>
      <c r="B1679" s="7">
        <v>45759</v>
      </c>
      <c r="C1679" t="s">
        <v>750</v>
      </c>
      <c r="D1679" t="s">
        <v>1149</v>
      </c>
      <c r="E1679" t="s">
        <v>1319</v>
      </c>
      <c r="F1679" t="str">
        <f>[1]Raw_Customer_Dim!$A$2</f>
        <v>CUST1000</v>
      </c>
      <c r="G1679" t="str">
        <f>_xlfn.XLOOKUP(E1679,Store_Dim!A:A,Store_Dim!B:B,"Not Found")</f>
        <v>Thomas, Bridges and Harris</v>
      </c>
      <c r="H1679" t="str">
        <f>_xlfn.XLOOKUP(D1679,Product_Dim!A:A,Product_Dim!C:C,"Not Found")</f>
        <v>Sports</v>
      </c>
      <c r="I1679" t="str">
        <f>_xlfn.XLOOKUP(E1679,Store_Dim!A:A,Store_Dim!C:C,"Not Found")</f>
        <v>North</v>
      </c>
      <c r="J1679" t="str">
        <f>_xlfn.XLOOKUP(C1679,Customer_Dim!A:A,Customer_Dim!B:B,"Not Found")</f>
        <v>Ryan Moore</v>
      </c>
      <c r="K1679">
        <v>1</v>
      </c>
      <c r="L1679" s="5">
        <v>21.14</v>
      </c>
      <c r="M1679">
        <v>0.06</v>
      </c>
      <c r="N1679" t="s">
        <v>1354</v>
      </c>
      <c r="O1679" s="5">
        <v>19.871600000000001</v>
      </c>
    </row>
    <row r="1680" spans="1:15">
      <c r="A1680" t="s">
        <v>3029</v>
      </c>
      <c r="B1680" s="7">
        <v>45679</v>
      </c>
      <c r="C1680" t="s">
        <v>271</v>
      </c>
      <c r="D1680" t="s">
        <v>1269</v>
      </c>
      <c r="E1680" t="s">
        <v>1307</v>
      </c>
      <c r="F1680" t="str">
        <f>[1]Raw_Customer_Dim!$A$2</f>
        <v>CUST1000</v>
      </c>
      <c r="G1680" t="str">
        <f>_xlfn.XLOOKUP(E1680,Store_Dim!A:A,Store_Dim!B:B,"Not Found")</f>
        <v>Bean, Jones and Park</v>
      </c>
      <c r="H1680" t="str">
        <f>_xlfn.XLOOKUP(D1680,Product_Dim!A:A,Product_Dim!C:C,"Not Found")</f>
        <v>Electronics</v>
      </c>
      <c r="I1680" t="str">
        <f>_xlfn.XLOOKUP(E1680,Store_Dim!A:A,Store_Dim!C:C,"Not Found")</f>
        <v>West</v>
      </c>
      <c r="J1680" t="str">
        <f>_xlfn.XLOOKUP(C1680,Customer_Dim!A:A,Customer_Dim!B:B,"Not Found")</f>
        <v>Howard Summers</v>
      </c>
      <c r="K1680">
        <v>1</v>
      </c>
      <c r="L1680" s="5">
        <v>343.03</v>
      </c>
      <c r="M1680">
        <v>0.16</v>
      </c>
      <c r="N1680" t="s">
        <v>1349</v>
      </c>
      <c r="O1680" s="5">
        <v>288.14519999999999</v>
      </c>
    </row>
    <row r="1681" spans="1:15">
      <c r="A1681" t="s">
        <v>3030</v>
      </c>
      <c r="B1681" s="7">
        <v>45237</v>
      </c>
      <c r="C1681" t="s">
        <v>557</v>
      </c>
      <c r="D1681" t="s">
        <v>1113</v>
      </c>
      <c r="E1681" t="s">
        <v>1335</v>
      </c>
      <c r="F1681" t="str">
        <f>[1]Raw_Customer_Dim!$A$2</f>
        <v>CUST1000</v>
      </c>
      <c r="G1681" t="str">
        <f>_xlfn.XLOOKUP(E1681,Store_Dim!A:A,Store_Dim!B:B,"Not Found")</f>
        <v>Guerrero-Schmitt</v>
      </c>
      <c r="H1681" t="str">
        <f>_xlfn.XLOOKUP(D1681,Product_Dim!A:A,Product_Dim!C:C,"Not Found")</f>
        <v>Sports</v>
      </c>
      <c r="I1681" t="str">
        <f>_xlfn.XLOOKUP(E1681,Store_Dim!A:A,Store_Dim!C:C,"Not Found")</f>
        <v>East</v>
      </c>
      <c r="J1681" t="str">
        <f>_xlfn.XLOOKUP(C1681,Customer_Dim!A:A,Customer_Dim!B:B,"Not Found")</f>
        <v>Douglas Rhodes</v>
      </c>
      <c r="K1681">
        <v>3</v>
      </c>
      <c r="L1681" s="5">
        <v>94.83</v>
      </c>
      <c r="M1681">
        <v>0.16</v>
      </c>
      <c r="N1681" t="s">
        <v>1354</v>
      </c>
      <c r="O1681" s="5">
        <v>238.9716</v>
      </c>
    </row>
    <row r="1682" spans="1:15">
      <c r="A1682" t="s">
        <v>3031</v>
      </c>
      <c r="B1682" s="7">
        <v>45790</v>
      </c>
      <c r="C1682" t="s">
        <v>64</v>
      </c>
      <c r="D1682" t="s">
        <v>1211</v>
      </c>
      <c r="E1682" t="s">
        <v>1338</v>
      </c>
      <c r="F1682" t="str">
        <f>[1]Raw_Customer_Dim!$A$2</f>
        <v>CUST1000</v>
      </c>
      <c r="G1682" t="str">
        <f>_xlfn.XLOOKUP(E1682,Store_Dim!A:A,Store_Dim!B:B,"Not Found")</f>
        <v>Mann-Austin</v>
      </c>
      <c r="H1682" t="str">
        <f>_xlfn.XLOOKUP(D1682,Product_Dim!A:A,Product_Dim!C:C,"Not Found")</f>
        <v>Clothing</v>
      </c>
      <c r="I1682" t="str">
        <f>_xlfn.XLOOKUP(E1682,Store_Dim!A:A,Store_Dim!C:C,"Not Found")</f>
        <v>East</v>
      </c>
      <c r="J1682" t="str">
        <f>_xlfn.XLOOKUP(C1682,Customer_Dim!A:A,Customer_Dim!B:B,"Not Found")</f>
        <v>Rhonda Moss</v>
      </c>
      <c r="K1682">
        <v>3</v>
      </c>
      <c r="L1682" s="5">
        <v>74.66</v>
      </c>
      <c r="M1682">
        <v>0.03</v>
      </c>
      <c r="N1682" t="s">
        <v>1351</v>
      </c>
      <c r="O1682" s="5">
        <v>217.26060000000001</v>
      </c>
    </row>
    <row r="1683" spans="1:15">
      <c r="A1683" t="s">
        <v>3032</v>
      </c>
      <c r="B1683" s="7">
        <v>45268</v>
      </c>
      <c r="C1683" t="s">
        <v>333</v>
      </c>
      <c r="D1683" t="s">
        <v>1147</v>
      </c>
      <c r="E1683" t="s">
        <v>1326</v>
      </c>
      <c r="F1683" t="str">
        <f>[1]Raw_Customer_Dim!$A$2</f>
        <v>CUST1000</v>
      </c>
      <c r="G1683" t="str">
        <f>_xlfn.XLOOKUP(E1683,Store_Dim!A:A,Store_Dim!B:B,"Not Found")</f>
        <v>Shelton PLC</v>
      </c>
      <c r="H1683" t="str">
        <f>_xlfn.XLOOKUP(D1683,Product_Dim!A:A,Product_Dim!C:C,"Not Found")</f>
        <v>Clothing</v>
      </c>
      <c r="I1683" t="str">
        <f>_xlfn.XLOOKUP(E1683,Store_Dim!A:A,Store_Dim!C:C,"Not Found")</f>
        <v>North</v>
      </c>
      <c r="J1683" t="str">
        <f>_xlfn.XLOOKUP(C1683,Customer_Dim!A:A,Customer_Dim!B:B,"Not Found")</f>
        <v>Patrick Coleman</v>
      </c>
      <c r="K1683">
        <v>3</v>
      </c>
      <c r="L1683" s="5">
        <v>281.95999999999998</v>
      </c>
      <c r="M1683">
        <v>0.01</v>
      </c>
      <c r="N1683" t="s">
        <v>1354</v>
      </c>
      <c r="O1683" s="5">
        <v>837.42119999999989</v>
      </c>
    </row>
    <row r="1684" spans="1:15">
      <c r="A1684" t="s">
        <v>3033</v>
      </c>
      <c r="B1684" s="7">
        <v>45664</v>
      </c>
      <c r="C1684" t="s">
        <v>535</v>
      </c>
      <c r="D1684" t="s">
        <v>1215</v>
      </c>
      <c r="E1684" t="s">
        <v>1335</v>
      </c>
      <c r="F1684" t="str">
        <f>[1]Raw_Customer_Dim!$A$2</f>
        <v>CUST1000</v>
      </c>
      <c r="G1684" t="str">
        <f>_xlfn.XLOOKUP(E1684,Store_Dim!A:A,Store_Dim!B:B,"Not Found")</f>
        <v>Guerrero-Schmitt</v>
      </c>
      <c r="H1684" t="str">
        <f>_xlfn.XLOOKUP(D1684,Product_Dim!A:A,Product_Dim!C:C,"Not Found")</f>
        <v>Beauty</v>
      </c>
      <c r="I1684" t="str">
        <f>_xlfn.XLOOKUP(E1684,Store_Dim!A:A,Store_Dim!C:C,"Not Found")</f>
        <v>East</v>
      </c>
      <c r="J1684" t="str">
        <f>_xlfn.XLOOKUP(C1684,Customer_Dim!A:A,Customer_Dim!B:B,"Not Found")</f>
        <v>Joshua Wilson</v>
      </c>
      <c r="K1684">
        <v>4</v>
      </c>
      <c r="L1684" s="5">
        <v>622.27</v>
      </c>
      <c r="M1684">
        <v>0.02</v>
      </c>
      <c r="N1684" t="s">
        <v>1351</v>
      </c>
      <c r="O1684" s="5">
        <v>2439.2984000000001</v>
      </c>
    </row>
    <row r="1685" spans="1:15">
      <c r="A1685" t="s">
        <v>3034</v>
      </c>
      <c r="B1685" s="7">
        <v>45475</v>
      </c>
      <c r="C1685" t="s">
        <v>263</v>
      </c>
      <c r="D1685" t="s">
        <v>1147</v>
      </c>
      <c r="E1685" t="s">
        <v>1304</v>
      </c>
      <c r="F1685" t="str">
        <f>[1]Raw_Customer_Dim!$A$2</f>
        <v>CUST1000</v>
      </c>
      <c r="G1685" t="str">
        <f>_xlfn.XLOOKUP(E1685,Store_Dim!A:A,Store_Dim!B:B,"Not Found")</f>
        <v>Martinez-Mullins</v>
      </c>
      <c r="H1685" t="str">
        <f>_xlfn.XLOOKUP(D1685,Product_Dim!A:A,Product_Dim!C:C,"Not Found")</f>
        <v>Clothing</v>
      </c>
      <c r="I1685" t="str">
        <f>_xlfn.XLOOKUP(E1685,Store_Dim!A:A,Store_Dim!C:C,"Not Found")</f>
        <v>South</v>
      </c>
      <c r="J1685" t="str">
        <f>_xlfn.XLOOKUP(C1685,Customer_Dim!A:A,Customer_Dim!B:B,"Not Found")</f>
        <v>Sarah Schneider</v>
      </c>
      <c r="K1685">
        <v>2</v>
      </c>
      <c r="L1685" s="5">
        <v>78.27</v>
      </c>
      <c r="M1685">
        <v>0.28999999999999998</v>
      </c>
      <c r="N1685" t="s">
        <v>1354</v>
      </c>
      <c r="O1685" s="5">
        <v>111.1434</v>
      </c>
    </row>
    <row r="1686" spans="1:15">
      <c r="A1686" t="s">
        <v>3035</v>
      </c>
      <c r="B1686" s="7">
        <v>45845</v>
      </c>
      <c r="C1686" t="s">
        <v>47</v>
      </c>
      <c r="D1686" t="s">
        <v>1197</v>
      </c>
      <c r="E1686" t="s">
        <v>1322</v>
      </c>
      <c r="F1686" t="str">
        <f>[1]Raw_Customer_Dim!$A$2</f>
        <v>CUST1000</v>
      </c>
      <c r="G1686" t="str">
        <f>_xlfn.XLOOKUP(E1686,Store_Dim!A:A,Store_Dim!B:B,"Not Found")</f>
        <v>Gardner, Humphrey and Contreras</v>
      </c>
      <c r="H1686" t="str">
        <f>_xlfn.XLOOKUP(D1686,Product_Dim!A:A,Product_Dim!C:C,"Not Found")</f>
        <v>Electronics</v>
      </c>
      <c r="I1686" t="str">
        <f>_xlfn.XLOOKUP(E1686,Store_Dim!A:A,Store_Dim!C:C,"Not Found")</f>
        <v>East</v>
      </c>
      <c r="J1686" t="str">
        <f>_xlfn.XLOOKUP(C1686,Customer_Dim!A:A,Customer_Dim!B:B,"Not Found")</f>
        <v>Kenneth Lambert</v>
      </c>
      <c r="K1686">
        <v>4</v>
      </c>
      <c r="L1686" s="5">
        <v>676.58</v>
      </c>
      <c r="M1686">
        <v>0.23</v>
      </c>
      <c r="N1686" t="s">
        <v>1354</v>
      </c>
      <c r="O1686" s="5">
        <v>2083.8663999999999</v>
      </c>
    </row>
    <row r="1687" spans="1:15">
      <c r="A1687" t="s">
        <v>3036</v>
      </c>
      <c r="B1687" s="7">
        <v>45446</v>
      </c>
      <c r="C1687" t="s">
        <v>1033</v>
      </c>
      <c r="D1687" t="s">
        <v>1135</v>
      </c>
      <c r="E1687" t="s">
        <v>1282</v>
      </c>
      <c r="F1687" t="str">
        <f>[1]Raw_Customer_Dim!$A$2</f>
        <v>CUST1000</v>
      </c>
      <c r="G1687" t="str">
        <f>_xlfn.XLOOKUP(E1687,Store_Dim!A:A,Store_Dim!B:B,"Not Found")</f>
        <v>Martinez, Adkins and Johnson</v>
      </c>
      <c r="H1687" t="str">
        <f>_xlfn.XLOOKUP(D1687,Product_Dim!A:A,Product_Dim!C:C,"Not Found")</f>
        <v>Sports</v>
      </c>
      <c r="I1687" t="str">
        <f>_xlfn.XLOOKUP(E1687,Store_Dim!A:A,Store_Dim!C:C,"Not Found")</f>
        <v>North</v>
      </c>
      <c r="J1687" t="str">
        <f>_xlfn.XLOOKUP(C1687,Customer_Dim!A:A,Customer_Dim!B:B,"Not Found")</f>
        <v>Not Found</v>
      </c>
      <c r="K1687">
        <v>2</v>
      </c>
      <c r="L1687" s="5">
        <v>938.6</v>
      </c>
      <c r="M1687">
        <v>0.04</v>
      </c>
      <c r="N1687" t="s">
        <v>1351</v>
      </c>
      <c r="O1687" s="5">
        <v>1802.1120000000001</v>
      </c>
    </row>
    <row r="1688" spans="1:15">
      <c r="A1688" t="s">
        <v>3037</v>
      </c>
      <c r="B1688" s="7">
        <v>45761</v>
      </c>
      <c r="C1688" t="s">
        <v>773</v>
      </c>
      <c r="D1688" t="s">
        <v>1099</v>
      </c>
      <c r="E1688" t="s">
        <v>1324</v>
      </c>
      <c r="F1688" t="str">
        <f>[1]Raw_Customer_Dim!$A$2</f>
        <v>CUST1000</v>
      </c>
      <c r="G1688" t="str">
        <f>_xlfn.XLOOKUP(E1688,Store_Dim!A:A,Store_Dim!B:B,"Not Found")</f>
        <v>Mcdonald Inc</v>
      </c>
      <c r="H1688" t="str">
        <f>_xlfn.XLOOKUP(D1688,Product_Dim!A:A,Product_Dim!C:C,"Not Found")</f>
        <v>Electronics</v>
      </c>
      <c r="I1688" t="str">
        <f>_xlfn.XLOOKUP(E1688,Store_Dim!A:A,Store_Dim!C:C,"Not Found")</f>
        <v>South</v>
      </c>
      <c r="J1688" t="str">
        <f>_xlfn.XLOOKUP(C1688,Customer_Dim!A:A,Customer_Dim!B:B,"Not Found")</f>
        <v>Carlos Flores</v>
      </c>
      <c r="K1688">
        <v>2</v>
      </c>
      <c r="L1688" s="5">
        <v>859.47</v>
      </c>
      <c r="M1688">
        <v>0.01</v>
      </c>
      <c r="N1688" t="s">
        <v>1349</v>
      </c>
      <c r="O1688" s="5">
        <v>1701.7506000000001</v>
      </c>
    </row>
    <row r="1689" spans="1:15">
      <c r="A1689" t="s">
        <v>3038</v>
      </c>
      <c r="B1689" s="7">
        <v>45363</v>
      </c>
      <c r="C1689" t="s">
        <v>159</v>
      </c>
      <c r="D1689" t="s">
        <v>1127</v>
      </c>
      <c r="E1689" t="s">
        <v>1324</v>
      </c>
      <c r="F1689" t="str">
        <f>[1]Raw_Customer_Dim!$A$2</f>
        <v>CUST1000</v>
      </c>
      <c r="G1689" t="str">
        <f>_xlfn.XLOOKUP(E1689,Store_Dim!A:A,Store_Dim!B:B,"Not Found")</f>
        <v>Mcdonald Inc</v>
      </c>
      <c r="H1689" t="str">
        <f>_xlfn.XLOOKUP(D1689,Product_Dim!A:A,Product_Dim!C:C,"Not Found")</f>
        <v>Home</v>
      </c>
      <c r="I1689" t="str">
        <f>_xlfn.XLOOKUP(E1689,Store_Dim!A:A,Store_Dim!C:C,"Not Found")</f>
        <v>South</v>
      </c>
      <c r="J1689" t="str">
        <f>_xlfn.XLOOKUP(C1689,Customer_Dim!A:A,Customer_Dim!B:B,"Not Found")</f>
        <v>Jay Patel</v>
      </c>
      <c r="K1689">
        <v>3</v>
      </c>
      <c r="L1689" s="5">
        <v>672.98</v>
      </c>
      <c r="M1689">
        <v>0.23</v>
      </c>
      <c r="N1689" t="s">
        <v>1351</v>
      </c>
      <c r="O1689" s="5">
        <v>1554.5838000000001</v>
      </c>
    </row>
    <row r="1690" spans="1:15">
      <c r="A1690" t="s">
        <v>3039</v>
      </c>
      <c r="B1690" s="7">
        <v>45420</v>
      </c>
      <c r="C1690" t="s">
        <v>474</v>
      </c>
      <c r="D1690" t="s">
        <v>1185</v>
      </c>
      <c r="E1690" t="s">
        <v>1335</v>
      </c>
      <c r="F1690" t="str">
        <f>[1]Raw_Customer_Dim!$A$2</f>
        <v>CUST1000</v>
      </c>
      <c r="G1690" t="str">
        <f>_xlfn.XLOOKUP(E1690,Store_Dim!A:A,Store_Dim!B:B,"Not Found")</f>
        <v>Guerrero-Schmitt</v>
      </c>
      <c r="H1690" t="str">
        <f>_xlfn.XLOOKUP(D1690,Product_Dim!A:A,Product_Dim!C:C,"Not Found")</f>
        <v>Home</v>
      </c>
      <c r="I1690" t="str">
        <f>_xlfn.XLOOKUP(E1690,Store_Dim!A:A,Store_Dim!C:C,"Not Found")</f>
        <v>East</v>
      </c>
      <c r="J1690" t="str">
        <f>_xlfn.XLOOKUP(C1690,Customer_Dim!A:A,Customer_Dim!B:B,"Not Found")</f>
        <v>Ronald Jones</v>
      </c>
      <c r="K1690">
        <v>1</v>
      </c>
      <c r="L1690" s="5">
        <v>75.8</v>
      </c>
      <c r="M1690">
        <v>0.28999999999999998</v>
      </c>
      <c r="N1690" t="s">
        <v>1351</v>
      </c>
      <c r="O1690" s="5">
        <v>53.817999999999998</v>
      </c>
    </row>
    <row r="1691" spans="1:15">
      <c r="A1691" t="s">
        <v>3040</v>
      </c>
      <c r="B1691" s="7">
        <v>45536</v>
      </c>
      <c r="C1691" t="s">
        <v>104</v>
      </c>
      <c r="D1691" t="s">
        <v>1107</v>
      </c>
      <c r="E1691" t="s">
        <v>1326</v>
      </c>
      <c r="F1691" t="str">
        <f>[1]Raw_Customer_Dim!$A$2</f>
        <v>CUST1000</v>
      </c>
      <c r="G1691" t="str">
        <f>_xlfn.XLOOKUP(E1691,Store_Dim!A:A,Store_Dim!B:B,"Not Found")</f>
        <v>Shelton PLC</v>
      </c>
      <c r="H1691" t="str">
        <f>_xlfn.XLOOKUP(D1691,Product_Dim!A:A,Product_Dim!C:C,"Not Found")</f>
        <v>Sports</v>
      </c>
      <c r="I1691" t="str">
        <f>_xlfn.XLOOKUP(E1691,Store_Dim!A:A,Store_Dim!C:C,"Not Found")</f>
        <v>North</v>
      </c>
      <c r="J1691" t="str">
        <f>_xlfn.XLOOKUP(C1691,Customer_Dim!A:A,Customer_Dim!B:B,"Not Found")</f>
        <v>Christopher Olson</v>
      </c>
      <c r="K1691">
        <v>4</v>
      </c>
      <c r="L1691" s="5">
        <v>742.15</v>
      </c>
      <c r="M1691">
        <v>0.1</v>
      </c>
      <c r="N1691" t="s">
        <v>1354</v>
      </c>
      <c r="O1691" s="5">
        <v>2671.74</v>
      </c>
    </row>
    <row r="1692" spans="1:15">
      <c r="A1692" t="s">
        <v>3041</v>
      </c>
      <c r="B1692" s="7">
        <v>45445</v>
      </c>
      <c r="C1692" t="s">
        <v>194</v>
      </c>
      <c r="D1692" t="s">
        <v>1133</v>
      </c>
      <c r="E1692" t="s">
        <v>1304</v>
      </c>
      <c r="F1692" t="str">
        <f>[1]Raw_Customer_Dim!$A$2</f>
        <v>CUST1000</v>
      </c>
      <c r="G1692" t="str">
        <f>_xlfn.XLOOKUP(E1692,Store_Dim!A:A,Store_Dim!B:B,"Not Found")</f>
        <v>Martinez-Mullins</v>
      </c>
      <c r="H1692" t="str">
        <f>_xlfn.XLOOKUP(D1692,Product_Dim!A:A,Product_Dim!C:C,"Not Found")</f>
        <v>Home</v>
      </c>
      <c r="I1692" t="str">
        <f>_xlfn.XLOOKUP(E1692,Store_Dim!A:A,Store_Dim!C:C,"Not Found")</f>
        <v>South</v>
      </c>
      <c r="J1692" t="str">
        <f>_xlfn.XLOOKUP(C1692,Customer_Dim!A:A,Customer_Dim!B:B,"Not Found")</f>
        <v>Tonya Burch</v>
      </c>
      <c r="K1692">
        <v>1</v>
      </c>
      <c r="L1692" s="5">
        <v>637.39</v>
      </c>
      <c r="M1692">
        <v>0.22</v>
      </c>
      <c r="N1692" t="s">
        <v>1351</v>
      </c>
      <c r="O1692" s="5">
        <v>497.16419999999999</v>
      </c>
    </row>
    <row r="1693" spans="1:15">
      <c r="A1693" t="s">
        <v>3042</v>
      </c>
      <c r="B1693" s="7">
        <v>45230</v>
      </c>
      <c r="C1693" t="s">
        <v>845</v>
      </c>
      <c r="D1693" t="s">
        <v>1082</v>
      </c>
      <c r="E1693" t="s">
        <v>1332</v>
      </c>
      <c r="F1693" t="str">
        <f>[1]Raw_Customer_Dim!$A$2</f>
        <v>CUST1000</v>
      </c>
      <c r="G1693" t="str">
        <f>_xlfn.XLOOKUP(E1693,Store_Dim!A:A,Store_Dim!B:B,"Not Found")</f>
        <v>Holloway Ltd</v>
      </c>
      <c r="H1693" t="str">
        <f>_xlfn.XLOOKUP(D1693,Product_Dim!A:A,Product_Dim!C:C,"Not Found")</f>
        <v>Beauty</v>
      </c>
      <c r="I1693" t="str">
        <f>_xlfn.XLOOKUP(E1693,Store_Dim!A:A,Store_Dim!C:C,"Not Found")</f>
        <v>North</v>
      </c>
      <c r="J1693" t="str">
        <f>_xlfn.XLOOKUP(C1693,Customer_Dim!A:A,Customer_Dim!B:B,"Not Found")</f>
        <v>Heidi Tyler</v>
      </c>
      <c r="K1693">
        <v>1</v>
      </c>
      <c r="L1693" s="5">
        <v>631</v>
      </c>
      <c r="M1693">
        <v>0.04</v>
      </c>
      <c r="N1693" t="s">
        <v>1349</v>
      </c>
      <c r="O1693" s="5">
        <v>605.76</v>
      </c>
    </row>
    <row r="1694" spans="1:15">
      <c r="A1694" t="s">
        <v>3043</v>
      </c>
      <c r="B1694" s="7">
        <v>45916</v>
      </c>
      <c r="C1694" t="s">
        <v>849</v>
      </c>
      <c r="D1694" t="s">
        <v>1233</v>
      </c>
      <c r="E1694" t="s">
        <v>1291</v>
      </c>
      <c r="F1694" t="str">
        <f>[1]Raw_Customer_Dim!$A$2</f>
        <v>CUST1000</v>
      </c>
      <c r="G1694" t="str">
        <f>_xlfn.XLOOKUP(E1694,Store_Dim!A:A,Store_Dim!B:B,"Not Found")</f>
        <v>Johnson-Wright</v>
      </c>
      <c r="H1694" t="str">
        <f>_xlfn.XLOOKUP(D1694,Product_Dim!A:A,Product_Dim!C:C,"Not Found")</f>
        <v>Home</v>
      </c>
      <c r="I1694" t="str">
        <f>_xlfn.XLOOKUP(E1694,Store_Dim!A:A,Store_Dim!C:C,"Not Found")</f>
        <v>North</v>
      </c>
      <c r="J1694" t="str">
        <f>_xlfn.XLOOKUP(C1694,Customer_Dim!A:A,Customer_Dim!B:B,"Not Found")</f>
        <v>Michael Mcneil</v>
      </c>
      <c r="K1694">
        <v>4</v>
      </c>
      <c r="L1694" s="5">
        <v>983.98</v>
      </c>
      <c r="M1694">
        <v>0.11</v>
      </c>
      <c r="N1694" t="s">
        <v>1354</v>
      </c>
      <c r="O1694" s="5">
        <v>3502.9688000000001</v>
      </c>
    </row>
    <row r="1695" spans="1:15">
      <c r="A1695" t="s">
        <v>3044</v>
      </c>
      <c r="B1695" s="7">
        <v>45353</v>
      </c>
      <c r="C1695" t="s">
        <v>152</v>
      </c>
      <c r="D1695" t="s">
        <v>1183</v>
      </c>
      <c r="E1695" t="s">
        <v>1317</v>
      </c>
      <c r="F1695" t="str">
        <f>[1]Raw_Customer_Dim!$A$2</f>
        <v>CUST1000</v>
      </c>
      <c r="G1695" t="str">
        <f>_xlfn.XLOOKUP(E1695,Store_Dim!A:A,Store_Dim!B:B,"Not Found")</f>
        <v>Aguirre-Keller</v>
      </c>
      <c r="H1695" t="str">
        <f>_xlfn.XLOOKUP(D1695,Product_Dim!A:A,Product_Dim!C:C,"Not Found")</f>
        <v>Home</v>
      </c>
      <c r="I1695" t="str">
        <f>_xlfn.XLOOKUP(E1695,Store_Dim!A:A,Store_Dim!C:C,"Not Found")</f>
        <v>South</v>
      </c>
      <c r="J1695" t="str">
        <f>_xlfn.XLOOKUP(C1695,Customer_Dim!A:A,Customer_Dim!B:B,"Not Found")</f>
        <v>Katherine Dorsey</v>
      </c>
      <c r="K1695">
        <v>4</v>
      </c>
      <c r="L1695" s="5">
        <v>73.69</v>
      </c>
      <c r="M1695">
        <v>0.08</v>
      </c>
      <c r="N1695" t="s">
        <v>1349</v>
      </c>
      <c r="O1695" s="5">
        <v>271.17919999999998</v>
      </c>
    </row>
    <row r="1696" spans="1:15">
      <c r="A1696" t="s">
        <v>3045</v>
      </c>
      <c r="B1696" s="7">
        <v>45490</v>
      </c>
      <c r="C1696" t="s">
        <v>929</v>
      </c>
      <c r="D1696" t="s">
        <v>1095</v>
      </c>
      <c r="E1696" t="s">
        <v>1304</v>
      </c>
      <c r="F1696" t="str">
        <f>[1]Raw_Customer_Dim!$A$2</f>
        <v>CUST1000</v>
      </c>
      <c r="G1696" t="str">
        <f>_xlfn.XLOOKUP(E1696,Store_Dim!A:A,Store_Dim!B:B,"Not Found")</f>
        <v>Martinez-Mullins</v>
      </c>
      <c r="H1696" t="str">
        <f>_xlfn.XLOOKUP(D1696,Product_Dim!A:A,Product_Dim!C:C,"Not Found")</f>
        <v>Electronics</v>
      </c>
      <c r="I1696" t="str">
        <f>_xlfn.XLOOKUP(E1696,Store_Dim!A:A,Store_Dim!C:C,"Not Found")</f>
        <v>South</v>
      </c>
      <c r="J1696" t="str">
        <f>_xlfn.XLOOKUP(C1696,Customer_Dim!A:A,Customer_Dim!B:B,"Not Found")</f>
        <v>Thomas Moore</v>
      </c>
      <c r="K1696">
        <v>3</v>
      </c>
      <c r="L1696" s="5">
        <v>110.99</v>
      </c>
      <c r="M1696">
        <v>0.21</v>
      </c>
      <c r="N1696" t="s">
        <v>1349</v>
      </c>
      <c r="O1696" s="5">
        <v>263.04629999999997</v>
      </c>
    </row>
    <row r="1697" spans="1:15">
      <c r="A1697" t="s">
        <v>3046</v>
      </c>
      <c r="B1697" s="7">
        <v>45850</v>
      </c>
      <c r="C1697" t="s">
        <v>220</v>
      </c>
      <c r="D1697" t="s">
        <v>1093</v>
      </c>
      <c r="E1697" t="s">
        <v>1304</v>
      </c>
      <c r="F1697" t="str">
        <f>[1]Raw_Customer_Dim!$A$2</f>
        <v>CUST1000</v>
      </c>
      <c r="G1697" t="str">
        <f>_xlfn.XLOOKUP(E1697,Store_Dim!A:A,Store_Dim!B:B,"Not Found")</f>
        <v>Martinez-Mullins</v>
      </c>
      <c r="H1697" t="str">
        <f>_xlfn.XLOOKUP(D1697,Product_Dim!A:A,Product_Dim!C:C,"Not Found")</f>
        <v>Home</v>
      </c>
      <c r="I1697" t="str">
        <f>_xlfn.XLOOKUP(E1697,Store_Dim!A:A,Store_Dim!C:C,"Not Found")</f>
        <v>South</v>
      </c>
      <c r="J1697" t="str">
        <f>_xlfn.XLOOKUP(C1697,Customer_Dim!A:A,Customer_Dim!B:B,"Not Found")</f>
        <v>Thomas Robinson</v>
      </c>
      <c r="K1697">
        <v>1</v>
      </c>
      <c r="L1697" s="5">
        <v>66.86</v>
      </c>
      <c r="M1697">
        <v>0.22</v>
      </c>
      <c r="N1697" t="s">
        <v>1354</v>
      </c>
      <c r="O1697" s="5">
        <v>52.150799999999997</v>
      </c>
    </row>
    <row r="1698" spans="1:15">
      <c r="A1698" t="s">
        <v>3047</v>
      </c>
      <c r="B1698" s="7">
        <v>45515</v>
      </c>
      <c r="C1698" t="s">
        <v>897</v>
      </c>
      <c r="D1698" t="s">
        <v>1207</v>
      </c>
      <c r="E1698" t="s">
        <v>1335</v>
      </c>
      <c r="F1698" t="str">
        <f>[1]Raw_Customer_Dim!$A$2</f>
        <v>CUST1000</v>
      </c>
      <c r="G1698" t="str">
        <f>_xlfn.XLOOKUP(E1698,Store_Dim!A:A,Store_Dim!B:B,"Not Found")</f>
        <v>Guerrero-Schmitt</v>
      </c>
      <c r="H1698" t="str">
        <f>_xlfn.XLOOKUP(D1698,Product_Dim!A:A,Product_Dim!C:C,"Not Found")</f>
        <v>Electronics</v>
      </c>
      <c r="I1698" t="str">
        <f>_xlfn.XLOOKUP(E1698,Store_Dim!A:A,Store_Dim!C:C,"Not Found")</f>
        <v>East</v>
      </c>
      <c r="J1698" t="str">
        <f>_xlfn.XLOOKUP(C1698,Customer_Dim!A:A,Customer_Dim!B:B,"Not Found")</f>
        <v>Karen King</v>
      </c>
      <c r="K1698">
        <v>1</v>
      </c>
      <c r="L1698" s="5">
        <v>980.26</v>
      </c>
      <c r="M1698">
        <v>0.14000000000000001</v>
      </c>
      <c r="N1698" t="s">
        <v>1351</v>
      </c>
      <c r="O1698" s="5">
        <v>843.02359999999999</v>
      </c>
    </row>
    <row r="1699" spans="1:15">
      <c r="A1699" t="s">
        <v>3048</v>
      </c>
      <c r="B1699" s="7">
        <v>45322</v>
      </c>
      <c r="C1699" t="s">
        <v>111</v>
      </c>
      <c r="D1699" t="s">
        <v>1109</v>
      </c>
      <c r="E1699" t="s">
        <v>1335</v>
      </c>
      <c r="F1699" t="str">
        <f>[1]Raw_Customer_Dim!$A$2</f>
        <v>CUST1000</v>
      </c>
      <c r="G1699" t="str">
        <f>_xlfn.XLOOKUP(E1699,Store_Dim!A:A,Store_Dim!B:B,"Not Found")</f>
        <v>Guerrero-Schmitt</v>
      </c>
      <c r="H1699" t="str">
        <f>_xlfn.XLOOKUP(D1699,Product_Dim!A:A,Product_Dim!C:C,"Not Found")</f>
        <v>Clothing</v>
      </c>
      <c r="I1699" t="str">
        <f>_xlfn.XLOOKUP(E1699,Store_Dim!A:A,Store_Dim!C:C,"Not Found")</f>
        <v>East</v>
      </c>
      <c r="J1699" t="str">
        <f>_xlfn.XLOOKUP(C1699,Customer_Dim!A:A,Customer_Dim!B:B,"Not Found")</f>
        <v>Christopher Carter</v>
      </c>
      <c r="K1699">
        <v>1</v>
      </c>
      <c r="L1699" s="5">
        <v>235.28</v>
      </c>
      <c r="M1699">
        <v>0.05</v>
      </c>
      <c r="N1699" t="s">
        <v>1351</v>
      </c>
      <c r="O1699" s="5">
        <v>223.51599999999999</v>
      </c>
    </row>
    <row r="1700" spans="1:15">
      <c r="A1700" t="s">
        <v>3049</v>
      </c>
      <c r="B1700" s="7">
        <v>45542</v>
      </c>
      <c r="C1700" t="s">
        <v>895</v>
      </c>
      <c r="D1700" t="s">
        <v>1068</v>
      </c>
      <c r="E1700" t="s">
        <v>1326</v>
      </c>
      <c r="F1700" t="str">
        <f>[1]Raw_Customer_Dim!$A$2</f>
        <v>CUST1000</v>
      </c>
      <c r="G1700" t="str">
        <f>_xlfn.XLOOKUP(E1700,Store_Dim!A:A,Store_Dim!B:B,"Not Found")</f>
        <v>Shelton PLC</v>
      </c>
      <c r="H1700" t="str">
        <f>_xlfn.XLOOKUP(D1700,Product_Dim!A:A,Product_Dim!C:C,"Not Found")</f>
        <v>Electronics</v>
      </c>
      <c r="I1700" t="str">
        <f>_xlfn.XLOOKUP(E1700,Store_Dim!A:A,Store_Dim!C:C,"Not Found")</f>
        <v>North</v>
      </c>
      <c r="J1700" t="str">
        <f>_xlfn.XLOOKUP(C1700,Customer_Dim!A:A,Customer_Dim!B:B,"Not Found")</f>
        <v>Jennifer Myers</v>
      </c>
      <c r="K1700">
        <v>3</v>
      </c>
      <c r="L1700" s="5">
        <v>407.39</v>
      </c>
      <c r="M1700">
        <v>0.08</v>
      </c>
      <c r="N1700" t="s">
        <v>1351</v>
      </c>
      <c r="O1700" s="5">
        <v>1124.3964000000001</v>
      </c>
    </row>
    <row r="1701" spans="1:15">
      <c r="A1701" t="s">
        <v>3050</v>
      </c>
      <c r="B1701" s="7">
        <v>45675</v>
      </c>
      <c r="C1701" t="s">
        <v>185</v>
      </c>
      <c r="D1701" t="s">
        <v>1127</v>
      </c>
      <c r="E1701" t="s">
        <v>1324</v>
      </c>
      <c r="F1701" t="str">
        <f>[1]Raw_Customer_Dim!$A$2</f>
        <v>CUST1000</v>
      </c>
      <c r="G1701" t="str">
        <f>_xlfn.XLOOKUP(E1701,Store_Dim!A:A,Store_Dim!B:B,"Not Found")</f>
        <v>Mcdonald Inc</v>
      </c>
      <c r="H1701" t="str">
        <f>_xlfn.XLOOKUP(D1701,Product_Dim!A:A,Product_Dim!C:C,"Not Found")</f>
        <v>Home</v>
      </c>
      <c r="I1701" t="str">
        <f>_xlfn.XLOOKUP(E1701,Store_Dim!A:A,Store_Dim!C:C,"Not Found")</f>
        <v>South</v>
      </c>
      <c r="J1701" t="str">
        <f>_xlfn.XLOOKUP(C1701,Customer_Dim!A:A,Customer_Dim!B:B,"Not Found")</f>
        <v>Mr. Mark Beasley</v>
      </c>
      <c r="K1701">
        <v>4</v>
      </c>
      <c r="L1701" s="5">
        <v>459.83</v>
      </c>
      <c r="M1701">
        <v>0.12</v>
      </c>
      <c r="N1701" t="s">
        <v>1354</v>
      </c>
      <c r="O1701" s="5">
        <v>1618.6016</v>
      </c>
    </row>
    <row r="1702" spans="1:15">
      <c r="A1702" t="s">
        <v>3051</v>
      </c>
      <c r="B1702" s="7">
        <v>45333</v>
      </c>
      <c r="C1702" t="s">
        <v>355</v>
      </c>
      <c r="D1702" t="s">
        <v>1259</v>
      </c>
      <c r="E1702" t="s">
        <v>1294</v>
      </c>
      <c r="F1702" t="str">
        <f>[1]Raw_Customer_Dim!$A$2</f>
        <v>CUST1000</v>
      </c>
      <c r="G1702" t="str">
        <f>_xlfn.XLOOKUP(E1702,Store_Dim!A:A,Store_Dim!B:B,"Not Found")</f>
        <v>Alexander Group</v>
      </c>
      <c r="H1702" t="str">
        <f>_xlfn.XLOOKUP(D1702,Product_Dim!A:A,Product_Dim!C:C,"Not Found")</f>
        <v>Electronics</v>
      </c>
      <c r="I1702" t="str">
        <f>_xlfn.XLOOKUP(E1702,Store_Dim!A:A,Store_Dim!C:C,"Not Found")</f>
        <v>South</v>
      </c>
      <c r="J1702" t="str">
        <f>_xlfn.XLOOKUP(C1702,Customer_Dim!A:A,Customer_Dim!B:B,"Not Found")</f>
        <v>Rhonda Young</v>
      </c>
      <c r="K1702">
        <v>3</v>
      </c>
      <c r="L1702" s="5">
        <v>706.6</v>
      </c>
      <c r="M1702">
        <v>0.17</v>
      </c>
      <c r="N1702" t="s">
        <v>1351</v>
      </c>
      <c r="O1702" s="5">
        <v>1759.434</v>
      </c>
    </row>
    <row r="1703" spans="1:15">
      <c r="A1703" t="s">
        <v>3052</v>
      </c>
      <c r="B1703" s="7">
        <v>45819</v>
      </c>
      <c r="C1703" t="s">
        <v>986</v>
      </c>
      <c r="D1703" t="s">
        <v>1255</v>
      </c>
      <c r="E1703" t="s">
        <v>1338</v>
      </c>
      <c r="F1703" t="str">
        <f>[1]Raw_Customer_Dim!$A$2</f>
        <v>CUST1000</v>
      </c>
      <c r="G1703" t="str">
        <f>_xlfn.XLOOKUP(E1703,Store_Dim!A:A,Store_Dim!B:B,"Not Found")</f>
        <v>Mann-Austin</v>
      </c>
      <c r="H1703" t="str">
        <f>_xlfn.XLOOKUP(D1703,Product_Dim!A:A,Product_Dim!C:C,"Not Found")</f>
        <v>Clothing</v>
      </c>
      <c r="I1703" t="str">
        <f>_xlfn.XLOOKUP(E1703,Store_Dim!A:A,Store_Dim!C:C,"Not Found")</f>
        <v>East</v>
      </c>
      <c r="J1703" t="str">
        <f>_xlfn.XLOOKUP(C1703,Customer_Dim!A:A,Customer_Dim!B:B,"Not Found")</f>
        <v>Beth Martin</v>
      </c>
      <c r="K1703">
        <v>3</v>
      </c>
      <c r="L1703" s="5">
        <v>811.16</v>
      </c>
      <c r="M1703">
        <v>0.1</v>
      </c>
      <c r="N1703" t="s">
        <v>1354</v>
      </c>
      <c r="O1703" s="5">
        <v>2190.1320000000001</v>
      </c>
    </row>
    <row r="1704" spans="1:15">
      <c r="A1704" t="s">
        <v>3053</v>
      </c>
      <c r="B1704" s="7">
        <v>45268</v>
      </c>
      <c r="C1704" t="s">
        <v>496</v>
      </c>
      <c r="D1704" t="s">
        <v>1147</v>
      </c>
      <c r="E1704" t="s">
        <v>1304</v>
      </c>
      <c r="F1704" t="str">
        <f>[1]Raw_Customer_Dim!$A$2</f>
        <v>CUST1000</v>
      </c>
      <c r="G1704" t="str">
        <f>_xlfn.XLOOKUP(E1704,Store_Dim!A:A,Store_Dim!B:B,"Not Found")</f>
        <v>Martinez-Mullins</v>
      </c>
      <c r="H1704" t="str">
        <f>_xlfn.XLOOKUP(D1704,Product_Dim!A:A,Product_Dim!C:C,"Not Found")</f>
        <v>Clothing</v>
      </c>
      <c r="I1704" t="str">
        <f>_xlfn.XLOOKUP(E1704,Store_Dim!A:A,Store_Dim!C:C,"Not Found")</f>
        <v>South</v>
      </c>
      <c r="J1704" t="str">
        <f>_xlfn.XLOOKUP(C1704,Customer_Dim!A:A,Customer_Dim!B:B,"Not Found")</f>
        <v>Kathy Copeland</v>
      </c>
      <c r="K1704">
        <v>2</v>
      </c>
      <c r="L1704" s="5">
        <v>985.79</v>
      </c>
      <c r="M1704">
        <v>0.04</v>
      </c>
      <c r="N1704" t="s">
        <v>1351</v>
      </c>
      <c r="O1704" s="5">
        <v>1892.7167999999999</v>
      </c>
    </row>
    <row r="1705" spans="1:15">
      <c r="A1705" t="s">
        <v>3054</v>
      </c>
      <c r="B1705" s="7">
        <v>45521</v>
      </c>
      <c r="C1705" t="s">
        <v>436</v>
      </c>
      <c r="D1705" t="s">
        <v>1139</v>
      </c>
      <c r="E1705" t="s">
        <v>1324</v>
      </c>
      <c r="F1705" t="str">
        <f>[1]Raw_Customer_Dim!$A$2</f>
        <v>CUST1000</v>
      </c>
      <c r="G1705" t="str">
        <f>_xlfn.XLOOKUP(E1705,Store_Dim!A:A,Store_Dim!B:B,"Not Found")</f>
        <v>Mcdonald Inc</v>
      </c>
      <c r="H1705" t="str">
        <f>_xlfn.XLOOKUP(D1705,Product_Dim!A:A,Product_Dim!C:C,"Not Found")</f>
        <v>Home</v>
      </c>
      <c r="I1705" t="str">
        <f>_xlfn.XLOOKUP(E1705,Store_Dim!A:A,Store_Dim!C:C,"Not Found")</f>
        <v>South</v>
      </c>
      <c r="J1705" t="str">
        <f>_xlfn.XLOOKUP(C1705,Customer_Dim!A:A,Customer_Dim!B:B,"Not Found")</f>
        <v>Dr. Suzanne Bullock</v>
      </c>
      <c r="K1705">
        <v>1</v>
      </c>
      <c r="L1705" s="5">
        <v>255.02</v>
      </c>
      <c r="M1705">
        <v>0.3</v>
      </c>
      <c r="N1705" t="s">
        <v>1349</v>
      </c>
      <c r="O1705" s="5">
        <v>178.51400000000001</v>
      </c>
    </row>
    <row r="1706" spans="1:15">
      <c r="A1706" t="s">
        <v>3055</v>
      </c>
      <c r="B1706" s="7">
        <v>45693</v>
      </c>
      <c r="C1706" t="s">
        <v>248</v>
      </c>
      <c r="D1706" t="s">
        <v>1111</v>
      </c>
      <c r="E1706" t="s">
        <v>1307</v>
      </c>
      <c r="F1706" t="str">
        <f>[1]Raw_Customer_Dim!$A$2</f>
        <v>CUST1000</v>
      </c>
      <c r="G1706" t="str">
        <f>_xlfn.XLOOKUP(E1706,Store_Dim!A:A,Store_Dim!B:B,"Not Found")</f>
        <v>Bean, Jones and Park</v>
      </c>
      <c r="H1706" t="str">
        <f>_xlfn.XLOOKUP(D1706,Product_Dim!A:A,Product_Dim!C:C,"Not Found")</f>
        <v>Sports</v>
      </c>
      <c r="I1706" t="str">
        <f>_xlfn.XLOOKUP(E1706,Store_Dim!A:A,Store_Dim!C:C,"Not Found")</f>
        <v>West</v>
      </c>
      <c r="J1706" t="str">
        <f>_xlfn.XLOOKUP(C1706,Customer_Dim!A:A,Customer_Dim!B:B,"Not Found")</f>
        <v>Amy Fowler</v>
      </c>
      <c r="K1706">
        <v>1</v>
      </c>
      <c r="L1706" s="5">
        <v>153.57</v>
      </c>
      <c r="M1706">
        <v>0.01</v>
      </c>
      <c r="N1706" t="s">
        <v>1351</v>
      </c>
      <c r="O1706" s="5">
        <v>152.0343</v>
      </c>
    </row>
    <row r="1707" spans="1:15">
      <c r="A1707" t="s">
        <v>3056</v>
      </c>
      <c r="B1707" s="7">
        <v>45734</v>
      </c>
      <c r="C1707" t="s">
        <v>569</v>
      </c>
      <c r="D1707" t="s">
        <v>1159</v>
      </c>
      <c r="E1707" t="s">
        <v>1335</v>
      </c>
      <c r="F1707" t="str">
        <f>[1]Raw_Customer_Dim!$A$2</f>
        <v>CUST1000</v>
      </c>
      <c r="G1707" t="str">
        <f>_xlfn.XLOOKUP(E1707,Store_Dim!A:A,Store_Dim!B:B,"Not Found")</f>
        <v>Guerrero-Schmitt</v>
      </c>
      <c r="H1707" t="str">
        <f>_xlfn.XLOOKUP(D1707,Product_Dim!A:A,Product_Dim!C:C,"Not Found")</f>
        <v>Electronics</v>
      </c>
      <c r="I1707" t="str">
        <f>_xlfn.XLOOKUP(E1707,Store_Dim!A:A,Store_Dim!C:C,"Not Found")</f>
        <v>East</v>
      </c>
      <c r="J1707" t="str">
        <f>_xlfn.XLOOKUP(C1707,Customer_Dim!A:A,Customer_Dim!B:B,"Not Found")</f>
        <v>Dr. Ashley Yates MD</v>
      </c>
      <c r="K1707">
        <v>3</v>
      </c>
      <c r="L1707" s="5">
        <v>962.98</v>
      </c>
      <c r="M1707">
        <v>0.21</v>
      </c>
      <c r="N1707" t="s">
        <v>1349</v>
      </c>
      <c r="O1707" s="5">
        <v>2282.2626</v>
      </c>
    </row>
    <row r="1708" spans="1:15">
      <c r="A1708" t="s">
        <v>3057</v>
      </c>
      <c r="B1708" s="7">
        <v>45377</v>
      </c>
      <c r="C1708" t="s">
        <v>159</v>
      </c>
      <c r="D1708" t="s">
        <v>1161</v>
      </c>
      <c r="E1708" t="s">
        <v>1307</v>
      </c>
      <c r="F1708" t="str">
        <f>[1]Raw_Customer_Dim!$A$2</f>
        <v>CUST1000</v>
      </c>
      <c r="G1708" t="str">
        <f>_xlfn.XLOOKUP(E1708,Store_Dim!A:A,Store_Dim!B:B,"Not Found")</f>
        <v>Bean, Jones and Park</v>
      </c>
      <c r="H1708" t="str">
        <f>_xlfn.XLOOKUP(D1708,Product_Dim!A:A,Product_Dim!C:C,"Not Found")</f>
        <v>Sports</v>
      </c>
      <c r="I1708" t="str">
        <f>_xlfn.XLOOKUP(E1708,Store_Dim!A:A,Store_Dim!C:C,"Not Found")</f>
        <v>West</v>
      </c>
      <c r="J1708" t="str">
        <f>_xlfn.XLOOKUP(C1708,Customer_Dim!A:A,Customer_Dim!B:B,"Not Found")</f>
        <v>Jay Patel</v>
      </c>
      <c r="K1708">
        <v>3</v>
      </c>
      <c r="L1708" s="5">
        <v>884.46</v>
      </c>
      <c r="M1708">
        <v>0.25</v>
      </c>
      <c r="N1708" t="s">
        <v>1349</v>
      </c>
      <c r="O1708" s="5">
        <v>1990.0350000000001</v>
      </c>
    </row>
    <row r="1709" spans="1:15">
      <c r="A1709" t="s">
        <v>3058</v>
      </c>
      <c r="B1709" s="7">
        <v>45778</v>
      </c>
      <c r="C1709" t="s">
        <v>937</v>
      </c>
      <c r="D1709" t="s">
        <v>1207</v>
      </c>
      <c r="E1709" t="s">
        <v>1314</v>
      </c>
      <c r="F1709" t="str">
        <f>[1]Raw_Customer_Dim!$A$2</f>
        <v>CUST1000</v>
      </c>
      <c r="G1709" t="str">
        <f>_xlfn.XLOOKUP(E1709,Store_Dim!A:A,Store_Dim!B:B,"Not Found")</f>
        <v>Hill, Wagner and Ballard</v>
      </c>
      <c r="H1709" t="str">
        <f>_xlfn.XLOOKUP(D1709,Product_Dim!A:A,Product_Dim!C:C,"Not Found")</f>
        <v>Electronics</v>
      </c>
      <c r="I1709" t="str">
        <f>_xlfn.XLOOKUP(E1709,Store_Dim!A:A,Store_Dim!C:C,"Not Found")</f>
        <v>East</v>
      </c>
      <c r="J1709" t="str">
        <f>_xlfn.XLOOKUP(C1709,Customer_Dim!A:A,Customer_Dim!B:B,"Not Found")</f>
        <v>Melinda Rivera</v>
      </c>
      <c r="K1709">
        <v>4</v>
      </c>
      <c r="L1709" s="5">
        <v>359.71</v>
      </c>
      <c r="M1709">
        <v>0.05</v>
      </c>
      <c r="N1709" t="s">
        <v>1351</v>
      </c>
      <c r="O1709" s="5">
        <v>1366.8979999999999</v>
      </c>
    </row>
    <row r="1710" spans="1:15">
      <c r="A1710" t="s">
        <v>3059</v>
      </c>
      <c r="B1710" s="7">
        <v>45715</v>
      </c>
      <c r="C1710" t="s">
        <v>145</v>
      </c>
      <c r="D1710" t="s">
        <v>1173</v>
      </c>
      <c r="E1710" t="s">
        <v>1294</v>
      </c>
      <c r="F1710" t="str">
        <f>[1]Raw_Customer_Dim!$A$2</f>
        <v>CUST1000</v>
      </c>
      <c r="G1710" t="str">
        <f>_xlfn.XLOOKUP(E1710,Store_Dim!A:A,Store_Dim!B:B,"Not Found")</f>
        <v>Alexander Group</v>
      </c>
      <c r="H1710" t="str">
        <f>_xlfn.XLOOKUP(D1710,Product_Dim!A:A,Product_Dim!C:C,"Not Found")</f>
        <v>Sports</v>
      </c>
      <c r="I1710" t="str">
        <f>_xlfn.XLOOKUP(E1710,Store_Dim!A:A,Store_Dim!C:C,"Not Found")</f>
        <v>South</v>
      </c>
      <c r="J1710" t="str">
        <f>_xlfn.XLOOKUP(C1710,Customer_Dim!A:A,Customer_Dim!B:B,"Not Found")</f>
        <v>Sarah Rodgers</v>
      </c>
      <c r="K1710">
        <v>3</v>
      </c>
      <c r="L1710" s="5">
        <v>766.47</v>
      </c>
      <c r="M1710">
        <v>0.18</v>
      </c>
      <c r="N1710" t="s">
        <v>1349</v>
      </c>
      <c r="O1710" s="5">
        <v>1885.5162</v>
      </c>
    </row>
    <row r="1711" spans="1:15">
      <c r="A1711" t="s">
        <v>3060</v>
      </c>
      <c r="B1711" s="7">
        <v>45492</v>
      </c>
      <c r="C1711" t="s">
        <v>509</v>
      </c>
      <c r="D1711" t="s">
        <v>1185</v>
      </c>
      <c r="E1711" t="s">
        <v>1335</v>
      </c>
      <c r="F1711" t="str">
        <f>[1]Raw_Customer_Dim!$A$2</f>
        <v>CUST1000</v>
      </c>
      <c r="G1711" t="str">
        <f>_xlfn.XLOOKUP(E1711,Store_Dim!A:A,Store_Dim!B:B,"Not Found")</f>
        <v>Guerrero-Schmitt</v>
      </c>
      <c r="H1711" t="str">
        <f>_xlfn.XLOOKUP(D1711,Product_Dim!A:A,Product_Dim!C:C,"Not Found")</f>
        <v>Home</v>
      </c>
      <c r="I1711" t="str">
        <f>_xlfn.XLOOKUP(E1711,Store_Dim!A:A,Store_Dim!C:C,"Not Found")</f>
        <v>East</v>
      </c>
      <c r="J1711" t="str">
        <f>_xlfn.XLOOKUP(C1711,Customer_Dim!A:A,Customer_Dim!B:B,"Not Found")</f>
        <v>Robert Harris</v>
      </c>
      <c r="K1711">
        <v>1</v>
      </c>
      <c r="L1711" s="5">
        <v>772.07</v>
      </c>
      <c r="M1711">
        <v>0.26</v>
      </c>
      <c r="N1711" t="s">
        <v>1351</v>
      </c>
      <c r="O1711" s="5">
        <v>571.33180000000004</v>
      </c>
    </row>
    <row r="1712" spans="1:15">
      <c r="A1712" t="s">
        <v>3061</v>
      </c>
      <c r="B1712" s="7">
        <v>45292</v>
      </c>
      <c r="C1712" t="s">
        <v>618</v>
      </c>
      <c r="D1712" t="s">
        <v>1111</v>
      </c>
      <c r="E1712" t="s">
        <v>1298</v>
      </c>
      <c r="F1712" t="str">
        <f>[1]Raw_Customer_Dim!$A$2</f>
        <v>CUST1000</v>
      </c>
      <c r="G1712" t="str">
        <f>_xlfn.XLOOKUP(E1712,Store_Dim!A:A,Store_Dim!B:B,"Not Found")</f>
        <v>Gray Ltd</v>
      </c>
      <c r="H1712" t="str">
        <f>_xlfn.XLOOKUP(D1712,Product_Dim!A:A,Product_Dim!C:C,"Not Found")</f>
        <v>Sports</v>
      </c>
      <c r="I1712" t="str">
        <f>_xlfn.XLOOKUP(E1712,Store_Dim!A:A,Store_Dim!C:C,"Not Found")</f>
        <v>North</v>
      </c>
      <c r="J1712" t="str">
        <f>_xlfn.XLOOKUP(C1712,Customer_Dim!A:A,Customer_Dim!B:B,"Not Found")</f>
        <v>Jeffrey Gomez</v>
      </c>
      <c r="K1712">
        <v>3</v>
      </c>
      <c r="L1712" s="5">
        <v>108.31</v>
      </c>
      <c r="M1712">
        <v>0.26</v>
      </c>
      <c r="N1712" t="s">
        <v>1354</v>
      </c>
      <c r="O1712" s="5">
        <v>240.44820000000001</v>
      </c>
    </row>
    <row r="1713" spans="1:15">
      <c r="A1713" t="s">
        <v>3062</v>
      </c>
      <c r="B1713" s="7">
        <v>45316</v>
      </c>
      <c r="C1713" t="s">
        <v>498</v>
      </c>
      <c r="D1713" t="s">
        <v>1231</v>
      </c>
      <c r="E1713" t="s">
        <v>1301</v>
      </c>
      <c r="F1713" t="str">
        <f>[1]Raw_Customer_Dim!$A$2</f>
        <v>CUST1000</v>
      </c>
      <c r="G1713" t="str">
        <f>_xlfn.XLOOKUP(E1713,Store_Dim!A:A,Store_Dim!B:B,"Not Found")</f>
        <v>Benson-Elliott</v>
      </c>
      <c r="H1713" t="str">
        <f>_xlfn.XLOOKUP(D1713,Product_Dim!A:A,Product_Dim!C:C,"Not Found")</f>
        <v>Home</v>
      </c>
      <c r="I1713" t="str">
        <f>_xlfn.XLOOKUP(E1713,Store_Dim!A:A,Store_Dim!C:C,"Not Found")</f>
        <v>East</v>
      </c>
      <c r="J1713" t="str">
        <f>_xlfn.XLOOKUP(C1713,Customer_Dim!A:A,Customer_Dim!B:B,"Not Found")</f>
        <v>Julia Jackson</v>
      </c>
      <c r="K1713">
        <v>1</v>
      </c>
      <c r="L1713" s="5">
        <v>502.53</v>
      </c>
      <c r="M1713">
        <v>0</v>
      </c>
      <c r="N1713" t="s">
        <v>1351</v>
      </c>
      <c r="O1713" s="5">
        <v>502.53</v>
      </c>
    </row>
    <row r="1714" spans="1:15">
      <c r="A1714" t="s">
        <v>3063</v>
      </c>
      <c r="B1714" s="7">
        <v>45548</v>
      </c>
      <c r="C1714" t="s">
        <v>204</v>
      </c>
      <c r="D1714" t="s">
        <v>1071</v>
      </c>
      <c r="E1714" t="s">
        <v>1329</v>
      </c>
      <c r="F1714" t="str">
        <f>[1]Raw_Customer_Dim!$A$2</f>
        <v>CUST1000</v>
      </c>
      <c r="G1714" t="str">
        <f>_xlfn.XLOOKUP(E1714,Store_Dim!A:A,Store_Dim!B:B,"Not Found")</f>
        <v>Frederick-Wright</v>
      </c>
      <c r="H1714" t="str">
        <f>_xlfn.XLOOKUP(D1714,Product_Dim!A:A,Product_Dim!C:C,"Not Found")</f>
        <v>Clothing</v>
      </c>
      <c r="I1714" t="str">
        <f>_xlfn.XLOOKUP(E1714,Store_Dim!A:A,Store_Dim!C:C,"Not Found")</f>
        <v>West</v>
      </c>
      <c r="J1714" t="str">
        <f>_xlfn.XLOOKUP(C1714,Customer_Dim!A:A,Customer_Dim!B:B,"Not Found")</f>
        <v>Nathan Campbell</v>
      </c>
      <c r="K1714">
        <v>2</v>
      </c>
      <c r="L1714" s="5">
        <v>508.52</v>
      </c>
      <c r="M1714">
        <v>0.11</v>
      </c>
      <c r="N1714" t="s">
        <v>1354</v>
      </c>
      <c r="O1714" s="5">
        <v>905.16559999999993</v>
      </c>
    </row>
    <row r="1715" spans="1:15">
      <c r="A1715" t="s">
        <v>3064</v>
      </c>
      <c r="B1715" s="7">
        <v>45572</v>
      </c>
      <c r="C1715" t="s">
        <v>998</v>
      </c>
      <c r="D1715" t="s">
        <v>1221</v>
      </c>
      <c r="E1715" t="s">
        <v>1291</v>
      </c>
      <c r="F1715" t="str">
        <f>[1]Raw_Customer_Dim!$A$2</f>
        <v>CUST1000</v>
      </c>
      <c r="G1715" t="str">
        <f>_xlfn.XLOOKUP(E1715,Store_Dim!A:A,Store_Dim!B:B,"Not Found")</f>
        <v>Johnson-Wright</v>
      </c>
      <c r="H1715" t="str">
        <f>_xlfn.XLOOKUP(D1715,Product_Dim!A:A,Product_Dim!C:C,"Not Found")</f>
        <v>Electronics</v>
      </c>
      <c r="I1715" t="str">
        <f>_xlfn.XLOOKUP(E1715,Store_Dim!A:A,Store_Dim!C:C,"Not Found")</f>
        <v>North</v>
      </c>
      <c r="J1715" t="str">
        <f>_xlfn.XLOOKUP(C1715,Customer_Dim!A:A,Customer_Dim!B:B,"Not Found")</f>
        <v>Gregory Curtis</v>
      </c>
      <c r="K1715">
        <v>1</v>
      </c>
      <c r="L1715" s="5">
        <v>492</v>
      </c>
      <c r="M1715">
        <v>0.26</v>
      </c>
      <c r="N1715" t="s">
        <v>1351</v>
      </c>
      <c r="O1715" s="5">
        <v>364.08</v>
      </c>
    </row>
    <row r="1716" spans="1:15">
      <c r="A1716" t="s">
        <v>3065</v>
      </c>
      <c r="B1716" s="7">
        <v>45347</v>
      </c>
      <c r="C1716" t="s">
        <v>1031</v>
      </c>
      <c r="D1716" t="s">
        <v>1147</v>
      </c>
      <c r="E1716" t="s">
        <v>1324</v>
      </c>
      <c r="F1716" t="str">
        <f>[1]Raw_Customer_Dim!$A$2</f>
        <v>CUST1000</v>
      </c>
      <c r="G1716" t="str">
        <f>_xlfn.XLOOKUP(E1716,Store_Dim!A:A,Store_Dim!B:B,"Not Found")</f>
        <v>Mcdonald Inc</v>
      </c>
      <c r="H1716" t="str">
        <f>_xlfn.XLOOKUP(D1716,Product_Dim!A:A,Product_Dim!C:C,"Not Found")</f>
        <v>Clothing</v>
      </c>
      <c r="I1716" t="str">
        <f>_xlfn.XLOOKUP(E1716,Store_Dim!A:A,Store_Dim!C:C,"Not Found")</f>
        <v>South</v>
      </c>
      <c r="J1716" t="str">
        <f>_xlfn.XLOOKUP(C1716,Customer_Dim!A:A,Customer_Dim!B:B,"Not Found")</f>
        <v>Sara Ingram</v>
      </c>
      <c r="K1716">
        <v>4</v>
      </c>
      <c r="L1716" s="5">
        <v>746.36</v>
      </c>
      <c r="M1716">
        <v>0.02</v>
      </c>
      <c r="N1716" t="s">
        <v>1349</v>
      </c>
      <c r="O1716" s="5">
        <v>2925.7312000000002</v>
      </c>
    </row>
    <row r="1717" spans="1:15">
      <c r="A1717" t="s">
        <v>3066</v>
      </c>
      <c r="B1717" s="7">
        <v>45823</v>
      </c>
      <c r="C1717" t="s">
        <v>929</v>
      </c>
      <c r="D1717" t="s">
        <v>1097</v>
      </c>
      <c r="E1717" t="s">
        <v>1282</v>
      </c>
      <c r="F1717" t="str">
        <f>[1]Raw_Customer_Dim!$A$2</f>
        <v>CUST1000</v>
      </c>
      <c r="G1717" t="str">
        <f>_xlfn.XLOOKUP(E1717,Store_Dim!A:A,Store_Dim!B:B,"Not Found")</f>
        <v>Martinez, Adkins and Johnson</v>
      </c>
      <c r="H1717" t="str">
        <f>_xlfn.XLOOKUP(D1717,Product_Dim!A:A,Product_Dim!C:C,"Not Found")</f>
        <v>Beauty</v>
      </c>
      <c r="I1717" t="str">
        <f>_xlfn.XLOOKUP(E1717,Store_Dim!A:A,Store_Dim!C:C,"Not Found")</f>
        <v>North</v>
      </c>
      <c r="J1717" t="str">
        <f>_xlfn.XLOOKUP(C1717,Customer_Dim!A:A,Customer_Dim!B:B,"Not Found")</f>
        <v>Thomas Moore</v>
      </c>
      <c r="K1717">
        <v>1</v>
      </c>
      <c r="L1717" s="5">
        <v>120.83</v>
      </c>
      <c r="M1717">
        <v>0.08</v>
      </c>
      <c r="N1717" t="s">
        <v>1349</v>
      </c>
      <c r="O1717" s="5">
        <v>111.1636</v>
      </c>
    </row>
    <row r="1718" spans="1:15">
      <c r="A1718" t="s">
        <v>3067</v>
      </c>
      <c r="B1718" s="7">
        <v>45394</v>
      </c>
      <c r="C1718" t="s">
        <v>861</v>
      </c>
      <c r="D1718" t="s">
        <v>1227</v>
      </c>
      <c r="E1718" t="s">
        <v>1335</v>
      </c>
      <c r="F1718" t="str">
        <f>[1]Raw_Customer_Dim!$A$2</f>
        <v>CUST1000</v>
      </c>
      <c r="G1718" t="str">
        <f>_xlfn.XLOOKUP(E1718,Store_Dim!A:A,Store_Dim!B:B,"Not Found")</f>
        <v>Guerrero-Schmitt</v>
      </c>
      <c r="H1718" t="str">
        <f>_xlfn.XLOOKUP(D1718,Product_Dim!A:A,Product_Dim!C:C,"Not Found")</f>
        <v>Electronics</v>
      </c>
      <c r="I1718" t="str">
        <f>_xlfn.XLOOKUP(E1718,Store_Dim!A:A,Store_Dim!C:C,"Not Found")</f>
        <v>East</v>
      </c>
      <c r="J1718" t="str">
        <f>_xlfn.XLOOKUP(C1718,Customer_Dim!A:A,Customer_Dim!B:B,"Not Found")</f>
        <v>John Donaldson</v>
      </c>
      <c r="K1718">
        <v>2</v>
      </c>
      <c r="L1718" s="5">
        <v>68.31</v>
      </c>
      <c r="M1718">
        <v>0.28999999999999998</v>
      </c>
      <c r="N1718" t="s">
        <v>1354</v>
      </c>
      <c r="O1718" s="5">
        <v>97.000199999999992</v>
      </c>
    </row>
    <row r="1719" spans="1:15">
      <c r="A1719" t="s">
        <v>3068</v>
      </c>
      <c r="B1719" s="7">
        <v>45265</v>
      </c>
      <c r="C1719" t="s">
        <v>170</v>
      </c>
      <c r="D1719" t="s">
        <v>1117</v>
      </c>
      <c r="E1719" t="s">
        <v>1335</v>
      </c>
      <c r="F1719" t="str">
        <f>[1]Raw_Customer_Dim!$A$2</f>
        <v>CUST1000</v>
      </c>
      <c r="G1719" t="str">
        <f>_xlfn.XLOOKUP(E1719,Store_Dim!A:A,Store_Dim!B:B,"Not Found")</f>
        <v>Guerrero-Schmitt</v>
      </c>
      <c r="H1719" t="str">
        <f>_xlfn.XLOOKUP(D1719,Product_Dim!A:A,Product_Dim!C:C,"Not Found")</f>
        <v>Sports</v>
      </c>
      <c r="I1719" t="str">
        <f>_xlfn.XLOOKUP(E1719,Store_Dim!A:A,Store_Dim!C:C,"Not Found")</f>
        <v>East</v>
      </c>
      <c r="J1719" t="str">
        <f>_xlfn.XLOOKUP(C1719,Customer_Dim!A:A,Customer_Dim!B:B,"Not Found")</f>
        <v>James Bean</v>
      </c>
      <c r="K1719">
        <v>2</v>
      </c>
      <c r="L1719" s="5">
        <v>761.71</v>
      </c>
      <c r="M1719">
        <v>0.02</v>
      </c>
      <c r="N1719" t="s">
        <v>1351</v>
      </c>
      <c r="O1719" s="5">
        <v>1492.9516000000001</v>
      </c>
    </row>
    <row r="1720" spans="1:15">
      <c r="A1720" t="s">
        <v>3069</v>
      </c>
      <c r="B1720" s="7">
        <v>45261</v>
      </c>
      <c r="C1720" t="s">
        <v>180</v>
      </c>
      <c r="D1720" t="s">
        <v>1229</v>
      </c>
      <c r="E1720" t="s">
        <v>1291</v>
      </c>
      <c r="F1720" t="str">
        <f>[1]Raw_Customer_Dim!$A$2</f>
        <v>CUST1000</v>
      </c>
      <c r="G1720" t="str">
        <f>_xlfn.XLOOKUP(E1720,Store_Dim!A:A,Store_Dim!B:B,"Not Found")</f>
        <v>Johnson-Wright</v>
      </c>
      <c r="H1720" t="str">
        <f>_xlfn.XLOOKUP(D1720,Product_Dim!A:A,Product_Dim!C:C,"Not Found")</f>
        <v>Home</v>
      </c>
      <c r="I1720" t="str">
        <f>_xlfn.XLOOKUP(E1720,Store_Dim!A:A,Store_Dim!C:C,"Not Found")</f>
        <v>North</v>
      </c>
      <c r="J1720" t="str">
        <f>_xlfn.XLOOKUP(C1720,Customer_Dim!A:A,Customer_Dim!B:B,"Not Found")</f>
        <v>Cody Diaz</v>
      </c>
      <c r="K1720">
        <v>4</v>
      </c>
      <c r="L1720" s="5">
        <v>346.37</v>
      </c>
      <c r="M1720">
        <v>0.18</v>
      </c>
      <c r="N1720" t="s">
        <v>1354</v>
      </c>
      <c r="O1720" s="5">
        <v>1136.0935999999999</v>
      </c>
    </row>
    <row r="1721" spans="1:15">
      <c r="A1721" t="s">
        <v>3070</v>
      </c>
      <c r="B1721" s="7">
        <v>45702</v>
      </c>
      <c r="C1721" t="s">
        <v>33</v>
      </c>
      <c r="D1721" t="s">
        <v>1183</v>
      </c>
      <c r="E1721" t="s">
        <v>1319</v>
      </c>
      <c r="F1721" t="str">
        <f>[1]Raw_Customer_Dim!$A$2</f>
        <v>CUST1000</v>
      </c>
      <c r="G1721" t="str">
        <f>_xlfn.XLOOKUP(E1721,Store_Dim!A:A,Store_Dim!B:B,"Not Found")</f>
        <v>Thomas, Bridges and Harris</v>
      </c>
      <c r="H1721" t="str">
        <f>_xlfn.XLOOKUP(D1721,Product_Dim!A:A,Product_Dim!C:C,"Not Found")</f>
        <v>Home</v>
      </c>
      <c r="I1721" t="str">
        <f>_xlfn.XLOOKUP(E1721,Store_Dim!A:A,Store_Dim!C:C,"Not Found")</f>
        <v>North</v>
      </c>
      <c r="J1721" t="str">
        <f>_xlfn.XLOOKUP(C1721,Customer_Dim!A:A,Customer_Dim!B:B,"Not Found")</f>
        <v>Daniel Boyd</v>
      </c>
      <c r="K1721">
        <v>1</v>
      </c>
      <c r="L1721" s="5">
        <v>846.3</v>
      </c>
      <c r="M1721">
        <v>0.14000000000000001</v>
      </c>
      <c r="N1721" t="s">
        <v>1351</v>
      </c>
      <c r="O1721" s="5">
        <v>727.81799999999998</v>
      </c>
    </row>
    <row r="1722" spans="1:15">
      <c r="A1722" t="s">
        <v>3071</v>
      </c>
      <c r="B1722" s="7">
        <v>45624</v>
      </c>
      <c r="C1722" t="s">
        <v>927</v>
      </c>
      <c r="D1722" t="s">
        <v>1068</v>
      </c>
      <c r="E1722" t="s">
        <v>1338</v>
      </c>
      <c r="F1722" t="str">
        <f>[1]Raw_Customer_Dim!$A$2</f>
        <v>CUST1000</v>
      </c>
      <c r="G1722" t="str">
        <f>_xlfn.XLOOKUP(E1722,Store_Dim!A:A,Store_Dim!B:B,"Not Found")</f>
        <v>Mann-Austin</v>
      </c>
      <c r="H1722" t="str">
        <f>_xlfn.XLOOKUP(D1722,Product_Dim!A:A,Product_Dim!C:C,"Not Found")</f>
        <v>Electronics</v>
      </c>
      <c r="I1722" t="str">
        <f>_xlfn.XLOOKUP(E1722,Store_Dim!A:A,Store_Dim!C:C,"Not Found")</f>
        <v>East</v>
      </c>
      <c r="J1722" t="str">
        <f>_xlfn.XLOOKUP(C1722,Customer_Dim!A:A,Customer_Dim!B:B,"Not Found")</f>
        <v>Summer Weiss</v>
      </c>
      <c r="K1722">
        <v>1</v>
      </c>
      <c r="L1722" s="5">
        <v>458.97</v>
      </c>
      <c r="M1722">
        <v>0.1</v>
      </c>
      <c r="N1722" t="s">
        <v>1351</v>
      </c>
      <c r="O1722" s="5">
        <v>413.07299999999998</v>
      </c>
    </row>
    <row r="1723" spans="1:15">
      <c r="A1723" t="s">
        <v>3072</v>
      </c>
      <c r="B1723" s="7">
        <v>45736</v>
      </c>
      <c r="C1723" t="s">
        <v>642</v>
      </c>
      <c r="D1723" t="s">
        <v>1159</v>
      </c>
      <c r="E1723" t="s">
        <v>1304</v>
      </c>
      <c r="F1723" t="str">
        <f>[1]Raw_Customer_Dim!$A$2</f>
        <v>CUST1000</v>
      </c>
      <c r="G1723" t="str">
        <f>_xlfn.XLOOKUP(E1723,Store_Dim!A:A,Store_Dim!B:B,"Not Found")</f>
        <v>Martinez-Mullins</v>
      </c>
      <c r="H1723" t="str">
        <f>_xlfn.XLOOKUP(D1723,Product_Dim!A:A,Product_Dim!C:C,"Not Found")</f>
        <v>Electronics</v>
      </c>
      <c r="I1723" t="str">
        <f>_xlfn.XLOOKUP(E1723,Store_Dim!A:A,Store_Dim!C:C,"Not Found")</f>
        <v>South</v>
      </c>
      <c r="J1723" t="str">
        <f>_xlfn.XLOOKUP(C1723,Customer_Dim!A:A,Customer_Dim!B:B,"Not Found")</f>
        <v>Jennifer Figueroa</v>
      </c>
      <c r="K1723">
        <v>2</v>
      </c>
      <c r="L1723" s="5">
        <v>536.61</v>
      </c>
      <c r="M1723">
        <v>0.14000000000000001</v>
      </c>
      <c r="N1723" t="s">
        <v>1349</v>
      </c>
      <c r="O1723" s="5">
        <v>922.9692</v>
      </c>
    </row>
    <row r="1724" spans="1:15">
      <c r="A1724" t="s">
        <v>3073</v>
      </c>
      <c r="B1724" s="7">
        <v>45709</v>
      </c>
      <c r="C1724" t="s">
        <v>903</v>
      </c>
      <c r="D1724" t="s">
        <v>1189</v>
      </c>
      <c r="E1724" t="s">
        <v>1277</v>
      </c>
      <c r="F1724" t="str">
        <f>[1]Raw_Customer_Dim!$A$2</f>
        <v>CUST1000</v>
      </c>
      <c r="G1724" t="str">
        <f>_xlfn.XLOOKUP(E1724,Store_Dim!A:A,Store_Dim!B:B,"Not Found")</f>
        <v>Rivera-Warner</v>
      </c>
      <c r="H1724" t="str">
        <f>_xlfn.XLOOKUP(D1724,Product_Dim!A:A,Product_Dim!C:C,"Not Found")</f>
        <v>Clothing</v>
      </c>
      <c r="I1724" t="str">
        <f>_xlfn.XLOOKUP(E1724,Store_Dim!A:A,Store_Dim!C:C,"Not Found")</f>
        <v>East</v>
      </c>
      <c r="J1724" t="str">
        <f>_xlfn.XLOOKUP(C1724,Customer_Dim!A:A,Customer_Dim!B:B,"Not Found")</f>
        <v>Dr. Tamara White MD</v>
      </c>
      <c r="K1724">
        <v>3</v>
      </c>
      <c r="L1724" s="5">
        <v>130.41</v>
      </c>
      <c r="M1724">
        <v>0.14000000000000001</v>
      </c>
      <c r="N1724" t="s">
        <v>1351</v>
      </c>
      <c r="O1724" s="5">
        <v>336.45780000000002</v>
      </c>
    </row>
    <row r="1725" spans="1:15">
      <c r="A1725" t="s">
        <v>3074</v>
      </c>
      <c r="B1725" s="7">
        <v>45738</v>
      </c>
      <c r="C1725" t="s">
        <v>1053</v>
      </c>
      <c r="D1725" t="s">
        <v>1251</v>
      </c>
      <c r="E1725" t="s">
        <v>1319</v>
      </c>
      <c r="F1725" t="str">
        <f>[1]Raw_Customer_Dim!$A$2</f>
        <v>CUST1000</v>
      </c>
      <c r="G1725" t="str">
        <f>_xlfn.XLOOKUP(E1725,Store_Dim!A:A,Store_Dim!B:B,"Not Found")</f>
        <v>Thomas, Bridges and Harris</v>
      </c>
      <c r="H1725" t="str">
        <f>_xlfn.XLOOKUP(D1725,Product_Dim!A:A,Product_Dim!C:C,"Not Found")</f>
        <v>Beauty</v>
      </c>
      <c r="I1725" t="str">
        <f>_xlfn.XLOOKUP(E1725,Store_Dim!A:A,Store_Dim!C:C,"Not Found")</f>
        <v>North</v>
      </c>
      <c r="J1725" t="str">
        <f>_xlfn.XLOOKUP(C1725,Customer_Dim!A:A,Customer_Dim!B:B,"Not Found")</f>
        <v>Christopher Ford</v>
      </c>
      <c r="K1725">
        <v>4</v>
      </c>
      <c r="L1725" s="5">
        <v>706.67</v>
      </c>
      <c r="M1725">
        <v>0.01</v>
      </c>
      <c r="N1725" t="s">
        <v>1349</v>
      </c>
      <c r="O1725" s="5">
        <v>2798.4132</v>
      </c>
    </row>
    <row r="1726" spans="1:15">
      <c r="A1726" t="s">
        <v>3075</v>
      </c>
      <c r="B1726" s="7">
        <v>45685</v>
      </c>
      <c r="C1726" t="s">
        <v>847</v>
      </c>
      <c r="D1726" t="s">
        <v>1127</v>
      </c>
      <c r="E1726" t="s">
        <v>1291</v>
      </c>
      <c r="F1726" t="str">
        <f>[1]Raw_Customer_Dim!$A$2</f>
        <v>CUST1000</v>
      </c>
      <c r="G1726" t="str">
        <f>_xlfn.XLOOKUP(E1726,Store_Dim!A:A,Store_Dim!B:B,"Not Found")</f>
        <v>Johnson-Wright</v>
      </c>
      <c r="H1726" t="str">
        <f>_xlfn.XLOOKUP(D1726,Product_Dim!A:A,Product_Dim!C:C,"Not Found")</f>
        <v>Home</v>
      </c>
      <c r="I1726" t="str">
        <f>_xlfn.XLOOKUP(E1726,Store_Dim!A:A,Store_Dim!C:C,"Not Found")</f>
        <v>North</v>
      </c>
      <c r="J1726" t="str">
        <f>_xlfn.XLOOKUP(C1726,Customer_Dim!A:A,Customer_Dim!B:B,"Not Found")</f>
        <v>Jacqueline Payne</v>
      </c>
      <c r="K1726">
        <v>3</v>
      </c>
      <c r="L1726" s="5">
        <v>523.45000000000005</v>
      </c>
      <c r="M1726">
        <v>0.17</v>
      </c>
      <c r="N1726" t="s">
        <v>1349</v>
      </c>
      <c r="O1726" s="5">
        <v>1303.3905</v>
      </c>
    </row>
    <row r="1727" spans="1:15">
      <c r="A1727" t="s">
        <v>3076</v>
      </c>
      <c r="B1727" s="7">
        <v>45701</v>
      </c>
      <c r="C1727" t="s">
        <v>39</v>
      </c>
      <c r="D1727" t="s">
        <v>1255</v>
      </c>
      <c r="E1727" t="s">
        <v>1335</v>
      </c>
      <c r="F1727" t="str">
        <f>[1]Raw_Customer_Dim!$A$2</f>
        <v>CUST1000</v>
      </c>
      <c r="G1727" t="str">
        <f>_xlfn.XLOOKUP(E1727,Store_Dim!A:A,Store_Dim!B:B,"Not Found")</f>
        <v>Guerrero-Schmitt</v>
      </c>
      <c r="H1727" t="str">
        <f>_xlfn.XLOOKUP(D1727,Product_Dim!A:A,Product_Dim!C:C,"Not Found")</f>
        <v>Clothing</v>
      </c>
      <c r="I1727" t="str">
        <f>_xlfn.XLOOKUP(E1727,Store_Dim!A:A,Store_Dim!C:C,"Not Found")</f>
        <v>East</v>
      </c>
      <c r="J1727" t="str">
        <f>_xlfn.XLOOKUP(C1727,Customer_Dim!A:A,Customer_Dim!B:B,"Not Found")</f>
        <v>Ms. Maria Leach</v>
      </c>
      <c r="K1727">
        <v>3</v>
      </c>
      <c r="L1727" s="5">
        <v>482.2</v>
      </c>
      <c r="M1727">
        <v>0.23</v>
      </c>
      <c r="N1727" t="s">
        <v>1354</v>
      </c>
      <c r="O1727" s="5">
        <v>1113.8820000000001</v>
      </c>
    </row>
    <row r="1728" spans="1:15">
      <c r="A1728" t="s">
        <v>3077</v>
      </c>
      <c r="B1728" s="7">
        <v>45745</v>
      </c>
      <c r="C1728" t="s">
        <v>308</v>
      </c>
      <c r="D1728" t="s">
        <v>1199</v>
      </c>
      <c r="E1728" t="s">
        <v>1298</v>
      </c>
      <c r="F1728" t="str">
        <f>[1]Raw_Customer_Dim!$A$2</f>
        <v>CUST1000</v>
      </c>
      <c r="G1728" t="str">
        <f>_xlfn.XLOOKUP(E1728,Store_Dim!A:A,Store_Dim!B:B,"Not Found")</f>
        <v>Gray Ltd</v>
      </c>
      <c r="H1728" t="str">
        <f>_xlfn.XLOOKUP(D1728,Product_Dim!A:A,Product_Dim!C:C,"Not Found")</f>
        <v>Beauty</v>
      </c>
      <c r="I1728" t="str">
        <f>_xlfn.XLOOKUP(E1728,Store_Dim!A:A,Store_Dim!C:C,"Not Found")</f>
        <v>North</v>
      </c>
      <c r="J1728" t="str">
        <f>_xlfn.XLOOKUP(C1728,Customer_Dim!A:A,Customer_Dim!B:B,"Not Found")</f>
        <v>Donald Lee</v>
      </c>
      <c r="K1728">
        <v>4</v>
      </c>
      <c r="L1728" s="5">
        <v>688.86</v>
      </c>
      <c r="M1728">
        <v>0.02</v>
      </c>
      <c r="N1728" t="s">
        <v>1354</v>
      </c>
      <c r="O1728" s="5">
        <v>2700.3312000000001</v>
      </c>
    </row>
    <row r="1729" spans="1:15">
      <c r="A1729" t="s">
        <v>3078</v>
      </c>
      <c r="B1729" s="7">
        <v>45214</v>
      </c>
      <c r="C1729" t="s">
        <v>77</v>
      </c>
      <c r="D1729" t="s">
        <v>1097</v>
      </c>
      <c r="E1729" t="s">
        <v>1277</v>
      </c>
      <c r="F1729" t="str">
        <f>[1]Raw_Customer_Dim!$A$2</f>
        <v>CUST1000</v>
      </c>
      <c r="G1729" t="str">
        <f>_xlfn.XLOOKUP(E1729,Store_Dim!A:A,Store_Dim!B:B,"Not Found")</f>
        <v>Rivera-Warner</v>
      </c>
      <c r="H1729" t="str">
        <f>_xlfn.XLOOKUP(D1729,Product_Dim!A:A,Product_Dim!C:C,"Not Found")</f>
        <v>Beauty</v>
      </c>
      <c r="I1729" t="str">
        <f>_xlfn.XLOOKUP(E1729,Store_Dim!A:A,Store_Dim!C:C,"Not Found")</f>
        <v>East</v>
      </c>
      <c r="J1729" t="str">
        <f>_xlfn.XLOOKUP(C1729,Customer_Dim!A:A,Customer_Dim!B:B,"Not Found")</f>
        <v>Jonathan Steele</v>
      </c>
      <c r="K1729">
        <v>1</v>
      </c>
      <c r="L1729" s="5">
        <v>145.47999999999999</v>
      </c>
      <c r="M1729">
        <v>0.1</v>
      </c>
      <c r="N1729" t="s">
        <v>1354</v>
      </c>
      <c r="O1729" s="5">
        <v>130.93199999999999</v>
      </c>
    </row>
    <row r="1730" spans="1:15">
      <c r="A1730" t="s">
        <v>3079</v>
      </c>
      <c r="B1730" s="7">
        <v>45547</v>
      </c>
      <c r="C1730" t="s">
        <v>147</v>
      </c>
      <c r="D1730" t="s">
        <v>1135</v>
      </c>
      <c r="E1730" t="s">
        <v>1317</v>
      </c>
      <c r="F1730" t="str">
        <f>[1]Raw_Customer_Dim!$A$2</f>
        <v>CUST1000</v>
      </c>
      <c r="G1730" t="str">
        <f>_xlfn.XLOOKUP(E1730,Store_Dim!A:A,Store_Dim!B:B,"Not Found")</f>
        <v>Aguirre-Keller</v>
      </c>
      <c r="H1730" t="str">
        <f>_xlfn.XLOOKUP(D1730,Product_Dim!A:A,Product_Dim!C:C,"Not Found")</f>
        <v>Sports</v>
      </c>
      <c r="I1730" t="str">
        <f>_xlfn.XLOOKUP(E1730,Store_Dim!A:A,Store_Dim!C:C,"Not Found")</f>
        <v>South</v>
      </c>
      <c r="J1730" t="str">
        <f>_xlfn.XLOOKUP(C1730,Customer_Dim!A:A,Customer_Dim!B:B,"Not Found")</f>
        <v>Debra Liu</v>
      </c>
      <c r="K1730">
        <v>4</v>
      </c>
      <c r="L1730" s="5">
        <v>862.25</v>
      </c>
      <c r="M1730">
        <v>0.28000000000000003</v>
      </c>
      <c r="N1730" t="s">
        <v>1351</v>
      </c>
      <c r="O1730" s="5">
        <v>2483.2800000000002</v>
      </c>
    </row>
    <row r="1731" spans="1:15">
      <c r="A1731" t="s">
        <v>3080</v>
      </c>
      <c r="B1731" s="7">
        <v>45296</v>
      </c>
      <c r="C1731" t="s">
        <v>648</v>
      </c>
      <c r="D1731" t="s">
        <v>1071</v>
      </c>
      <c r="E1731" t="s">
        <v>1324</v>
      </c>
      <c r="F1731" t="str">
        <f>[1]Raw_Customer_Dim!$A$2</f>
        <v>CUST1000</v>
      </c>
      <c r="G1731" t="str">
        <f>_xlfn.XLOOKUP(E1731,Store_Dim!A:A,Store_Dim!B:B,"Not Found")</f>
        <v>Mcdonald Inc</v>
      </c>
      <c r="H1731" t="str">
        <f>_xlfn.XLOOKUP(D1731,Product_Dim!A:A,Product_Dim!C:C,"Not Found")</f>
        <v>Clothing</v>
      </c>
      <c r="I1731" t="str">
        <f>_xlfn.XLOOKUP(E1731,Store_Dim!A:A,Store_Dim!C:C,"Not Found")</f>
        <v>South</v>
      </c>
      <c r="J1731" t="str">
        <f>_xlfn.XLOOKUP(C1731,Customer_Dim!A:A,Customer_Dim!B:B,"Not Found")</f>
        <v>Ricardo Jones</v>
      </c>
      <c r="K1731">
        <v>4</v>
      </c>
      <c r="L1731" s="5">
        <v>146.12</v>
      </c>
      <c r="M1731">
        <v>0.12</v>
      </c>
      <c r="N1731" t="s">
        <v>1354</v>
      </c>
      <c r="O1731" s="5">
        <v>514.3424</v>
      </c>
    </row>
    <row r="1732" spans="1:15">
      <c r="A1732" t="s">
        <v>3081</v>
      </c>
      <c r="B1732" s="7">
        <v>45549</v>
      </c>
      <c r="C1732" t="s">
        <v>1018</v>
      </c>
      <c r="D1732" t="s">
        <v>1135</v>
      </c>
      <c r="E1732" t="s">
        <v>1335</v>
      </c>
      <c r="F1732" t="str">
        <f>[1]Raw_Customer_Dim!$A$2</f>
        <v>CUST1000</v>
      </c>
      <c r="G1732" t="str">
        <f>_xlfn.XLOOKUP(E1732,Store_Dim!A:A,Store_Dim!B:B,"Not Found")</f>
        <v>Guerrero-Schmitt</v>
      </c>
      <c r="H1732" t="str">
        <f>_xlfn.XLOOKUP(D1732,Product_Dim!A:A,Product_Dim!C:C,"Not Found")</f>
        <v>Sports</v>
      </c>
      <c r="I1732" t="str">
        <f>_xlfn.XLOOKUP(E1732,Store_Dim!A:A,Store_Dim!C:C,"Not Found")</f>
        <v>East</v>
      </c>
      <c r="J1732" t="str">
        <f>_xlfn.XLOOKUP(C1732,Customer_Dim!A:A,Customer_Dim!B:B,"Not Found")</f>
        <v>Earl Smith DDS</v>
      </c>
      <c r="K1732">
        <v>2</v>
      </c>
      <c r="L1732" s="5">
        <v>695.02</v>
      </c>
      <c r="M1732">
        <v>0.3</v>
      </c>
      <c r="N1732" t="s">
        <v>1354</v>
      </c>
      <c r="O1732" s="5">
        <v>973.02799999999991</v>
      </c>
    </row>
    <row r="1733" spans="1:15">
      <c r="A1733" t="s">
        <v>3082</v>
      </c>
      <c r="B1733" s="7">
        <v>45231</v>
      </c>
      <c r="C1733" t="s">
        <v>500</v>
      </c>
      <c r="D1733" t="s">
        <v>1261</v>
      </c>
      <c r="E1733" t="s">
        <v>1314</v>
      </c>
      <c r="F1733" t="str">
        <f>[1]Raw_Customer_Dim!$A$2</f>
        <v>CUST1000</v>
      </c>
      <c r="G1733" t="str">
        <f>_xlfn.XLOOKUP(E1733,Store_Dim!A:A,Store_Dim!B:B,"Not Found")</f>
        <v>Hill, Wagner and Ballard</v>
      </c>
      <c r="H1733" t="str">
        <f>_xlfn.XLOOKUP(D1733,Product_Dim!A:A,Product_Dim!C:C,"Not Found")</f>
        <v>Beauty</v>
      </c>
      <c r="I1733" t="str">
        <f>_xlfn.XLOOKUP(E1733,Store_Dim!A:A,Store_Dim!C:C,"Not Found")</f>
        <v>East</v>
      </c>
      <c r="J1733" t="str">
        <f>_xlfn.XLOOKUP(C1733,Customer_Dim!A:A,Customer_Dim!B:B,"Not Found")</f>
        <v>Jordan Wells</v>
      </c>
      <c r="K1733">
        <v>2</v>
      </c>
      <c r="L1733" s="5">
        <v>886.67</v>
      </c>
      <c r="M1733">
        <v>0.24</v>
      </c>
      <c r="N1733" t="s">
        <v>1351</v>
      </c>
      <c r="O1733" s="5">
        <v>1347.7384</v>
      </c>
    </row>
    <row r="1734" spans="1:15">
      <c r="A1734" t="s">
        <v>3083</v>
      </c>
      <c r="B1734" s="7">
        <v>45628</v>
      </c>
      <c r="C1734" t="s">
        <v>152</v>
      </c>
      <c r="D1734" t="s">
        <v>1205</v>
      </c>
      <c r="E1734" t="s">
        <v>1335</v>
      </c>
      <c r="F1734" t="str">
        <f>[1]Raw_Customer_Dim!$A$2</f>
        <v>CUST1000</v>
      </c>
      <c r="G1734" t="str">
        <f>_xlfn.XLOOKUP(E1734,Store_Dim!A:A,Store_Dim!B:B,"Not Found")</f>
        <v>Guerrero-Schmitt</v>
      </c>
      <c r="H1734" t="str">
        <f>_xlfn.XLOOKUP(D1734,Product_Dim!A:A,Product_Dim!C:C,"Not Found")</f>
        <v>Beauty</v>
      </c>
      <c r="I1734" t="str">
        <f>_xlfn.XLOOKUP(E1734,Store_Dim!A:A,Store_Dim!C:C,"Not Found")</f>
        <v>East</v>
      </c>
      <c r="J1734" t="str">
        <f>_xlfn.XLOOKUP(C1734,Customer_Dim!A:A,Customer_Dim!B:B,"Not Found")</f>
        <v>Katherine Dorsey</v>
      </c>
      <c r="K1734">
        <v>2</v>
      </c>
      <c r="L1734" s="5">
        <v>864.09</v>
      </c>
      <c r="M1734">
        <v>0.06</v>
      </c>
      <c r="N1734" t="s">
        <v>1354</v>
      </c>
      <c r="O1734" s="5">
        <v>1624.4892</v>
      </c>
    </row>
    <row r="1735" spans="1:15">
      <c r="A1735" t="s">
        <v>3084</v>
      </c>
      <c r="B1735" s="7">
        <v>45862</v>
      </c>
      <c r="C1735" t="s">
        <v>20</v>
      </c>
      <c r="D1735" t="s">
        <v>1097</v>
      </c>
      <c r="E1735" t="s">
        <v>1311</v>
      </c>
      <c r="F1735" t="str">
        <f>[1]Raw_Customer_Dim!$A$2</f>
        <v>CUST1000</v>
      </c>
      <c r="G1735" t="str">
        <f>_xlfn.XLOOKUP(E1735,Store_Dim!A:A,Store_Dim!B:B,"Not Found")</f>
        <v>Moore, Padilla and Butler</v>
      </c>
      <c r="H1735" t="str">
        <f>_xlfn.XLOOKUP(D1735,Product_Dim!A:A,Product_Dim!C:C,"Not Found")</f>
        <v>Beauty</v>
      </c>
      <c r="I1735" t="str">
        <f>_xlfn.XLOOKUP(E1735,Store_Dim!A:A,Store_Dim!C:C,"Not Found")</f>
        <v>South</v>
      </c>
      <c r="J1735" t="str">
        <f>_xlfn.XLOOKUP(C1735,Customer_Dim!A:A,Customer_Dim!B:B,"Not Found")</f>
        <v>jeremy harris</v>
      </c>
      <c r="K1735">
        <v>1</v>
      </c>
      <c r="L1735" s="5">
        <v>437.65</v>
      </c>
      <c r="M1735">
        <v>0.02</v>
      </c>
      <c r="N1735" t="s">
        <v>1351</v>
      </c>
      <c r="O1735" s="5">
        <v>428.89699999999999</v>
      </c>
    </row>
    <row r="1736" spans="1:15">
      <c r="A1736" t="s">
        <v>3085</v>
      </c>
      <c r="B1736" s="7">
        <v>45843</v>
      </c>
      <c r="C1736" t="s">
        <v>466</v>
      </c>
      <c r="D1736" t="s">
        <v>1145</v>
      </c>
      <c r="E1736" t="s">
        <v>1322</v>
      </c>
      <c r="F1736" t="str">
        <f>[1]Raw_Customer_Dim!$A$2</f>
        <v>CUST1000</v>
      </c>
      <c r="G1736" t="str">
        <f>_xlfn.XLOOKUP(E1736,Store_Dim!A:A,Store_Dim!B:B,"Not Found")</f>
        <v>Gardner, Humphrey and Contreras</v>
      </c>
      <c r="H1736" t="str">
        <f>_xlfn.XLOOKUP(D1736,Product_Dim!A:A,Product_Dim!C:C,"Not Found")</f>
        <v>Clothing</v>
      </c>
      <c r="I1736" t="str">
        <f>_xlfn.XLOOKUP(E1736,Store_Dim!A:A,Store_Dim!C:C,"Not Found")</f>
        <v>East</v>
      </c>
      <c r="J1736" t="str">
        <f>_xlfn.XLOOKUP(C1736,Customer_Dim!A:A,Customer_Dim!B:B,"Not Found")</f>
        <v>Christina Garcia</v>
      </c>
      <c r="K1736">
        <v>2</v>
      </c>
      <c r="L1736" s="5">
        <v>208.09</v>
      </c>
      <c r="M1736">
        <v>0.27</v>
      </c>
      <c r="N1736" t="s">
        <v>1349</v>
      </c>
      <c r="O1736" s="5">
        <v>303.81139999999999</v>
      </c>
    </row>
    <row r="1737" spans="1:15">
      <c r="A1737" t="s">
        <v>3086</v>
      </c>
      <c r="B1737" s="7">
        <v>45482</v>
      </c>
      <c r="C1737" t="s">
        <v>152</v>
      </c>
      <c r="D1737" t="s">
        <v>1259</v>
      </c>
      <c r="E1737" t="s">
        <v>1332</v>
      </c>
      <c r="F1737" t="str">
        <f>[1]Raw_Customer_Dim!$A$2</f>
        <v>CUST1000</v>
      </c>
      <c r="G1737" t="str">
        <f>_xlfn.XLOOKUP(E1737,Store_Dim!A:A,Store_Dim!B:B,"Not Found")</f>
        <v>Holloway Ltd</v>
      </c>
      <c r="H1737" t="str">
        <f>_xlfn.XLOOKUP(D1737,Product_Dim!A:A,Product_Dim!C:C,"Not Found")</f>
        <v>Electronics</v>
      </c>
      <c r="I1737" t="str">
        <f>_xlfn.XLOOKUP(E1737,Store_Dim!A:A,Store_Dim!C:C,"Not Found")</f>
        <v>North</v>
      </c>
      <c r="J1737" t="str">
        <f>_xlfn.XLOOKUP(C1737,Customer_Dim!A:A,Customer_Dim!B:B,"Not Found")</f>
        <v>Katherine Dorsey</v>
      </c>
      <c r="K1737">
        <v>4</v>
      </c>
      <c r="L1737" s="5">
        <v>825.78</v>
      </c>
      <c r="M1737">
        <v>0.02</v>
      </c>
      <c r="N1737" t="s">
        <v>1349</v>
      </c>
      <c r="O1737" s="5">
        <v>3237.0576000000001</v>
      </c>
    </row>
    <row r="1738" spans="1:15">
      <c r="A1738" t="s">
        <v>3087</v>
      </c>
      <c r="B1738" s="7">
        <v>45313</v>
      </c>
      <c r="C1738" t="s">
        <v>292</v>
      </c>
      <c r="D1738" t="s">
        <v>1123</v>
      </c>
      <c r="E1738" t="s">
        <v>1332</v>
      </c>
      <c r="F1738" t="str">
        <f>[1]Raw_Customer_Dim!$A$2</f>
        <v>CUST1000</v>
      </c>
      <c r="G1738" t="str">
        <f>_xlfn.XLOOKUP(E1738,Store_Dim!A:A,Store_Dim!B:B,"Not Found")</f>
        <v>Holloway Ltd</v>
      </c>
      <c r="H1738" t="str">
        <f>_xlfn.XLOOKUP(D1738,Product_Dim!A:A,Product_Dim!C:C,"Not Found")</f>
        <v>Clothing</v>
      </c>
      <c r="I1738" t="str">
        <f>_xlfn.XLOOKUP(E1738,Store_Dim!A:A,Store_Dim!C:C,"Not Found")</f>
        <v>North</v>
      </c>
      <c r="J1738" t="str">
        <f>_xlfn.XLOOKUP(C1738,Customer_Dim!A:A,Customer_Dim!B:B,"Not Found")</f>
        <v>Anthony Phillips</v>
      </c>
      <c r="K1738">
        <v>3</v>
      </c>
      <c r="L1738" s="5">
        <v>849.77</v>
      </c>
      <c r="M1738">
        <v>0.12</v>
      </c>
      <c r="N1738" t="s">
        <v>1351</v>
      </c>
      <c r="O1738" s="5">
        <v>2243.3928000000001</v>
      </c>
    </row>
    <row r="1739" spans="1:15">
      <c r="A1739" t="s">
        <v>3088</v>
      </c>
      <c r="B1739" s="7">
        <v>45314</v>
      </c>
      <c r="C1739" t="s">
        <v>752</v>
      </c>
      <c r="D1739" t="s">
        <v>1193</v>
      </c>
      <c r="E1739" t="s">
        <v>1294</v>
      </c>
      <c r="F1739" t="str">
        <f>[1]Raw_Customer_Dim!$A$2</f>
        <v>CUST1000</v>
      </c>
      <c r="G1739" t="str">
        <f>_xlfn.XLOOKUP(E1739,Store_Dim!A:A,Store_Dim!B:B,"Not Found")</f>
        <v>Alexander Group</v>
      </c>
      <c r="H1739" t="str">
        <f>_xlfn.XLOOKUP(D1739,Product_Dim!A:A,Product_Dim!C:C,"Not Found")</f>
        <v>Beauty</v>
      </c>
      <c r="I1739" t="str">
        <f>_xlfn.XLOOKUP(E1739,Store_Dim!A:A,Store_Dim!C:C,"Not Found")</f>
        <v>South</v>
      </c>
      <c r="J1739" t="str">
        <f>_xlfn.XLOOKUP(C1739,Customer_Dim!A:A,Customer_Dim!B:B,"Not Found")</f>
        <v>Evelyn Brown</v>
      </c>
      <c r="K1739">
        <v>1</v>
      </c>
      <c r="L1739" s="5">
        <v>88.78</v>
      </c>
      <c r="M1739">
        <v>0.18</v>
      </c>
      <c r="N1739" t="s">
        <v>1349</v>
      </c>
      <c r="O1739" s="5">
        <v>72.799600000000012</v>
      </c>
    </row>
    <row r="1740" spans="1:15">
      <c r="A1740" t="s">
        <v>3089</v>
      </c>
      <c r="B1740" s="7">
        <v>45526</v>
      </c>
      <c r="C1740" t="s">
        <v>444</v>
      </c>
      <c r="D1740" t="s">
        <v>1229</v>
      </c>
      <c r="E1740" t="s">
        <v>1294</v>
      </c>
      <c r="F1740" t="str">
        <f>[1]Raw_Customer_Dim!$A$2</f>
        <v>CUST1000</v>
      </c>
      <c r="G1740" t="str">
        <f>_xlfn.XLOOKUP(E1740,Store_Dim!A:A,Store_Dim!B:B,"Not Found")</f>
        <v>Alexander Group</v>
      </c>
      <c r="H1740" t="str">
        <f>_xlfn.XLOOKUP(D1740,Product_Dim!A:A,Product_Dim!C:C,"Not Found")</f>
        <v>Home</v>
      </c>
      <c r="I1740" t="str">
        <f>_xlfn.XLOOKUP(E1740,Store_Dim!A:A,Store_Dim!C:C,"Not Found")</f>
        <v>South</v>
      </c>
      <c r="J1740" t="str">
        <f>_xlfn.XLOOKUP(C1740,Customer_Dim!A:A,Customer_Dim!B:B,"Not Found")</f>
        <v>Todd Poole</v>
      </c>
      <c r="K1740">
        <v>4</v>
      </c>
      <c r="L1740" s="5">
        <v>507.22</v>
      </c>
      <c r="M1740">
        <v>0.14000000000000001</v>
      </c>
      <c r="N1740" t="s">
        <v>1351</v>
      </c>
      <c r="O1740" s="5">
        <v>1744.8368</v>
      </c>
    </row>
    <row r="1741" spans="1:15">
      <c r="A1741" t="s">
        <v>3090</v>
      </c>
      <c r="B1741" s="7">
        <v>45887</v>
      </c>
      <c r="C1741" t="s">
        <v>696</v>
      </c>
      <c r="D1741" t="s">
        <v>1265</v>
      </c>
      <c r="E1741" t="s">
        <v>1277</v>
      </c>
      <c r="F1741" t="str">
        <f>[1]Raw_Customer_Dim!$A$2</f>
        <v>CUST1000</v>
      </c>
      <c r="G1741" t="str">
        <f>_xlfn.XLOOKUP(E1741,Store_Dim!A:A,Store_Dim!B:B,"Not Found")</f>
        <v>Rivera-Warner</v>
      </c>
      <c r="H1741" t="str">
        <f>_xlfn.XLOOKUP(D1741,Product_Dim!A:A,Product_Dim!C:C,"Not Found")</f>
        <v>Clothing</v>
      </c>
      <c r="I1741" t="str">
        <f>_xlfn.XLOOKUP(E1741,Store_Dim!A:A,Store_Dim!C:C,"Not Found")</f>
        <v>East</v>
      </c>
      <c r="J1741" t="str">
        <f>_xlfn.XLOOKUP(C1741,Customer_Dim!A:A,Customer_Dim!B:B,"Not Found")</f>
        <v>Robert House</v>
      </c>
      <c r="K1741">
        <v>3</v>
      </c>
      <c r="L1741" s="5">
        <v>330.98</v>
      </c>
      <c r="M1741">
        <v>0.11</v>
      </c>
      <c r="N1741" t="s">
        <v>1349</v>
      </c>
      <c r="O1741" s="5">
        <v>883.71660000000008</v>
      </c>
    </row>
    <row r="1742" spans="1:15">
      <c r="A1742" t="s">
        <v>3091</v>
      </c>
      <c r="B1742" s="7">
        <v>45562</v>
      </c>
      <c r="C1742" t="s">
        <v>145</v>
      </c>
      <c r="D1742" t="s">
        <v>1147</v>
      </c>
      <c r="E1742" t="s">
        <v>1338</v>
      </c>
      <c r="F1742" t="str">
        <f>[1]Raw_Customer_Dim!$A$2</f>
        <v>CUST1000</v>
      </c>
      <c r="G1742" t="str">
        <f>_xlfn.XLOOKUP(E1742,Store_Dim!A:A,Store_Dim!B:B,"Not Found")</f>
        <v>Mann-Austin</v>
      </c>
      <c r="H1742" t="str">
        <f>_xlfn.XLOOKUP(D1742,Product_Dim!A:A,Product_Dim!C:C,"Not Found")</f>
        <v>Clothing</v>
      </c>
      <c r="I1742" t="str">
        <f>_xlfn.XLOOKUP(E1742,Store_Dim!A:A,Store_Dim!C:C,"Not Found")</f>
        <v>East</v>
      </c>
      <c r="J1742" t="str">
        <f>_xlfn.XLOOKUP(C1742,Customer_Dim!A:A,Customer_Dim!B:B,"Not Found")</f>
        <v>Sarah Rodgers</v>
      </c>
      <c r="K1742">
        <v>4</v>
      </c>
      <c r="L1742" s="5">
        <v>442.87</v>
      </c>
      <c r="M1742">
        <v>0.08</v>
      </c>
      <c r="N1742" t="s">
        <v>1349</v>
      </c>
      <c r="O1742" s="5">
        <v>1629.7616</v>
      </c>
    </row>
    <row r="1743" spans="1:15">
      <c r="A1743" t="s">
        <v>3092</v>
      </c>
      <c r="B1743" s="7">
        <v>45880</v>
      </c>
      <c r="C1743" t="s">
        <v>39</v>
      </c>
      <c r="D1743" t="s">
        <v>1265</v>
      </c>
      <c r="E1743" t="s">
        <v>1286</v>
      </c>
      <c r="F1743" t="str">
        <f>[1]Raw_Customer_Dim!$A$2</f>
        <v>CUST1000</v>
      </c>
      <c r="G1743" t="str">
        <f>_xlfn.XLOOKUP(E1743,Store_Dim!A:A,Store_Dim!B:B,"Not Found")</f>
        <v>Black-Horn</v>
      </c>
      <c r="H1743" t="str">
        <f>_xlfn.XLOOKUP(D1743,Product_Dim!A:A,Product_Dim!C:C,"Not Found")</f>
        <v>Clothing</v>
      </c>
      <c r="I1743" t="str">
        <f>_xlfn.XLOOKUP(E1743,Store_Dim!A:A,Store_Dim!C:C,"Not Found")</f>
        <v>South</v>
      </c>
      <c r="J1743" t="str">
        <f>_xlfn.XLOOKUP(C1743,Customer_Dim!A:A,Customer_Dim!B:B,"Not Found")</f>
        <v>Ms. Maria Leach</v>
      </c>
      <c r="K1743">
        <v>2</v>
      </c>
      <c r="L1743" s="5">
        <v>939.66</v>
      </c>
      <c r="M1743">
        <v>0.14000000000000001</v>
      </c>
      <c r="N1743" t="s">
        <v>1351</v>
      </c>
      <c r="O1743" s="5">
        <v>1616.2152000000001</v>
      </c>
    </row>
    <row r="1744" spans="1:15">
      <c r="A1744" t="s">
        <v>3093</v>
      </c>
      <c r="B1744" s="7">
        <v>45556</v>
      </c>
      <c r="C1744" t="s">
        <v>650</v>
      </c>
      <c r="D1744" t="s">
        <v>1219</v>
      </c>
      <c r="E1744" t="s">
        <v>1291</v>
      </c>
      <c r="F1744" t="str">
        <f>[1]Raw_Customer_Dim!$A$2</f>
        <v>CUST1000</v>
      </c>
      <c r="G1744" t="str">
        <f>_xlfn.XLOOKUP(E1744,Store_Dim!A:A,Store_Dim!B:B,"Not Found")</f>
        <v>Johnson-Wright</v>
      </c>
      <c r="H1744" t="str">
        <f>_xlfn.XLOOKUP(D1744,Product_Dim!A:A,Product_Dim!C:C,"Not Found")</f>
        <v>Sports</v>
      </c>
      <c r="I1744" t="str">
        <f>_xlfn.XLOOKUP(E1744,Store_Dim!A:A,Store_Dim!C:C,"Not Found")</f>
        <v>North</v>
      </c>
      <c r="J1744" t="str">
        <f>_xlfn.XLOOKUP(C1744,Customer_Dim!A:A,Customer_Dim!B:B,"Not Found")</f>
        <v>Gloria Taylor</v>
      </c>
      <c r="K1744">
        <v>1</v>
      </c>
      <c r="L1744" s="5">
        <v>24.13</v>
      </c>
      <c r="M1744">
        <v>0</v>
      </c>
      <c r="N1744" t="s">
        <v>1349</v>
      </c>
      <c r="O1744" s="5">
        <v>24.13</v>
      </c>
    </row>
    <row r="1745" spans="1:15">
      <c r="A1745" t="s">
        <v>3094</v>
      </c>
      <c r="B1745" s="7">
        <v>45355</v>
      </c>
      <c r="C1745" t="s">
        <v>791</v>
      </c>
      <c r="D1745" t="s">
        <v>1155</v>
      </c>
      <c r="E1745" t="s">
        <v>1291</v>
      </c>
      <c r="F1745" t="str">
        <f>[1]Raw_Customer_Dim!$A$2</f>
        <v>CUST1000</v>
      </c>
      <c r="G1745" t="str">
        <f>_xlfn.XLOOKUP(E1745,Store_Dim!A:A,Store_Dim!B:B,"Not Found")</f>
        <v>Johnson-Wright</v>
      </c>
      <c r="H1745" t="str">
        <f>_xlfn.XLOOKUP(D1745,Product_Dim!A:A,Product_Dim!C:C,"Not Found")</f>
        <v>Sports</v>
      </c>
      <c r="I1745" t="str">
        <f>_xlfn.XLOOKUP(E1745,Store_Dim!A:A,Store_Dim!C:C,"Not Found")</f>
        <v>North</v>
      </c>
      <c r="J1745" t="str">
        <f>_xlfn.XLOOKUP(C1745,Customer_Dim!A:A,Customer_Dim!B:B,"Not Found")</f>
        <v>Chloe Aguilar</v>
      </c>
      <c r="K1745">
        <v>3</v>
      </c>
      <c r="L1745" s="5">
        <v>239.54</v>
      </c>
      <c r="M1745">
        <v>0.28999999999999998</v>
      </c>
      <c r="N1745" t="s">
        <v>1354</v>
      </c>
      <c r="O1745" s="5">
        <v>510.22019999999998</v>
      </c>
    </row>
    <row r="1746" spans="1:15">
      <c r="A1746" t="s">
        <v>3095</v>
      </c>
      <c r="B1746" s="7">
        <v>45244</v>
      </c>
      <c r="C1746" t="s">
        <v>1026</v>
      </c>
      <c r="D1746" t="s">
        <v>1165</v>
      </c>
      <c r="E1746" t="s">
        <v>1324</v>
      </c>
      <c r="F1746" t="str">
        <f>[1]Raw_Customer_Dim!$A$2</f>
        <v>CUST1000</v>
      </c>
      <c r="G1746" t="str">
        <f>_xlfn.XLOOKUP(E1746,Store_Dim!A:A,Store_Dim!B:B,"Not Found")</f>
        <v>Mcdonald Inc</v>
      </c>
      <c r="H1746" t="str">
        <f>_xlfn.XLOOKUP(D1746,Product_Dim!A:A,Product_Dim!C:C,"Not Found")</f>
        <v>Clothing</v>
      </c>
      <c r="I1746" t="str">
        <f>_xlfn.XLOOKUP(E1746,Store_Dim!A:A,Store_Dim!C:C,"Not Found")</f>
        <v>South</v>
      </c>
      <c r="J1746" t="str">
        <f>_xlfn.XLOOKUP(C1746,Customer_Dim!A:A,Customer_Dim!B:B,"Not Found")</f>
        <v>Sheri Joyce</v>
      </c>
      <c r="K1746">
        <v>1</v>
      </c>
      <c r="L1746" s="5">
        <v>588.53</v>
      </c>
      <c r="M1746">
        <v>0.1</v>
      </c>
      <c r="N1746" t="s">
        <v>1349</v>
      </c>
      <c r="O1746" s="5">
        <v>529.67700000000002</v>
      </c>
    </row>
    <row r="1747" spans="1:15">
      <c r="A1747" t="s">
        <v>3096</v>
      </c>
      <c r="B1747" s="7">
        <v>45863</v>
      </c>
      <c r="C1747" t="s">
        <v>640</v>
      </c>
      <c r="D1747" t="s">
        <v>1193</v>
      </c>
      <c r="E1747" t="s">
        <v>1326</v>
      </c>
      <c r="F1747" t="str">
        <f>[1]Raw_Customer_Dim!$A$2</f>
        <v>CUST1000</v>
      </c>
      <c r="G1747" t="str">
        <f>_xlfn.XLOOKUP(E1747,Store_Dim!A:A,Store_Dim!B:B,"Not Found")</f>
        <v>Shelton PLC</v>
      </c>
      <c r="H1747" t="str">
        <f>_xlfn.XLOOKUP(D1747,Product_Dim!A:A,Product_Dim!C:C,"Not Found")</f>
        <v>Beauty</v>
      </c>
      <c r="I1747" t="str">
        <f>_xlfn.XLOOKUP(E1747,Store_Dim!A:A,Store_Dim!C:C,"Not Found")</f>
        <v>North</v>
      </c>
      <c r="J1747" t="str">
        <f>_xlfn.XLOOKUP(C1747,Customer_Dim!A:A,Customer_Dim!B:B,"Not Found")</f>
        <v>Misty Ferguson</v>
      </c>
      <c r="K1747">
        <v>1</v>
      </c>
      <c r="L1747" s="5">
        <v>145.96</v>
      </c>
      <c r="M1747">
        <v>0.3</v>
      </c>
      <c r="N1747" t="s">
        <v>1349</v>
      </c>
      <c r="O1747" s="5">
        <v>102.172</v>
      </c>
    </row>
    <row r="1748" spans="1:15">
      <c r="A1748" t="s">
        <v>3097</v>
      </c>
      <c r="B1748" s="7">
        <v>45573</v>
      </c>
      <c r="C1748" t="s">
        <v>261</v>
      </c>
      <c r="D1748" t="s">
        <v>1213</v>
      </c>
      <c r="E1748" t="s">
        <v>1294</v>
      </c>
      <c r="F1748" t="str">
        <f>[1]Raw_Customer_Dim!$A$2</f>
        <v>CUST1000</v>
      </c>
      <c r="G1748" t="str">
        <f>_xlfn.XLOOKUP(E1748,Store_Dim!A:A,Store_Dim!B:B,"Not Found")</f>
        <v>Alexander Group</v>
      </c>
      <c r="H1748" t="str">
        <f>_xlfn.XLOOKUP(D1748,Product_Dim!A:A,Product_Dim!C:C,"Not Found")</f>
        <v>Home</v>
      </c>
      <c r="I1748" t="str">
        <f>_xlfn.XLOOKUP(E1748,Store_Dim!A:A,Store_Dim!C:C,"Not Found")</f>
        <v>South</v>
      </c>
      <c r="J1748" t="str">
        <f>_xlfn.XLOOKUP(C1748,Customer_Dim!A:A,Customer_Dim!B:B,"Not Found")</f>
        <v>Colleen Maynard</v>
      </c>
      <c r="K1748">
        <v>4</v>
      </c>
      <c r="L1748" s="5">
        <v>640.91</v>
      </c>
      <c r="M1748">
        <v>0.06</v>
      </c>
      <c r="N1748" t="s">
        <v>1349</v>
      </c>
      <c r="O1748" s="5">
        <v>2409.8216000000002</v>
      </c>
    </row>
    <row r="1749" spans="1:15">
      <c r="A1749" t="s">
        <v>3098</v>
      </c>
      <c r="B1749" s="7">
        <v>45792</v>
      </c>
      <c r="C1749" t="s">
        <v>123</v>
      </c>
      <c r="D1749" t="s">
        <v>1201</v>
      </c>
      <c r="E1749" t="s">
        <v>1317</v>
      </c>
      <c r="F1749" t="str">
        <f>[1]Raw_Customer_Dim!$A$2</f>
        <v>CUST1000</v>
      </c>
      <c r="G1749" t="str">
        <f>_xlfn.XLOOKUP(E1749,Store_Dim!A:A,Store_Dim!B:B,"Not Found")</f>
        <v>Aguirre-Keller</v>
      </c>
      <c r="H1749" t="str">
        <f>_xlfn.XLOOKUP(D1749,Product_Dim!A:A,Product_Dim!C:C,"Not Found")</f>
        <v>Beauty</v>
      </c>
      <c r="I1749" t="str">
        <f>_xlfn.XLOOKUP(E1749,Store_Dim!A:A,Store_Dim!C:C,"Not Found")</f>
        <v>South</v>
      </c>
      <c r="J1749" t="str">
        <f>_xlfn.XLOOKUP(C1749,Customer_Dim!A:A,Customer_Dim!B:B,"Not Found")</f>
        <v>William Martin</v>
      </c>
      <c r="K1749">
        <v>3</v>
      </c>
      <c r="L1749" s="5">
        <v>773.86</v>
      </c>
      <c r="M1749">
        <v>0.22</v>
      </c>
      <c r="N1749" t="s">
        <v>1349</v>
      </c>
      <c r="O1749" s="5">
        <v>1810.8324</v>
      </c>
    </row>
    <row r="1750" spans="1:15">
      <c r="A1750" t="s">
        <v>3099</v>
      </c>
      <c r="B1750" s="7">
        <v>45744</v>
      </c>
      <c r="C1750" t="s">
        <v>988</v>
      </c>
      <c r="D1750" t="s">
        <v>1135</v>
      </c>
      <c r="E1750" t="s">
        <v>1326</v>
      </c>
      <c r="F1750" t="str">
        <f>[1]Raw_Customer_Dim!$A$2</f>
        <v>CUST1000</v>
      </c>
      <c r="G1750" t="str">
        <f>_xlfn.XLOOKUP(E1750,Store_Dim!A:A,Store_Dim!B:B,"Not Found")</f>
        <v>Shelton PLC</v>
      </c>
      <c r="H1750" t="str">
        <f>_xlfn.XLOOKUP(D1750,Product_Dim!A:A,Product_Dim!C:C,"Not Found")</f>
        <v>Sports</v>
      </c>
      <c r="I1750" t="str">
        <f>_xlfn.XLOOKUP(E1750,Store_Dim!A:A,Store_Dim!C:C,"Not Found")</f>
        <v>North</v>
      </c>
      <c r="J1750" t="str">
        <f>_xlfn.XLOOKUP(C1750,Customer_Dim!A:A,Customer_Dim!B:B,"Not Found")</f>
        <v>Samantha Lee</v>
      </c>
      <c r="K1750">
        <v>2</v>
      </c>
      <c r="L1750" s="5">
        <v>31.28</v>
      </c>
      <c r="M1750">
        <v>0.2</v>
      </c>
      <c r="N1750" t="s">
        <v>1354</v>
      </c>
      <c r="O1750" s="5">
        <v>50.048000000000002</v>
      </c>
    </row>
    <row r="1751" spans="1:15">
      <c r="A1751" t="s">
        <v>3100</v>
      </c>
      <c r="B1751" s="7">
        <v>45842</v>
      </c>
      <c r="C1751" t="s">
        <v>809</v>
      </c>
      <c r="D1751" t="s">
        <v>1237</v>
      </c>
      <c r="E1751" t="s">
        <v>1301</v>
      </c>
      <c r="F1751" t="str">
        <f>[1]Raw_Customer_Dim!$A$2</f>
        <v>CUST1000</v>
      </c>
      <c r="G1751" t="str">
        <f>_xlfn.XLOOKUP(E1751,Store_Dim!A:A,Store_Dim!B:B,"Not Found")</f>
        <v>Benson-Elliott</v>
      </c>
      <c r="H1751" t="str">
        <f>_xlfn.XLOOKUP(D1751,Product_Dim!A:A,Product_Dim!C:C,"Not Found")</f>
        <v>Sports</v>
      </c>
      <c r="I1751" t="str">
        <f>_xlfn.XLOOKUP(E1751,Store_Dim!A:A,Store_Dim!C:C,"Not Found")</f>
        <v>East</v>
      </c>
      <c r="J1751" t="str">
        <f>_xlfn.XLOOKUP(C1751,Customer_Dim!A:A,Customer_Dim!B:B,"Not Found")</f>
        <v>James Orozco</v>
      </c>
      <c r="K1751">
        <v>4</v>
      </c>
      <c r="L1751" s="5">
        <v>389.22</v>
      </c>
      <c r="M1751">
        <v>0.18</v>
      </c>
      <c r="N1751" t="s">
        <v>1349</v>
      </c>
      <c r="O1751" s="5">
        <v>1276.6415999999999</v>
      </c>
    </row>
    <row r="1752" spans="1:15">
      <c r="A1752" t="s">
        <v>3101</v>
      </c>
      <c r="B1752" s="7">
        <v>45502</v>
      </c>
      <c r="C1752" t="s">
        <v>56</v>
      </c>
      <c r="D1752" t="s">
        <v>1201</v>
      </c>
      <c r="E1752" t="s">
        <v>1326</v>
      </c>
      <c r="F1752" t="str">
        <f>[1]Raw_Customer_Dim!$A$2</f>
        <v>CUST1000</v>
      </c>
      <c r="G1752" t="str">
        <f>_xlfn.XLOOKUP(E1752,Store_Dim!A:A,Store_Dim!B:B,"Not Found")</f>
        <v>Shelton PLC</v>
      </c>
      <c r="H1752" t="str">
        <f>_xlfn.XLOOKUP(D1752,Product_Dim!A:A,Product_Dim!C:C,"Not Found")</f>
        <v>Beauty</v>
      </c>
      <c r="I1752" t="str">
        <f>_xlfn.XLOOKUP(E1752,Store_Dim!A:A,Store_Dim!C:C,"Not Found")</f>
        <v>North</v>
      </c>
      <c r="J1752" t="str">
        <f>_xlfn.XLOOKUP(C1752,Customer_Dim!A:A,Customer_Dim!B:B,"Not Found")</f>
        <v>Laura Alvarez</v>
      </c>
      <c r="K1752">
        <v>3</v>
      </c>
      <c r="L1752" s="5">
        <v>543.44000000000005</v>
      </c>
      <c r="M1752">
        <v>0.13</v>
      </c>
      <c r="N1752" t="s">
        <v>1351</v>
      </c>
      <c r="O1752" s="5">
        <v>1418.3784000000001</v>
      </c>
    </row>
    <row r="1753" spans="1:15">
      <c r="A1753" t="s">
        <v>3102</v>
      </c>
      <c r="B1753" s="7">
        <v>45296</v>
      </c>
      <c r="C1753" t="s">
        <v>577</v>
      </c>
      <c r="D1753" t="s">
        <v>1267</v>
      </c>
      <c r="E1753" t="s">
        <v>1338</v>
      </c>
      <c r="F1753" t="str">
        <f>[1]Raw_Customer_Dim!$A$2</f>
        <v>CUST1000</v>
      </c>
      <c r="G1753" t="str">
        <f>_xlfn.XLOOKUP(E1753,Store_Dim!A:A,Store_Dim!B:B,"Not Found")</f>
        <v>Mann-Austin</v>
      </c>
      <c r="H1753" t="str">
        <f>_xlfn.XLOOKUP(D1753,Product_Dim!A:A,Product_Dim!C:C,"Not Found")</f>
        <v>Sports</v>
      </c>
      <c r="I1753" t="str">
        <f>_xlfn.XLOOKUP(E1753,Store_Dim!A:A,Store_Dim!C:C,"Not Found")</f>
        <v>East</v>
      </c>
      <c r="J1753" t="str">
        <f>_xlfn.XLOOKUP(C1753,Customer_Dim!A:A,Customer_Dim!B:B,"Not Found")</f>
        <v>Christopher David</v>
      </c>
      <c r="K1753">
        <v>4</v>
      </c>
      <c r="L1753" s="5">
        <v>715.42</v>
      </c>
      <c r="M1753">
        <v>0.28999999999999998</v>
      </c>
      <c r="N1753" t="s">
        <v>1351</v>
      </c>
      <c r="O1753" s="5">
        <v>2031.7927999999999</v>
      </c>
    </row>
    <row r="1754" spans="1:15">
      <c r="A1754" t="s">
        <v>3103</v>
      </c>
      <c r="B1754" s="7">
        <v>45886</v>
      </c>
      <c r="C1754" t="s">
        <v>145</v>
      </c>
      <c r="D1754" t="s">
        <v>1097</v>
      </c>
      <c r="E1754" t="s">
        <v>1294</v>
      </c>
      <c r="F1754" t="str">
        <f>[1]Raw_Customer_Dim!$A$2</f>
        <v>CUST1000</v>
      </c>
      <c r="G1754" t="str">
        <f>_xlfn.XLOOKUP(E1754,Store_Dim!A:A,Store_Dim!B:B,"Not Found")</f>
        <v>Alexander Group</v>
      </c>
      <c r="H1754" t="str">
        <f>_xlfn.XLOOKUP(D1754,Product_Dim!A:A,Product_Dim!C:C,"Not Found")</f>
        <v>Beauty</v>
      </c>
      <c r="I1754" t="str">
        <f>_xlfn.XLOOKUP(E1754,Store_Dim!A:A,Store_Dim!C:C,"Not Found")</f>
        <v>South</v>
      </c>
      <c r="J1754" t="str">
        <f>_xlfn.XLOOKUP(C1754,Customer_Dim!A:A,Customer_Dim!B:B,"Not Found")</f>
        <v>Sarah Rodgers</v>
      </c>
      <c r="K1754">
        <v>4</v>
      </c>
      <c r="L1754" s="5">
        <v>676.14</v>
      </c>
      <c r="M1754">
        <v>0.11</v>
      </c>
      <c r="N1754" t="s">
        <v>1354</v>
      </c>
      <c r="O1754" s="5">
        <v>2407.0583999999999</v>
      </c>
    </row>
    <row r="1755" spans="1:15">
      <c r="A1755" t="s">
        <v>3104</v>
      </c>
      <c r="B1755" s="7">
        <v>45425</v>
      </c>
      <c r="C1755" t="s">
        <v>234</v>
      </c>
      <c r="D1755" t="s">
        <v>1151</v>
      </c>
      <c r="E1755" t="s">
        <v>1282</v>
      </c>
      <c r="F1755" t="str">
        <f>[1]Raw_Customer_Dim!$A$2</f>
        <v>CUST1000</v>
      </c>
      <c r="G1755" t="str">
        <f>_xlfn.XLOOKUP(E1755,Store_Dim!A:A,Store_Dim!B:B,"Not Found")</f>
        <v>Martinez, Adkins and Johnson</v>
      </c>
      <c r="H1755" t="str">
        <f>_xlfn.XLOOKUP(D1755,Product_Dim!A:A,Product_Dim!C:C,"Not Found")</f>
        <v>Electronics</v>
      </c>
      <c r="I1755" t="str">
        <f>_xlfn.XLOOKUP(E1755,Store_Dim!A:A,Store_Dim!C:C,"Not Found")</f>
        <v>North</v>
      </c>
      <c r="J1755" t="str">
        <f>_xlfn.XLOOKUP(C1755,Customer_Dim!A:A,Customer_Dim!B:B,"Not Found")</f>
        <v>Jamie Yoder</v>
      </c>
      <c r="K1755">
        <v>4</v>
      </c>
      <c r="L1755" s="5">
        <v>352.72</v>
      </c>
      <c r="M1755">
        <v>0.25</v>
      </c>
      <c r="N1755" t="s">
        <v>1349</v>
      </c>
      <c r="O1755" s="5">
        <v>1058.1600000000001</v>
      </c>
    </row>
    <row r="1756" spans="1:15">
      <c r="A1756" t="s">
        <v>3105</v>
      </c>
      <c r="B1756" s="7">
        <v>45797</v>
      </c>
      <c r="C1756" t="s">
        <v>407</v>
      </c>
      <c r="D1756" t="s">
        <v>1095</v>
      </c>
      <c r="E1756" t="s">
        <v>1319</v>
      </c>
      <c r="F1756" t="str">
        <f>[1]Raw_Customer_Dim!$A$2</f>
        <v>CUST1000</v>
      </c>
      <c r="G1756" t="str">
        <f>_xlfn.XLOOKUP(E1756,Store_Dim!A:A,Store_Dim!B:B,"Not Found")</f>
        <v>Thomas, Bridges and Harris</v>
      </c>
      <c r="H1756" t="str">
        <f>_xlfn.XLOOKUP(D1756,Product_Dim!A:A,Product_Dim!C:C,"Not Found")</f>
        <v>Electronics</v>
      </c>
      <c r="I1756" t="str">
        <f>_xlfn.XLOOKUP(E1756,Store_Dim!A:A,Store_Dim!C:C,"Not Found")</f>
        <v>North</v>
      </c>
      <c r="J1756" t="str">
        <f>_xlfn.XLOOKUP(C1756,Customer_Dim!A:A,Customer_Dim!B:B,"Not Found")</f>
        <v>Teresa Stokes</v>
      </c>
      <c r="K1756">
        <v>1</v>
      </c>
      <c r="L1756" s="5">
        <v>470.18</v>
      </c>
      <c r="M1756">
        <v>0.19</v>
      </c>
      <c r="N1756" t="s">
        <v>1351</v>
      </c>
      <c r="O1756" s="5">
        <v>380.84580000000011</v>
      </c>
    </row>
    <row r="1757" spans="1:15">
      <c r="A1757" t="s">
        <v>3106</v>
      </c>
      <c r="B1757" s="7">
        <v>45898</v>
      </c>
      <c r="C1757" t="s">
        <v>523</v>
      </c>
      <c r="D1757" t="s">
        <v>1205</v>
      </c>
      <c r="E1757" t="s">
        <v>1317</v>
      </c>
      <c r="F1757" t="str">
        <f>[1]Raw_Customer_Dim!$A$2</f>
        <v>CUST1000</v>
      </c>
      <c r="G1757" t="str">
        <f>_xlfn.XLOOKUP(E1757,Store_Dim!A:A,Store_Dim!B:B,"Not Found")</f>
        <v>Aguirre-Keller</v>
      </c>
      <c r="H1757" t="str">
        <f>_xlfn.XLOOKUP(D1757,Product_Dim!A:A,Product_Dim!C:C,"Not Found")</f>
        <v>Beauty</v>
      </c>
      <c r="I1757" t="str">
        <f>_xlfn.XLOOKUP(E1757,Store_Dim!A:A,Store_Dim!C:C,"Not Found")</f>
        <v>South</v>
      </c>
      <c r="J1757" t="str">
        <f>_xlfn.XLOOKUP(C1757,Customer_Dim!A:A,Customer_Dim!B:B,"Not Found")</f>
        <v>Timothy Sanders</v>
      </c>
      <c r="K1757">
        <v>1</v>
      </c>
      <c r="L1757" s="5">
        <v>891.79</v>
      </c>
      <c r="M1757">
        <v>0.03</v>
      </c>
      <c r="N1757" t="s">
        <v>1349</v>
      </c>
      <c r="O1757" s="5">
        <v>865.03629999999998</v>
      </c>
    </row>
    <row r="1758" spans="1:15">
      <c r="A1758" t="s">
        <v>3107</v>
      </c>
      <c r="B1758" s="7">
        <v>45390</v>
      </c>
      <c r="C1758" t="s">
        <v>760</v>
      </c>
      <c r="D1758" t="s">
        <v>1251</v>
      </c>
      <c r="E1758" t="s">
        <v>1332</v>
      </c>
      <c r="F1758" t="str">
        <f>[1]Raw_Customer_Dim!$A$2</f>
        <v>CUST1000</v>
      </c>
      <c r="G1758" t="str">
        <f>_xlfn.XLOOKUP(E1758,Store_Dim!A:A,Store_Dim!B:B,"Not Found")</f>
        <v>Holloway Ltd</v>
      </c>
      <c r="H1758" t="str">
        <f>_xlfn.XLOOKUP(D1758,Product_Dim!A:A,Product_Dim!C:C,"Not Found")</f>
        <v>Beauty</v>
      </c>
      <c r="I1758" t="str">
        <f>_xlfn.XLOOKUP(E1758,Store_Dim!A:A,Store_Dim!C:C,"Not Found")</f>
        <v>North</v>
      </c>
      <c r="J1758" t="str">
        <f>_xlfn.XLOOKUP(C1758,Customer_Dim!A:A,Customer_Dim!B:B,"Not Found")</f>
        <v>Sherry Cabrera</v>
      </c>
      <c r="K1758">
        <v>2</v>
      </c>
      <c r="L1758" s="5">
        <v>433.07</v>
      </c>
      <c r="M1758">
        <v>0.25</v>
      </c>
      <c r="N1758" t="s">
        <v>1354</v>
      </c>
      <c r="O1758" s="5">
        <v>649.60500000000002</v>
      </c>
    </row>
    <row r="1759" spans="1:15">
      <c r="A1759" t="s">
        <v>3108</v>
      </c>
      <c r="B1759" s="7">
        <v>45355</v>
      </c>
      <c r="C1759" t="s">
        <v>47</v>
      </c>
      <c r="D1759" t="s">
        <v>1205</v>
      </c>
      <c r="E1759" t="s">
        <v>1338</v>
      </c>
      <c r="F1759" t="str">
        <f>[1]Raw_Customer_Dim!$A$2</f>
        <v>CUST1000</v>
      </c>
      <c r="G1759" t="str">
        <f>_xlfn.XLOOKUP(E1759,Store_Dim!A:A,Store_Dim!B:B,"Not Found")</f>
        <v>Mann-Austin</v>
      </c>
      <c r="H1759" t="str">
        <f>_xlfn.XLOOKUP(D1759,Product_Dim!A:A,Product_Dim!C:C,"Not Found")</f>
        <v>Beauty</v>
      </c>
      <c r="I1759" t="str">
        <f>_xlfn.XLOOKUP(E1759,Store_Dim!A:A,Store_Dim!C:C,"Not Found")</f>
        <v>East</v>
      </c>
      <c r="J1759" t="str">
        <f>_xlfn.XLOOKUP(C1759,Customer_Dim!A:A,Customer_Dim!B:B,"Not Found")</f>
        <v>Kenneth Lambert</v>
      </c>
      <c r="K1759">
        <v>3</v>
      </c>
      <c r="L1759" s="5">
        <v>626.71</v>
      </c>
      <c r="M1759">
        <v>7.0000000000000007E-2</v>
      </c>
      <c r="N1759" t="s">
        <v>1354</v>
      </c>
      <c r="O1759" s="5">
        <v>1748.5209</v>
      </c>
    </row>
    <row r="1760" spans="1:15">
      <c r="A1760" t="s">
        <v>3109</v>
      </c>
      <c r="B1760" s="7">
        <v>45916</v>
      </c>
      <c r="C1760" t="s">
        <v>204</v>
      </c>
      <c r="D1760" t="s">
        <v>1145</v>
      </c>
      <c r="E1760" t="s">
        <v>1277</v>
      </c>
      <c r="F1760" t="str">
        <f>[1]Raw_Customer_Dim!$A$2</f>
        <v>CUST1000</v>
      </c>
      <c r="G1760" t="str">
        <f>_xlfn.XLOOKUP(E1760,Store_Dim!A:A,Store_Dim!B:B,"Not Found")</f>
        <v>Rivera-Warner</v>
      </c>
      <c r="H1760" t="str">
        <f>_xlfn.XLOOKUP(D1760,Product_Dim!A:A,Product_Dim!C:C,"Not Found")</f>
        <v>Clothing</v>
      </c>
      <c r="I1760" t="str">
        <f>_xlfn.XLOOKUP(E1760,Store_Dim!A:A,Store_Dim!C:C,"Not Found")</f>
        <v>East</v>
      </c>
      <c r="J1760" t="str">
        <f>_xlfn.XLOOKUP(C1760,Customer_Dim!A:A,Customer_Dim!B:B,"Not Found")</f>
        <v>Nathan Campbell</v>
      </c>
      <c r="K1760">
        <v>2</v>
      </c>
      <c r="L1760" s="5">
        <v>324.18</v>
      </c>
      <c r="M1760">
        <v>0.06</v>
      </c>
      <c r="N1760" t="s">
        <v>1354</v>
      </c>
      <c r="O1760" s="5">
        <v>609.45839999999998</v>
      </c>
    </row>
    <row r="1761" spans="1:15">
      <c r="A1761" t="s">
        <v>3110</v>
      </c>
      <c r="B1761" s="7">
        <v>45448</v>
      </c>
      <c r="C1761" t="s">
        <v>50</v>
      </c>
      <c r="D1761" t="s">
        <v>1101</v>
      </c>
      <c r="E1761" t="s">
        <v>1332</v>
      </c>
      <c r="F1761" t="str">
        <f>[1]Raw_Customer_Dim!$A$2</f>
        <v>CUST1000</v>
      </c>
      <c r="G1761" t="str">
        <f>_xlfn.XLOOKUP(E1761,Store_Dim!A:A,Store_Dim!B:B,"Not Found")</f>
        <v>Holloway Ltd</v>
      </c>
      <c r="H1761" t="str">
        <f>_xlfn.XLOOKUP(D1761,Product_Dim!A:A,Product_Dim!C:C,"Not Found")</f>
        <v>Home</v>
      </c>
      <c r="I1761" t="str">
        <f>_xlfn.XLOOKUP(E1761,Store_Dim!A:A,Store_Dim!C:C,"Not Found")</f>
        <v>North</v>
      </c>
      <c r="J1761" t="str">
        <f>_xlfn.XLOOKUP(C1761,Customer_Dim!A:A,Customer_Dim!B:B,"Not Found")</f>
        <v>Nathan Hernandez</v>
      </c>
      <c r="K1761">
        <v>4</v>
      </c>
      <c r="L1761" s="5">
        <v>839.74</v>
      </c>
      <c r="M1761">
        <v>0.13</v>
      </c>
      <c r="N1761" t="s">
        <v>1351</v>
      </c>
      <c r="O1761" s="5">
        <v>2922.2952</v>
      </c>
    </row>
    <row r="1762" spans="1:15">
      <c r="A1762" t="s">
        <v>3111</v>
      </c>
      <c r="B1762" s="7">
        <v>45402</v>
      </c>
      <c r="C1762" t="s">
        <v>373</v>
      </c>
      <c r="D1762" t="s">
        <v>1197</v>
      </c>
      <c r="E1762" t="s">
        <v>1326</v>
      </c>
      <c r="F1762" t="str">
        <f>[1]Raw_Customer_Dim!$A$2</f>
        <v>CUST1000</v>
      </c>
      <c r="G1762" t="str">
        <f>_xlfn.XLOOKUP(E1762,Store_Dim!A:A,Store_Dim!B:B,"Not Found")</f>
        <v>Shelton PLC</v>
      </c>
      <c r="H1762" t="str">
        <f>_xlfn.XLOOKUP(D1762,Product_Dim!A:A,Product_Dim!C:C,"Not Found")</f>
        <v>Electronics</v>
      </c>
      <c r="I1762" t="str">
        <f>_xlfn.XLOOKUP(E1762,Store_Dim!A:A,Store_Dim!C:C,"Not Found")</f>
        <v>North</v>
      </c>
      <c r="J1762" t="str">
        <f>_xlfn.XLOOKUP(C1762,Customer_Dim!A:A,Customer_Dim!B:B,"Not Found")</f>
        <v>Maria Sanchez</v>
      </c>
      <c r="K1762">
        <v>3</v>
      </c>
      <c r="L1762" s="5">
        <v>252.63</v>
      </c>
      <c r="M1762">
        <v>0.28000000000000003</v>
      </c>
      <c r="N1762" t="s">
        <v>1349</v>
      </c>
      <c r="O1762" s="5">
        <v>545.68079999999998</v>
      </c>
    </row>
    <row r="1763" spans="1:15">
      <c r="A1763" t="s">
        <v>3112</v>
      </c>
      <c r="B1763" s="7">
        <v>45581</v>
      </c>
      <c r="C1763" t="s">
        <v>573</v>
      </c>
      <c r="D1763" t="s">
        <v>1231</v>
      </c>
      <c r="E1763" t="s">
        <v>1338</v>
      </c>
      <c r="F1763" t="str">
        <f>[1]Raw_Customer_Dim!$A$2</f>
        <v>CUST1000</v>
      </c>
      <c r="G1763" t="str">
        <f>_xlfn.XLOOKUP(E1763,Store_Dim!A:A,Store_Dim!B:B,"Not Found")</f>
        <v>Mann-Austin</v>
      </c>
      <c r="H1763" t="str">
        <f>_xlfn.XLOOKUP(D1763,Product_Dim!A:A,Product_Dim!C:C,"Not Found")</f>
        <v>Home</v>
      </c>
      <c r="I1763" t="str">
        <f>_xlfn.XLOOKUP(E1763,Store_Dim!A:A,Store_Dim!C:C,"Not Found")</f>
        <v>East</v>
      </c>
      <c r="J1763" t="str">
        <f>_xlfn.XLOOKUP(C1763,Customer_Dim!A:A,Customer_Dim!B:B,"Not Found")</f>
        <v>Damon Perez</v>
      </c>
      <c r="K1763">
        <v>2</v>
      </c>
      <c r="L1763" s="5">
        <v>60.53</v>
      </c>
      <c r="M1763">
        <v>0.18</v>
      </c>
      <c r="N1763" t="s">
        <v>1349</v>
      </c>
      <c r="O1763" s="5">
        <v>99.269200000000012</v>
      </c>
    </row>
    <row r="1764" spans="1:15">
      <c r="A1764" t="s">
        <v>3113</v>
      </c>
      <c r="B1764" s="7">
        <v>45610</v>
      </c>
      <c r="C1764" t="s">
        <v>152</v>
      </c>
      <c r="D1764" t="s">
        <v>1241</v>
      </c>
      <c r="E1764" t="s">
        <v>1322</v>
      </c>
      <c r="F1764" t="str">
        <f>[1]Raw_Customer_Dim!$A$2</f>
        <v>CUST1000</v>
      </c>
      <c r="G1764" t="str">
        <f>_xlfn.XLOOKUP(E1764,Store_Dim!A:A,Store_Dim!B:B,"Not Found")</f>
        <v>Gardner, Humphrey and Contreras</v>
      </c>
      <c r="H1764" t="str">
        <f>_xlfn.XLOOKUP(D1764,Product_Dim!A:A,Product_Dim!C:C,"Not Found")</f>
        <v>Home</v>
      </c>
      <c r="I1764" t="str">
        <f>_xlfn.XLOOKUP(E1764,Store_Dim!A:A,Store_Dim!C:C,"Not Found")</f>
        <v>East</v>
      </c>
      <c r="J1764" t="str">
        <f>_xlfn.XLOOKUP(C1764,Customer_Dim!A:A,Customer_Dim!B:B,"Not Found")</f>
        <v>Katherine Dorsey</v>
      </c>
      <c r="K1764">
        <v>4</v>
      </c>
      <c r="L1764" s="5">
        <v>341.95</v>
      </c>
      <c r="M1764">
        <v>0.25</v>
      </c>
      <c r="N1764" t="s">
        <v>1349</v>
      </c>
      <c r="O1764" s="5">
        <v>1025.8499999999999</v>
      </c>
    </row>
    <row r="1765" spans="1:15">
      <c r="A1765" t="s">
        <v>3114</v>
      </c>
      <c r="B1765" s="7">
        <v>45438</v>
      </c>
      <c r="C1765" t="s">
        <v>630</v>
      </c>
      <c r="D1765" t="s">
        <v>1117</v>
      </c>
      <c r="E1765" t="s">
        <v>1329</v>
      </c>
      <c r="F1765" t="str">
        <f>[1]Raw_Customer_Dim!$A$2</f>
        <v>CUST1000</v>
      </c>
      <c r="G1765" t="str">
        <f>_xlfn.XLOOKUP(E1765,Store_Dim!A:A,Store_Dim!B:B,"Not Found")</f>
        <v>Frederick-Wright</v>
      </c>
      <c r="H1765" t="str">
        <f>_xlfn.XLOOKUP(D1765,Product_Dim!A:A,Product_Dim!C:C,"Not Found")</f>
        <v>Sports</v>
      </c>
      <c r="I1765" t="str">
        <f>_xlfn.XLOOKUP(E1765,Store_Dim!A:A,Store_Dim!C:C,"Not Found")</f>
        <v>West</v>
      </c>
      <c r="J1765" t="str">
        <f>_xlfn.XLOOKUP(C1765,Customer_Dim!A:A,Customer_Dim!B:B,"Not Found")</f>
        <v>Bryan Garcia</v>
      </c>
      <c r="K1765">
        <v>4</v>
      </c>
      <c r="L1765" s="5">
        <v>300.12</v>
      </c>
      <c r="M1765">
        <v>0.05</v>
      </c>
      <c r="N1765" t="s">
        <v>1351</v>
      </c>
      <c r="O1765" s="5">
        <v>1140.4559999999999</v>
      </c>
    </row>
    <row r="1766" spans="1:15">
      <c r="A1766" t="s">
        <v>3115</v>
      </c>
      <c r="B1766" s="7">
        <v>45705</v>
      </c>
      <c r="C1766" t="s">
        <v>290</v>
      </c>
      <c r="D1766" t="s">
        <v>1129</v>
      </c>
      <c r="E1766" t="s">
        <v>1332</v>
      </c>
      <c r="F1766" t="str">
        <f>[1]Raw_Customer_Dim!$A$2</f>
        <v>CUST1000</v>
      </c>
      <c r="G1766" t="str">
        <f>_xlfn.XLOOKUP(E1766,Store_Dim!A:A,Store_Dim!B:B,"Not Found")</f>
        <v>Holloway Ltd</v>
      </c>
      <c r="H1766" t="str">
        <f>_xlfn.XLOOKUP(D1766,Product_Dim!A:A,Product_Dim!C:C,"Not Found")</f>
        <v>Sports</v>
      </c>
      <c r="I1766" t="str">
        <f>_xlfn.XLOOKUP(E1766,Store_Dim!A:A,Store_Dim!C:C,"Not Found")</f>
        <v>North</v>
      </c>
      <c r="J1766" t="str">
        <f>_xlfn.XLOOKUP(C1766,Customer_Dim!A:A,Customer_Dim!B:B,"Not Found")</f>
        <v>Tyler Conrad</v>
      </c>
      <c r="K1766">
        <v>2</v>
      </c>
      <c r="L1766" s="5">
        <v>289.14</v>
      </c>
      <c r="M1766">
        <v>0.12</v>
      </c>
      <c r="N1766" t="s">
        <v>1354</v>
      </c>
      <c r="O1766" s="5">
        <v>508.88639999999998</v>
      </c>
    </row>
    <row r="1767" spans="1:15">
      <c r="A1767" t="s">
        <v>3116</v>
      </c>
      <c r="B1767" s="7">
        <v>45695</v>
      </c>
      <c r="C1767" t="s">
        <v>131</v>
      </c>
      <c r="D1767" t="s">
        <v>1123</v>
      </c>
      <c r="E1767" t="s">
        <v>1277</v>
      </c>
      <c r="F1767" t="str">
        <f>[1]Raw_Customer_Dim!$A$2</f>
        <v>CUST1000</v>
      </c>
      <c r="G1767" t="str">
        <f>_xlfn.XLOOKUP(E1767,Store_Dim!A:A,Store_Dim!B:B,"Not Found")</f>
        <v>Rivera-Warner</v>
      </c>
      <c r="H1767" t="str">
        <f>_xlfn.XLOOKUP(D1767,Product_Dim!A:A,Product_Dim!C:C,"Not Found")</f>
        <v>Clothing</v>
      </c>
      <c r="I1767" t="str">
        <f>_xlfn.XLOOKUP(E1767,Store_Dim!A:A,Store_Dim!C:C,"Not Found")</f>
        <v>East</v>
      </c>
      <c r="J1767" t="str">
        <f>_xlfn.XLOOKUP(C1767,Customer_Dim!A:A,Customer_Dim!B:B,"Not Found")</f>
        <v>Jordan Jackson DDS</v>
      </c>
      <c r="K1767">
        <v>2</v>
      </c>
      <c r="L1767" s="5">
        <v>596.84</v>
      </c>
      <c r="M1767">
        <v>0.01</v>
      </c>
      <c r="N1767" t="s">
        <v>1351</v>
      </c>
      <c r="O1767" s="5">
        <v>1181.7431999999999</v>
      </c>
    </row>
    <row r="1768" spans="1:15">
      <c r="A1768" t="s">
        <v>3117</v>
      </c>
      <c r="B1768" s="7">
        <v>45571</v>
      </c>
      <c r="C1768" t="s">
        <v>935</v>
      </c>
      <c r="D1768" t="s">
        <v>1111</v>
      </c>
      <c r="E1768" t="s">
        <v>1307</v>
      </c>
      <c r="F1768" t="str">
        <f>[1]Raw_Customer_Dim!$A$2</f>
        <v>CUST1000</v>
      </c>
      <c r="G1768" t="str">
        <f>_xlfn.XLOOKUP(E1768,Store_Dim!A:A,Store_Dim!B:B,"Not Found")</f>
        <v>Bean, Jones and Park</v>
      </c>
      <c r="H1768" t="str">
        <f>_xlfn.XLOOKUP(D1768,Product_Dim!A:A,Product_Dim!C:C,"Not Found")</f>
        <v>Sports</v>
      </c>
      <c r="I1768" t="str">
        <f>_xlfn.XLOOKUP(E1768,Store_Dim!A:A,Store_Dim!C:C,"Not Found")</f>
        <v>West</v>
      </c>
      <c r="J1768" t="str">
        <f>_xlfn.XLOOKUP(C1768,Customer_Dim!A:A,Customer_Dim!B:B,"Not Found")</f>
        <v>Sharon Simpson</v>
      </c>
      <c r="K1768">
        <v>4</v>
      </c>
      <c r="L1768" s="5">
        <v>466.24</v>
      </c>
      <c r="M1768">
        <v>0.16</v>
      </c>
      <c r="N1768" t="s">
        <v>1349</v>
      </c>
      <c r="O1768" s="5">
        <v>1566.5663999999999</v>
      </c>
    </row>
    <row r="1769" spans="1:15">
      <c r="A1769" t="s">
        <v>3118</v>
      </c>
      <c r="B1769" s="7">
        <v>45544</v>
      </c>
      <c r="C1769" t="s">
        <v>567</v>
      </c>
      <c r="D1769" t="s">
        <v>1099</v>
      </c>
      <c r="E1769" t="s">
        <v>1329</v>
      </c>
      <c r="F1769" t="str">
        <f>[1]Raw_Customer_Dim!$A$2</f>
        <v>CUST1000</v>
      </c>
      <c r="G1769" t="str">
        <f>_xlfn.XLOOKUP(E1769,Store_Dim!A:A,Store_Dim!B:B,"Not Found")</f>
        <v>Frederick-Wright</v>
      </c>
      <c r="H1769" t="str">
        <f>_xlfn.XLOOKUP(D1769,Product_Dim!A:A,Product_Dim!C:C,"Not Found")</f>
        <v>Electronics</v>
      </c>
      <c r="I1769" t="str">
        <f>_xlfn.XLOOKUP(E1769,Store_Dim!A:A,Store_Dim!C:C,"Not Found")</f>
        <v>West</v>
      </c>
      <c r="J1769" t="str">
        <f>_xlfn.XLOOKUP(C1769,Customer_Dim!A:A,Customer_Dim!B:B,"Not Found")</f>
        <v>John Mccoy</v>
      </c>
      <c r="K1769">
        <v>2</v>
      </c>
      <c r="L1769" s="5">
        <v>330.59</v>
      </c>
      <c r="M1769">
        <v>0.14000000000000001</v>
      </c>
      <c r="N1769" t="s">
        <v>1349</v>
      </c>
      <c r="O1769" s="5">
        <v>568.61479999999995</v>
      </c>
    </row>
    <row r="1770" spans="1:15">
      <c r="A1770" t="s">
        <v>3119</v>
      </c>
      <c r="B1770" s="7">
        <v>45654</v>
      </c>
      <c r="C1770" t="s">
        <v>1047</v>
      </c>
      <c r="D1770" t="s">
        <v>1117</v>
      </c>
      <c r="E1770" t="s">
        <v>1301</v>
      </c>
      <c r="F1770" t="str">
        <f>[1]Raw_Customer_Dim!$A$2</f>
        <v>CUST1000</v>
      </c>
      <c r="G1770" t="str">
        <f>_xlfn.XLOOKUP(E1770,Store_Dim!A:A,Store_Dim!B:B,"Not Found")</f>
        <v>Benson-Elliott</v>
      </c>
      <c r="H1770" t="str">
        <f>_xlfn.XLOOKUP(D1770,Product_Dim!A:A,Product_Dim!C:C,"Not Found")</f>
        <v>Sports</v>
      </c>
      <c r="I1770" t="str">
        <f>_xlfn.XLOOKUP(E1770,Store_Dim!A:A,Store_Dim!C:C,"Not Found")</f>
        <v>East</v>
      </c>
      <c r="J1770" t="str">
        <f>_xlfn.XLOOKUP(C1770,Customer_Dim!A:A,Customer_Dim!B:B,"Not Found")</f>
        <v>Amanda Powell</v>
      </c>
      <c r="K1770">
        <v>2</v>
      </c>
      <c r="L1770" s="5">
        <v>616.42999999999995</v>
      </c>
      <c r="M1770">
        <v>0.02</v>
      </c>
      <c r="N1770" t="s">
        <v>1354</v>
      </c>
      <c r="O1770" s="5">
        <v>1208.2028</v>
      </c>
    </row>
    <row r="1771" spans="1:15">
      <c r="A1771" t="s">
        <v>3120</v>
      </c>
      <c r="B1771" s="7">
        <v>45589</v>
      </c>
      <c r="C1771" t="s">
        <v>869</v>
      </c>
      <c r="D1771" t="s">
        <v>1199</v>
      </c>
      <c r="E1771" t="s">
        <v>1301</v>
      </c>
      <c r="F1771" t="str">
        <f>[1]Raw_Customer_Dim!$A$2</f>
        <v>CUST1000</v>
      </c>
      <c r="G1771" t="str">
        <f>_xlfn.XLOOKUP(E1771,Store_Dim!A:A,Store_Dim!B:B,"Not Found")</f>
        <v>Benson-Elliott</v>
      </c>
      <c r="H1771" t="str">
        <f>_xlfn.XLOOKUP(D1771,Product_Dim!A:A,Product_Dim!C:C,"Not Found")</f>
        <v>Beauty</v>
      </c>
      <c r="I1771" t="str">
        <f>_xlfn.XLOOKUP(E1771,Store_Dim!A:A,Store_Dim!C:C,"Not Found")</f>
        <v>East</v>
      </c>
      <c r="J1771" t="str">
        <f>_xlfn.XLOOKUP(C1771,Customer_Dim!A:A,Customer_Dim!B:B,"Not Found")</f>
        <v>Justin Ingram</v>
      </c>
      <c r="K1771">
        <v>3</v>
      </c>
      <c r="L1771" s="5">
        <v>195.89</v>
      </c>
      <c r="M1771">
        <v>0.16</v>
      </c>
      <c r="N1771" t="s">
        <v>1351</v>
      </c>
      <c r="O1771" s="5">
        <v>493.64280000000002</v>
      </c>
    </row>
    <row r="1772" spans="1:15">
      <c r="A1772" t="s">
        <v>3121</v>
      </c>
      <c r="B1772" s="7">
        <v>45487</v>
      </c>
      <c r="C1772" t="s">
        <v>750</v>
      </c>
      <c r="D1772" t="s">
        <v>1085</v>
      </c>
      <c r="E1772" t="s">
        <v>1314</v>
      </c>
      <c r="F1772" t="str">
        <f>[1]Raw_Customer_Dim!$A$2</f>
        <v>CUST1000</v>
      </c>
      <c r="G1772" t="str">
        <f>_xlfn.XLOOKUP(E1772,Store_Dim!A:A,Store_Dim!B:B,"Not Found")</f>
        <v>Hill, Wagner and Ballard</v>
      </c>
      <c r="H1772" t="str">
        <f>_xlfn.XLOOKUP(D1772,Product_Dim!A:A,Product_Dim!C:C,"Not Found")</f>
        <v>Home</v>
      </c>
      <c r="I1772" t="str">
        <f>_xlfn.XLOOKUP(E1772,Store_Dim!A:A,Store_Dim!C:C,"Not Found")</f>
        <v>East</v>
      </c>
      <c r="J1772" t="str">
        <f>_xlfn.XLOOKUP(C1772,Customer_Dim!A:A,Customer_Dim!B:B,"Not Found")</f>
        <v>Ryan Moore</v>
      </c>
      <c r="K1772">
        <v>4</v>
      </c>
      <c r="L1772" s="5">
        <v>614.76</v>
      </c>
      <c r="M1772">
        <v>0.16</v>
      </c>
      <c r="N1772" t="s">
        <v>1349</v>
      </c>
      <c r="O1772" s="5">
        <v>2065.5936000000002</v>
      </c>
    </row>
    <row r="1773" spans="1:15">
      <c r="A1773" t="s">
        <v>3122</v>
      </c>
      <c r="B1773" s="7">
        <v>45418</v>
      </c>
      <c r="C1773" t="s">
        <v>871</v>
      </c>
      <c r="D1773" t="s">
        <v>1231</v>
      </c>
      <c r="E1773" t="s">
        <v>1304</v>
      </c>
      <c r="F1773" t="str">
        <f>[1]Raw_Customer_Dim!$A$2</f>
        <v>CUST1000</v>
      </c>
      <c r="G1773" t="str">
        <f>_xlfn.XLOOKUP(E1773,Store_Dim!A:A,Store_Dim!B:B,"Not Found")</f>
        <v>Martinez-Mullins</v>
      </c>
      <c r="H1773" t="str">
        <f>_xlfn.XLOOKUP(D1773,Product_Dim!A:A,Product_Dim!C:C,"Not Found")</f>
        <v>Home</v>
      </c>
      <c r="I1773" t="str">
        <f>_xlfn.XLOOKUP(E1773,Store_Dim!A:A,Store_Dim!C:C,"Not Found")</f>
        <v>South</v>
      </c>
      <c r="J1773" t="str">
        <f>_xlfn.XLOOKUP(C1773,Customer_Dim!A:A,Customer_Dim!B:B,"Not Found")</f>
        <v>David Ross</v>
      </c>
      <c r="K1773">
        <v>1</v>
      </c>
      <c r="L1773" s="5">
        <v>224.49</v>
      </c>
      <c r="M1773">
        <v>0.11</v>
      </c>
      <c r="N1773" t="s">
        <v>1351</v>
      </c>
      <c r="O1773" s="5">
        <v>199.7961</v>
      </c>
    </row>
    <row r="1774" spans="1:15">
      <c r="A1774" t="s">
        <v>3123</v>
      </c>
      <c r="B1774" s="7">
        <v>45338</v>
      </c>
      <c r="C1774" t="s">
        <v>775</v>
      </c>
      <c r="D1774" t="s">
        <v>1183</v>
      </c>
      <c r="E1774" t="s">
        <v>1319</v>
      </c>
      <c r="F1774" t="str">
        <f>[1]Raw_Customer_Dim!$A$2</f>
        <v>CUST1000</v>
      </c>
      <c r="G1774" t="str">
        <f>_xlfn.XLOOKUP(E1774,Store_Dim!A:A,Store_Dim!B:B,"Not Found")</f>
        <v>Thomas, Bridges and Harris</v>
      </c>
      <c r="H1774" t="str">
        <f>_xlfn.XLOOKUP(D1774,Product_Dim!A:A,Product_Dim!C:C,"Not Found")</f>
        <v>Home</v>
      </c>
      <c r="I1774" t="str">
        <f>_xlfn.XLOOKUP(E1774,Store_Dim!A:A,Store_Dim!C:C,"Not Found")</f>
        <v>North</v>
      </c>
      <c r="J1774" t="str">
        <f>_xlfn.XLOOKUP(C1774,Customer_Dim!A:A,Customer_Dim!B:B,"Not Found")</f>
        <v>Steve Hunt</v>
      </c>
      <c r="K1774">
        <v>1</v>
      </c>
      <c r="L1774" s="5">
        <v>967.76</v>
      </c>
      <c r="M1774">
        <v>0.09</v>
      </c>
      <c r="N1774" t="s">
        <v>1349</v>
      </c>
      <c r="O1774" s="5">
        <v>880.66160000000002</v>
      </c>
    </row>
    <row r="1775" spans="1:15">
      <c r="A1775" t="s">
        <v>3124</v>
      </c>
      <c r="B1775" s="7">
        <v>45507</v>
      </c>
      <c r="C1775" t="s">
        <v>182</v>
      </c>
      <c r="D1775" t="s">
        <v>1155</v>
      </c>
      <c r="E1775" t="s">
        <v>1338</v>
      </c>
      <c r="F1775" t="str">
        <f>[1]Raw_Customer_Dim!$A$2</f>
        <v>CUST1000</v>
      </c>
      <c r="G1775" t="str">
        <f>_xlfn.XLOOKUP(E1775,Store_Dim!A:A,Store_Dim!B:B,"Not Found")</f>
        <v>Mann-Austin</v>
      </c>
      <c r="H1775" t="str">
        <f>_xlfn.XLOOKUP(D1775,Product_Dim!A:A,Product_Dim!C:C,"Not Found")</f>
        <v>Sports</v>
      </c>
      <c r="I1775" t="str">
        <f>_xlfn.XLOOKUP(E1775,Store_Dim!A:A,Store_Dim!C:C,"Not Found")</f>
        <v>East</v>
      </c>
      <c r="J1775" t="str">
        <f>_xlfn.XLOOKUP(C1775,Customer_Dim!A:A,Customer_Dim!B:B,"Not Found")</f>
        <v>Amber Mcclain</v>
      </c>
      <c r="K1775">
        <v>2</v>
      </c>
      <c r="L1775" s="5">
        <v>56.52</v>
      </c>
      <c r="M1775">
        <v>0.17</v>
      </c>
      <c r="N1775" t="s">
        <v>1351</v>
      </c>
      <c r="O1775" s="5">
        <v>93.8232</v>
      </c>
    </row>
    <row r="1776" spans="1:15">
      <c r="A1776" t="s">
        <v>3125</v>
      </c>
      <c r="B1776" s="7">
        <v>45275</v>
      </c>
      <c r="C1776" t="s">
        <v>1041</v>
      </c>
      <c r="D1776" t="s">
        <v>1207</v>
      </c>
      <c r="E1776" t="s">
        <v>1282</v>
      </c>
      <c r="F1776" t="str">
        <f>[1]Raw_Customer_Dim!$A$2</f>
        <v>CUST1000</v>
      </c>
      <c r="G1776" t="str">
        <f>_xlfn.XLOOKUP(E1776,Store_Dim!A:A,Store_Dim!B:B,"Not Found")</f>
        <v>Martinez, Adkins and Johnson</v>
      </c>
      <c r="H1776" t="str">
        <f>_xlfn.XLOOKUP(D1776,Product_Dim!A:A,Product_Dim!C:C,"Not Found")</f>
        <v>Electronics</v>
      </c>
      <c r="I1776" t="str">
        <f>_xlfn.XLOOKUP(E1776,Store_Dim!A:A,Store_Dim!C:C,"Not Found")</f>
        <v>North</v>
      </c>
      <c r="J1776" t="str">
        <f>_xlfn.XLOOKUP(C1776,Customer_Dim!A:A,Customer_Dim!B:B,"Not Found")</f>
        <v>Scott Harris</v>
      </c>
      <c r="K1776">
        <v>4</v>
      </c>
      <c r="L1776" s="5">
        <v>921.84</v>
      </c>
      <c r="M1776">
        <v>0.04</v>
      </c>
      <c r="N1776" t="s">
        <v>1349</v>
      </c>
      <c r="O1776" s="5">
        <v>3539.8656000000001</v>
      </c>
    </row>
    <row r="1777" spans="1:15">
      <c r="A1777" t="s">
        <v>3126</v>
      </c>
      <c r="B1777" s="7">
        <v>45319</v>
      </c>
      <c r="C1777" t="s">
        <v>720</v>
      </c>
      <c r="D1777" t="s">
        <v>1245</v>
      </c>
      <c r="E1777" t="s">
        <v>1329</v>
      </c>
      <c r="F1777" t="str">
        <f>[1]Raw_Customer_Dim!$A$2</f>
        <v>CUST1000</v>
      </c>
      <c r="G1777" t="str">
        <f>_xlfn.XLOOKUP(E1777,Store_Dim!A:A,Store_Dim!B:B,"Not Found")</f>
        <v>Frederick-Wright</v>
      </c>
      <c r="H1777" t="str">
        <f>_xlfn.XLOOKUP(D1777,Product_Dim!A:A,Product_Dim!C:C,"Not Found")</f>
        <v>Home</v>
      </c>
      <c r="I1777" t="str">
        <f>_xlfn.XLOOKUP(E1777,Store_Dim!A:A,Store_Dim!C:C,"Not Found")</f>
        <v>West</v>
      </c>
      <c r="J1777" t="str">
        <f>_xlfn.XLOOKUP(C1777,Customer_Dim!A:A,Customer_Dim!B:B,"Not Found")</f>
        <v>Mario Harvey Jr.</v>
      </c>
      <c r="K1777">
        <v>3</v>
      </c>
      <c r="L1777" s="5">
        <v>738.47</v>
      </c>
      <c r="M1777">
        <v>0.28000000000000003</v>
      </c>
      <c r="N1777" t="s">
        <v>1349</v>
      </c>
      <c r="O1777" s="5">
        <v>1595.0952</v>
      </c>
    </row>
    <row r="1778" spans="1:15">
      <c r="A1778" t="s">
        <v>3127</v>
      </c>
      <c r="B1778" s="7">
        <v>45620</v>
      </c>
      <c r="C1778" t="s">
        <v>720</v>
      </c>
      <c r="D1778" t="s">
        <v>1080</v>
      </c>
      <c r="E1778" t="s">
        <v>1277</v>
      </c>
      <c r="F1778" t="str">
        <f>[1]Raw_Customer_Dim!$A$2</f>
        <v>CUST1000</v>
      </c>
      <c r="G1778" t="str">
        <f>_xlfn.XLOOKUP(E1778,Store_Dim!A:A,Store_Dim!B:B,"Not Found")</f>
        <v>Rivera-Warner</v>
      </c>
      <c r="H1778" t="str">
        <f>_xlfn.XLOOKUP(D1778,Product_Dim!A:A,Product_Dim!C:C,"Not Found")</f>
        <v>Clothing</v>
      </c>
      <c r="I1778" t="str">
        <f>_xlfn.XLOOKUP(E1778,Store_Dim!A:A,Store_Dim!C:C,"Not Found")</f>
        <v>East</v>
      </c>
      <c r="J1778" t="str">
        <f>_xlfn.XLOOKUP(C1778,Customer_Dim!A:A,Customer_Dim!B:B,"Not Found")</f>
        <v>Mario Harvey Jr.</v>
      </c>
      <c r="K1778">
        <v>4</v>
      </c>
      <c r="L1778" s="5">
        <v>477.83</v>
      </c>
      <c r="M1778">
        <v>0.05</v>
      </c>
      <c r="N1778" t="s">
        <v>1354</v>
      </c>
      <c r="O1778" s="5">
        <v>1815.7539999999999</v>
      </c>
    </row>
    <row r="1779" spans="1:15">
      <c r="A1779" t="s">
        <v>3128</v>
      </c>
      <c r="B1779" s="7">
        <v>45831</v>
      </c>
      <c r="C1779" t="s">
        <v>397</v>
      </c>
      <c r="D1779" t="s">
        <v>1157</v>
      </c>
      <c r="E1779" t="s">
        <v>1319</v>
      </c>
      <c r="F1779" t="str">
        <f>[1]Raw_Customer_Dim!$A$2</f>
        <v>CUST1000</v>
      </c>
      <c r="G1779" t="str">
        <f>_xlfn.XLOOKUP(E1779,Store_Dim!A:A,Store_Dim!B:B,"Not Found")</f>
        <v>Thomas, Bridges and Harris</v>
      </c>
      <c r="H1779" t="str">
        <f>_xlfn.XLOOKUP(D1779,Product_Dim!A:A,Product_Dim!C:C,"Not Found")</f>
        <v>Electronics</v>
      </c>
      <c r="I1779" t="str">
        <f>_xlfn.XLOOKUP(E1779,Store_Dim!A:A,Store_Dim!C:C,"Not Found")</f>
        <v>North</v>
      </c>
      <c r="J1779" t="str">
        <f>_xlfn.XLOOKUP(C1779,Customer_Dim!A:A,Customer_Dim!B:B,"Not Found")</f>
        <v>Daniel Contreras</v>
      </c>
      <c r="K1779">
        <v>3</v>
      </c>
      <c r="L1779" s="5">
        <v>605.83000000000004</v>
      </c>
      <c r="M1779">
        <v>0.28000000000000003</v>
      </c>
      <c r="N1779" t="s">
        <v>1354</v>
      </c>
      <c r="O1779" s="5">
        <v>1308.5927999999999</v>
      </c>
    </row>
    <row r="1780" spans="1:15">
      <c r="A1780" t="s">
        <v>3129</v>
      </c>
      <c r="B1780" s="7">
        <v>45373</v>
      </c>
      <c r="C1780" t="s">
        <v>182</v>
      </c>
      <c r="D1780" t="s">
        <v>1159</v>
      </c>
      <c r="E1780" t="s">
        <v>1291</v>
      </c>
      <c r="F1780" t="str">
        <f>[1]Raw_Customer_Dim!$A$2</f>
        <v>CUST1000</v>
      </c>
      <c r="G1780" t="str">
        <f>_xlfn.XLOOKUP(E1780,Store_Dim!A:A,Store_Dim!B:B,"Not Found")</f>
        <v>Johnson-Wright</v>
      </c>
      <c r="H1780" t="str">
        <f>_xlfn.XLOOKUP(D1780,Product_Dim!A:A,Product_Dim!C:C,"Not Found")</f>
        <v>Electronics</v>
      </c>
      <c r="I1780" t="str">
        <f>_xlfn.XLOOKUP(E1780,Store_Dim!A:A,Store_Dim!C:C,"Not Found")</f>
        <v>North</v>
      </c>
      <c r="J1780" t="str">
        <f>_xlfn.XLOOKUP(C1780,Customer_Dim!A:A,Customer_Dim!B:B,"Not Found")</f>
        <v>Amber Mcclain</v>
      </c>
      <c r="K1780">
        <v>2</v>
      </c>
      <c r="L1780" s="5">
        <v>521.44000000000005</v>
      </c>
      <c r="M1780">
        <v>0.25</v>
      </c>
      <c r="N1780" t="s">
        <v>1354</v>
      </c>
      <c r="O1780" s="5">
        <v>782.16000000000008</v>
      </c>
    </row>
    <row r="1781" spans="1:15">
      <c r="A1781" t="s">
        <v>3130</v>
      </c>
      <c r="B1781" s="7">
        <v>45863</v>
      </c>
      <c r="C1781" t="s">
        <v>809</v>
      </c>
      <c r="D1781" t="s">
        <v>1093</v>
      </c>
      <c r="E1781" t="s">
        <v>1304</v>
      </c>
      <c r="F1781" t="str">
        <f>[1]Raw_Customer_Dim!$A$2</f>
        <v>CUST1000</v>
      </c>
      <c r="G1781" t="str">
        <f>_xlfn.XLOOKUP(E1781,Store_Dim!A:A,Store_Dim!B:B,"Not Found")</f>
        <v>Martinez-Mullins</v>
      </c>
      <c r="H1781" t="str">
        <f>_xlfn.XLOOKUP(D1781,Product_Dim!A:A,Product_Dim!C:C,"Not Found")</f>
        <v>Home</v>
      </c>
      <c r="I1781" t="str">
        <f>_xlfn.XLOOKUP(E1781,Store_Dim!A:A,Store_Dim!C:C,"Not Found")</f>
        <v>South</v>
      </c>
      <c r="J1781" t="str">
        <f>_xlfn.XLOOKUP(C1781,Customer_Dim!A:A,Customer_Dim!B:B,"Not Found")</f>
        <v>James Orozco</v>
      </c>
      <c r="K1781">
        <v>4</v>
      </c>
      <c r="L1781" s="5">
        <v>499.02</v>
      </c>
      <c r="M1781">
        <v>0.06</v>
      </c>
      <c r="N1781" t="s">
        <v>1349</v>
      </c>
      <c r="O1781" s="5">
        <v>1876.3152</v>
      </c>
    </row>
    <row r="1782" spans="1:15">
      <c r="A1782" t="s">
        <v>3131</v>
      </c>
      <c r="B1782" s="7">
        <v>45758</v>
      </c>
      <c r="C1782" t="s">
        <v>367</v>
      </c>
      <c r="D1782" t="s">
        <v>1078</v>
      </c>
      <c r="E1782" t="s">
        <v>1335</v>
      </c>
      <c r="F1782" t="str">
        <f>[1]Raw_Customer_Dim!$A$2</f>
        <v>CUST1000</v>
      </c>
      <c r="G1782" t="str">
        <f>_xlfn.XLOOKUP(E1782,Store_Dim!A:A,Store_Dim!B:B,"Not Found")</f>
        <v>Guerrero-Schmitt</v>
      </c>
      <c r="H1782" t="str">
        <f>_xlfn.XLOOKUP(D1782,Product_Dim!A:A,Product_Dim!C:C,"Not Found")</f>
        <v>Clothing</v>
      </c>
      <c r="I1782" t="str">
        <f>_xlfn.XLOOKUP(E1782,Store_Dim!A:A,Store_Dim!C:C,"Not Found")</f>
        <v>East</v>
      </c>
      <c r="J1782" t="str">
        <f>_xlfn.XLOOKUP(C1782,Customer_Dim!A:A,Customer_Dim!B:B,"Not Found")</f>
        <v>Joseph Faulkner</v>
      </c>
      <c r="K1782">
        <v>4</v>
      </c>
      <c r="L1782" s="5">
        <v>299.45999999999998</v>
      </c>
      <c r="M1782">
        <v>0.18</v>
      </c>
      <c r="N1782" t="s">
        <v>1354</v>
      </c>
      <c r="O1782" s="5">
        <v>982.22879999999998</v>
      </c>
    </row>
    <row r="1783" spans="1:15">
      <c r="A1783" t="s">
        <v>3132</v>
      </c>
      <c r="B1783" s="7">
        <v>45285</v>
      </c>
      <c r="C1783" t="s">
        <v>977</v>
      </c>
      <c r="D1783" t="s">
        <v>1151</v>
      </c>
      <c r="E1783" t="s">
        <v>1277</v>
      </c>
      <c r="F1783" t="str">
        <f>[1]Raw_Customer_Dim!$A$2</f>
        <v>CUST1000</v>
      </c>
      <c r="G1783" t="str">
        <f>_xlfn.XLOOKUP(E1783,Store_Dim!A:A,Store_Dim!B:B,"Not Found")</f>
        <v>Rivera-Warner</v>
      </c>
      <c r="H1783" t="str">
        <f>_xlfn.XLOOKUP(D1783,Product_Dim!A:A,Product_Dim!C:C,"Not Found")</f>
        <v>Electronics</v>
      </c>
      <c r="I1783" t="str">
        <f>_xlfn.XLOOKUP(E1783,Store_Dim!A:A,Store_Dim!C:C,"Not Found")</f>
        <v>East</v>
      </c>
      <c r="J1783" t="str">
        <f>_xlfn.XLOOKUP(C1783,Customer_Dim!A:A,Customer_Dim!B:B,"Not Found")</f>
        <v>Christina Robertson</v>
      </c>
      <c r="K1783">
        <v>1</v>
      </c>
      <c r="L1783" s="5">
        <v>609.29</v>
      </c>
      <c r="M1783">
        <v>0.15</v>
      </c>
      <c r="N1783" t="s">
        <v>1349</v>
      </c>
      <c r="O1783" s="5">
        <v>517.89649999999995</v>
      </c>
    </row>
    <row r="1784" spans="1:15">
      <c r="A1784" t="s">
        <v>3133</v>
      </c>
      <c r="B1784" s="7">
        <v>45656</v>
      </c>
      <c r="C1784" t="s">
        <v>261</v>
      </c>
      <c r="D1784" t="s">
        <v>1074</v>
      </c>
      <c r="E1784" t="s">
        <v>1307</v>
      </c>
      <c r="F1784" t="str">
        <f>[1]Raw_Customer_Dim!$A$2</f>
        <v>CUST1000</v>
      </c>
      <c r="G1784" t="str">
        <f>_xlfn.XLOOKUP(E1784,Store_Dim!A:A,Store_Dim!B:B,"Not Found")</f>
        <v>Bean, Jones and Park</v>
      </c>
      <c r="H1784" t="str">
        <f>_xlfn.XLOOKUP(D1784,Product_Dim!A:A,Product_Dim!C:C,"Not Found")</f>
        <v>Clothing</v>
      </c>
      <c r="I1784" t="str">
        <f>_xlfn.XLOOKUP(E1784,Store_Dim!A:A,Store_Dim!C:C,"Not Found")</f>
        <v>West</v>
      </c>
      <c r="J1784" t="str">
        <f>_xlfn.XLOOKUP(C1784,Customer_Dim!A:A,Customer_Dim!B:B,"Not Found")</f>
        <v>Colleen Maynard</v>
      </c>
      <c r="K1784">
        <v>1</v>
      </c>
      <c r="L1784" s="5">
        <v>213.74</v>
      </c>
      <c r="M1784">
        <v>7.0000000000000007E-2</v>
      </c>
      <c r="N1784" t="s">
        <v>1354</v>
      </c>
      <c r="O1784" s="5">
        <v>198.7782</v>
      </c>
    </row>
    <row r="1785" spans="1:15">
      <c r="A1785" t="s">
        <v>3134</v>
      </c>
      <c r="B1785" s="7">
        <v>45718</v>
      </c>
      <c r="C1785" t="s">
        <v>367</v>
      </c>
      <c r="D1785" t="s">
        <v>1183</v>
      </c>
      <c r="E1785" t="s">
        <v>1329</v>
      </c>
      <c r="F1785" t="str">
        <f>[1]Raw_Customer_Dim!$A$2</f>
        <v>CUST1000</v>
      </c>
      <c r="G1785" t="str">
        <f>_xlfn.XLOOKUP(E1785,Store_Dim!A:A,Store_Dim!B:B,"Not Found")</f>
        <v>Frederick-Wright</v>
      </c>
      <c r="H1785" t="str">
        <f>_xlfn.XLOOKUP(D1785,Product_Dim!A:A,Product_Dim!C:C,"Not Found")</f>
        <v>Home</v>
      </c>
      <c r="I1785" t="str">
        <f>_xlfn.XLOOKUP(E1785,Store_Dim!A:A,Store_Dim!C:C,"Not Found")</f>
        <v>West</v>
      </c>
      <c r="J1785" t="str">
        <f>_xlfn.XLOOKUP(C1785,Customer_Dim!A:A,Customer_Dim!B:B,"Not Found")</f>
        <v>Joseph Faulkner</v>
      </c>
      <c r="K1785">
        <v>4</v>
      </c>
      <c r="L1785" s="5">
        <v>613.16999999999996</v>
      </c>
      <c r="M1785">
        <v>0.26</v>
      </c>
      <c r="N1785" t="s">
        <v>1349</v>
      </c>
      <c r="O1785" s="5">
        <v>1814.9831999999999</v>
      </c>
    </row>
    <row r="1786" spans="1:15">
      <c r="A1786" t="s">
        <v>3135</v>
      </c>
      <c r="B1786" s="7">
        <v>45293</v>
      </c>
      <c r="C1786" t="s">
        <v>777</v>
      </c>
      <c r="D1786" t="s">
        <v>1191</v>
      </c>
      <c r="E1786" t="s">
        <v>1317</v>
      </c>
      <c r="F1786" t="str">
        <f>[1]Raw_Customer_Dim!$A$2</f>
        <v>CUST1000</v>
      </c>
      <c r="G1786" t="str">
        <f>_xlfn.XLOOKUP(E1786,Store_Dim!A:A,Store_Dim!B:B,"Not Found")</f>
        <v>Aguirre-Keller</v>
      </c>
      <c r="H1786" t="str">
        <f>_xlfn.XLOOKUP(D1786,Product_Dim!A:A,Product_Dim!C:C,"Not Found")</f>
        <v>Beauty</v>
      </c>
      <c r="I1786" t="str">
        <f>_xlfn.XLOOKUP(E1786,Store_Dim!A:A,Store_Dim!C:C,"Not Found")</f>
        <v>South</v>
      </c>
      <c r="J1786" t="str">
        <f>_xlfn.XLOOKUP(C1786,Customer_Dim!A:A,Customer_Dim!B:B,"Not Found")</f>
        <v>Manuel Castillo</v>
      </c>
      <c r="K1786">
        <v>2</v>
      </c>
      <c r="L1786" s="5">
        <v>687.36</v>
      </c>
      <c r="M1786">
        <v>7.0000000000000007E-2</v>
      </c>
      <c r="N1786" t="s">
        <v>1354</v>
      </c>
      <c r="O1786" s="5">
        <v>1278.4896000000001</v>
      </c>
    </row>
    <row r="1787" spans="1:15">
      <c r="A1787" t="s">
        <v>3136</v>
      </c>
      <c r="B1787" s="7">
        <v>45915</v>
      </c>
      <c r="C1787" t="s">
        <v>716</v>
      </c>
      <c r="D1787" t="s">
        <v>1207</v>
      </c>
      <c r="E1787" t="s">
        <v>1322</v>
      </c>
      <c r="F1787" t="str">
        <f>[1]Raw_Customer_Dim!$A$2</f>
        <v>CUST1000</v>
      </c>
      <c r="G1787" t="str">
        <f>_xlfn.XLOOKUP(E1787,Store_Dim!A:A,Store_Dim!B:B,"Not Found")</f>
        <v>Gardner, Humphrey and Contreras</v>
      </c>
      <c r="H1787" t="str">
        <f>_xlfn.XLOOKUP(D1787,Product_Dim!A:A,Product_Dim!C:C,"Not Found")</f>
        <v>Electronics</v>
      </c>
      <c r="I1787" t="str">
        <f>_xlfn.XLOOKUP(E1787,Store_Dim!A:A,Store_Dim!C:C,"Not Found")</f>
        <v>East</v>
      </c>
      <c r="J1787" t="str">
        <f>_xlfn.XLOOKUP(C1787,Customer_Dim!A:A,Customer_Dim!B:B,"Not Found")</f>
        <v>Robert King</v>
      </c>
      <c r="K1787">
        <v>3</v>
      </c>
      <c r="L1787" s="5">
        <v>115.39</v>
      </c>
      <c r="M1787">
        <v>0.02</v>
      </c>
      <c r="N1787" t="s">
        <v>1351</v>
      </c>
      <c r="O1787" s="5">
        <v>339.2466</v>
      </c>
    </row>
    <row r="1788" spans="1:15">
      <c r="A1788" t="s">
        <v>3137</v>
      </c>
      <c r="B1788" s="7">
        <v>45359</v>
      </c>
      <c r="C1788" t="s">
        <v>420</v>
      </c>
      <c r="D1788" t="s">
        <v>1121</v>
      </c>
      <c r="E1788" t="s">
        <v>1319</v>
      </c>
      <c r="F1788" t="str">
        <f>[1]Raw_Customer_Dim!$A$2</f>
        <v>CUST1000</v>
      </c>
      <c r="G1788" t="str">
        <f>_xlfn.XLOOKUP(E1788,Store_Dim!A:A,Store_Dim!B:B,"Not Found")</f>
        <v>Thomas, Bridges and Harris</v>
      </c>
      <c r="H1788" t="str">
        <f>_xlfn.XLOOKUP(D1788,Product_Dim!A:A,Product_Dim!C:C,"Not Found")</f>
        <v>Sports</v>
      </c>
      <c r="I1788" t="str">
        <f>_xlfn.XLOOKUP(E1788,Store_Dim!A:A,Store_Dim!C:C,"Not Found")</f>
        <v>North</v>
      </c>
      <c r="J1788" t="str">
        <f>_xlfn.XLOOKUP(C1788,Customer_Dim!A:A,Customer_Dim!B:B,"Not Found")</f>
        <v>Nicholas Bradshaw</v>
      </c>
      <c r="K1788">
        <v>2</v>
      </c>
      <c r="L1788" s="5">
        <v>722.06</v>
      </c>
      <c r="M1788">
        <v>7.0000000000000007E-2</v>
      </c>
      <c r="N1788" t="s">
        <v>1349</v>
      </c>
      <c r="O1788" s="5">
        <v>1343.0316</v>
      </c>
    </row>
    <row r="1789" spans="1:15">
      <c r="A1789" t="s">
        <v>3138</v>
      </c>
      <c r="B1789" s="7">
        <v>45652</v>
      </c>
      <c r="C1789" t="s">
        <v>913</v>
      </c>
      <c r="D1789" t="s">
        <v>1085</v>
      </c>
      <c r="E1789" t="s">
        <v>1326</v>
      </c>
      <c r="F1789" t="str">
        <f>[1]Raw_Customer_Dim!$A$2</f>
        <v>CUST1000</v>
      </c>
      <c r="G1789" t="str">
        <f>_xlfn.XLOOKUP(E1789,Store_Dim!A:A,Store_Dim!B:B,"Not Found")</f>
        <v>Shelton PLC</v>
      </c>
      <c r="H1789" t="str">
        <f>_xlfn.XLOOKUP(D1789,Product_Dim!A:A,Product_Dim!C:C,"Not Found")</f>
        <v>Home</v>
      </c>
      <c r="I1789" t="str">
        <f>_xlfn.XLOOKUP(E1789,Store_Dim!A:A,Store_Dim!C:C,"Not Found")</f>
        <v>North</v>
      </c>
      <c r="J1789" t="str">
        <f>_xlfn.XLOOKUP(C1789,Customer_Dim!A:A,Customer_Dim!B:B,"Not Found")</f>
        <v>Bryce Hawkins</v>
      </c>
      <c r="K1789">
        <v>1</v>
      </c>
      <c r="L1789" s="5">
        <v>384.57</v>
      </c>
      <c r="M1789">
        <v>0.06</v>
      </c>
      <c r="N1789" t="s">
        <v>1351</v>
      </c>
      <c r="O1789" s="5">
        <v>361.49579999999997</v>
      </c>
    </row>
    <row r="1790" spans="1:15">
      <c r="A1790" t="s">
        <v>3139</v>
      </c>
      <c r="B1790" s="7">
        <v>45735</v>
      </c>
      <c r="C1790" t="s">
        <v>482</v>
      </c>
      <c r="D1790" t="s">
        <v>1087</v>
      </c>
      <c r="E1790" t="s">
        <v>1322</v>
      </c>
      <c r="F1790" t="str">
        <f>[1]Raw_Customer_Dim!$A$2</f>
        <v>CUST1000</v>
      </c>
      <c r="G1790" t="str">
        <f>_xlfn.XLOOKUP(E1790,Store_Dim!A:A,Store_Dim!B:B,"Not Found")</f>
        <v>Gardner, Humphrey and Contreras</v>
      </c>
      <c r="H1790" t="str">
        <f>_xlfn.XLOOKUP(D1790,Product_Dim!A:A,Product_Dim!C:C,"Not Found")</f>
        <v>Electronics</v>
      </c>
      <c r="I1790" t="str">
        <f>_xlfn.XLOOKUP(E1790,Store_Dim!A:A,Store_Dim!C:C,"Not Found")</f>
        <v>East</v>
      </c>
      <c r="J1790" t="str">
        <f>_xlfn.XLOOKUP(C1790,Customer_Dim!A:A,Customer_Dim!B:B,"Not Found")</f>
        <v>Antonio Jones</v>
      </c>
      <c r="K1790">
        <v>2</v>
      </c>
      <c r="L1790" s="5">
        <v>194.09</v>
      </c>
      <c r="M1790">
        <v>0.18</v>
      </c>
      <c r="N1790" t="s">
        <v>1351</v>
      </c>
      <c r="O1790" s="5">
        <v>318.30759999999998</v>
      </c>
    </row>
    <row r="1791" spans="1:15">
      <c r="A1791" t="s">
        <v>3140</v>
      </c>
      <c r="B1791" s="7">
        <v>45579</v>
      </c>
      <c r="C1791" t="s">
        <v>405</v>
      </c>
      <c r="D1791" t="s">
        <v>1249</v>
      </c>
      <c r="E1791" t="s">
        <v>1291</v>
      </c>
      <c r="F1791" t="str">
        <f>[1]Raw_Customer_Dim!$A$2</f>
        <v>CUST1000</v>
      </c>
      <c r="G1791" t="str">
        <f>_xlfn.XLOOKUP(E1791,Store_Dim!A:A,Store_Dim!B:B,"Not Found")</f>
        <v>Johnson-Wright</v>
      </c>
      <c r="H1791" t="str">
        <f>_xlfn.XLOOKUP(D1791,Product_Dim!A:A,Product_Dim!C:C,"Not Found")</f>
        <v>Sports</v>
      </c>
      <c r="I1791" t="str">
        <f>_xlfn.XLOOKUP(E1791,Store_Dim!A:A,Store_Dim!C:C,"Not Found")</f>
        <v>North</v>
      </c>
      <c r="J1791" t="str">
        <f>_xlfn.XLOOKUP(C1791,Customer_Dim!A:A,Customer_Dim!B:B,"Not Found")</f>
        <v>Thomas Rhodes</v>
      </c>
      <c r="K1791">
        <v>2</v>
      </c>
      <c r="L1791" s="5">
        <v>403.91</v>
      </c>
      <c r="M1791">
        <v>7.0000000000000007E-2</v>
      </c>
      <c r="N1791" t="s">
        <v>1349</v>
      </c>
      <c r="O1791" s="5">
        <v>751.27260000000001</v>
      </c>
    </row>
    <row r="1792" spans="1:15">
      <c r="A1792" t="s">
        <v>3141</v>
      </c>
      <c r="B1792" s="7">
        <v>45721</v>
      </c>
      <c r="C1792" t="s">
        <v>204</v>
      </c>
      <c r="D1792" t="s">
        <v>1107</v>
      </c>
      <c r="E1792" t="s">
        <v>1324</v>
      </c>
      <c r="F1792" t="str">
        <f>[1]Raw_Customer_Dim!$A$2</f>
        <v>CUST1000</v>
      </c>
      <c r="G1792" t="str">
        <f>_xlfn.XLOOKUP(E1792,Store_Dim!A:A,Store_Dim!B:B,"Not Found")</f>
        <v>Mcdonald Inc</v>
      </c>
      <c r="H1792" t="str">
        <f>_xlfn.XLOOKUP(D1792,Product_Dim!A:A,Product_Dim!C:C,"Not Found")</f>
        <v>Sports</v>
      </c>
      <c r="I1792" t="str">
        <f>_xlfn.XLOOKUP(E1792,Store_Dim!A:A,Store_Dim!C:C,"Not Found")</f>
        <v>South</v>
      </c>
      <c r="J1792" t="str">
        <f>_xlfn.XLOOKUP(C1792,Customer_Dim!A:A,Customer_Dim!B:B,"Not Found")</f>
        <v>Nathan Campbell</v>
      </c>
      <c r="K1792">
        <v>1</v>
      </c>
      <c r="L1792" s="5">
        <v>878.69</v>
      </c>
      <c r="M1792">
        <v>0.3</v>
      </c>
      <c r="N1792" t="s">
        <v>1351</v>
      </c>
      <c r="O1792" s="5">
        <v>615.08299999999997</v>
      </c>
    </row>
    <row r="1793" spans="1:15">
      <c r="A1793" t="s">
        <v>3142</v>
      </c>
      <c r="B1793" s="7">
        <v>45446</v>
      </c>
      <c r="C1793" t="s">
        <v>825</v>
      </c>
      <c r="D1793" t="s">
        <v>1139</v>
      </c>
      <c r="E1793" t="s">
        <v>1326</v>
      </c>
      <c r="F1793" t="str">
        <f>[1]Raw_Customer_Dim!$A$2</f>
        <v>CUST1000</v>
      </c>
      <c r="G1793" t="str">
        <f>_xlfn.XLOOKUP(E1793,Store_Dim!A:A,Store_Dim!B:B,"Not Found")</f>
        <v>Shelton PLC</v>
      </c>
      <c r="H1793" t="str">
        <f>_xlfn.XLOOKUP(D1793,Product_Dim!A:A,Product_Dim!C:C,"Not Found")</f>
        <v>Home</v>
      </c>
      <c r="I1793" t="str">
        <f>_xlfn.XLOOKUP(E1793,Store_Dim!A:A,Store_Dim!C:C,"Not Found")</f>
        <v>North</v>
      </c>
      <c r="J1793" t="str">
        <f>_xlfn.XLOOKUP(C1793,Customer_Dim!A:A,Customer_Dim!B:B,"Not Found")</f>
        <v>Erika Padilla</v>
      </c>
      <c r="K1793">
        <v>1</v>
      </c>
      <c r="L1793" s="5">
        <v>161.16999999999999</v>
      </c>
      <c r="M1793">
        <v>0.05</v>
      </c>
      <c r="N1793" t="s">
        <v>1349</v>
      </c>
      <c r="O1793" s="5">
        <v>153.11150000000001</v>
      </c>
    </row>
    <row r="1794" spans="1:15">
      <c r="A1794" t="s">
        <v>3143</v>
      </c>
      <c r="B1794" s="7">
        <v>45387</v>
      </c>
      <c r="C1794" t="s">
        <v>490</v>
      </c>
      <c r="D1794" t="s">
        <v>1219</v>
      </c>
      <c r="E1794" t="s">
        <v>1324</v>
      </c>
      <c r="F1794" t="str">
        <f>[1]Raw_Customer_Dim!$A$2</f>
        <v>CUST1000</v>
      </c>
      <c r="G1794" t="str">
        <f>_xlfn.XLOOKUP(E1794,Store_Dim!A:A,Store_Dim!B:B,"Not Found")</f>
        <v>Mcdonald Inc</v>
      </c>
      <c r="H1794" t="str">
        <f>_xlfn.XLOOKUP(D1794,Product_Dim!A:A,Product_Dim!C:C,"Not Found")</f>
        <v>Sports</v>
      </c>
      <c r="I1794" t="str">
        <f>_xlfn.XLOOKUP(E1794,Store_Dim!A:A,Store_Dim!C:C,"Not Found")</f>
        <v>South</v>
      </c>
      <c r="J1794" t="str">
        <f>_xlfn.XLOOKUP(C1794,Customer_Dim!A:A,Customer_Dim!B:B,"Not Found")</f>
        <v>Eric Todd</v>
      </c>
      <c r="K1794">
        <v>2</v>
      </c>
      <c r="L1794" s="5">
        <v>720.15</v>
      </c>
      <c r="M1794">
        <v>0.22</v>
      </c>
      <c r="N1794" t="s">
        <v>1354</v>
      </c>
      <c r="O1794" s="5">
        <v>1123.434</v>
      </c>
    </row>
    <row r="1795" spans="1:15">
      <c r="A1795" t="s">
        <v>3144</v>
      </c>
      <c r="B1795" s="7">
        <v>45222</v>
      </c>
      <c r="C1795" t="s">
        <v>758</v>
      </c>
      <c r="D1795" t="s">
        <v>1125</v>
      </c>
      <c r="E1795" t="s">
        <v>1307</v>
      </c>
      <c r="F1795" t="str">
        <f>[1]Raw_Customer_Dim!$A$2</f>
        <v>CUST1000</v>
      </c>
      <c r="G1795" t="str">
        <f>_xlfn.XLOOKUP(E1795,Store_Dim!A:A,Store_Dim!B:B,"Not Found")</f>
        <v>Bean, Jones and Park</v>
      </c>
      <c r="H1795" t="str">
        <f>_xlfn.XLOOKUP(D1795,Product_Dim!A:A,Product_Dim!C:C,"Not Found")</f>
        <v>Electronics</v>
      </c>
      <c r="I1795" t="str">
        <f>_xlfn.XLOOKUP(E1795,Store_Dim!A:A,Store_Dim!C:C,"Not Found")</f>
        <v>West</v>
      </c>
      <c r="J1795" t="str">
        <f>_xlfn.XLOOKUP(C1795,Customer_Dim!A:A,Customer_Dim!B:B,"Not Found")</f>
        <v>Justin Mason DDS</v>
      </c>
      <c r="K1795">
        <v>1</v>
      </c>
      <c r="L1795" s="5">
        <v>361.8</v>
      </c>
      <c r="M1795">
        <v>0.02</v>
      </c>
      <c r="N1795" t="s">
        <v>1354</v>
      </c>
      <c r="O1795" s="5">
        <v>354.56400000000002</v>
      </c>
    </row>
    <row r="1796" spans="1:15">
      <c r="A1796" t="s">
        <v>3145</v>
      </c>
      <c r="B1796" s="7">
        <v>45402</v>
      </c>
      <c r="C1796" t="s">
        <v>523</v>
      </c>
      <c r="D1796" t="s">
        <v>1263</v>
      </c>
      <c r="E1796" t="s">
        <v>1301</v>
      </c>
      <c r="F1796" t="str">
        <f>[1]Raw_Customer_Dim!$A$2</f>
        <v>CUST1000</v>
      </c>
      <c r="G1796" t="str">
        <f>_xlfn.XLOOKUP(E1796,Store_Dim!A:A,Store_Dim!B:B,"Not Found")</f>
        <v>Benson-Elliott</v>
      </c>
      <c r="H1796" t="str">
        <f>_xlfn.XLOOKUP(D1796,Product_Dim!A:A,Product_Dim!C:C,"Not Found")</f>
        <v>Sports</v>
      </c>
      <c r="I1796" t="str">
        <f>_xlfn.XLOOKUP(E1796,Store_Dim!A:A,Store_Dim!C:C,"Not Found")</f>
        <v>East</v>
      </c>
      <c r="J1796" t="str">
        <f>_xlfn.XLOOKUP(C1796,Customer_Dim!A:A,Customer_Dim!B:B,"Not Found")</f>
        <v>Timothy Sanders</v>
      </c>
      <c r="K1796">
        <v>1</v>
      </c>
      <c r="L1796" s="5">
        <v>779.84</v>
      </c>
      <c r="M1796">
        <v>0.28999999999999998</v>
      </c>
      <c r="N1796" t="s">
        <v>1351</v>
      </c>
      <c r="O1796" s="5">
        <v>553.68640000000005</v>
      </c>
    </row>
    <row r="1797" spans="1:15">
      <c r="A1797" t="s">
        <v>3146</v>
      </c>
      <c r="B1797" s="7">
        <v>45455</v>
      </c>
      <c r="C1797" t="s">
        <v>23</v>
      </c>
      <c r="D1797" t="s">
        <v>1265</v>
      </c>
      <c r="E1797" t="s">
        <v>1294</v>
      </c>
      <c r="F1797" t="str">
        <f>[1]Raw_Customer_Dim!$A$2</f>
        <v>CUST1000</v>
      </c>
      <c r="G1797" t="str">
        <f>_xlfn.XLOOKUP(E1797,Store_Dim!A:A,Store_Dim!B:B,"Not Found")</f>
        <v>Alexander Group</v>
      </c>
      <c r="H1797" t="str">
        <f>_xlfn.XLOOKUP(D1797,Product_Dim!A:A,Product_Dim!C:C,"Not Found")</f>
        <v>Clothing</v>
      </c>
      <c r="I1797" t="str">
        <f>_xlfn.XLOOKUP(E1797,Store_Dim!A:A,Store_Dim!C:C,"Not Found")</f>
        <v>South</v>
      </c>
      <c r="J1797" t="str">
        <f>_xlfn.XLOOKUP(C1797,Customer_Dim!A:A,Customer_Dim!B:B,"Not Found")</f>
        <v>Caroline Collins</v>
      </c>
      <c r="K1797">
        <v>2</v>
      </c>
      <c r="L1797" s="5">
        <v>649.89</v>
      </c>
      <c r="M1797">
        <v>0.17</v>
      </c>
      <c r="N1797" t="s">
        <v>1354</v>
      </c>
      <c r="O1797" s="5">
        <v>1078.8173999999999</v>
      </c>
    </row>
    <row r="1798" spans="1:15">
      <c r="A1798" t="s">
        <v>3147</v>
      </c>
      <c r="B1798" s="7">
        <v>45877</v>
      </c>
      <c r="C1798" t="s">
        <v>470</v>
      </c>
      <c r="D1798" t="s">
        <v>1179</v>
      </c>
      <c r="E1798" t="s">
        <v>1301</v>
      </c>
      <c r="F1798" t="str">
        <f>[1]Raw_Customer_Dim!$A$2</f>
        <v>CUST1000</v>
      </c>
      <c r="G1798" t="str">
        <f>_xlfn.XLOOKUP(E1798,Store_Dim!A:A,Store_Dim!B:B,"Not Found")</f>
        <v>Benson-Elliott</v>
      </c>
      <c r="H1798" t="str">
        <f>_xlfn.XLOOKUP(D1798,Product_Dim!A:A,Product_Dim!C:C,"Not Found")</f>
        <v>Clothing</v>
      </c>
      <c r="I1798" t="str">
        <f>_xlfn.XLOOKUP(E1798,Store_Dim!A:A,Store_Dim!C:C,"Not Found")</f>
        <v>East</v>
      </c>
      <c r="J1798" t="str">
        <f>_xlfn.XLOOKUP(C1798,Customer_Dim!A:A,Customer_Dim!B:B,"Not Found")</f>
        <v>Tiffany Herrera</v>
      </c>
      <c r="K1798">
        <v>1</v>
      </c>
      <c r="L1798" s="5">
        <v>952.73</v>
      </c>
      <c r="M1798">
        <v>0.17</v>
      </c>
      <c r="N1798" t="s">
        <v>1349</v>
      </c>
      <c r="O1798" s="5">
        <v>790.76589999999999</v>
      </c>
    </row>
    <row r="1799" spans="1:15">
      <c r="A1799" t="s">
        <v>3148</v>
      </c>
      <c r="B1799" s="7">
        <v>45875</v>
      </c>
      <c r="C1799" t="s">
        <v>222</v>
      </c>
      <c r="D1799" t="s">
        <v>1271</v>
      </c>
      <c r="E1799" t="s">
        <v>1329</v>
      </c>
      <c r="F1799" t="str">
        <f>[1]Raw_Customer_Dim!$A$2</f>
        <v>CUST1000</v>
      </c>
      <c r="G1799" t="str">
        <f>_xlfn.XLOOKUP(E1799,Store_Dim!A:A,Store_Dim!B:B,"Not Found")</f>
        <v>Frederick-Wright</v>
      </c>
      <c r="H1799" t="str">
        <f>_xlfn.XLOOKUP(D1799,Product_Dim!A:A,Product_Dim!C:C,"Not Found")</f>
        <v>Home</v>
      </c>
      <c r="I1799" t="str">
        <f>_xlfn.XLOOKUP(E1799,Store_Dim!A:A,Store_Dim!C:C,"Not Found")</f>
        <v>West</v>
      </c>
      <c r="J1799" t="str">
        <f>_xlfn.XLOOKUP(C1799,Customer_Dim!A:A,Customer_Dim!B:B,"Not Found")</f>
        <v>Christy Hoffman</v>
      </c>
      <c r="K1799">
        <v>4</v>
      </c>
      <c r="L1799" s="5">
        <v>820.78</v>
      </c>
      <c r="M1799">
        <v>0.25</v>
      </c>
      <c r="N1799" t="s">
        <v>1349</v>
      </c>
      <c r="O1799" s="5">
        <v>2462.34</v>
      </c>
    </row>
    <row r="1800" spans="1:15">
      <c r="A1800" t="s">
        <v>3149</v>
      </c>
      <c r="B1800" s="7">
        <v>45592</v>
      </c>
      <c r="C1800" t="s">
        <v>748</v>
      </c>
      <c r="D1800" t="s">
        <v>1149</v>
      </c>
      <c r="E1800" t="s">
        <v>1291</v>
      </c>
      <c r="F1800" t="str">
        <f>[1]Raw_Customer_Dim!$A$2</f>
        <v>CUST1000</v>
      </c>
      <c r="G1800" t="str">
        <f>_xlfn.XLOOKUP(E1800,Store_Dim!A:A,Store_Dim!B:B,"Not Found")</f>
        <v>Johnson-Wright</v>
      </c>
      <c r="H1800" t="str">
        <f>_xlfn.XLOOKUP(D1800,Product_Dim!A:A,Product_Dim!C:C,"Not Found")</f>
        <v>Sports</v>
      </c>
      <c r="I1800" t="str">
        <f>_xlfn.XLOOKUP(E1800,Store_Dim!A:A,Store_Dim!C:C,"Not Found")</f>
        <v>North</v>
      </c>
      <c r="J1800" t="str">
        <f>_xlfn.XLOOKUP(C1800,Customer_Dim!A:A,Customer_Dim!B:B,"Not Found")</f>
        <v>Michelle Cunningham</v>
      </c>
      <c r="K1800">
        <v>4</v>
      </c>
      <c r="L1800" s="5">
        <v>247.55</v>
      </c>
      <c r="M1800">
        <v>0.05</v>
      </c>
      <c r="N1800" t="s">
        <v>1349</v>
      </c>
      <c r="O1800" s="5">
        <v>940.69</v>
      </c>
    </row>
    <row r="1801" spans="1:15">
      <c r="A1801" t="s">
        <v>3150</v>
      </c>
      <c r="B1801" s="7">
        <v>45369</v>
      </c>
      <c r="C1801" t="s">
        <v>517</v>
      </c>
      <c r="D1801" t="s">
        <v>1271</v>
      </c>
      <c r="E1801" t="s">
        <v>1307</v>
      </c>
      <c r="F1801" t="str">
        <f>[1]Raw_Customer_Dim!$A$2</f>
        <v>CUST1000</v>
      </c>
      <c r="G1801" t="str">
        <f>_xlfn.XLOOKUP(E1801,Store_Dim!A:A,Store_Dim!B:B,"Not Found")</f>
        <v>Bean, Jones and Park</v>
      </c>
      <c r="H1801" t="str">
        <f>_xlfn.XLOOKUP(D1801,Product_Dim!A:A,Product_Dim!C:C,"Not Found")</f>
        <v>Home</v>
      </c>
      <c r="I1801" t="str">
        <f>_xlfn.XLOOKUP(E1801,Store_Dim!A:A,Store_Dim!C:C,"Not Found")</f>
        <v>West</v>
      </c>
      <c r="J1801" t="str">
        <f>_xlfn.XLOOKUP(C1801,Customer_Dim!A:A,Customer_Dim!B:B,"Not Found")</f>
        <v>Gregory Pham</v>
      </c>
      <c r="K1801">
        <v>3</v>
      </c>
      <c r="L1801" s="5">
        <v>561.44000000000005</v>
      </c>
      <c r="M1801">
        <v>0.2</v>
      </c>
      <c r="N1801" t="s">
        <v>1354</v>
      </c>
      <c r="O1801" s="5">
        <v>1347.4559999999999</v>
      </c>
    </row>
    <row r="1802" spans="1:15">
      <c r="A1802" t="s">
        <v>3151</v>
      </c>
      <c r="B1802" s="7">
        <v>45249</v>
      </c>
      <c r="C1802" t="s">
        <v>626</v>
      </c>
      <c r="D1802" t="s">
        <v>1217</v>
      </c>
      <c r="E1802" t="s">
        <v>1307</v>
      </c>
      <c r="F1802" t="str">
        <f>[1]Raw_Customer_Dim!$A$2</f>
        <v>CUST1000</v>
      </c>
      <c r="G1802" t="str">
        <f>_xlfn.XLOOKUP(E1802,Store_Dim!A:A,Store_Dim!B:B,"Not Found")</f>
        <v>Bean, Jones and Park</v>
      </c>
      <c r="H1802" t="str">
        <f>_xlfn.XLOOKUP(D1802,Product_Dim!A:A,Product_Dim!C:C,"Not Found")</f>
        <v>Sports</v>
      </c>
      <c r="I1802" t="str">
        <f>_xlfn.XLOOKUP(E1802,Store_Dim!A:A,Store_Dim!C:C,"Not Found")</f>
        <v>West</v>
      </c>
      <c r="J1802" t="str">
        <f>_xlfn.XLOOKUP(C1802,Customer_Dim!A:A,Customer_Dim!B:B,"Not Found")</f>
        <v>Brittany Watson</v>
      </c>
      <c r="K1802">
        <v>4</v>
      </c>
      <c r="L1802" s="5">
        <v>214.37</v>
      </c>
      <c r="M1802">
        <v>0.11</v>
      </c>
      <c r="N1802" t="s">
        <v>1354</v>
      </c>
      <c r="O1802" s="5">
        <v>763.15719999999999</v>
      </c>
    </row>
    <row r="1803" spans="1:15">
      <c r="A1803" t="s">
        <v>3152</v>
      </c>
      <c r="B1803" s="7">
        <v>45741</v>
      </c>
      <c r="C1803" t="s">
        <v>897</v>
      </c>
      <c r="D1803" t="s">
        <v>1107</v>
      </c>
      <c r="E1803" t="s">
        <v>1329</v>
      </c>
      <c r="F1803" t="str">
        <f>[1]Raw_Customer_Dim!$A$2</f>
        <v>CUST1000</v>
      </c>
      <c r="G1803" t="str">
        <f>_xlfn.XLOOKUP(E1803,Store_Dim!A:A,Store_Dim!B:B,"Not Found")</f>
        <v>Frederick-Wright</v>
      </c>
      <c r="H1803" t="str">
        <f>_xlfn.XLOOKUP(D1803,Product_Dim!A:A,Product_Dim!C:C,"Not Found")</f>
        <v>Sports</v>
      </c>
      <c r="I1803" t="str">
        <f>_xlfn.XLOOKUP(E1803,Store_Dim!A:A,Store_Dim!C:C,"Not Found")</f>
        <v>West</v>
      </c>
      <c r="J1803" t="str">
        <f>_xlfn.XLOOKUP(C1803,Customer_Dim!A:A,Customer_Dim!B:B,"Not Found")</f>
        <v>Karen King</v>
      </c>
      <c r="K1803">
        <v>3</v>
      </c>
      <c r="L1803" s="5">
        <v>123.74</v>
      </c>
      <c r="M1803">
        <v>0.23</v>
      </c>
      <c r="N1803" t="s">
        <v>1351</v>
      </c>
      <c r="O1803" s="5">
        <v>285.83940000000001</v>
      </c>
    </row>
    <row r="1804" spans="1:15">
      <c r="A1804" t="s">
        <v>3153</v>
      </c>
      <c r="B1804" s="7">
        <v>45427</v>
      </c>
      <c r="C1804" t="s">
        <v>50</v>
      </c>
      <c r="D1804" t="s">
        <v>1207</v>
      </c>
      <c r="E1804" t="s">
        <v>1317</v>
      </c>
      <c r="F1804" t="str">
        <f>[1]Raw_Customer_Dim!$A$2</f>
        <v>CUST1000</v>
      </c>
      <c r="G1804" t="str">
        <f>_xlfn.XLOOKUP(E1804,Store_Dim!A:A,Store_Dim!B:B,"Not Found")</f>
        <v>Aguirre-Keller</v>
      </c>
      <c r="H1804" t="str">
        <f>_xlfn.XLOOKUP(D1804,Product_Dim!A:A,Product_Dim!C:C,"Not Found")</f>
        <v>Electronics</v>
      </c>
      <c r="I1804" t="str">
        <f>_xlfn.XLOOKUP(E1804,Store_Dim!A:A,Store_Dim!C:C,"Not Found")</f>
        <v>South</v>
      </c>
      <c r="J1804" t="str">
        <f>_xlfn.XLOOKUP(C1804,Customer_Dim!A:A,Customer_Dim!B:B,"Not Found")</f>
        <v>Nathan Hernandez</v>
      </c>
      <c r="K1804">
        <v>4</v>
      </c>
      <c r="L1804" s="5">
        <v>645.71</v>
      </c>
      <c r="M1804">
        <v>0.1</v>
      </c>
      <c r="N1804" t="s">
        <v>1351</v>
      </c>
      <c r="O1804" s="5">
        <v>2324.556</v>
      </c>
    </row>
    <row r="1805" spans="1:15">
      <c r="A1805" t="s">
        <v>3154</v>
      </c>
      <c r="B1805" s="7">
        <v>45736</v>
      </c>
      <c r="C1805" t="s">
        <v>102</v>
      </c>
      <c r="D1805" t="s">
        <v>1115</v>
      </c>
      <c r="E1805" t="s">
        <v>1319</v>
      </c>
      <c r="F1805" t="str">
        <f>[1]Raw_Customer_Dim!$A$2</f>
        <v>CUST1000</v>
      </c>
      <c r="G1805" t="str">
        <f>_xlfn.XLOOKUP(E1805,Store_Dim!A:A,Store_Dim!B:B,"Not Found")</f>
        <v>Thomas, Bridges and Harris</v>
      </c>
      <c r="H1805" t="str">
        <f>_xlfn.XLOOKUP(D1805,Product_Dim!A:A,Product_Dim!C:C,"Not Found")</f>
        <v>Home</v>
      </c>
      <c r="I1805" t="str">
        <f>_xlfn.XLOOKUP(E1805,Store_Dim!A:A,Store_Dim!C:C,"Not Found")</f>
        <v>North</v>
      </c>
      <c r="J1805" t="str">
        <f>_xlfn.XLOOKUP(C1805,Customer_Dim!A:A,Customer_Dim!B:B,"Not Found")</f>
        <v>Robert Jones DDS</v>
      </c>
      <c r="K1805">
        <v>3</v>
      </c>
      <c r="L1805" s="5">
        <v>587.12</v>
      </c>
      <c r="M1805">
        <v>0.3</v>
      </c>
      <c r="N1805" t="s">
        <v>1349</v>
      </c>
      <c r="O1805" s="5">
        <v>1232.952</v>
      </c>
    </row>
    <row r="1806" spans="1:15">
      <c r="A1806" t="s">
        <v>3155</v>
      </c>
      <c r="B1806" s="7">
        <v>45941</v>
      </c>
      <c r="C1806" t="s">
        <v>545</v>
      </c>
      <c r="D1806" t="s">
        <v>1123</v>
      </c>
      <c r="E1806" t="s">
        <v>1335</v>
      </c>
      <c r="F1806" t="str">
        <f>[1]Raw_Customer_Dim!$A$2</f>
        <v>CUST1000</v>
      </c>
      <c r="G1806" t="str">
        <f>_xlfn.XLOOKUP(E1806,Store_Dim!A:A,Store_Dim!B:B,"Not Found")</f>
        <v>Guerrero-Schmitt</v>
      </c>
      <c r="H1806" t="str">
        <f>_xlfn.XLOOKUP(D1806,Product_Dim!A:A,Product_Dim!C:C,"Not Found")</f>
        <v>Clothing</v>
      </c>
      <c r="I1806" t="str">
        <f>_xlfn.XLOOKUP(E1806,Store_Dim!A:A,Store_Dim!C:C,"Not Found")</f>
        <v>East</v>
      </c>
      <c r="J1806" t="str">
        <f>_xlfn.XLOOKUP(C1806,Customer_Dim!A:A,Customer_Dim!B:B,"Not Found")</f>
        <v>Mr. William Horton</v>
      </c>
      <c r="K1806">
        <v>1</v>
      </c>
      <c r="L1806" s="5">
        <v>401.18</v>
      </c>
      <c r="M1806">
        <v>0.15</v>
      </c>
      <c r="N1806" t="s">
        <v>1354</v>
      </c>
      <c r="O1806" s="5">
        <v>341.00299999999999</v>
      </c>
    </row>
    <row r="1807" spans="1:15">
      <c r="A1807" t="s">
        <v>3156</v>
      </c>
      <c r="B1807" s="7">
        <v>45486</v>
      </c>
      <c r="C1807" t="s">
        <v>795</v>
      </c>
      <c r="D1807" t="s">
        <v>1189</v>
      </c>
      <c r="E1807" t="s">
        <v>1335</v>
      </c>
      <c r="F1807" t="str">
        <f>[1]Raw_Customer_Dim!$A$2</f>
        <v>CUST1000</v>
      </c>
      <c r="G1807" t="str">
        <f>_xlfn.XLOOKUP(E1807,Store_Dim!A:A,Store_Dim!B:B,"Not Found")</f>
        <v>Guerrero-Schmitt</v>
      </c>
      <c r="H1807" t="str">
        <f>_xlfn.XLOOKUP(D1807,Product_Dim!A:A,Product_Dim!C:C,"Not Found")</f>
        <v>Clothing</v>
      </c>
      <c r="I1807" t="str">
        <f>_xlfn.XLOOKUP(E1807,Store_Dim!A:A,Store_Dim!C:C,"Not Found")</f>
        <v>East</v>
      </c>
      <c r="J1807" t="str">
        <f>_xlfn.XLOOKUP(C1807,Customer_Dim!A:A,Customer_Dim!B:B,"Not Found")</f>
        <v>Mallory Allen</v>
      </c>
      <c r="K1807">
        <v>3</v>
      </c>
      <c r="L1807" s="5">
        <v>658.33</v>
      </c>
      <c r="M1807">
        <v>0.12</v>
      </c>
      <c r="N1807" t="s">
        <v>1354</v>
      </c>
      <c r="O1807" s="5">
        <v>1737.9911999999999</v>
      </c>
    </row>
    <row r="1808" spans="1:15">
      <c r="A1808" t="s">
        <v>3157</v>
      </c>
      <c r="B1808" s="7">
        <v>45474</v>
      </c>
      <c r="C1808" t="s">
        <v>464</v>
      </c>
      <c r="D1808" t="s">
        <v>1171</v>
      </c>
      <c r="E1808" t="s">
        <v>1317</v>
      </c>
      <c r="F1808" t="str">
        <f>[1]Raw_Customer_Dim!$A$2</f>
        <v>CUST1000</v>
      </c>
      <c r="G1808" t="str">
        <f>_xlfn.XLOOKUP(E1808,Store_Dim!A:A,Store_Dim!B:B,"Not Found")</f>
        <v>Aguirre-Keller</v>
      </c>
      <c r="H1808" t="str">
        <f>_xlfn.XLOOKUP(D1808,Product_Dim!A:A,Product_Dim!C:C,"Not Found")</f>
        <v>Beauty</v>
      </c>
      <c r="I1808" t="str">
        <f>_xlfn.XLOOKUP(E1808,Store_Dim!A:A,Store_Dim!C:C,"Not Found")</f>
        <v>South</v>
      </c>
      <c r="J1808" t="str">
        <f>_xlfn.XLOOKUP(C1808,Customer_Dim!A:A,Customer_Dim!B:B,"Not Found")</f>
        <v>Mary Boyd</v>
      </c>
      <c r="K1808">
        <v>4</v>
      </c>
      <c r="L1808" s="5">
        <v>450.3</v>
      </c>
      <c r="M1808">
        <v>0.02</v>
      </c>
      <c r="N1808" t="s">
        <v>1349</v>
      </c>
      <c r="O1808" s="5">
        <v>1765.1759999999999</v>
      </c>
    </row>
    <row r="1809" spans="1:15">
      <c r="A1809" t="s">
        <v>3158</v>
      </c>
      <c r="B1809" s="7">
        <v>45757</v>
      </c>
      <c r="C1809" t="s">
        <v>351</v>
      </c>
      <c r="D1809" t="s">
        <v>1261</v>
      </c>
      <c r="E1809" t="s">
        <v>1314</v>
      </c>
      <c r="F1809" t="str">
        <f>[1]Raw_Customer_Dim!$A$2</f>
        <v>CUST1000</v>
      </c>
      <c r="G1809" t="str">
        <f>_xlfn.XLOOKUP(E1809,Store_Dim!A:A,Store_Dim!B:B,"Not Found")</f>
        <v>Hill, Wagner and Ballard</v>
      </c>
      <c r="H1809" t="str">
        <f>_xlfn.XLOOKUP(D1809,Product_Dim!A:A,Product_Dim!C:C,"Not Found")</f>
        <v>Beauty</v>
      </c>
      <c r="I1809" t="str">
        <f>_xlfn.XLOOKUP(E1809,Store_Dim!A:A,Store_Dim!C:C,"Not Found")</f>
        <v>East</v>
      </c>
      <c r="J1809" t="str">
        <f>_xlfn.XLOOKUP(C1809,Customer_Dim!A:A,Customer_Dim!B:B,"Not Found")</f>
        <v>Cameron Simpson</v>
      </c>
      <c r="K1809">
        <v>4</v>
      </c>
      <c r="L1809" s="5">
        <v>33.630000000000003</v>
      </c>
      <c r="M1809">
        <v>0.05</v>
      </c>
      <c r="N1809" t="s">
        <v>1349</v>
      </c>
      <c r="O1809" s="5">
        <v>127.794</v>
      </c>
    </row>
    <row r="1810" spans="1:15">
      <c r="A1810" t="s">
        <v>3159</v>
      </c>
      <c r="B1810" s="7">
        <v>45475</v>
      </c>
      <c r="C1810" t="s">
        <v>107</v>
      </c>
      <c r="D1810" t="s">
        <v>1105</v>
      </c>
      <c r="E1810" t="s">
        <v>1277</v>
      </c>
      <c r="F1810" t="str">
        <f>[1]Raw_Customer_Dim!$A$2</f>
        <v>CUST1000</v>
      </c>
      <c r="G1810" t="str">
        <f>_xlfn.XLOOKUP(E1810,Store_Dim!A:A,Store_Dim!B:B,"Not Found")</f>
        <v>Rivera-Warner</v>
      </c>
      <c r="H1810" t="str">
        <f>_xlfn.XLOOKUP(D1810,Product_Dim!A:A,Product_Dim!C:C,"Not Found")</f>
        <v>Not Found</v>
      </c>
      <c r="I1810" t="str">
        <f>_xlfn.XLOOKUP(E1810,Store_Dim!A:A,Store_Dim!C:C,"Not Found")</f>
        <v>East</v>
      </c>
      <c r="J1810" t="str">
        <f>_xlfn.XLOOKUP(C1810,Customer_Dim!A:A,Customer_Dim!B:B,"Not Found")</f>
        <v>Rachel Myers</v>
      </c>
      <c r="K1810">
        <v>3</v>
      </c>
      <c r="L1810" s="5">
        <v>168.89</v>
      </c>
      <c r="M1810">
        <v>0.03</v>
      </c>
      <c r="N1810" t="s">
        <v>1354</v>
      </c>
      <c r="O1810" s="5">
        <v>491.46989999999988</v>
      </c>
    </row>
    <row r="1811" spans="1:15">
      <c r="A1811" t="s">
        <v>3160</v>
      </c>
      <c r="B1811" s="7">
        <v>45546</v>
      </c>
      <c r="C1811" t="s">
        <v>248</v>
      </c>
      <c r="D1811" t="s">
        <v>1193</v>
      </c>
      <c r="E1811" t="s">
        <v>1317</v>
      </c>
      <c r="F1811" t="str">
        <f>[1]Raw_Customer_Dim!$A$2</f>
        <v>CUST1000</v>
      </c>
      <c r="G1811" t="str">
        <f>_xlfn.XLOOKUP(E1811,Store_Dim!A:A,Store_Dim!B:B,"Not Found")</f>
        <v>Aguirre-Keller</v>
      </c>
      <c r="H1811" t="str">
        <f>_xlfn.XLOOKUP(D1811,Product_Dim!A:A,Product_Dim!C:C,"Not Found")</f>
        <v>Beauty</v>
      </c>
      <c r="I1811" t="str">
        <f>_xlfn.XLOOKUP(E1811,Store_Dim!A:A,Store_Dim!C:C,"Not Found")</f>
        <v>South</v>
      </c>
      <c r="J1811" t="str">
        <f>_xlfn.XLOOKUP(C1811,Customer_Dim!A:A,Customer_Dim!B:B,"Not Found")</f>
        <v>Amy Fowler</v>
      </c>
      <c r="K1811">
        <v>1</v>
      </c>
      <c r="L1811" s="5">
        <v>141.85</v>
      </c>
      <c r="M1811">
        <v>0.06</v>
      </c>
      <c r="N1811" t="s">
        <v>1351</v>
      </c>
      <c r="O1811" s="5">
        <v>133.339</v>
      </c>
    </row>
    <row r="1812" spans="1:15">
      <c r="A1812" t="s">
        <v>3161</v>
      </c>
      <c r="B1812" s="7">
        <v>45520</v>
      </c>
      <c r="C1812" t="s">
        <v>676</v>
      </c>
      <c r="D1812" t="s">
        <v>1143</v>
      </c>
      <c r="E1812" t="s">
        <v>1304</v>
      </c>
      <c r="F1812" t="str">
        <f>[1]Raw_Customer_Dim!$A$2</f>
        <v>CUST1000</v>
      </c>
      <c r="G1812" t="str">
        <f>_xlfn.XLOOKUP(E1812,Store_Dim!A:A,Store_Dim!B:B,"Not Found")</f>
        <v>Martinez-Mullins</v>
      </c>
      <c r="H1812" t="str">
        <f>_xlfn.XLOOKUP(D1812,Product_Dim!A:A,Product_Dim!C:C,"Not Found")</f>
        <v>Home</v>
      </c>
      <c r="I1812" t="str">
        <f>_xlfn.XLOOKUP(E1812,Store_Dim!A:A,Store_Dim!C:C,"Not Found")</f>
        <v>South</v>
      </c>
      <c r="J1812" t="str">
        <f>_xlfn.XLOOKUP(C1812,Customer_Dim!A:A,Customer_Dim!B:B,"Not Found")</f>
        <v>Angela Robinson</v>
      </c>
      <c r="K1812">
        <v>1</v>
      </c>
      <c r="L1812" s="5">
        <v>617.4</v>
      </c>
      <c r="M1812">
        <v>0.21</v>
      </c>
      <c r="N1812" t="s">
        <v>1349</v>
      </c>
      <c r="O1812" s="5">
        <v>487.74599999999998</v>
      </c>
    </row>
    <row r="1813" spans="1:15">
      <c r="A1813" t="s">
        <v>3162</v>
      </c>
      <c r="B1813" s="7">
        <v>45534</v>
      </c>
      <c r="C1813" t="s">
        <v>355</v>
      </c>
      <c r="D1813" t="s">
        <v>1179</v>
      </c>
      <c r="E1813" t="s">
        <v>1282</v>
      </c>
      <c r="F1813" t="str">
        <f>[1]Raw_Customer_Dim!$A$2</f>
        <v>CUST1000</v>
      </c>
      <c r="G1813" t="str">
        <f>_xlfn.XLOOKUP(E1813,Store_Dim!A:A,Store_Dim!B:B,"Not Found")</f>
        <v>Martinez, Adkins and Johnson</v>
      </c>
      <c r="H1813" t="str">
        <f>_xlfn.XLOOKUP(D1813,Product_Dim!A:A,Product_Dim!C:C,"Not Found")</f>
        <v>Clothing</v>
      </c>
      <c r="I1813" t="str">
        <f>_xlfn.XLOOKUP(E1813,Store_Dim!A:A,Store_Dim!C:C,"Not Found")</f>
        <v>North</v>
      </c>
      <c r="J1813" t="str">
        <f>_xlfn.XLOOKUP(C1813,Customer_Dim!A:A,Customer_Dim!B:B,"Not Found")</f>
        <v>Rhonda Young</v>
      </c>
      <c r="K1813">
        <v>3</v>
      </c>
      <c r="L1813" s="5">
        <v>841.47</v>
      </c>
      <c r="M1813">
        <v>0.15</v>
      </c>
      <c r="N1813" t="s">
        <v>1354</v>
      </c>
      <c r="O1813" s="5">
        <v>2145.7485000000001</v>
      </c>
    </row>
    <row r="1814" spans="1:15">
      <c r="A1814" t="s">
        <v>3163</v>
      </c>
      <c r="B1814" s="7">
        <v>45334</v>
      </c>
      <c r="C1814" t="s">
        <v>164</v>
      </c>
      <c r="D1814" t="s">
        <v>1115</v>
      </c>
      <c r="E1814" t="s">
        <v>1322</v>
      </c>
      <c r="F1814" t="str">
        <f>[1]Raw_Customer_Dim!$A$2</f>
        <v>CUST1000</v>
      </c>
      <c r="G1814" t="str">
        <f>_xlfn.XLOOKUP(E1814,Store_Dim!A:A,Store_Dim!B:B,"Not Found")</f>
        <v>Gardner, Humphrey and Contreras</v>
      </c>
      <c r="H1814" t="str">
        <f>_xlfn.XLOOKUP(D1814,Product_Dim!A:A,Product_Dim!C:C,"Not Found")</f>
        <v>Home</v>
      </c>
      <c r="I1814" t="str">
        <f>_xlfn.XLOOKUP(E1814,Store_Dim!A:A,Store_Dim!C:C,"Not Found")</f>
        <v>East</v>
      </c>
      <c r="J1814" t="str">
        <f>_xlfn.XLOOKUP(C1814,Customer_Dim!A:A,Customer_Dim!B:B,"Not Found")</f>
        <v>Alyssa Vargas</v>
      </c>
      <c r="K1814">
        <v>2</v>
      </c>
      <c r="L1814" s="5">
        <v>960.41</v>
      </c>
      <c r="M1814">
        <v>0.18</v>
      </c>
      <c r="N1814" t="s">
        <v>1349</v>
      </c>
      <c r="O1814" s="5">
        <v>1575.0724</v>
      </c>
    </row>
    <row r="1815" spans="1:15">
      <c r="A1815" t="s">
        <v>3164</v>
      </c>
      <c r="B1815" s="7">
        <v>45289</v>
      </c>
      <c r="C1815" t="s">
        <v>965</v>
      </c>
      <c r="D1815" t="s">
        <v>1223</v>
      </c>
      <c r="E1815" t="s">
        <v>1335</v>
      </c>
      <c r="F1815" t="str">
        <f>[1]Raw_Customer_Dim!$A$2</f>
        <v>CUST1000</v>
      </c>
      <c r="G1815" t="str">
        <f>_xlfn.XLOOKUP(E1815,Store_Dim!A:A,Store_Dim!B:B,"Not Found")</f>
        <v>Guerrero-Schmitt</v>
      </c>
      <c r="H1815" t="str">
        <f>_xlfn.XLOOKUP(D1815,Product_Dim!A:A,Product_Dim!C:C,"Not Found")</f>
        <v>Clothing</v>
      </c>
      <c r="I1815" t="str">
        <f>_xlfn.XLOOKUP(E1815,Store_Dim!A:A,Store_Dim!C:C,"Not Found")</f>
        <v>East</v>
      </c>
      <c r="J1815" t="str">
        <f>_xlfn.XLOOKUP(C1815,Customer_Dim!A:A,Customer_Dim!B:B,"Not Found")</f>
        <v>Ashley Roberts</v>
      </c>
      <c r="K1815">
        <v>3</v>
      </c>
      <c r="L1815" s="5">
        <v>717.22</v>
      </c>
      <c r="M1815">
        <v>0.24</v>
      </c>
      <c r="N1815" t="s">
        <v>1351</v>
      </c>
      <c r="O1815" s="5">
        <v>1635.2616</v>
      </c>
    </row>
    <row r="1816" spans="1:15">
      <c r="A1816" t="s">
        <v>3165</v>
      </c>
      <c r="B1816" s="7">
        <v>45832</v>
      </c>
      <c r="C1816" t="s">
        <v>290</v>
      </c>
      <c r="D1816" t="s">
        <v>1097</v>
      </c>
      <c r="E1816" t="s">
        <v>1277</v>
      </c>
      <c r="F1816" t="str">
        <f>[1]Raw_Customer_Dim!$A$2</f>
        <v>CUST1000</v>
      </c>
      <c r="G1816" t="str">
        <f>_xlfn.XLOOKUP(E1816,Store_Dim!A:A,Store_Dim!B:B,"Not Found")</f>
        <v>Rivera-Warner</v>
      </c>
      <c r="H1816" t="str">
        <f>_xlfn.XLOOKUP(D1816,Product_Dim!A:A,Product_Dim!C:C,"Not Found")</f>
        <v>Beauty</v>
      </c>
      <c r="I1816" t="str">
        <f>_xlfn.XLOOKUP(E1816,Store_Dim!A:A,Store_Dim!C:C,"Not Found")</f>
        <v>East</v>
      </c>
      <c r="J1816" t="str">
        <f>_xlfn.XLOOKUP(C1816,Customer_Dim!A:A,Customer_Dim!B:B,"Not Found")</f>
        <v>Tyler Conrad</v>
      </c>
      <c r="K1816">
        <v>1</v>
      </c>
      <c r="L1816" s="5">
        <v>281.83</v>
      </c>
      <c r="M1816">
        <v>0.16</v>
      </c>
      <c r="N1816" t="s">
        <v>1354</v>
      </c>
      <c r="O1816" s="5">
        <v>236.7372</v>
      </c>
    </row>
    <row r="1817" spans="1:15">
      <c r="A1817" t="s">
        <v>3166</v>
      </c>
      <c r="B1817" s="7">
        <v>45400</v>
      </c>
      <c r="C1817" t="s">
        <v>470</v>
      </c>
      <c r="D1817" t="s">
        <v>1191</v>
      </c>
      <c r="E1817" t="s">
        <v>1324</v>
      </c>
      <c r="F1817" t="str">
        <f>[1]Raw_Customer_Dim!$A$2</f>
        <v>CUST1000</v>
      </c>
      <c r="G1817" t="str">
        <f>_xlfn.XLOOKUP(E1817,Store_Dim!A:A,Store_Dim!B:B,"Not Found")</f>
        <v>Mcdonald Inc</v>
      </c>
      <c r="H1817" t="str">
        <f>_xlfn.XLOOKUP(D1817,Product_Dim!A:A,Product_Dim!C:C,"Not Found")</f>
        <v>Beauty</v>
      </c>
      <c r="I1817" t="str">
        <f>_xlfn.XLOOKUP(E1817,Store_Dim!A:A,Store_Dim!C:C,"Not Found")</f>
        <v>South</v>
      </c>
      <c r="J1817" t="str">
        <f>_xlfn.XLOOKUP(C1817,Customer_Dim!A:A,Customer_Dim!B:B,"Not Found")</f>
        <v>Tiffany Herrera</v>
      </c>
      <c r="K1817">
        <v>1</v>
      </c>
      <c r="L1817" s="5">
        <v>509.08</v>
      </c>
      <c r="M1817">
        <v>0.04</v>
      </c>
      <c r="N1817" t="s">
        <v>1351</v>
      </c>
      <c r="O1817" s="5">
        <v>488.71679999999998</v>
      </c>
    </row>
    <row r="1818" spans="1:15">
      <c r="A1818" t="s">
        <v>3167</v>
      </c>
      <c r="B1818" s="7">
        <v>45930</v>
      </c>
      <c r="C1818" t="s">
        <v>863</v>
      </c>
      <c r="D1818" t="s">
        <v>1265</v>
      </c>
      <c r="E1818" t="s">
        <v>1286</v>
      </c>
      <c r="F1818" t="str">
        <f>[1]Raw_Customer_Dim!$A$2</f>
        <v>CUST1000</v>
      </c>
      <c r="G1818" t="str">
        <f>_xlfn.XLOOKUP(E1818,Store_Dim!A:A,Store_Dim!B:B,"Not Found")</f>
        <v>Black-Horn</v>
      </c>
      <c r="H1818" t="str">
        <f>_xlfn.XLOOKUP(D1818,Product_Dim!A:A,Product_Dim!C:C,"Not Found")</f>
        <v>Clothing</v>
      </c>
      <c r="I1818" t="str">
        <f>_xlfn.XLOOKUP(E1818,Store_Dim!A:A,Store_Dim!C:C,"Not Found")</f>
        <v>South</v>
      </c>
      <c r="J1818" t="str">
        <f>_xlfn.XLOOKUP(C1818,Customer_Dim!A:A,Customer_Dim!B:B,"Not Found")</f>
        <v>Mark Rogers</v>
      </c>
      <c r="K1818">
        <v>4</v>
      </c>
      <c r="L1818" s="5">
        <v>827.09</v>
      </c>
      <c r="M1818">
        <v>0.3</v>
      </c>
      <c r="N1818" t="s">
        <v>1349</v>
      </c>
      <c r="O1818" s="5">
        <v>2315.8519999999999</v>
      </c>
    </row>
    <row r="1819" spans="1:15">
      <c r="A1819" t="s">
        <v>3168</v>
      </c>
      <c r="B1819" s="7">
        <v>45935</v>
      </c>
      <c r="C1819" t="s">
        <v>482</v>
      </c>
      <c r="D1819" t="s">
        <v>1131</v>
      </c>
      <c r="E1819" t="s">
        <v>1294</v>
      </c>
      <c r="F1819" t="str">
        <f>[1]Raw_Customer_Dim!$A$2</f>
        <v>CUST1000</v>
      </c>
      <c r="G1819" t="str">
        <f>_xlfn.XLOOKUP(E1819,Store_Dim!A:A,Store_Dim!B:B,"Not Found")</f>
        <v>Alexander Group</v>
      </c>
      <c r="H1819" t="str">
        <f>_xlfn.XLOOKUP(D1819,Product_Dim!A:A,Product_Dim!C:C,"Not Found")</f>
        <v>Home</v>
      </c>
      <c r="I1819" t="str">
        <f>_xlfn.XLOOKUP(E1819,Store_Dim!A:A,Store_Dim!C:C,"Not Found")</f>
        <v>South</v>
      </c>
      <c r="J1819" t="str">
        <f>_xlfn.XLOOKUP(C1819,Customer_Dim!A:A,Customer_Dim!B:B,"Not Found")</f>
        <v>Antonio Jones</v>
      </c>
      <c r="K1819">
        <v>2</v>
      </c>
      <c r="L1819" s="5">
        <v>823.36</v>
      </c>
      <c r="M1819">
        <v>0.23</v>
      </c>
      <c r="N1819" t="s">
        <v>1349</v>
      </c>
      <c r="O1819" s="5">
        <v>1267.9744000000001</v>
      </c>
    </row>
    <row r="1820" spans="1:15">
      <c r="A1820" t="s">
        <v>3169</v>
      </c>
      <c r="B1820" s="7">
        <v>45814</v>
      </c>
      <c r="C1820" t="s">
        <v>335</v>
      </c>
      <c r="D1820" t="s">
        <v>1125</v>
      </c>
      <c r="E1820" t="s">
        <v>1298</v>
      </c>
      <c r="F1820" t="str">
        <f>[1]Raw_Customer_Dim!$A$2</f>
        <v>CUST1000</v>
      </c>
      <c r="G1820" t="str">
        <f>_xlfn.XLOOKUP(E1820,Store_Dim!A:A,Store_Dim!B:B,"Not Found")</f>
        <v>Gray Ltd</v>
      </c>
      <c r="H1820" t="str">
        <f>_xlfn.XLOOKUP(D1820,Product_Dim!A:A,Product_Dim!C:C,"Not Found")</f>
        <v>Electronics</v>
      </c>
      <c r="I1820" t="str">
        <f>_xlfn.XLOOKUP(E1820,Store_Dim!A:A,Store_Dim!C:C,"Not Found")</f>
        <v>North</v>
      </c>
      <c r="J1820" t="str">
        <f>_xlfn.XLOOKUP(C1820,Customer_Dim!A:A,Customer_Dim!B:B,"Not Found")</f>
        <v>Rick Dominguez</v>
      </c>
      <c r="K1820">
        <v>4</v>
      </c>
      <c r="L1820" s="5">
        <v>282.18</v>
      </c>
      <c r="M1820">
        <v>0.13</v>
      </c>
      <c r="N1820" t="s">
        <v>1354</v>
      </c>
      <c r="O1820" s="5">
        <v>981.9864</v>
      </c>
    </row>
    <row r="1821" spans="1:15">
      <c r="A1821" t="s">
        <v>3170</v>
      </c>
      <c r="B1821" s="7">
        <v>45323</v>
      </c>
      <c r="C1821" t="s">
        <v>405</v>
      </c>
      <c r="D1821" t="s">
        <v>1115</v>
      </c>
      <c r="E1821" t="s">
        <v>1282</v>
      </c>
      <c r="F1821" t="str">
        <f>[1]Raw_Customer_Dim!$A$2</f>
        <v>CUST1000</v>
      </c>
      <c r="G1821" t="str">
        <f>_xlfn.XLOOKUP(E1821,Store_Dim!A:A,Store_Dim!B:B,"Not Found")</f>
        <v>Martinez, Adkins and Johnson</v>
      </c>
      <c r="H1821" t="str">
        <f>_xlfn.XLOOKUP(D1821,Product_Dim!A:A,Product_Dim!C:C,"Not Found")</f>
        <v>Home</v>
      </c>
      <c r="I1821" t="str">
        <f>_xlfn.XLOOKUP(E1821,Store_Dim!A:A,Store_Dim!C:C,"Not Found")</f>
        <v>North</v>
      </c>
      <c r="J1821" t="str">
        <f>_xlfn.XLOOKUP(C1821,Customer_Dim!A:A,Customer_Dim!B:B,"Not Found")</f>
        <v>Thomas Rhodes</v>
      </c>
      <c r="K1821">
        <v>1</v>
      </c>
      <c r="L1821" s="5">
        <v>486.39</v>
      </c>
      <c r="M1821">
        <v>0.09</v>
      </c>
      <c r="N1821" t="s">
        <v>1354</v>
      </c>
      <c r="O1821" s="5">
        <v>442.61489999999998</v>
      </c>
    </row>
    <row r="1822" spans="1:15">
      <c r="A1822" t="s">
        <v>3171</v>
      </c>
      <c r="B1822" s="7">
        <v>45312</v>
      </c>
      <c r="C1822" t="s">
        <v>129</v>
      </c>
      <c r="D1822" t="s">
        <v>1109</v>
      </c>
      <c r="E1822" t="s">
        <v>1291</v>
      </c>
      <c r="F1822" t="str">
        <f>[1]Raw_Customer_Dim!$A$2</f>
        <v>CUST1000</v>
      </c>
      <c r="G1822" t="str">
        <f>_xlfn.XLOOKUP(E1822,Store_Dim!A:A,Store_Dim!B:B,"Not Found")</f>
        <v>Johnson-Wright</v>
      </c>
      <c r="H1822" t="str">
        <f>_xlfn.XLOOKUP(D1822,Product_Dim!A:A,Product_Dim!C:C,"Not Found")</f>
        <v>Clothing</v>
      </c>
      <c r="I1822" t="str">
        <f>_xlfn.XLOOKUP(E1822,Store_Dim!A:A,Store_Dim!C:C,"Not Found")</f>
        <v>North</v>
      </c>
      <c r="J1822" t="str">
        <f>_xlfn.XLOOKUP(C1822,Customer_Dim!A:A,Customer_Dim!B:B,"Not Found")</f>
        <v>Denise Williams</v>
      </c>
      <c r="K1822">
        <v>2</v>
      </c>
      <c r="L1822" s="5">
        <v>603.62</v>
      </c>
      <c r="M1822">
        <v>0.18</v>
      </c>
      <c r="N1822" t="s">
        <v>1354</v>
      </c>
      <c r="O1822" s="5">
        <v>989.93680000000006</v>
      </c>
    </row>
    <row r="1823" spans="1:15">
      <c r="A1823" t="s">
        <v>3172</v>
      </c>
      <c r="B1823" s="7">
        <v>45554</v>
      </c>
      <c r="C1823" t="s">
        <v>355</v>
      </c>
      <c r="D1823" t="s">
        <v>1147</v>
      </c>
      <c r="E1823" t="s">
        <v>1307</v>
      </c>
      <c r="F1823" t="str">
        <f>[1]Raw_Customer_Dim!$A$2</f>
        <v>CUST1000</v>
      </c>
      <c r="G1823" t="str">
        <f>_xlfn.XLOOKUP(E1823,Store_Dim!A:A,Store_Dim!B:B,"Not Found")</f>
        <v>Bean, Jones and Park</v>
      </c>
      <c r="H1823" t="str">
        <f>_xlfn.XLOOKUP(D1823,Product_Dim!A:A,Product_Dim!C:C,"Not Found")</f>
        <v>Clothing</v>
      </c>
      <c r="I1823" t="str">
        <f>_xlfn.XLOOKUP(E1823,Store_Dim!A:A,Store_Dim!C:C,"Not Found")</f>
        <v>West</v>
      </c>
      <c r="J1823" t="str">
        <f>_xlfn.XLOOKUP(C1823,Customer_Dim!A:A,Customer_Dim!B:B,"Not Found")</f>
        <v>Rhonda Young</v>
      </c>
      <c r="K1823">
        <v>3</v>
      </c>
      <c r="L1823" s="5">
        <v>204.17</v>
      </c>
      <c r="M1823">
        <v>0.1</v>
      </c>
      <c r="N1823" t="s">
        <v>1351</v>
      </c>
      <c r="O1823" s="5">
        <v>551.25900000000001</v>
      </c>
    </row>
    <row r="1824" spans="1:15">
      <c r="A1824" t="s">
        <v>3173</v>
      </c>
      <c r="B1824" s="7">
        <v>45310</v>
      </c>
      <c r="C1824" t="s">
        <v>335</v>
      </c>
      <c r="D1824" t="s">
        <v>1087</v>
      </c>
      <c r="E1824" t="s">
        <v>1326</v>
      </c>
      <c r="F1824" t="str">
        <f>[1]Raw_Customer_Dim!$A$2</f>
        <v>CUST1000</v>
      </c>
      <c r="G1824" t="str">
        <f>_xlfn.XLOOKUP(E1824,Store_Dim!A:A,Store_Dim!B:B,"Not Found")</f>
        <v>Shelton PLC</v>
      </c>
      <c r="H1824" t="str">
        <f>_xlfn.XLOOKUP(D1824,Product_Dim!A:A,Product_Dim!C:C,"Not Found")</f>
        <v>Electronics</v>
      </c>
      <c r="I1824" t="str">
        <f>_xlfn.XLOOKUP(E1824,Store_Dim!A:A,Store_Dim!C:C,"Not Found")</f>
        <v>North</v>
      </c>
      <c r="J1824" t="str">
        <f>_xlfn.XLOOKUP(C1824,Customer_Dim!A:A,Customer_Dim!B:B,"Not Found")</f>
        <v>Rick Dominguez</v>
      </c>
      <c r="K1824">
        <v>1</v>
      </c>
      <c r="L1824" s="5">
        <v>43.58</v>
      </c>
      <c r="M1824">
        <v>0.01</v>
      </c>
      <c r="N1824" t="s">
        <v>1354</v>
      </c>
      <c r="O1824" s="5">
        <v>43.144199999999998</v>
      </c>
    </row>
    <row r="1825" spans="1:15">
      <c r="A1825" t="s">
        <v>3174</v>
      </c>
      <c r="B1825" s="7">
        <v>45594</v>
      </c>
      <c r="C1825" t="s">
        <v>728</v>
      </c>
      <c r="D1825" t="s">
        <v>1167</v>
      </c>
      <c r="E1825" t="s">
        <v>1286</v>
      </c>
      <c r="F1825" t="str">
        <f>[1]Raw_Customer_Dim!$A$2</f>
        <v>CUST1000</v>
      </c>
      <c r="G1825" t="str">
        <f>_xlfn.XLOOKUP(E1825,Store_Dim!A:A,Store_Dim!B:B,"Not Found")</f>
        <v>Black-Horn</v>
      </c>
      <c r="H1825" t="str">
        <f>_xlfn.XLOOKUP(D1825,Product_Dim!A:A,Product_Dim!C:C,"Not Found")</f>
        <v>Beauty</v>
      </c>
      <c r="I1825" t="str">
        <f>_xlfn.XLOOKUP(E1825,Store_Dim!A:A,Store_Dim!C:C,"Not Found")</f>
        <v>South</v>
      </c>
      <c r="J1825" t="str">
        <f>_xlfn.XLOOKUP(C1825,Customer_Dim!A:A,Customer_Dim!B:B,"Not Found")</f>
        <v>Dr. Lindsay Hanna</v>
      </c>
      <c r="K1825">
        <v>3</v>
      </c>
      <c r="L1825" s="5">
        <v>469.33</v>
      </c>
      <c r="M1825">
        <v>0.14000000000000001</v>
      </c>
      <c r="N1825" t="s">
        <v>1351</v>
      </c>
      <c r="O1825" s="5">
        <v>1210.8714</v>
      </c>
    </row>
    <row r="1826" spans="1:15">
      <c r="A1826" t="s">
        <v>3175</v>
      </c>
      <c r="B1826" s="7">
        <v>45840</v>
      </c>
      <c r="C1826" t="s">
        <v>480</v>
      </c>
      <c r="D1826" t="s">
        <v>1087</v>
      </c>
      <c r="E1826" t="s">
        <v>1307</v>
      </c>
      <c r="F1826" t="str">
        <f>[1]Raw_Customer_Dim!$A$2</f>
        <v>CUST1000</v>
      </c>
      <c r="G1826" t="str">
        <f>_xlfn.XLOOKUP(E1826,Store_Dim!A:A,Store_Dim!B:B,"Not Found")</f>
        <v>Bean, Jones and Park</v>
      </c>
      <c r="H1826" t="str">
        <f>_xlfn.XLOOKUP(D1826,Product_Dim!A:A,Product_Dim!C:C,"Not Found")</f>
        <v>Electronics</v>
      </c>
      <c r="I1826" t="str">
        <f>_xlfn.XLOOKUP(E1826,Store_Dim!A:A,Store_Dim!C:C,"Not Found")</f>
        <v>West</v>
      </c>
      <c r="J1826" t="str">
        <f>_xlfn.XLOOKUP(C1826,Customer_Dim!A:A,Customer_Dim!B:B,"Not Found")</f>
        <v>Joan Johnson</v>
      </c>
      <c r="K1826">
        <v>4</v>
      </c>
      <c r="L1826" s="5">
        <v>836.23</v>
      </c>
      <c r="M1826">
        <v>0.12</v>
      </c>
      <c r="N1826" t="s">
        <v>1349</v>
      </c>
      <c r="O1826" s="5">
        <v>2943.5295999999998</v>
      </c>
    </row>
    <row r="1827" spans="1:15">
      <c r="A1827" t="s">
        <v>3176</v>
      </c>
      <c r="B1827" s="7">
        <v>45549</v>
      </c>
      <c r="C1827" t="s">
        <v>418</v>
      </c>
      <c r="D1827" t="s">
        <v>1207</v>
      </c>
      <c r="E1827" t="s">
        <v>1338</v>
      </c>
      <c r="F1827" t="str">
        <f>[1]Raw_Customer_Dim!$A$2</f>
        <v>CUST1000</v>
      </c>
      <c r="G1827" t="str">
        <f>_xlfn.XLOOKUP(E1827,Store_Dim!A:A,Store_Dim!B:B,"Not Found")</f>
        <v>Mann-Austin</v>
      </c>
      <c r="H1827" t="str">
        <f>_xlfn.XLOOKUP(D1827,Product_Dim!A:A,Product_Dim!C:C,"Not Found")</f>
        <v>Electronics</v>
      </c>
      <c r="I1827" t="str">
        <f>_xlfn.XLOOKUP(E1827,Store_Dim!A:A,Store_Dim!C:C,"Not Found")</f>
        <v>East</v>
      </c>
      <c r="J1827" t="str">
        <f>_xlfn.XLOOKUP(C1827,Customer_Dim!A:A,Customer_Dim!B:B,"Not Found")</f>
        <v>Michelle Myers</v>
      </c>
      <c r="K1827">
        <v>2</v>
      </c>
      <c r="L1827" s="5">
        <v>661.53</v>
      </c>
      <c r="M1827">
        <v>0.2</v>
      </c>
      <c r="N1827" t="s">
        <v>1351</v>
      </c>
      <c r="O1827" s="5">
        <v>1058.4480000000001</v>
      </c>
    </row>
    <row r="1828" spans="1:15">
      <c r="A1828" t="s">
        <v>3177</v>
      </c>
      <c r="B1828" s="7">
        <v>45903</v>
      </c>
      <c r="C1828" t="s">
        <v>296</v>
      </c>
      <c r="D1828" t="s">
        <v>1185</v>
      </c>
      <c r="E1828" t="s">
        <v>1329</v>
      </c>
      <c r="F1828" t="str">
        <f>[1]Raw_Customer_Dim!$A$2</f>
        <v>CUST1000</v>
      </c>
      <c r="G1828" t="str">
        <f>_xlfn.XLOOKUP(E1828,Store_Dim!A:A,Store_Dim!B:B,"Not Found")</f>
        <v>Frederick-Wright</v>
      </c>
      <c r="H1828" t="str">
        <f>_xlfn.XLOOKUP(D1828,Product_Dim!A:A,Product_Dim!C:C,"Not Found")</f>
        <v>Home</v>
      </c>
      <c r="I1828" t="str">
        <f>_xlfn.XLOOKUP(E1828,Store_Dim!A:A,Store_Dim!C:C,"Not Found")</f>
        <v>West</v>
      </c>
      <c r="J1828" t="str">
        <f>_xlfn.XLOOKUP(C1828,Customer_Dim!A:A,Customer_Dim!B:B,"Not Found")</f>
        <v>Earl Allen</v>
      </c>
      <c r="K1828">
        <v>3</v>
      </c>
      <c r="L1828" s="5">
        <v>753.47</v>
      </c>
      <c r="M1828">
        <v>0.25</v>
      </c>
      <c r="N1828" t="s">
        <v>1351</v>
      </c>
      <c r="O1828" s="5">
        <v>1695.3074999999999</v>
      </c>
    </row>
    <row r="1829" spans="1:15">
      <c r="A1829" t="s">
        <v>3178</v>
      </c>
      <c r="B1829" s="7">
        <v>45673</v>
      </c>
      <c r="C1829" t="s">
        <v>373</v>
      </c>
      <c r="D1829" t="s">
        <v>1201</v>
      </c>
      <c r="E1829" t="s">
        <v>1277</v>
      </c>
      <c r="F1829" t="str">
        <f>[1]Raw_Customer_Dim!$A$2</f>
        <v>CUST1000</v>
      </c>
      <c r="G1829" t="str">
        <f>_xlfn.XLOOKUP(E1829,Store_Dim!A:A,Store_Dim!B:B,"Not Found")</f>
        <v>Rivera-Warner</v>
      </c>
      <c r="H1829" t="str">
        <f>_xlfn.XLOOKUP(D1829,Product_Dim!A:A,Product_Dim!C:C,"Not Found")</f>
        <v>Beauty</v>
      </c>
      <c r="I1829" t="str">
        <f>_xlfn.XLOOKUP(E1829,Store_Dim!A:A,Store_Dim!C:C,"Not Found")</f>
        <v>East</v>
      </c>
      <c r="J1829" t="str">
        <f>_xlfn.XLOOKUP(C1829,Customer_Dim!A:A,Customer_Dim!B:B,"Not Found")</f>
        <v>Maria Sanchez</v>
      </c>
      <c r="K1829">
        <v>3</v>
      </c>
      <c r="L1829" s="5">
        <v>713.95</v>
      </c>
      <c r="M1829">
        <v>0</v>
      </c>
      <c r="N1829" t="s">
        <v>1349</v>
      </c>
      <c r="O1829" s="5">
        <v>2141.85</v>
      </c>
    </row>
    <row r="1830" spans="1:15">
      <c r="A1830" t="s">
        <v>3179</v>
      </c>
      <c r="B1830" s="7">
        <v>45395</v>
      </c>
      <c r="C1830" t="s">
        <v>256</v>
      </c>
      <c r="D1830" t="s">
        <v>1095</v>
      </c>
      <c r="E1830" t="s">
        <v>1298</v>
      </c>
      <c r="F1830" t="str">
        <f>[1]Raw_Customer_Dim!$A$2</f>
        <v>CUST1000</v>
      </c>
      <c r="G1830" t="str">
        <f>_xlfn.XLOOKUP(E1830,Store_Dim!A:A,Store_Dim!B:B,"Not Found")</f>
        <v>Gray Ltd</v>
      </c>
      <c r="H1830" t="str">
        <f>_xlfn.XLOOKUP(D1830,Product_Dim!A:A,Product_Dim!C:C,"Not Found")</f>
        <v>Electronics</v>
      </c>
      <c r="I1830" t="str">
        <f>_xlfn.XLOOKUP(E1830,Store_Dim!A:A,Store_Dim!C:C,"Not Found")</f>
        <v>North</v>
      </c>
      <c r="J1830" t="str">
        <f>_xlfn.XLOOKUP(C1830,Customer_Dim!A:A,Customer_Dim!B:B,"Not Found")</f>
        <v>Sheila Wilson</v>
      </c>
      <c r="K1830">
        <v>3</v>
      </c>
      <c r="L1830" s="5">
        <v>596</v>
      </c>
      <c r="M1830">
        <v>0.28000000000000003</v>
      </c>
      <c r="N1830" t="s">
        <v>1354</v>
      </c>
      <c r="O1830" s="5">
        <v>1287.3599999999999</v>
      </c>
    </row>
    <row r="1831" spans="1:15">
      <c r="A1831" t="s">
        <v>3180</v>
      </c>
      <c r="B1831" s="7">
        <v>45379</v>
      </c>
      <c r="C1831" t="s">
        <v>732</v>
      </c>
      <c r="D1831" t="s">
        <v>1090</v>
      </c>
      <c r="E1831" t="s">
        <v>1311</v>
      </c>
      <c r="F1831" t="str">
        <f>[1]Raw_Customer_Dim!$A$2</f>
        <v>CUST1000</v>
      </c>
      <c r="G1831" t="str">
        <f>_xlfn.XLOOKUP(E1831,Store_Dim!A:A,Store_Dim!B:B,"Not Found")</f>
        <v>Moore, Padilla and Butler</v>
      </c>
      <c r="H1831" t="str">
        <f>_xlfn.XLOOKUP(D1831,Product_Dim!A:A,Product_Dim!C:C,"Not Found")</f>
        <v>Sports</v>
      </c>
      <c r="I1831" t="str">
        <f>_xlfn.XLOOKUP(E1831,Store_Dim!A:A,Store_Dim!C:C,"Not Found")</f>
        <v>South</v>
      </c>
      <c r="J1831" t="str">
        <f>_xlfn.XLOOKUP(C1831,Customer_Dim!A:A,Customer_Dim!B:B,"Not Found")</f>
        <v>Mr. Christopher Sims</v>
      </c>
      <c r="K1831">
        <v>2</v>
      </c>
      <c r="L1831" s="5">
        <v>169.46</v>
      </c>
      <c r="M1831">
        <v>0.03</v>
      </c>
      <c r="N1831" t="s">
        <v>1351</v>
      </c>
      <c r="O1831" s="5">
        <v>328.75240000000002</v>
      </c>
    </row>
    <row r="1832" spans="1:15">
      <c r="A1832" t="s">
        <v>3181</v>
      </c>
      <c r="B1832" s="7">
        <v>45860</v>
      </c>
      <c r="C1832" t="s">
        <v>664</v>
      </c>
      <c r="D1832" t="s">
        <v>1203</v>
      </c>
      <c r="E1832" t="s">
        <v>1324</v>
      </c>
      <c r="F1832" t="str">
        <f>[1]Raw_Customer_Dim!$A$2</f>
        <v>CUST1000</v>
      </c>
      <c r="G1832" t="str">
        <f>_xlfn.XLOOKUP(E1832,Store_Dim!A:A,Store_Dim!B:B,"Not Found")</f>
        <v>Mcdonald Inc</v>
      </c>
      <c r="H1832" t="str">
        <f>_xlfn.XLOOKUP(D1832,Product_Dim!A:A,Product_Dim!C:C,"Not Found")</f>
        <v>Sports</v>
      </c>
      <c r="I1832" t="str">
        <f>_xlfn.XLOOKUP(E1832,Store_Dim!A:A,Store_Dim!C:C,"Not Found")</f>
        <v>South</v>
      </c>
      <c r="J1832" t="str">
        <f>_xlfn.XLOOKUP(C1832,Customer_Dim!A:A,Customer_Dim!B:B,"Not Found")</f>
        <v>Matthew Avery</v>
      </c>
      <c r="K1832">
        <v>4</v>
      </c>
      <c r="L1832" s="5">
        <v>611.91999999999996</v>
      </c>
      <c r="M1832">
        <v>0.2</v>
      </c>
      <c r="N1832" t="s">
        <v>1351</v>
      </c>
      <c r="O1832" s="5">
        <v>1958.144</v>
      </c>
    </row>
    <row r="1833" spans="1:15">
      <c r="A1833" t="s">
        <v>3182</v>
      </c>
      <c r="B1833" s="7">
        <v>45704</v>
      </c>
      <c r="C1833" t="s">
        <v>20</v>
      </c>
      <c r="D1833" t="s">
        <v>1221</v>
      </c>
      <c r="E1833" t="s">
        <v>1326</v>
      </c>
      <c r="F1833" t="str">
        <f>[1]Raw_Customer_Dim!$A$2</f>
        <v>CUST1000</v>
      </c>
      <c r="G1833" t="str">
        <f>_xlfn.XLOOKUP(E1833,Store_Dim!A:A,Store_Dim!B:B,"Not Found")</f>
        <v>Shelton PLC</v>
      </c>
      <c r="H1833" t="str">
        <f>_xlfn.XLOOKUP(D1833,Product_Dim!A:A,Product_Dim!C:C,"Not Found")</f>
        <v>Electronics</v>
      </c>
      <c r="I1833" t="str">
        <f>_xlfn.XLOOKUP(E1833,Store_Dim!A:A,Store_Dim!C:C,"Not Found")</f>
        <v>North</v>
      </c>
      <c r="J1833" t="str">
        <f>_xlfn.XLOOKUP(C1833,Customer_Dim!A:A,Customer_Dim!B:B,"Not Found")</f>
        <v>jeremy harris</v>
      </c>
      <c r="K1833">
        <v>2</v>
      </c>
      <c r="L1833" s="5">
        <v>25.3</v>
      </c>
      <c r="M1833">
        <v>0.21</v>
      </c>
      <c r="N1833" t="s">
        <v>1349</v>
      </c>
      <c r="O1833" s="5">
        <v>39.973999999999997</v>
      </c>
    </row>
    <row r="1834" spans="1:15">
      <c r="A1834" t="s">
        <v>3183</v>
      </c>
      <c r="B1834" s="7">
        <v>45327</v>
      </c>
      <c r="C1834" t="s">
        <v>929</v>
      </c>
      <c r="D1834" t="s">
        <v>1219</v>
      </c>
      <c r="E1834" t="s">
        <v>1314</v>
      </c>
      <c r="F1834" t="str">
        <f>[1]Raw_Customer_Dim!$A$2</f>
        <v>CUST1000</v>
      </c>
      <c r="G1834" t="str">
        <f>_xlfn.XLOOKUP(E1834,Store_Dim!A:A,Store_Dim!B:B,"Not Found")</f>
        <v>Hill, Wagner and Ballard</v>
      </c>
      <c r="H1834" t="str">
        <f>_xlfn.XLOOKUP(D1834,Product_Dim!A:A,Product_Dim!C:C,"Not Found")</f>
        <v>Sports</v>
      </c>
      <c r="I1834" t="str">
        <f>_xlfn.XLOOKUP(E1834,Store_Dim!A:A,Store_Dim!C:C,"Not Found")</f>
        <v>East</v>
      </c>
      <c r="J1834" t="str">
        <f>_xlfn.XLOOKUP(C1834,Customer_Dim!A:A,Customer_Dim!B:B,"Not Found")</f>
        <v>Thomas Moore</v>
      </c>
      <c r="K1834">
        <v>4</v>
      </c>
      <c r="L1834" s="5">
        <v>166.93</v>
      </c>
      <c r="M1834">
        <v>0.02</v>
      </c>
      <c r="N1834" t="s">
        <v>1351</v>
      </c>
      <c r="O1834" s="5">
        <v>654.36559999999997</v>
      </c>
    </row>
    <row r="1835" spans="1:15">
      <c r="A1835" t="s">
        <v>3184</v>
      </c>
      <c r="B1835" s="7">
        <v>45721</v>
      </c>
      <c r="C1835" t="s">
        <v>624</v>
      </c>
      <c r="D1835" t="s">
        <v>1193</v>
      </c>
      <c r="E1835" t="s">
        <v>1317</v>
      </c>
      <c r="F1835" t="str">
        <f>[1]Raw_Customer_Dim!$A$2</f>
        <v>CUST1000</v>
      </c>
      <c r="G1835" t="str">
        <f>_xlfn.XLOOKUP(E1835,Store_Dim!A:A,Store_Dim!B:B,"Not Found")</f>
        <v>Aguirre-Keller</v>
      </c>
      <c r="H1835" t="str">
        <f>_xlfn.XLOOKUP(D1835,Product_Dim!A:A,Product_Dim!C:C,"Not Found")</f>
        <v>Beauty</v>
      </c>
      <c r="I1835" t="str">
        <f>_xlfn.XLOOKUP(E1835,Store_Dim!A:A,Store_Dim!C:C,"Not Found")</f>
        <v>South</v>
      </c>
      <c r="J1835" t="str">
        <f>_xlfn.XLOOKUP(C1835,Customer_Dim!A:A,Customer_Dim!B:B,"Not Found")</f>
        <v>Antonio Leon</v>
      </c>
      <c r="K1835">
        <v>4</v>
      </c>
      <c r="L1835" s="5">
        <v>861.55</v>
      </c>
      <c r="M1835">
        <v>0.12</v>
      </c>
      <c r="N1835" t="s">
        <v>1349</v>
      </c>
      <c r="O1835" s="5">
        <v>3032.6559999999999</v>
      </c>
    </row>
    <row r="1836" spans="1:15">
      <c r="A1836" t="s">
        <v>3185</v>
      </c>
      <c r="B1836" s="7">
        <v>45842</v>
      </c>
      <c r="C1836" t="s">
        <v>783</v>
      </c>
      <c r="D1836" t="s">
        <v>1159</v>
      </c>
      <c r="E1836" t="s">
        <v>1298</v>
      </c>
      <c r="F1836" t="str">
        <f>[1]Raw_Customer_Dim!$A$2</f>
        <v>CUST1000</v>
      </c>
      <c r="G1836" t="str">
        <f>_xlfn.XLOOKUP(E1836,Store_Dim!A:A,Store_Dim!B:B,"Not Found")</f>
        <v>Gray Ltd</v>
      </c>
      <c r="H1836" t="str">
        <f>_xlfn.XLOOKUP(D1836,Product_Dim!A:A,Product_Dim!C:C,"Not Found")</f>
        <v>Electronics</v>
      </c>
      <c r="I1836" t="str">
        <f>_xlfn.XLOOKUP(E1836,Store_Dim!A:A,Store_Dim!C:C,"Not Found")</f>
        <v>North</v>
      </c>
      <c r="J1836" t="str">
        <f>_xlfn.XLOOKUP(C1836,Customer_Dim!A:A,Customer_Dim!B:B,"Not Found")</f>
        <v>Denise Tate</v>
      </c>
      <c r="K1836">
        <v>3</v>
      </c>
      <c r="L1836" s="5">
        <v>56.17</v>
      </c>
      <c r="M1836">
        <v>0.01</v>
      </c>
      <c r="N1836" t="s">
        <v>1354</v>
      </c>
      <c r="O1836" s="5">
        <v>166.82490000000001</v>
      </c>
    </row>
    <row r="1837" spans="1:15">
      <c r="A1837" t="s">
        <v>3186</v>
      </c>
      <c r="B1837" s="7">
        <v>45862</v>
      </c>
      <c r="C1837" t="s">
        <v>596</v>
      </c>
      <c r="D1837" t="s">
        <v>1103</v>
      </c>
      <c r="E1837" t="s">
        <v>1338</v>
      </c>
      <c r="F1837" t="str">
        <f>[1]Raw_Customer_Dim!$A$2</f>
        <v>CUST1000</v>
      </c>
      <c r="G1837" t="str">
        <f>_xlfn.XLOOKUP(E1837,Store_Dim!A:A,Store_Dim!B:B,"Not Found")</f>
        <v>Mann-Austin</v>
      </c>
      <c r="H1837" t="str">
        <f>_xlfn.XLOOKUP(D1837,Product_Dim!A:A,Product_Dim!C:C,"Not Found")</f>
        <v>Electronics</v>
      </c>
      <c r="I1837" t="str">
        <f>_xlfn.XLOOKUP(E1837,Store_Dim!A:A,Store_Dim!C:C,"Not Found")</f>
        <v>East</v>
      </c>
      <c r="J1837" t="str">
        <f>_xlfn.XLOOKUP(C1837,Customer_Dim!A:A,Customer_Dim!B:B,"Not Found")</f>
        <v>Cynthia Payne</v>
      </c>
      <c r="K1837">
        <v>1</v>
      </c>
      <c r="L1837" s="5">
        <v>582.29</v>
      </c>
      <c r="M1837">
        <v>0.2</v>
      </c>
      <c r="N1837" t="s">
        <v>1349</v>
      </c>
      <c r="O1837" s="5">
        <v>465.83199999999999</v>
      </c>
    </row>
    <row r="1838" spans="1:15">
      <c r="A1838" t="s">
        <v>3187</v>
      </c>
      <c r="B1838" s="7">
        <v>45681</v>
      </c>
      <c r="C1838" t="s">
        <v>585</v>
      </c>
      <c r="D1838" t="s">
        <v>1239</v>
      </c>
      <c r="E1838" t="s">
        <v>1277</v>
      </c>
      <c r="F1838" t="str">
        <f>[1]Raw_Customer_Dim!$A$2</f>
        <v>CUST1000</v>
      </c>
      <c r="G1838" t="str">
        <f>_xlfn.XLOOKUP(E1838,Store_Dim!A:A,Store_Dim!B:B,"Not Found")</f>
        <v>Rivera-Warner</v>
      </c>
      <c r="H1838" t="str">
        <f>_xlfn.XLOOKUP(D1838,Product_Dim!A:A,Product_Dim!C:C,"Not Found")</f>
        <v>Beauty</v>
      </c>
      <c r="I1838" t="str">
        <f>_xlfn.XLOOKUP(E1838,Store_Dim!A:A,Store_Dim!C:C,"Not Found")</f>
        <v>East</v>
      </c>
      <c r="J1838" t="str">
        <f>_xlfn.XLOOKUP(C1838,Customer_Dim!A:A,Customer_Dim!B:B,"Not Found")</f>
        <v>Carol Bishop</v>
      </c>
      <c r="K1838">
        <v>3</v>
      </c>
      <c r="L1838" s="5">
        <v>63.96</v>
      </c>
      <c r="M1838">
        <v>0.02</v>
      </c>
      <c r="N1838" t="s">
        <v>1349</v>
      </c>
      <c r="O1838" s="5">
        <v>188.04239999999999</v>
      </c>
    </row>
    <row r="1839" spans="1:15">
      <c r="A1839" t="s">
        <v>3188</v>
      </c>
      <c r="B1839" s="7">
        <v>45392</v>
      </c>
      <c r="C1839" t="s">
        <v>178</v>
      </c>
      <c r="D1839" t="s">
        <v>1090</v>
      </c>
      <c r="E1839" t="s">
        <v>1319</v>
      </c>
      <c r="F1839" t="str">
        <f>[1]Raw_Customer_Dim!$A$2</f>
        <v>CUST1000</v>
      </c>
      <c r="G1839" t="str">
        <f>_xlfn.XLOOKUP(E1839,Store_Dim!A:A,Store_Dim!B:B,"Not Found")</f>
        <v>Thomas, Bridges and Harris</v>
      </c>
      <c r="H1839" t="str">
        <f>_xlfn.XLOOKUP(D1839,Product_Dim!A:A,Product_Dim!C:C,"Not Found")</f>
        <v>Sports</v>
      </c>
      <c r="I1839" t="str">
        <f>_xlfn.XLOOKUP(E1839,Store_Dim!A:A,Store_Dim!C:C,"Not Found")</f>
        <v>North</v>
      </c>
      <c r="J1839" t="str">
        <f>_xlfn.XLOOKUP(C1839,Customer_Dim!A:A,Customer_Dim!B:B,"Not Found")</f>
        <v>Michael Thomas</v>
      </c>
      <c r="K1839">
        <v>1</v>
      </c>
      <c r="L1839" s="5">
        <v>829.83</v>
      </c>
      <c r="M1839">
        <v>0.26</v>
      </c>
      <c r="N1839" t="s">
        <v>1354</v>
      </c>
      <c r="O1839" s="5">
        <v>614.07420000000002</v>
      </c>
    </row>
    <row r="1840" spans="1:15">
      <c r="A1840" t="s">
        <v>3189</v>
      </c>
      <c r="B1840" s="7">
        <v>45586</v>
      </c>
      <c r="C1840" t="s">
        <v>803</v>
      </c>
      <c r="D1840" t="s">
        <v>1141</v>
      </c>
      <c r="E1840" t="s">
        <v>1329</v>
      </c>
      <c r="F1840" t="str">
        <f>[1]Raw_Customer_Dim!$A$2</f>
        <v>CUST1000</v>
      </c>
      <c r="G1840" t="str">
        <f>_xlfn.XLOOKUP(E1840,Store_Dim!A:A,Store_Dim!B:B,"Not Found")</f>
        <v>Frederick-Wright</v>
      </c>
      <c r="H1840" t="str">
        <f>_xlfn.XLOOKUP(D1840,Product_Dim!A:A,Product_Dim!C:C,"Not Found")</f>
        <v>Electronics</v>
      </c>
      <c r="I1840" t="str">
        <f>_xlfn.XLOOKUP(E1840,Store_Dim!A:A,Store_Dim!C:C,"Not Found")</f>
        <v>West</v>
      </c>
      <c r="J1840" t="str">
        <f>_xlfn.XLOOKUP(C1840,Customer_Dim!A:A,Customer_Dim!B:B,"Not Found")</f>
        <v>James Holloway Jr.</v>
      </c>
      <c r="K1840">
        <v>2</v>
      </c>
      <c r="L1840" s="5">
        <v>858.15</v>
      </c>
      <c r="M1840">
        <v>0.03</v>
      </c>
      <c r="N1840" t="s">
        <v>1349</v>
      </c>
      <c r="O1840" s="5">
        <v>1664.8109999999999</v>
      </c>
    </row>
    <row r="1841" spans="1:15">
      <c r="A1841" t="s">
        <v>3190</v>
      </c>
      <c r="B1841" s="7">
        <v>45340</v>
      </c>
      <c r="C1841" t="s">
        <v>781</v>
      </c>
      <c r="D1841" t="s">
        <v>1219</v>
      </c>
      <c r="E1841" t="s">
        <v>1322</v>
      </c>
      <c r="F1841" t="str">
        <f>[1]Raw_Customer_Dim!$A$2</f>
        <v>CUST1000</v>
      </c>
      <c r="G1841" t="str">
        <f>_xlfn.XLOOKUP(E1841,Store_Dim!A:A,Store_Dim!B:B,"Not Found")</f>
        <v>Gardner, Humphrey and Contreras</v>
      </c>
      <c r="H1841" t="str">
        <f>_xlfn.XLOOKUP(D1841,Product_Dim!A:A,Product_Dim!C:C,"Not Found")</f>
        <v>Sports</v>
      </c>
      <c r="I1841" t="str">
        <f>_xlfn.XLOOKUP(E1841,Store_Dim!A:A,Store_Dim!C:C,"Not Found")</f>
        <v>East</v>
      </c>
      <c r="J1841" t="str">
        <f>_xlfn.XLOOKUP(C1841,Customer_Dim!A:A,Customer_Dim!B:B,"Not Found")</f>
        <v>Melanie Lam</v>
      </c>
      <c r="K1841">
        <v>3</v>
      </c>
      <c r="L1841" s="5">
        <v>717.32</v>
      </c>
      <c r="M1841">
        <v>0.23</v>
      </c>
      <c r="N1841" t="s">
        <v>1354</v>
      </c>
      <c r="O1841" s="5">
        <v>1657.0092</v>
      </c>
    </row>
    <row r="1842" spans="1:15">
      <c r="A1842" t="s">
        <v>3191</v>
      </c>
      <c r="B1842" s="7">
        <v>45853</v>
      </c>
      <c r="C1842" t="s">
        <v>919</v>
      </c>
      <c r="D1842" t="s">
        <v>1239</v>
      </c>
      <c r="E1842" t="s">
        <v>1319</v>
      </c>
      <c r="F1842" t="str">
        <f>[1]Raw_Customer_Dim!$A$2</f>
        <v>CUST1000</v>
      </c>
      <c r="G1842" t="str">
        <f>_xlfn.XLOOKUP(E1842,Store_Dim!A:A,Store_Dim!B:B,"Not Found")</f>
        <v>Thomas, Bridges and Harris</v>
      </c>
      <c r="H1842" t="str">
        <f>_xlfn.XLOOKUP(D1842,Product_Dim!A:A,Product_Dim!C:C,"Not Found")</f>
        <v>Beauty</v>
      </c>
      <c r="I1842" t="str">
        <f>_xlfn.XLOOKUP(E1842,Store_Dim!A:A,Store_Dim!C:C,"Not Found")</f>
        <v>North</v>
      </c>
      <c r="J1842" t="str">
        <f>_xlfn.XLOOKUP(C1842,Customer_Dim!A:A,Customer_Dim!B:B,"Not Found")</f>
        <v>Samuel Mullins</v>
      </c>
      <c r="K1842">
        <v>1</v>
      </c>
      <c r="L1842" s="5">
        <v>163.19999999999999</v>
      </c>
      <c r="M1842">
        <v>0.22</v>
      </c>
      <c r="N1842" t="s">
        <v>1351</v>
      </c>
      <c r="O1842" s="5">
        <v>127.29600000000001</v>
      </c>
    </row>
    <row r="1843" spans="1:15">
      <c r="A1843" t="s">
        <v>3192</v>
      </c>
      <c r="B1843" s="7">
        <v>45489</v>
      </c>
      <c r="C1843" t="s">
        <v>313</v>
      </c>
      <c r="D1843" t="s">
        <v>1235</v>
      </c>
      <c r="E1843" t="s">
        <v>1319</v>
      </c>
      <c r="F1843" t="str">
        <f>[1]Raw_Customer_Dim!$A$2</f>
        <v>CUST1000</v>
      </c>
      <c r="G1843" t="str">
        <f>_xlfn.XLOOKUP(E1843,Store_Dim!A:A,Store_Dim!B:B,"Not Found")</f>
        <v>Thomas, Bridges and Harris</v>
      </c>
      <c r="H1843" t="str">
        <f>_xlfn.XLOOKUP(D1843,Product_Dim!A:A,Product_Dim!C:C,"Not Found")</f>
        <v>Sports</v>
      </c>
      <c r="I1843" t="str">
        <f>_xlfn.XLOOKUP(E1843,Store_Dim!A:A,Store_Dim!C:C,"Not Found")</f>
        <v>North</v>
      </c>
      <c r="J1843" t="str">
        <f>_xlfn.XLOOKUP(C1843,Customer_Dim!A:A,Customer_Dim!B:B,"Not Found")</f>
        <v>James Wolfe</v>
      </c>
      <c r="K1843">
        <v>2</v>
      </c>
      <c r="L1843" s="5">
        <v>966.71</v>
      </c>
      <c r="M1843">
        <v>0.11</v>
      </c>
      <c r="N1843" t="s">
        <v>1349</v>
      </c>
      <c r="O1843" s="5">
        <v>1720.7438</v>
      </c>
    </row>
    <row r="1844" spans="1:15">
      <c r="A1844" t="s">
        <v>3193</v>
      </c>
      <c r="B1844" s="7">
        <v>45761</v>
      </c>
      <c r="C1844" t="s">
        <v>760</v>
      </c>
      <c r="D1844" t="s">
        <v>1143</v>
      </c>
      <c r="E1844" t="s">
        <v>1322</v>
      </c>
      <c r="F1844" t="str">
        <f>[1]Raw_Customer_Dim!$A$2</f>
        <v>CUST1000</v>
      </c>
      <c r="G1844" t="str">
        <f>_xlfn.XLOOKUP(E1844,Store_Dim!A:A,Store_Dim!B:B,"Not Found")</f>
        <v>Gardner, Humphrey and Contreras</v>
      </c>
      <c r="H1844" t="str">
        <f>_xlfn.XLOOKUP(D1844,Product_Dim!A:A,Product_Dim!C:C,"Not Found")</f>
        <v>Home</v>
      </c>
      <c r="I1844" t="str">
        <f>_xlfn.XLOOKUP(E1844,Store_Dim!A:A,Store_Dim!C:C,"Not Found")</f>
        <v>East</v>
      </c>
      <c r="J1844" t="str">
        <f>_xlfn.XLOOKUP(C1844,Customer_Dim!A:A,Customer_Dim!B:B,"Not Found")</f>
        <v>Sherry Cabrera</v>
      </c>
      <c r="K1844">
        <v>2</v>
      </c>
      <c r="L1844" s="5">
        <v>873.94</v>
      </c>
      <c r="M1844">
        <v>0.14000000000000001</v>
      </c>
      <c r="N1844" t="s">
        <v>1354</v>
      </c>
      <c r="O1844" s="5">
        <v>1503.1768</v>
      </c>
    </row>
    <row r="1845" spans="1:15">
      <c r="A1845" t="s">
        <v>3194</v>
      </c>
      <c r="B1845" s="7">
        <v>45379</v>
      </c>
      <c r="C1845" t="s">
        <v>359</v>
      </c>
      <c r="D1845" t="s">
        <v>1068</v>
      </c>
      <c r="E1845" t="s">
        <v>1291</v>
      </c>
      <c r="F1845" t="str">
        <f>[1]Raw_Customer_Dim!$A$2</f>
        <v>CUST1000</v>
      </c>
      <c r="G1845" t="str">
        <f>_xlfn.XLOOKUP(E1845,Store_Dim!A:A,Store_Dim!B:B,"Not Found")</f>
        <v>Johnson-Wright</v>
      </c>
      <c r="H1845" t="str">
        <f>_xlfn.XLOOKUP(D1845,Product_Dim!A:A,Product_Dim!C:C,"Not Found")</f>
        <v>Electronics</v>
      </c>
      <c r="I1845" t="str">
        <f>_xlfn.XLOOKUP(E1845,Store_Dim!A:A,Store_Dim!C:C,"Not Found")</f>
        <v>North</v>
      </c>
      <c r="J1845" t="str">
        <f>_xlfn.XLOOKUP(C1845,Customer_Dim!A:A,Customer_Dim!B:B,"Not Found")</f>
        <v>Denise Griffin</v>
      </c>
      <c r="K1845">
        <v>1</v>
      </c>
      <c r="L1845" s="5">
        <v>140.24</v>
      </c>
      <c r="M1845">
        <v>0.27</v>
      </c>
      <c r="N1845" t="s">
        <v>1349</v>
      </c>
      <c r="O1845" s="5">
        <v>102.37520000000001</v>
      </c>
    </row>
    <row r="1846" spans="1:15">
      <c r="A1846" t="s">
        <v>3195</v>
      </c>
      <c r="B1846" s="7">
        <v>45716</v>
      </c>
      <c r="C1846" t="s">
        <v>464</v>
      </c>
      <c r="D1846" t="s">
        <v>1159</v>
      </c>
      <c r="E1846" t="s">
        <v>1298</v>
      </c>
      <c r="F1846" t="str">
        <f>[1]Raw_Customer_Dim!$A$2</f>
        <v>CUST1000</v>
      </c>
      <c r="G1846" t="str">
        <f>_xlfn.XLOOKUP(E1846,Store_Dim!A:A,Store_Dim!B:B,"Not Found")</f>
        <v>Gray Ltd</v>
      </c>
      <c r="H1846" t="str">
        <f>_xlfn.XLOOKUP(D1846,Product_Dim!A:A,Product_Dim!C:C,"Not Found")</f>
        <v>Electronics</v>
      </c>
      <c r="I1846" t="str">
        <f>_xlfn.XLOOKUP(E1846,Store_Dim!A:A,Store_Dim!C:C,"Not Found")</f>
        <v>North</v>
      </c>
      <c r="J1846" t="str">
        <f>_xlfn.XLOOKUP(C1846,Customer_Dim!A:A,Customer_Dim!B:B,"Not Found")</f>
        <v>Mary Boyd</v>
      </c>
      <c r="K1846">
        <v>2</v>
      </c>
      <c r="L1846" s="5">
        <v>549.91999999999996</v>
      </c>
      <c r="M1846">
        <v>0.28000000000000003</v>
      </c>
      <c r="N1846" t="s">
        <v>1349</v>
      </c>
      <c r="O1846" s="5">
        <v>791.88479999999993</v>
      </c>
    </row>
    <row r="1847" spans="1:15">
      <c r="A1847" t="s">
        <v>3196</v>
      </c>
      <c r="B1847" s="7">
        <v>45364</v>
      </c>
      <c r="C1847" t="s">
        <v>281</v>
      </c>
      <c r="D1847" t="s">
        <v>1107</v>
      </c>
      <c r="E1847" t="s">
        <v>1298</v>
      </c>
      <c r="F1847" t="str">
        <f>[1]Raw_Customer_Dim!$A$2</f>
        <v>CUST1000</v>
      </c>
      <c r="G1847" t="str">
        <f>_xlfn.XLOOKUP(E1847,Store_Dim!A:A,Store_Dim!B:B,"Not Found")</f>
        <v>Gray Ltd</v>
      </c>
      <c r="H1847" t="str">
        <f>_xlfn.XLOOKUP(D1847,Product_Dim!A:A,Product_Dim!C:C,"Not Found")</f>
        <v>Sports</v>
      </c>
      <c r="I1847" t="str">
        <f>_xlfn.XLOOKUP(E1847,Store_Dim!A:A,Store_Dim!C:C,"Not Found")</f>
        <v>North</v>
      </c>
      <c r="J1847" t="str">
        <f>_xlfn.XLOOKUP(C1847,Customer_Dim!A:A,Customer_Dim!B:B,"Not Found")</f>
        <v>Julie Farmer</v>
      </c>
      <c r="K1847">
        <v>4</v>
      </c>
      <c r="L1847" s="5">
        <v>715.88</v>
      </c>
      <c r="M1847">
        <v>0.19</v>
      </c>
      <c r="N1847" t="s">
        <v>1351</v>
      </c>
      <c r="O1847" s="5">
        <v>2319.4512</v>
      </c>
    </row>
    <row r="1848" spans="1:15">
      <c r="A1848" t="s">
        <v>3197</v>
      </c>
      <c r="B1848" s="7">
        <v>45752</v>
      </c>
      <c r="C1848" t="s">
        <v>805</v>
      </c>
      <c r="D1848" t="s">
        <v>1074</v>
      </c>
      <c r="E1848" t="s">
        <v>1307</v>
      </c>
      <c r="F1848" t="str">
        <f>[1]Raw_Customer_Dim!$A$2</f>
        <v>CUST1000</v>
      </c>
      <c r="G1848" t="str">
        <f>_xlfn.XLOOKUP(E1848,Store_Dim!A:A,Store_Dim!B:B,"Not Found")</f>
        <v>Bean, Jones and Park</v>
      </c>
      <c r="H1848" t="str">
        <f>_xlfn.XLOOKUP(D1848,Product_Dim!A:A,Product_Dim!C:C,"Not Found")</f>
        <v>Clothing</v>
      </c>
      <c r="I1848" t="str">
        <f>_xlfn.XLOOKUP(E1848,Store_Dim!A:A,Store_Dim!C:C,"Not Found")</f>
        <v>West</v>
      </c>
      <c r="J1848" t="str">
        <f>_xlfn.XLOOKUP(C1848,Customer_Dim!A:A,Customer_Dim!B:B,"Not Found")</f>
        <v>Michael Garner</v>
      </c>
      <c r="K1848">
        <v>3</v>
      </c>
      <c r="L1848" s="5">
        <v>591.9</v>
      </c>
      <c r="M1848">
        <v>0.27</v>
      </c>
      <c r="N1848" t="s">
        <v>1349</v>
      </c>
      <c r="O1848" s="5">
        <v>1296.261</v>
      </c>
    </row>
    <row r="1849" spans="1:15">
      <c r="A1849" t="s">
        <v>3198</v>
      </c>
      <c r="B1849" s="7">
        <v>45883</v>
      </c>
      <c r="C1849" t="s">
        <v>813</v>
      </c>
      <c r="D1849" t="s">
        <v>1117</v>
      </c>
      <c r="E1849" t="s">
        <v>1314</v>
      </c>
      <c r="F1849" t="str">
        <f>[1]Raw_Customer_Dim!$A$2</f>
        <v>CUST1000</v>
      </c>
      <c r="G1849" t="str">
        <f>_xlfn.XLOOKUP(E1849,Store_Dim!A:A,Store_Dim!B:B,"Not Found")</f>
        <v>Hill, Wagner and Ballard</v>
      </c>
      <c r="H1849" t="str">
        <f>_xlfn.XLOOKUP(D1849,Product_Dim!A:A,Product_Dim!C:C,"Not Found")</f>
        <v>Sports</v>
      </c>
      <c r="I1849" t="str">
        <f>_xlfn.XLOOKUP(E1849,Store_Dim!A:A,Store_Dim!C:C,"Not Found")</f>
        <v>East</v>
      </c>
      <c r="J1849" t="str">
        <f>_xlfn.XLOOKUP(C1849,Customer_Dim!A:A,Customer_Dim!B:B,"Not Found")</f>
        <v>Joshua Bell</v>
      </c>
      <c r="K1849">
        <v>2</v>
      </c>
      <c r="L1849" s="5">
        <v>523.14</v>
      </c>
      <c r="M1849">
        <v>0.13</v>
      </c>
      <c r="N1849" t="s">
        <v>1351</v>
      </c>
      <c r="O1849" s="5">
        <v>910.2636</v>
      </c>
    </row>
    <row r="1850" spans="1:15">
      <c r="A1850" t="s">
        <v>3199</v>
      </c>
      <c r="B1850" s="7">
        <v>45477</v>
      </c>
      <c r="C1850" t="s">
        <v>515</v>
      </c>
      <c r="D1850" t="s">
        <v>1211</v>
      </c>
      <c r="E1850" t="s">
        <v>1324</v>
      </c>
      <c r="F1850" t="str">
        <f>[1]Raw_Customer_Dim!$A$2</f>
        <v>CUST1000</v>
      </c>
      <c r="G1850" t="str">
        <f>_xlfn.XLOOKUP(E1850,Store_Dim!A:A,Store_Dim!B:B,"Not Found")</f>
        <v>Mcdonald Inc</v>
      </c>
      <c r="H1850" t="str">
        <f>_xlfn.XLOOKUP(D1850,Product_Dim!A:A,Product_Dim!C:C,"Not Found")</f>
        <v>Clothing</v>
      </c>
      <c r="I1850" t="str">
        <f>_xlfn.XLOOKUP(E1850,Store_Dim!A:A,Store_Dim!C:C,"Not Found")</f>
        <v>South</v>
      </c>
      <c r="J1850" t="str">
        <f>_xlfn.XLOOKUP(C1850,Customer_Dim!A:A,Customer_Dim!B:B,"Not Found")</f>
        <v>Alexis Castaneda</v>
      </c>
      <c r="K1850">
        <v>2</v>
      </c>
      <c r="L1850" s="5">
        <v>478.62</v>
      </c>
      <c r="M1850">
        <v>0.17</v>
      </c>
      <c r="N1850" t="s">
        <v>1354</v>
      </c>
      <c r="O1850" s="5">
        <v>794.50919999999996</v>
      </c>
    </row>
    <row r="1851" spans="1:15">
      <c r="A1851" t="s">
        <v>3200</v>
      </c>
      <c r="B1851" s="7">
        <v>45556</v>
      </c>
      <c r="C1851" t="s">
        <v>662</v>
      </c>
      <c r="D1851" t="s">
        <v>1237</v>
      </c>
      <c r="E1851" t="s">
        <v>1282</v>
      </c>
      <c r="F1851" t="str">
        <f>[1]Raw_Customer_Dim!$A$2</f>
        <v>CUST1000</v>
      </c>
      <c r="G1851" t="str">
        <f>_xlfn.XLOOKUP(E1851,Store_Dim!A:A,Store_Dim!B:B,"Not Found")</f>
        <v>Martinez, Adkins and Johnson</v>
      </c>
      <c r="H1851" t="str">
        <f>_xlfn.XLOOKUP(D1851,Product_Dim!A:A,Product_Dim!C:C,"Not Found")</f>
        <v>Sports</v>
      </c>
      <c r="I1851" t="str">
        <f>_xlfn.XLOOKUP(E1851,Store_Dim!A:A,Store_Dim!C:C,"Not Found")</f>
        <v>North</v>
      </c>
      <c r="J1851" t="str">
        <f>_xlfn.XLOOKUP(C1851,Customer_Dim!A:A,Customer_Dim!B:B,"Not Found")</f>
        <v>Stephanie Jacobs</v>
      </c>
      <c r="K1851">
        <v>4</v>
      </c>
      <c r="L1851" s="5">
        <v>740.5</v>
      </c>
      <c r="M1851">
        <v>0.17</v>
      </c>
      <c r="N1851" t="s">
        <v>1351</v>
      </c>
      <c r="O1851" s="5">
        <v>2458.46</v>
      </c>
    </row>
    <row r="1852" spans="1:15">
      <c r="A1852" t="s">
        <v>3201</v>
      </c>
      <c r="B1852" s="7">
        <v>45465</v>
      </c>
      <c r="C1852" t="s">
        <v>283</v>
      </c>
      <c r="D1852" t="s">
        <v>1165</v>
      </c>
      <c r="E1852" t="s">
        <v>1286</v>
      </c>
      <c r="F1852" t="str">
        <f>[1]Raw_Customer_Dim!$A$2</f>
        <v>CUST1000</v>
      </c>
      <c r="G1852" t="str">
        <f>_xlfn.XLOOKUP(E1852,Store_Dim!A:A,Store_Dim!B:B,"Not Found")</f>
        <v>Black-Horn</v>
      </c>
      <c r="H1852" t="str">
        <f>_xlfn.XLOOKUP(D1852,Product_Dim!A:A,Product_Dim!C:C,"Not Found")</f>
        <v>Clothing</v>
      </c>
      <c r="I1852" t="str">
        <f>_xlfn.XLOOKUP(E1852,Store_Dim!A:A,Store_Dim!C:C,"Not Found")</f>
        <v>South</v>
      </c>
      <c r="J1852" t="str">
        <f>_xlfn.XLOOKUP(C1852,Customer_Dim!A:A,Customer_Dim!B:B,"Not Found")</f>
        <v>David Cole</v>
      </c>
      <c r="K1852">
        <v>1</v>
      </c>
      <c r="L1852" s="5">
        <v>780.24</v>
      </c>
      <c r="M1852">
        <v>0.04</v>
      </c>
      <c r="N1852" t="s">
        <v>1354</v>
      </c>
      <c r="O1852" s="5">
        <v>749.03039999999999</v>
      </c>
    </row>
    <row r="1853" spans="1:15">
      <c r="A1853" t="s">
        <v>3202</v>
      </c>
      <c r="B1853" s="7">
        <v>45552</v>
      </c>
      <c r="C1853" t="s">
        <v>273</v>
      </c>
      <c r="D1853" t="s">
        <v>1213</v>
      </c>
      <c r="E1853" t="s">
        <v>1329</v>
      </c>
      <c r="F1853" t="str">
        <f>[1]Raw_Customer_Dim!$A$2</f>
        <v>CUST1000</v>
      </c>
      <c r="G1853" t="str">
        <f>_xlfn.XLOOKUP(E1853,Store_Dim!A:A,Store_Dim!B:B,"Not Found")</f>
        <v>Frederick-Wright</v>
      </c>
      <c r="H1853" t="str">
        <f>_xlfn.XLOOKUP(D1853,Product_Dim!A:A,Product_Dim!C:C,"Not Found")</f>
        <v>Home</v>
      </c>
      <c r="I1853" t="str">
        <f>_xlfn.XLOOKUP(E1853,Store_Dim!A:A,Store_Dim!C:C,"Not Found")</f>
        <v>West</v>
      </c>
      <c r="J1853" t="str">
        <f>_xlfn.XLOOKUP(C1853,Customer_Dim!A:A,Customer_Dim!B:B,"Not Found")</f>
        <v>Erica Carney</v>
      </c>
      <c r="K1853">
        <v>4</v>
      </c>
      <c r="L1853" s="5">
        <v>579.24</v>
      </c>
      <c r="M1853">
        <v>0.04</v>
      </c>
      <c r="N1853" t="s">
        <v>1354</v>
      </c>
      <c r="O1853" s="5">
        <v>2224.2815999999998</v>
      </c>
    </row>
    <row r="1854" spans="1:15">
      <c r="A1854" t="s">
        <v>3203</v>
      </c>
      <c r="B1854" s="7">
        <v>45635</v>
      </c>
      <c r="C1854" t="s">
        <v>805</v>
      </c>
      <c r="D1854" t="s">
        <v>1071</v>
      </c>
      <c r="E1854" t="s">
        <v>1286</v>
      </c>
      <c r="F1854" t="str">
        <f>[1]Raw_Customer_Dim!$A$2</f>
        <v>CUST1000</v>
      </c>
      <c r="G1854" t="str">
        <f>_xlfn.XLOOKUP(E1854,Store_Dim!A:A,Store_Dim!B:B,"Not Found")</f>
        <v>Black-Horn</v>
      </c>
      <c r="H1854" t="str">
        <f>_xlfn.XLOOKUP(D1854,Product_Dim!A:A,Product_Dim!C:C,"Not Found")</f>
        <v>Clothing</v>
      </c>
      <c r="I1854" t="str">
        <f>_xlfn.XLOOKUP(E1854,Store_Dim!A:A,Store_Dim!C:C,"Not Found")</f>
        <v>South</v>
      </c>
      <c r="J1854" t="str">
        <f>_xlfn.XLOOKUP(C1854,Customer_Dim!A:A,Customer_Dim!B:B,"Not Found")</f>
        <v>Michael Garner</v>
      </c>
      <c r="K1854">
        <v>3</v>
      </c>
      <c r="L1854" s="5">
        <v>268.95</v>
      </c>
      <c r="M1854">
        <v>0.04</v>
      </c>
      <c r="N1854" t="s">
        <v>1351</v>
      </c>
      <c r="O1854" s="5">
        <v>774.57599999999991</v>
      </c>
    </row>
    <row r="1855" spans="1:15">
      <c r="A1855" t="s">
        <v>3204</v>
      </c>
      <c r="B1855" s="7">
        <v>45740</v>
      </c>
      <c r="C1855" t="s">
        <v>674</v>
      </c>
      <c r="D1855" t="s">
        <v>1080</v>
      </c>
      <c r="E1855" t="s">
        <v>1294</v>
      </c>
      <c r="F1855" t="str">
        <f>[1]Raw_Customer_Dim!$A$2</f>
        <v>CUST1000</v>
      </c>
      <c r="G1855" t="str">
        <f>_xlfn.XLOOKUP(E1855,Store_Dim!A:A,Store_Dim!B:B,"Not Found")</f>
        <v>Alexander Group</v>
      </c>
      <c r="H1855" t="str">
        <f>_xlfn.XLOOKUP(D1855,Product_Dim!A:A,Product_Dim!C:C,"Not Found")</f>
        <v>Clothing</v>
      </c>
      <c r="I1855" t="str">
        <f>_xlfn.XLOOKUP(E1855,Store_Dim!A:A,Store_Dim!C:C,"Not Found")</f>
        <v>South</v>
      </c>
      <c r="J1855" t="str">
        <f>_xlfn.XLOOKUP(C1855,Customer_Dim!A:A,Customer_Dim!B:B,"Not Found")</f>
        <v>Roberta Green</v>
      </c>
      <c r="K1855">
        <v>1</v>
      </c>
      <c r="L1855" s="5">
        <v>47.47</v>
      </c>
      <c r="M1855">
        <v>0.28000000000000003</v>
      </c>
      <c r="N1855" t="s">
        <v>1349</v>
      </c>
      <c r="O1855" s="5">
        <v>34.178400000000003</v>
      </c>
    </row>
    <row r="1856" spans="1:15">
      <c r="A1856" t="s">
        <v>3205</v>
      </c>
      <c r="B1856" s="7">
        <v>45796</v>
      </c>
      <c r="C1856" t="s">
        <v>577</v>
      </c>
      <c r="D1856" t="s">
        <v>1139</v>
      </c>
      <c r="E1856" t="s">
        <v>1332</v>
      </c>
      <c r="F1856" t="str">
        <f>[1]Raw_Customer_Dim!$A$2</f>
        <v>CUST1000</v>
      </c>
      <c r="G1856" t="str">
        <f>_xlfn.XLOOKUP(E1856,Store_Dim!A:A,Store_Dim!B:B,"Not Found")</f>
        <v>Holloway Ltd</v>
      </c>
      <c r="H1856" t="str">
        <f>_xlfn.XLOOKUP(D1856,Product_Dim!A:A,Product_Dim!C:C,"Not Found")</f>
        <v>Home</v>
      </c>
      <c r="I1856" t="str">
        <f>_xlfn.XLOOKUP(E1856,Store_Dim!A:A,Store_Dim!C:C,"Not Found")</f>
        <v>North</v>
      </c>
      <c r="J1856" t="str">
        <f>_xlfn.XLOOKUP(C1856,Customer_Dim!A:A,Customer_Dim!B:B,"Not Found")</f>
        <v>Christopher David</v>
      </c>
      <c r="K1856">
        <v>3</v>
      </c>
      <c r="L1856" s="5">
        <v>858.81</v>
      </c>
      <c r="M1856">
        <v>7.0000000000000007E-2</v>
      </c>
      <c r="N1856" t="s">
        <v>1349</v>
      </c>
      <c r="O1856" s="5">
        <v>2396.0799000000002</v>
      </c>
    </row>
    <row r="1857" spans="1:15">
      <c r="A1857" t="s">
        <v>3206</v>
      </c>
      <c r="B1857" s="7">
        <v>45710</v>
      </c>
      <c r="C1857" t="s">
        <v>684</v>
      </c>
      <c r="D1857" t="s">
        <v>1111</v>
      </c>
      <c r="E1857" t="s">
        <v>1314</v>
      </c>
      <c r="F1857" t="str">
        <f>[1]Raw_Customer_Dim!$A$2</f>
        <v>CUST1000</v>
      </c>
      <c r="G1857" t="str">
        <f>_xlfn.XLOOKUP(E1857,Store_Dim!A:A,Store_Dim!B:B,"Not Found")</f>
        <v>Hill, Wagner and Ballard</v>
      </c>
      <c r="H1857" t="str">
        <f>_xlfn.XLOOKUP(D1857,Product_Dim!A:A,Product_Dim!C:C,"Not Found")</f>
        <v>Sports</v>
      </c>
      <c r="I1857" t="str">
        <f>_xlfn.XLOOKUP(E1857,Store_Dim!A:A,Store_Dim!C:C,"Not Found")</f>
        <v>East</v>
      </c>
      <c r="J1857" t="str">
        <f>_xlfn.XLOOKUP(C1857,Customer_Dim!A:A,Customer_Dim!B:B,"Not Found")</f>
        <v>Kara Dodson</v>
      </c>
      <c r="K1857">
        <v>3</v>
      </c>
      <c r="L1857" s="5">
        <v>569.98</v>
      </c>
      <c r="M1857">
        <v>0.05</v>
      </c>
      <c r="N1857" t="s">
        <v>1349</v>
      </c>
      <c r="O1857" s="5">
        <v>1624.443</v>
      </c>
    </row>
    <row r="1858" spans="1:15">
      <c r="A1858" t="s">
        <v>3207</v>
      </c>
      <c r="B1858" s="7">
        <v>45596</v>
      </c>
      <c r="C1858" t="s">
        <v>718</v>
      </c>
      <c r="D1858" t="s">
        <v>1221</v>
      </c>
      <c r="E1858" t="s">
        <v>1319</v>
      </c>
      <c r="F1858" t="str">
        <f>[1]Raw_Customer_Dim!$A$2</f>
        <v>CUST1000</v>
      </c>
      <c r="G1858" t="str">
        <f>_xlfn.XLOOKUP(E1858,Store_Dim!A:A,Store_Dim!B:B,"Not Found")</f>
        <v>Thomas, Bridges and Harris</v>
      </c>
      <c r="H1858" t="str">
        <f>_xlfn.XLOOKUP(D1858,Product_Dim!A:A,Product_Dim!C:C,"Not Found")</f>
        <v>Electronics</v>
      </c>
      <c r="I1858" t="str">
        <f>_xlfn.XLOOKUP(E1858,Store_Dim!A:A,Store_Dim!C:C,"Not Found")</f>
        <v>North</v>
      </c>
      <c r="J1858" t="str">
        <f>_xlfn.XLOOKUP(C1858,Customer_Dim!A:A,Customer_Dim!B:B,"Not Found")</f>
        <v>Reginald Willis</v>
      </c>
      <c r="K1858">
        <v>3</v>
      </c>
      <c r="L1858" s="5">
        <v>306.52</v>
      </c>
      <c r="M1858">
        <v>0.01</v>
      </c>
      <c r="N1858" t="s">
        <v>1354</v>
      </c>
      <c r="O1858" s="5">
        <v>910.36439999999993</v>
      </c>
    </row>
    <row r="1859" spans="1:15">
      <c r="A1859" t="s">
        <v>3208</v>
      </c>
      <c r="B1859" s="7">
        <v>45354</v>
      </c>
      <c r="C1859" t="s">
        <v>176</v>
      </c>
      <c r="D1859" t="s">
        <v>1185</v>
      </c>
      <c r="E1859" t="s">
        <v>1322</v>
      </c>
      <c r="F1859" t="str">
        <f>[1]Raw_Customer_Dim!$A$2</f>
        <v>CUST1000</v>
      </c>
      <c r="G1859" t="str">
        <f>_xlfn.XLOOKUP(E1859,Store_Dim!A:A,Store_Dim!B:B,"Not Found")</f>
        <v>Gardner, Humphrey and Contreras</v>
      </c>
      <c r="H1859" t="str">
        <f>_xlfn.XLOOKUP(D1859,Product_Dim!A:A,Product_Dim!C:C,"Not Found")</f>
        <v>Home</v>
      </c>
      <c r="I1859" t="str">
        <f>_xlfn.XLOOKUP(E1859,Store_Dim!A:A,Store_Dim!C:C,"Not Found")</f>
        <v>East</v>
      </c>
      <c r="J1859" t="str">
        <f>_xlfn.XLOOKUP(C1859,Customer_Dim!A:A,Customer_Dim!B:B,"Not Found")</f>
        <v>Mr. Mason Butler</v>
      </c>
      <c r="K1859">
        <v>3</v>
      </c>
      <c r="L1859" s="5">
        <v>184.67</v>
      </c>
      <c r="M1859">
        <v>0.03</v>
      </c>
      <c r="N1859" t="s">
        <v>1354</v>
      </c>
      <c r="O1859" s="5">
        <v>537.38969999999995</v>
      </c>
    </row>
    <row r="1860" spans="1:15">
      <c r="A1860" t="s">
        <v>3209</v>
      </c>
      <c r="B1860" s="7">
        <v>45428</v>
      </c>
      <c r="C1860" t="s">
        <v>1026</v>
      </c>
      <c r="D1860" t="s">
        <v>1125</v>
      </c>
      <c r="E1860" t="s">
        <v>1298</v>
      </c>
      <c r="F1860" t="str">
        <f>[1]Raw_Customer_Dim!$A$2</f>
        <v>CUST1000</v>
      </c>
      <c r="G1860" t="str">
        <f>_xlfn.XLOOKUP(E1860,Store_Dim!A:A,Store_Dim!B:B,"Not Found")</f>
        <v>Gray Ltd</v>
      </c>
      <c r="H1860" t="str">
        <f>_xlfn.XLOOKUP(D1860,Product_Dim!A:A,Product_Dim!C:C,"Not Found")</f>
        <v>Electronics</v>
      </c>
      <c r="I1860" t="str">
        <f>_xlfn.XLOOKUP(E1860,Store_Dim!A:A,Store_Dim!C:C,"Not Found")</f>
        <v>North</v>
      </c>
      <c r="J1860" t="str">
        <f>_xlfn.XLOOKUP(C1860,Customer_Dim!A:A,Customer_Dim!B:B,"Not Found")</f>
        <v>Sheri Joyce</v>
      </c>
      <c r="K1860">
        <v>4</v>
      </c>
      <c r="L1860" s="5">
        <v>189.56</v>
      </c>
      <c r="M1860">
        <v>0</v>
      </c>
      <c r="N1860" t="s">
        <v>1354</v>
      </c>
      <c r="O1860" s="5">
        <v>758.24</v>
      </c>
    </row>
    <row r="1861" spans="1:15">
      <c r="A1861" t="s">
        <v>3210</v>
      </c>
      <c r="B1861" s="7">
        <v>45511</v>
      </c>
      <c r="C1861" t="s">
        <v>478</v>
      </c>
      <c r="D1861" t="s">
        <v>1223</v>
      </c>
      <c r="E1861" t="s">
        <v>1298</v>
      </c>
      <c r="F1861" t="str">
        <f>[1]Raw_Customer_Dim!$A$2</f>
        <v>CUST1000</v>
      </c>
      <c r="G1861" t="str">
        <f>_xlfn.XLOOKUP(E1861,Store_Dim!A:A,Store_Dim!B:B,"Not Found")</f>
        <v>Gray Ltd</v>
      </c>
      <c r="H1861" t="str">
        <f>_xlfn.XLOOKUP(D1861,Product_Dim!A:A,Product_Dim!C:C,"Not Found")</f>
        <v>Clothing</v>
      </c>
      <c r="I1861" t="str">
        <f>_xlfn.XLOOKUP(E1861,Store_Dim!A:A,Store_Dim!C:C,"Not Found")</f>
        <v>North</v>
      </c>
      <c r="J1861" t="str">
        <f>_xlfn.XLOOKUP(C1861,Customer_Dim!A:A,Customer_Dim!B:B,"Not Found")</f>
        <v>John Perez</v>
      </c>
      <c r="K1861">
        <v>1</v>
      </c>
      <c r="L1861" s="5">
        <v>805.24</v>
      </c>
      <c r="M1861">
        <v>0.04</v>
      </c>
      <c r="N1861" t="s">
        <v>1351</v>
      </c>
      <c r="O1861" s="5">
        <v>773.03039999999999</v>
      </c>
    </row>
    <row r="1862" spans="1:15">
      <c r="A1862" t="s">
        <v>3211</v>
      </c>
      <c r="B1862" s="7">
        <v>45549</v>
      </c>
      <c r="C1862" t="s">
        <v>438</v>
      </c>
      <c r="D1862" t="s">
        <v>1181</v>
      </c>
      <c r="E1862" t="s">
        <v>1332</v>
      </c>
      <c r="F1862" t="str">
        <f>[1]Raw_Customer_Dim!$A$2</f>
        <v>CUST1000</v>
      </c>
      <c r="G1862" t="str">
        <f>_xlfn.XLOOKUP(E1862,Store_Dim!A:A,Store_Dim!B:B,"Not Found")</f>
        <v>Holloway Ltd</v>
      </c>
      <c r="H1862" t="str">
        <f>_xlfn.XLOOKUP(D1862,Product_Dim!A:A,Product_Dim!C:C,"Not Found")</f>
        <v>Sports</v>
      </c>
      <c r="I1862" t="str">
        <f>_xlfn.XLOOKUP(E1862,Store_Dim!A:A,Store_Dim!C:C,"Not Found")</f>
        <v>North</v>
      </c>
      <c r="J1862" t="str">
        <f>_xlfn.XLOOKUP(C1862,Customer_Dim!A:A,Customer_Dim!B:B,"Not Found")</f>
        <v>Kimberly Brooks</v>
      </c>
      <c r="K1862">
        <v>3</v>
      </c>
      <c r="L1862" s="5">
        <v>683.74</v>
      </c>
      <c r="M1862">
        <v>0.24</v>
      </c>
      <c r="N1862" t="s">
        <v>1349</v>
      </c>
      <c r="O1862" s="5">
        <v>1558.9272000000001</v>
      </c>
    </row>
    <row r="1863" spans="1:15">
      <c r="A1863" t="s">
        <v>3212</v>
      </c>
      <c r="B1863" s="7">
        <v>45573</v>
      </c>
      <c r="C1863" t="s">
        <v>482</v>
      </c>
      <c r="D1863" t="s">
        <v>1185</v>
      </c>
      <c r="E1863" t="s">
        <v>1335</v>
      </c>
      <c r="F1863" t="str">
        <f>[1]Raw_Customer_Dim!$A$2</f>
        <v>CUST1000</v>
      </c>
      <c r="G1863" t="str">
        <f>_xlfn.XLOOKUP(E1863,Store_Dim!A:A,Store_Dim!B:B,"Not Found")</f>
        <v>Guerrero-Schmitt</v>
      </c>
      <c r="H1863" t="str">
        <f>_xlfn.XLOOKUP(D1863,Product_Dim!A:A,Product_Dim!C:C,"Not Found")</f>
        <v>Home</v>
      </c>
      <c r="I1863" t="str">
        <f>_xlfn.XLOOKUP(E1863,Store_Dim!A:A,Store_Dim!C:C,"Not Found")</f>
        <v>East</v>
      </c>
      <c r="J1863" t="str">
        <f>_xlfn.XLOOKUP(C1863,Customer_Dim!A:A,Customer_Dim!B:B,"Not Found")</f>
        <v>Antonio Jones</v>
      </c>
      <c r="K1863">
        <v>3</v>
      </c>
      <c r="L1863" s="5">
        <v>439.21</v>
      </c>
      <c r="M1863">
        <v>0.28000000000000003</v>
      </c>
      <c r="N1863" t="s">
        <v>1354</v>
      </c>
      <c r="O1863" s="5">
        <v>948.69359999999983</v>
      </c>
    </row>
    <row r="1864" spans="1:15">
      <c r="A1864" t="s">
        <v>3213</v>
      </c>
      <c r="B1864" s="7">
        <v>45904</v>
      </c>
      <c r="C1864" t="s">
        <v>298</v>
      </c>
      <c r="D1864" t="s">
        <v>1205</v>
      </c>
      <c r="E1864" t="s">
        <v>1301</v>
      </c>
      <c r="F1864" t="str">
        <f>[1]Raw_Customer_Dim!$A$2</f>
        <v>CUST1000</v>
      </c>
      <c r="G1864" t="str">
        <f>_xlfn.XLOOKUP(E1864,Store_Dim!A:A,Store_Dim!B:B,"Not Found")</f>
        <v>Benson-Elliott</v>
      </c>
      <c r="H1864" t="str">
        <f>_xlfn.XLOOKUP(D1864,Product_Dim!A:A,Product_Dim!C:C,"Not Found")</f>
        <v>Beauty</v>
      </c>
      <c r="I1864" t="str">
        <f>_xlfn.XLOOKUP(E1864,Store_Dim!A:A,Store_Dim!C:C,"Not Found")</f>
        <v>East</v>
      </c>
      <c r="J1864" t="str">
        <f>_xlfn.XLOOKUP(C1864,Customer_Dim!A:A,Customer_Dim!B:B,"Not Found")</f>
        <v>Michael Jones</v>
      </c>
      <c r="K1864">
        <v>1</v>
      </c>
      <c r="L1864" s="5">
        <v>126.92</v>
      </c>
      <c r="M1864">
        <v>0.24</v>
      </c>
      <c r="N1864" t="s">
        <v>1354</v>
      </c>
      <c r="O1864" s="5">
        <v>96.459199999999996</v>
      </c>
    </row>
    <row r="1865" spans="1:15">
      <c r="A1865" t="s">
        <v>3214</v>
      </c>
      <c r="B1865" s="7">
        <v>45489</v>
      </c>
      <c r="C1865" t="s">
        <v>23</v>
      </c>
      <c r="D1865" t="s">
        <v>1219</v>
      </c>
      <c r="E1865" t="s">
        <v>1294</v>
      </c>
      <c r="F1865" t="str">
        <f>[1]Raw_Customer_Dim!$A$2</f>
        <v>CUST1000</v>
      </c>
      <c r="G1865" t="str">
        <f>_xlfn.XLOOKUP(E1865,Store_Dim!A:A,Store_Dim!B:B,"Not Found")</f>
        <v>Alexander Group</v>
      </c>
      <c r="H1865" t="str">
        <f>_xlfn.XLOOKUP(D1865,Product_Dim!A:A,Product_Dim!C:C,"Not Found")</f>
        <v>Sports</v>
      </c>
      <c r="I1865" t="str">
        <f>_xlfn.XLOOKUP(E1865,Store_Dim!A:A,Store_Dim!C:C,"Not Found")</f>
        <v>South</v>
      </c>
      <c r="J1865" t="str">
        <f>_xlfn.XLOOKUP(C1865,Customer_Dim!A:A,Customer_Dim!B:B,"Not Found")</f>
        <v>Caroline Collins</v>
      </c>
      <c r="K1865">
        <v>4</v>
      </c>
      <c r="L1865" s="5">
        <v>834.7</v>
      </c>
      <c r="M1865">
        <v>0.14000000000000001</v>
      </c>
      <c r="N1865" t="s">
        <v>1349</v>
      </c>
      <c r="O1865" s="5">
        <v>2871.3679999999999</v>
      </c>
    </row>
    <row r="1866" spans="1:15">
      <c r="A1866" t="s">
        <v>3215</v>
      </c>
      <c r="B1866" s="7">
        <v>45909</v>
      </c>
      <c r="C1866" t="s">
        <v>746</v>
      </c>
      <c r="D1866" t="s">
        <v>1157</v>
      </c>
      <c r="E1866" t="s">
        <v>1317</v>
      </c>
      <c r="F1866" t="str">
        <f>[1]Raw_Customer_Dim!$A$2</f>
        <v>CUST1000</v>
      </c>
      <c r="G1866" t="str">
        <f>_xlfn.XLOOKUP(E1866,Store_Dim!A:A,Store_Dim!B:B,"Not Found")</f>
        <v>Aguirre-Keller</v>
      </c>
      <c r="H1866" t="str">
        <f>_xlfn.XLOOKUP(D1866,Product_Dim!A:A,Product_Dim!C:C,"Not Found")</f>
        <v>Electronics</v>
      </c>
      <c r="I1866" t="str">
        <f>_xlfn.XLOOKUP(E1866,Store_Dim!A:A,Store_Dim!C:C,"Not Found")</f>
        <v>South</v>
      </c>
      <c r="J1866" t="str">
        <f>_xlfn.XLOOKUP(C1866,Customer_Dim!A:A,Customer_Dim!B:B,"Not Found")</f>
        <v>Angela Williams</v>
      </c>
      <c r="K1866">
        <v>2</v>
      </c>
      <c r="L1866" s="5">
        <v>271.88</v>
      </c>
      <c r="M1866">
        <v>0.11</v>
      </c>
      <c r="N1866" t="s">
        <v>1354</v>
      </c>
      <c r="O1866" s="5">
        <v>483.94639999999998</v>
      </c>
    </row>
    <row r="1867" spans="1:15">
      <c r="A1867" t="s">
        <v>3216</v>
      </c>
      <c r="B1867" s="7">
        <v>45720</v>
      </c>
      <c r="C1867" t="s">
        <v>1022</v>
      </c>
      <c r="D1867" t="s">
        <v>1095</v>
      </c>
      <c r="E1867" t="s">
        <v>1282</v>
      </c>
      <c r="F1867" t="str">
        <f>[1]Raw_Customer_Dim!$A$2</f>
        <v>CUST1000</v>
      </c>
      <c r="G1867" t="str">
        <f>_xlfn.XLOOKUP(E1867,Store_Dim!A:A,Store_Dim!B:B,"Not Found")</f>
        <v>Martinez, Adkins and Johnson</v>
      </c>
      <c r="H1867" t="str">
        <f>_xlfn.XLOOKUP(D1867,Product_Dim!A:A,Product_Dim!C:C,"Not Found")</f>
        <v>Electronics</v>
      </c>
      <c r="I1867" t="str">
        <f>_xlfn.XLOOKUP(E1867,Store_Dim!A:A,Store_Dim!C:C,"Not Found")</f>
        <v>North</v>
      </c>
      <c r="J1867" t="str">
        <f>_xlfn.XLOOKUP(C1867,Customer_Dim!A:A,Customer_Dim!B:B,"Not Found")</f>
        <v>Jordan Medina</v>
      </c>
      <c r="K1867">
        <v>4</v>
      </c>
      <c r="L1867" s="5">
        <v>972.14</v>
      </c>
      <c r="M1867">
        <v>0.25</v>
      </c>
      <c r="N1867" t="s">
        <v>1349</v>
      </c>
      <c r="O1867" s="5">
        <v>2916.42</v>
      </c>
    </row>
    <row r="1868" spans="1:15">
      <c r="A1868" t="s">
        <v>3217</v>
      </c>
      <c r="B1868" s="7">
        <v>45831</v>
      </c>
      <c r="C1868" t="s">
        <v>244</v>
      </c>
      <c r="D1868" t="s">
        <v>1159</v>
      </c>
      <c r="E1868" t="s">
        <v>1294</v>
      </c>
      <c r="F1868" t="str">
        <f>[1]Raw_Customer_Dim!$A$2</f>
        <v>CUST1000</v>
      </c>
      <c r="G1868" t="str">
        <f>_xlfn.XLOOKUP(E1868,Store_Dim!A:A,Store_Dim!B:B,"Not Found")</f>
        <v>Alexander Group</v>
      </c>
      <c r="H1868" t="str">
        <f>_xlfn.XLOOKUP(D1868,Product_Dim!A:A,Product_Dim!C:C,"Not Found")</f>
        <v>Electronics</v>
      </c>
      <c r="I1868" t="str">
        <f>_xlfn.XLOOKUP(E1868,Store_Dim!A:A,Store_Dim!C:C,"Not Found")</f>
        <v>South</v>
      </c>
      <c r="J1868" t="str">
        <f>_xlfn.XLOOKUP(C1868,Customer_Dim!A:A,Customer_Dim!B:B,"Not Found")</f>
        <v>Christy Vasquez</v>
      </c>
      <c r="K1868">
        <v>3</v>
      </c>
      <c r="L1868" s="5">
        <v>523.66</v>
      </c>
      <c r="M1868">
        <v>0.27</v>
      </c>
      <c r="N1868" t="s">
        <v>1351</v>
      </c>
      <c r="O1868" s="5">
        <v>1146.8154</v>
      </c>
    </row>
    <row r="1869" spans="1:15">
      <c r="A1869" t="s">
        <v>3218</v>
      </c>
      <c r="B1869" s="7">
        <v>45602</v>
      </c>
      <c r="C1869" t="s">
        <v>357</v>
      </c>
      <c r="D1869" t="s">
        <v>1201</v>
      </c>
      <c r="E1869" t="s">
        <v>1286</v>
      </c>
      <c r="F1869" t="str">
        <f>[1]Raw_Customer_Dim!$A$2</f>
        <v>CUST1000</v>
      </c>
      <c r="G1869" t="str">
        <f>_xlfn.XLOOKUP(E1869,Store_Dim!A:A,Store_Dim!B:B,"Not Found")</f>
        <v>Black-Horn</v>
      </c>
      <c r="H1869" t="str">
        <f>_xlfn.XLOOKUP(D1869,Product_Dim!A:A,Product_Dim!C:C,"Not Found")</f>
        <v>Beauty</v>
      </c>
      <c r="I1869" t="str">
        <f>_xlfn.XLOOKUP(E1869,Store_Dim!A:A,Store_Dim!C:C,"Not Found")</f>
        <v>South</v>
      </c>
      <c r="J1869" t="str">
        <f>_xlfn.XLOOKUP(C1869,Customer_Dim!A:A,Customer_Dim!B:B,"Not Found")</f>
        <v>Theresa Campbell</v>
      </c>
      <c r="K1869">
        <v>4</v>
      </c>
      <c r="L1869" s="5">
        <v>838.99</v>
      </c>
      <c r="M1869">
        <v>0.16</v>
      </c>
      <c r="N1869" t="s">
        <v>1349</v>
      </c>
      <c r="O1869" s="5">
        <v>2819.0064000000002</v>
      </c>
    </row>
    <row r="1870" spans="1:15">
      <c r="A1870" t="s">
        <v>3219</v>
      </c>
      <c r="B1870" s="7">
        <v>45722</v>
      </c>
      <c r="C1870" t="s">
        <v>331</v>
      </c>
      <c r="D1870" t="s">
        <v>1095</v>
      </c>
      <c r="E1870" t="s">
        <v>1332</v>
      </c>
      <c r="F1870" t="str">
        <f>[1]Raw_Customer_Dim!$A$2</f>
        <v>CUST1000</v>
      </c>
      <c r="G1870" t="str">
        <f>_xlfn.XLOOKUP(E1870,Store_Dim!A:A,Store_Dim!B:B,"Not Found")</f>
        <v>Holloway Ltd</v>
      </c>
      <c r="H1870" t="str">
        <f>_xlfn.XLOOKUP(D1870,Product_Dim!A:A,Product_Dim!C:C,"Not Found")</f>
        <v>Electronics</v>
      </c>
      <c r="I1870" t="str">
        <f>_xlfn.XLOOKUP(E1870,Store_Dim!A:A,Store_Dim!C:C,"Not Found")</f>
        <v>North</v>
      </c>
      <c r="J1870" t="str">
        <f>_xlfn.XLOOKUP(C1870,Customer_Dim!A:A,Customer_Dim!B:B,"Not Found")</f>
        <v>Matthew Hanna</v>
      </c>
      <c r="K1870">
        <v>4</v>
      </c>
      <c r="L1870" s="5">
        <v>838.7</v>
      </c>
      <c r="M1870">
        <v>0.21</v>
      </c>
      <c r="N1870" t="s">
        <v>1354</v>
      </c>
      <c r="O1870" s="5">
        <v>2650.2919999999999</v>
      </c>
    </row>
    <row r="1871" spans="1:15">
      <c r="A1871" t="s">
        <v>3220</v>
      </c>
      <c r="B1871" s="7">
        <v>45794</v>
      </c>
      <c r="C1871" t="s">
        <v>903</v>
      </c>
      <c r="D1871" t="s">
        <v>1221</v>
      </c>
      <c r="E1871" t="s">
        <v>1307</v>
      </c>
      <c r="F1871" t="str">
        <f>[1]Raw_Customer_Dim!$A$2</f>
        <v>CUST1000</v>
      </c>
      <c r="G1871" t="str">
        <f>_xlfn.XLOOKUP(E1871,Store_Dim!A:A,Store_Dim!B:B,"Not Found")</f>
        <v>Bean, Jones and Park</v>
      </c>
      <c r="H1871" t="str">
        <f>_xlfn.XLOOKUP(D1871,Product_Dim!A:A,Product_Dim!C:C,"Not Found")</f>
        <v>Electronics</v>
      </c>
      <c r="I1871" t="str">
        <f>_xlfn.XLOOKUP(E1871,Store_Dim!A:A,Store_Dim!C:C,"Not Found")</f>
        <v>West</v>
      </c>
      <c r="J1871" t="str">
        <f>_xlfn.XLOOKUP(C1871,Customer_Dim!A:A,Customer_Dim!B:B,"Not Found")</f>
        <v>Dr. Tamara White MD</v>
      </c>
      <c r="K1871">
        <v>3</v>
      </c>
      <c r="L1871" s="5">
        <v>943.24</v>
      </c>
      <c r="M1871">
        <v>0.21</v>
      </c>
      <c r="N1871" t="s">
        <v>1349</v>
      </c>
      <c r="O1871" s="5">
        <v>2235.4787999999999</v>
      </c>
    </row>
    <row r="1872" spans="1:15">
      <c r="A1872" t="s">
        <v>3221</v>
      </c>
      <c r="B1872" s="7">
        <v>45659</v>
      </c>
      <c r="C1872" t="s">
        <v>662</v>
      </c>
      <c r="D1872" t="s">
        <v>1068</v>
      </c>
      <c r="E1872" t="s">
        <v>1332</v>
      </c>
      <c r="F1872" t="str">
        <f>[1]Raw_Customer_Dim!$A$2</f>
        <v>CUST1000</v>
      </c>
      <c r="G1872" t="str">
        <f>_xlfn.XLOOKUP(E1872,Store_Dim!A:A,Store_Dim!B:B,"Not Found")</f>
        <v>Holloway Ltd</v>
      </c>
      <c r="H1872" t="str">
        <f>_xlfn.XLOOKUP(D1872,Product_Dim!A:A,Product_Dim!C:C,"Not Found")</f>
        <v>Electronics</v>
      </c>
      <c r="I1872" t="str">
        <f>_xlfn.XLOOKUP(E1872,Store_Dim!A:A,Store_Dim!C:C,"Not Found")</f>
        <v>North</v>
      </c>
      <c r="J1872" t="str">
        <f>_xlfn.XLOOKUP(C1872,Customer_Dim!A:A,Customer_Dim!B:B,"Not Found")</f>
        <v>Stephanie Jacobs</v>
      </c>
      <c r="K1872">
        <v>2</v>
      </c>
      <c r="L1872" s="5">
        <v>310.33</v>
      </c>
      <c r="M1872">
        <v>0.26</v>
      </c>
      <c r="N1872" t="s">
        <v>1349</v>
      </c>
      <c r="O1872" s="5">
        <v>459.28840000000002</v>
      </c>
    </row>
    <row r="1873" spans="1:15">
      <c r="A1873" t="s">
        <v>3222</v>
      </c>
      <c r="B1873" s="7">
        <v>45501</v>
      </c>
      <c r="C1873" t="s">
        <v>756</v>
      </c>
      <c r="D1873" t="s">
        <v>1163</v>
      </c>
      <c r="E1873" t="s">
        <v>1277</v>
      </c>
      <c r="F1873" t="str">
        <f>[1]Raw_Customer_Dim!$A$2</f>
        <v>CUST1000</v>
      </c>
      <c r="G1873" t="str">
        <f>_xlfn.XLOOKUP(E1873,Store_Dim!A:A,Store_Dim!B:B,"Not Found")</f>
        <v>Rivera-Warner</v>
      </c>
      <c r="H1873" t="str">
        <f>_xlfn.XLOOKUP(D1873,Product_Dim!A:A,Product_Dim!C:C,"Not Found")</f>
        <v>Sports</v>
      </c>
      <c r="I1873" t="str">
        <f>_xlfn.XLOOKUP(E1873,Store_Dim!A:A,Store_Dim!C:C,"Not Found")</f>
        <v>East</v>
      </c>
      <c r="J1873" t="str">
        <f>_xlfn.XLOOKUP(C1873,Customer_Dim!A:A,Customer_Dim!B:B,"Not Found")</f>
        <v>John Jordan</v>
      </c>
      <c r="K1873">
        <v>3</v>
      </c>
      <c r="L1873" s="5">
        <v>201.05</v>
      </c>
      <c r="M1873">
        <v>0.23</v>
      </c>
      <c r="N1873" t="s">
        <v>1351</v>
      </c>
      <c r="O1873" s="5">
        <v>464.42550000000011</v>
      </c>
    </row>
    <row r="1874" spans="1:15">
      <c r="A1874" t="s">
        <v>3223</v>
      </c>
      <c r="B1874" s="7">
        <v>45408</v>
      </c>
      <c r="C1874" t="s">
        <v>567</v>
      </c>
      <c r="D1874" t="s">
        <v>1189</v>
      </c>
      <c r="E1874" t="s">
        <v>1332</v>
      </c>
      <c r="F1874" t="str">
        <f>[1]Raw_Customer_Dim!$A$2</f>
        <v>CUST1000</v>
      </c>
      <c r="G1874" t="str">
        <f>_xlfn.XLOOKUP(E1874,Store_Dim!A:A,Store_Dim!B:B,"Not Found")</f>
        <v>Holloway Ltd</v>
      </c>
      <c r="H1874" t="str">
        <f>_xlfn.XLOOKUP(D1874,Product_Dim!A:A,Product_Dim!C:C,"Not Found")</f>
        <v>Clothing</v>
      </c>
      <c r="I1874" t="str">
        <f>_xlfn.XLOOKUP(E1874,Store_Dim!A:A,Store_Dim!C:C,"Not Found")</f>
        <v>North</v>
      </c>
      <c r="J1874" t="str">
        <f>_xlfn.XLOOKUP(C1874,Customer_Dim!A:A,Customer_Dim!B:B,"Not Found")</f>
        <v>John Mccoy</v>
      </c>
      <c r="K1874">
        <v>1</v>
      </c>
      <c r="L1874" s="5">
        <v>803.37</v>
      </c>
      <c r="M1874">
        <v>0.3</v>
      </c>
      <c r="N1874" t="s">
        <v>1351</v>
      </c>
      <c r="O1874" s="5">
        <v>562.35899999999992</v>
      </c>
    </row>
    <row r="1875" spans="1:15">
      <c r="A1875" t="s">
        <v>3224</v>
      </c>
      <c r="B1875" s="7">
        <v>45886</v>
      </c>
      <c r="C1875" t="s">
        <v>109</v>
      </c>
      <c r="D1875" t="s">
        <v>1195</v>
      </c>
      <c r="E1875" t="s">
        <v>1326</v>
      </c>
      <c r="F1875" t="str">
        <f>[1]Raw_Customer_Dim!$A$2</f>
        <v>CUST1000</v>
      </c>
      <c r="G1875" t="str">
        <f>_xlfn.XLOOKUP(E1875,Store_Dim!A:A,Store_Dim!B:B,"Not Found")</f>
        <v>Shelton PLC</v>
      </c>
      <c r="H1875" t="str">
        <f>_xlfn.XLOOKUP(D1875,Product_Dim!A:A,Product_Dim!C:C,"Not Found")</f>
        <v>Sports</v>
      </c>
      <c r="I1875" t="str">
        <f>_xlfn.XLOOKUP(E1875,Store_Dim!A:A,Store_Dim!C:C,"Not Found")</f>
        <v>North</v>
      </c>
      <c r="J1875" t="str">
        <f>_xlfn.XLOOKUP(C1875,Customer_Dim!A:A,Customer_Dim!B:B,"Not Found")</f>
        <v>Thomas Phillips</v>
      </c>
      <c r="K1875">
        <v>3</v>
      </c>
      <c r="L1875" s="5">
        <v>259.98</v>
      </c>
      <c r="M1875">
        <v>7.0000000000000007E-2</v>
      </c>
      <c r="N1875" t="s">
        <v>1354</v>
      </c>
      <c r="O1875" s="5">
        <v>725.3442</v>
      </c>
    </row>
    <row r="1876" spans="1:15">
      <c r="A1876" t="s">
        <v>3225</v>
      </c>
      <c r="B1876" s="7">
        <v>45426</v>
      </c>
      <c r="C1876" t="s">
        <v>308</v>
      </c>
      <c r="D1876" t="s">
        <v>1074</v>
      </c>
      <c r="E1876" t="s">
        <v>1291</v>
      </c>
      <c r="F1876" t="str">
        <f>[1]Raw_Customer_Dim!$A$2</f>
        <v>CUST1000</v>
      </c>
      <c r="G1876" t="str">
        <f>_xlfn.XLOOKUP(E1876,Store_Dim!A:A,Store_Dim!B:B,"Not Found")</f>
        <v>Johnson-Wright</v>
      </c>
      <c r="H1876" t="str">
        <f>_xlfn.XLOOKUP(D1876,Product_Dim!A:A,Product_Dim!C:C,"Not Found")</f>
        <v>Clothing</v>
      </c>
      <c r="I1876" t="str">
        <f>_xlfn.XLOOKUP(E1876,Store_Dim!A:A,Store_Dim!C:C,"Not Found")</f>
        <v>North</v>
      </c>
      <c r="J1876" t="str">
        <f>_xlfn.XLOOKUP(C1876,Customer_Dim!A:A,Customer_Dim!B:B,"Not Found")</f>
        <v>Donald Lee</v>
      </c>
      <c r="K1876">
        <v>4</v>
      </c>
      <c r="L1876" s="5">
        <v>591.9</v>
      </c>
      <c r="M1876">
        <v>0.2</v>
      </c>
      <c r="N1876" t="s">
        <v>1351</v>
      </c>
      <c r="O1876" s="5">
        <v>1894.08</v>
      </c>
    </row>
    <row r="1877" spans="1:15">
      <c r="A1877" t="s">
        <v>3226</v>
      </c>
      <c r="B1877" s="7">
        <v>45730</v>
      </c>
      <c r="C1877" t="s">
        <v>96</v>
      </c>
      <c r="D1877" t="s">
        <v>1193</v>
      </c>
      <c r="E1877" t="s">
        <v>1319</v>
      </c>
      <c r="F1877" t="str">
        <f>[1]Raw_Customer_Dim!$A$2</f>
        <v>CUST1000</v>
      </c>
      <c r="G1877" t="str">
        <f>_xlfn.XLOOKUP(E1877,Store_Dim!A:A,Store_Dim!B:B,"Not Found")</f>
        <v>Thomas, Bridges and Harris</v>
      </c>
      <c r="H1877" t="str">
        <f>_xlfn.XLOOKUP(D1877,Product_Dim!A:A,Product_Dim!C:C,"Not Found")</f>
        <v>Beauty</v>
      </c>
      <c r="I1877" t="str">
        <f>_xlfn.XLOOKUP(E1877,Store_Dim!A:A,Store_Dim!C:C,"Not Found")</f>
        <v>North</v>
      </c>
      <c r="J1877" t="str">
        <f>_xlfn.XLOOKUP(C1877,Customer_Dim!A:A,Customer_Dim!B:B,"Not Found")</f>
        <v>Sarah Vance</v>
      </c>
      <c r="K1877">
        <v>2</v>
      </c>
      <c r="L1877" s="5">
        <v>396.9</v>
      </c>
      <c r="M1877">
        <v>0.18</v>
      </c>
      <c r="N1877" t="s">
        <v>1351</v>
      </c>
      <c r="O1877" s="5">
        <v>650.91600000000005</v>
      </c>
    </row>
    <row r="1878" spans="1:15">
      <c r="A1878" t="s">
        <v>3227</v>
      </c>
      <c r="B1878" s="7">
        <v>45731</v>
      </c>
      <c r="C1878" t="s">
        <v>969</v>
      </c>
      <c r="D1878" t="s">
        <v>1269</v>
      </c>
      <c r="E1878" t="s">
        <v>1286</v>
      </c>
      <c r="F1878" t="str">
        <f>[1]Raw_Customer_Dim!$A$2</f>
        <v>CUST1000</v>
      </c>
      <c r="G1878" t="str">
        <f>_xlfn.XLOOKUP(E1878,Store_Dim!A:A,Store_Dim!B:B,"Not Found")</f>
        <v>Black-Horn</v>
      </c>
      <c r="H1878" t="str">
        <f>_xlfn.XLOOKUP(D1878,Product_Dim!A:A,Product_Dim!C:C,"Not Found")</f>
        <v>Electronics</v>
      </c>
      <c r="I1878" t="str">
        <f>_xlfn.XLOOKUP(E1878,Store_Dim!A:A,Store_Dim!C:C,"Not Found")</f>
        <v>South</v>
      </c>
      <c r="J1878" t="str">
        <f>_xlfn.XLOOKUP(C1878,Customer_Dim!A:A,Customer_Dim!B:B,"Not Found")</f>
        <v>April Phillips</v>
      </c>
      <c r="K1878">
        <v>1</v>
      </c>
      <c r="L1878" s="5">
        <v>176.84</v>
      </c>
      <c r="M1878">
        <v>0.19</v>
      </c>
      <c r="N1878" t="s">
        <v>1349</v>
      </c>
      <c r="O1878" s="5">
        <v>143.24039999999999</v>
      </c>
    </row>
    <row r="1879" spans="1:15">
      <c r="A1879" t="s">
        <v>3228</v>
      </c>
      <c r="B1879" s="7">
        <v>45272</v>
      </c>
      <c r="C1879" t="s">
        <v>571</v>
      </c>
      <c r="D1879" t="s">
        <v>1125</v>
      </c>
      <c r="E1879" t="s">
        <v>1277</v>
      </c>
      <c r="F1879" t="str">
        <f>[1]Raw_Customer_Dim!$A$2</f>
        <v>CUST1000</v>
      </c>
      <c r="G1879" t="str">
        <f>_xlfn.XLOOKUP(E1879,Store_Dim!A:A,Store_Dim!B:B,"Not Found")</f>
        <v>Rivera-Warner</v>
      </c>
      <c r="H1879" t="str">
        <f>_xlfn.XLOOKUP(D1879,Product_Dim!A:A,Product_Dim!C:C,"Not Found")</f>
        <v>Electronics</v>
      </c>
      <c r="I1879" t="str">
        <f>_xlfn.XLOOKUP(E1879,Store_Dim!A:A,Store_Dim!C:C,"Not Found")</f>
        <v>East</v>
      </c>
      <c r="J1879" t="str">
        <f>_xlfn.XLOOKUP(C1879,Customer_Dim!A:A,Customer_Dim!B:B,"Not Found")</f>
        <v>Linda Kline</v>
      </c>
      <c r="K1879">
        <v>2</v>
      </c>
      <c r="L1879" s="5">
        <v>614.21</v>
      </c>
      <c r="M1879">
        <v>0.11</v>
      </c>
      <c r="N1879" t="s">
        <v>1351</v>
      </c>
      <c r="O1879" s="5">
        <v>1093.2937999999999</v>
      </c>
    </row>
    <row r="1880" spans="1:15">
      <c r="A1880" t="s">
        <v>3229</v>
      </c>
      <c r="B1880" s="7">
        <v>45584</v>
      </c>
      <c r="C1880" t="s">
        <v>275</v>
      </c>
      <c r="D1880" t="s">
        <v>1076</v>
      </c>
      <c r="E1880" t="s">
        <v>1304</v>
      </c>
      <c r="F1880" t="str">
        <f>[1]Raw_Customer_Dim!$A$2</f>
        <v>CUST1000</v>
      </c>
      <c r="G1880" t="str">
        <f>_xlfn.XLOOKUP(E1880,Store_Dim!A:A,Store_Dim!B:B,"Not Found")</f>
        <v>Martinez-Mullins</v>
      </c>
      <c r="H1880" t="str">
        <f>_xlfn.XLOOKUP(D1880,Product_Dim!A:A,Product_Dim!C:C,"Not Found")</f>
        <v>Not Found</v>
      </c>
      <c r="I1880" t="str">
        <f>_xlfn.XLOOKUP(E1880,Store_Dim!A:A,Store_Dim!C:C,"Not Found")</f>
        <v>South</v>
      </c>
      <c r="J1880" t="str">
        <f>_xlfn.XLOOKUP(C1880,Customer_Dim!A:A,Customer_Dim!B:B,"Not Found")</f>
        <v>Travis Holland</v>
      </c>
      <c r="K1880">
        <v>3</v>
      </c>
      <c r="L1880" s="5">
        <v>604.66</v>
      </c>
      <c r="M1880">
        <v>0.18</v>
      </c>
      <c r="N1880" t="s">
        <v>1354</v>
      </c>
      <c r="O1880" s="5">
        <v>1487.4636</v>
      </c>
    </row>
    <row r="1881" spans="1:15">
      <c r="A1881" t="s">
        <v>3230</v>
      </c>
      <c r="B1881" s="7">
        <v>45534</v>
      </c>
      <c r="C1881" t="s">
        <v>1057</v>
      </c>
      <c r="D1881" t="s">
        <v>1074</v>
      </c>
      <c r="E1881" t="s">
        <v>1319</v>
      </c>
      <c r="F1881" t="str">
        <f>[1]Raw_Customer_Dim!$A$2</f>
        <v>CUST1000</v>
      </c>
      <c r="G1881" t="str">
        <f>_xlfn.XLOOKUP(E1881,Store_Dim!A:A,Store_Dim!B:B,"Not Found")</f>
        <v>Thomas, Bridges and Harris</v>
      </c>
      <c r="H1881" t="str">
        <f>_xlfn.XLOOKUP(D1881,Product_Dim!A:A,Product_Dim!C:C,"Not Found")</f>
        <v>Clothing</v>
      </c>
      <c r="I1881" t="str">
        <f>_xlfn.XLOOKUP(E1881,Store_Dim!A:A,Store_Dim!C:C,"Not Found")</f>
        <v>North</v>
      </c>
      <c r="J1881" t="str">
        <f>_xlfn.XLOOKUP(C1881,Customer_Dim!A:A,Customer_Dim!B:B,"Not Found")</f>
        <v>Traci Gonzalez</v>
      </c>
      <c r="K1881">
        <v>3</v>
      </c>
      <c r="L1881" s="5">
        <v>24.29</v>
      </c>
      <c r="M1881">
        <v>0.12</v>
      </c>
      <c r="N1881" t="s">
        <v>1351</v>
      </c>
      <c r="O1881" s="5">
        <v>64.125600000000006</v>
      </c>
    </row>
    <row r="1882" spans="1:15">
      <c r="A1882" t="s">
        <v>3231</v>
      </c>
      <c r="B1882" s="7">
        <v>45482</v>
      </c>
      <c r="C1882" t="s">
        <v>302</v>
      </c>
      <c r="D1882" t="s">
        <v>1199</v>
      </c>
      <c r="E1882" t="s">
        <v>1317</v>
      </c>
      <c r="F1882" t="str">
        <f>[1]Raw_Customer_Dim!$A$2</f>
        <v>CUST1000</v>
      </c>
      <c r="G1882" t="str">
        <f>_xlfn.XLOOKUP(E1882,Store_Dim!A:A,Store_Dim!B:B,"Not Found")</f>
        <v>Aguirre-Keller</v>
      </c>
      <c r="H1882" t="str">
        <f>_xlfn.XLOOKUP(D1882,Product_Dim!A:A,Product_Dim!C:C,"Not Found")</f>
        <v>Beauty</v>
      </c>
      <c r="I1882" t="str">
        <f>_xlfn.XLOOKUP(E1882,Store_Dim!A:A,Store_Dim!C:C,"Not Found")</f>
        <v>South</v>
      </c>
      <c r="J1882" t="str">
        <f>_xlfn.XLOOKUP(C1882,Customer_Dim!A:A,Customer_Dim!B:B,"Not Found")</f>
        <v>Joel Robinson</v>
      </c>
      <c r="K1882">
        <v>1</v>
      </c>
      <c r="L1882" s="5">
        <v>503.95</v>
      </c>
      <c r="M1882">
        <v>0.24</v>
      </c>
      <c r="N1882" t="s">
        <v>1351</v>
      </c>
      <c r="O1882" s="5">
        <v>383.00200000000001</v>
      </c>
    </row>
    <row r="1883" spans="1:15">
      <c r="A1883" t="s">
        <v>3232</v>
      </c>
      <c r="B1883" s="7">
        <v>45475</v>
      </c>
      <c r="C1883" t="s">
        <v>702</v>
      </c>
      <c r="D1883" t="s">
        <v>1175</v>
      </c>
      <c r="E1883" t="s">
        <v>1324</v>
      </c>
      <c r="F1883" t="str">
        <f>[1]Raw_Customer_Dim!$A$2</f>
        <v>CUST1000</v>
      </c>
      <c r="G1883" t="str">
        <f>_xlfn.XLOOKUP(E1883,Store_Dim!A:A,Store_Dim!B:B,"Not Found")</f>
        <v>Mcdonald Inc</v>
      </c>
      <c r="H1883" t="str">
        <f>_xlfn.XLOOKUP(D1883,Product_Dim!A:A,Product_Dim!C:C,"Not Found")</f>
        <v>Electronics</v>
      </c>
      <c r="I1883" t="str">
        <f>_xlfn.XLOOKUP(E1883,Store_Dim!A:A,Store_Dim!C:C,"Not Found")</f>
        <v>South</v>
      </c>
      <c r="J1883" t="str">
        <f>_xlfn.XLOOKUP(C1883,Customer_Dim!A:A,Customer_Dim!B:B,"Not Found")</f>
        <v>Casey Simpson</v>
      </c>
      <c r="K1883">
        <v>4</v>
      </c>
      <c r="L1883" s="5">
        <v>860.78</v>
      </c>
      <c r="M1883">
        <v>0.03</v>
      </c>
      <c r="N1883" t="s">
        <v>1349</v>
      </c>
      <c r="O1883" s="5">
        <v>3339.8263999999999</v>
      </c>
    </row>
    <row r="1884" spans="1:15">
      <c r="A1884" t="s">
        <v>3233</v>
      </c>
      <c r="B1884" s="7">
        <v>45234</v>
      </c>
      <c r="C1884" t="s">
        <v>456</v>
      </c>
      <c r="D1884" t="s">
        <v>1157</v>
      </c>
      <c r="E1884" t="s">
        <v>1291</v>
      </c>
      <c r="F1884" t="str">
        <f>[1]Raw_Customer_Dim!$A$2</f>
        <v>CUST1000</v>
      </c>
      <c r="G1884" t="str">
        <f>_xlfn.XLOOKUP(E1884,Store_Dim!A:A,Store_Dim!B:B,"Not Found")</f>
        <v>Johnson-Wright</v>
      </c>
      <c r="H1884" t="str">
        <f>_xlfn.XLOOKUP(D1884,Product_Dim!A:A,Product_Dim!C:C,"Not Found")</f>
        <v>Electronics</v>
      </c>
      <c r="I1884" t="str">
        <f>_xlfn.XLOOKUP(E1884,Store_Dim!A:A,Store_Dim!C:C,"Not Found")</f>
        <v>North</v>
      </c>
      <c r="J1884" t="str">
        <f>_xlfn.XLOOKUP(C1884,Customer_Dim!A:A,Customer_Dim!B:B,"Not Found")</f>
        <v>Andrea Jacobs</v>
      </c>
      <c r="K1884">
        <v>3</v>
      </c>
      <c r="L1884" s="5">
        <v>41.97</v>
      </c>
      <c r="M1884">
        <v>0.03</v>
      </c>
      <c r="N1884" t="s">
        <v>1354</v>
      </c>
      <c r="O1884" s="5">
        <v>122.1327</v>
      </c>
    </row>
    <row r="1885" spans="1:15">
      <c r="A1885" t="s">
        <v>3234</v>
      </c>
      <c r="B1885" s="7">
        <v>45397</v>
      </c>
      <c r="C1885" t="s">
        <v>102</v>
      </c>
      <c r="D1885" t="s">
        <v>1103</v>
      </c>
      <c r="E1885" t="s">
        <v>1298</v>
      </c>
      <c r="F1885" t="str">
        <f>[1]Raw_Customer_Dim!$A$2</f>
        <v>CUST1000</v>
      </c>
      <c r="G1885" t="str">
        <f>_xlfn.XLOOKUP(E1885,Store_Dim!A:A,Store_Dim!B:B,"Not Found")</f>
        <v>Gray Ltd</v>
      </c>
      <c r="H1885" t="str">
        <f>_xlfn.XLOOKUP(D1885,Product_Dim!A:A,Product_Dim!C:C,"Not Found")</f>
        <v>Electronics</v>
      </c>
      <c r="I1885" t="str">
        <f>_xlfn.XLOOKUP(E1885,Store_Dim!A:A,Store_Dim!C:C,"Not Found")</f>
        <v>North</v>
      </c>
      <c r="J1885" t="str">
        <f>_xlfn.XLOOKUP(C1885,Customer_Dim!A:A,Customer_Dim!B:B,"Not Found")</f>
        <v>Robert Jones DDS</v>
      </c>
      <c r="K1885">
        <v>1</v>
      </c>
      <c r="L1885" s="5">
        <v>649.59</v>
      </c>
      <c r="M1885">
        <v>0.12</v>
      </c>
      <c r="N1885" t="s">
        <v>1354</v>
      </c>
      <c r="O1885" s="5">
        <v>571.63920000000007</v>
      </c>
    </row>
    <row r="1886" spans="1:15">
      <c r="A1886" t="s">
        <v>3235</v>
      </c>
      <c r="B1886" s="7">
        <v>45502</v>
      </c>
      <c r="C1886" t="s">
        <v>150</v>
      </c>
      <c r="D1886" t="s">
        <v>1199</v>
      </c>
      <c r="E1886" t="s">
        <v>1311</v>
      </c>
      <c r="F1886" t="str">
        <f>[1]Raw_Customer_Dim!$A$2</f>
        <v>CUST1000</v>
      </c>
      <c r="G1886" t="str">
        <f>_xlfn.XLOOKUP(E1886,Store_Dim!A:A,Store_Dim!B:B,"Not Found")</f>
        <v>Moore, Padilla and Butler</v>
      </c>
      <c r="H1886" t="str">
        <f>_xlfn.XLOOKUP(D1886,Product_Dim!A:A,Product_Dim!C:C,"Not Found")</f>
        <v>Beauty</v>
      </c>
      <c r="I1886" t="str">
        <f>_xlfn.XLOOKUP(E1886,Store_Dim!A:A,Store_Dim!C:C,"Not Found")</f>
        <v>South</v>
      </c>
      <c r="J1886" t="str">
        <f>_xlfn.XLOOKUP(C1886,Customer_Dim!A:A,Customer_Dim!B:B,"Not Found")</f>
        <v>Sharon Brown</v>
      </c>
      <c r="K1886">
        <v>2</v>
      </c>
      <c r="L1886" s="5">
        <v>386.09</v>
      </c>
      <c r="M1886">
        <v>0.19</v>
      </c>
      <c r="N1886" t="s">
        <v>1351</v>
      </c>
      <c r="O1886" s="5">
        <v>625.46579999999994</v>
      </c>
    </row>
    <row r="1887" spans="1:15">
      <c r="A1887" t="s">
        <v>3236</v>
      </c>
      <c r="B1887" s="7">
        <v>45644</v>
      </c>
      <c r="C1887" t="s">
        <v>256</v>
      </c>
      <c r="D1887" t="s">
        <v>1175</v>
      </c>
      <c r="E1887" t="s">
        <v>1319</v>
      </c>
      <c r="F1887" t="str">
        <f>[1]Raw_Customer_Dim!$A$2</f>
        <v>CUST1000</v>
      </c>
      <c r="G1887" t="str">
        <f>_xlfn.XLOOKUP(E1887,Store_Dim!A:A,Store_Dim!B:B,"Not Found")</f>
        <v>Thomas, Bridges and Harris</v>
      </c>
      <c r="H1887" t="str">
        <f>_xlfn.XLOOKUP(D1887,Product_Dim!A:A,Product_Dim!C:C,"Not Found")</f>
        <v>Electronics</v>
      </c>
      <c r="I1887" t="str">
        <f>_xlfn.XLOOKUP(E1887,Store_Dim!A:A,Store_Dim!C:C,"Not Found")</f>
        <v>North</v>
      </c>
      <c r="J1887" t="str">
        <f>_xlfn.XLOOKUP(C1887,Customer_Dim!A:A,Customer_Dim!B:B,"Not Found")</f>
        <v>Sheila Wilson</v>
      </c>
      <c r="K1887">
        <v>1</v>
      </c>
      <c r="L1887" s="5">
        <v>891.62</v>
      </c>
      <c r="M1887">
        <v>0.06</v>
      </c>
      <c r="N1887" t="s">
        <v>1351</v>
      </c>
      <c r="O1887" s="5">
        <v>838.12279999999998</v>
      </c>
    </row>
    <row r="1888" spans="1:15">
      <c r="A1888" t="s">
        <v>3237</v>
      </c>
      <c r="B1888" s="7">
        <v>45617</v>
      </c>
      <c r="C1888" t="s">
        <v>825</v>
      </c>
      <c r="D1888" t="s">
        <v>1201</v>
      </c>
      <c r="E1888" t="s">
        <v>1326</v>
      </c>
      <c r="F1888" t="str">
        <f>[1]Raw_Customer_Dim!$A$2</f>
        <v>CUST1000</v>
      </c>
      <c r="G1888" t="str">
        <f>_xlfn.XLOOKUP(E1888,Store_Dim!A:A,Store_Dim!B:B,"Not Found")</f>
        <v>Shelton PLC</v>
      </c>
      <c r="H1888" t="str">
        <f>_xlfn.XLOOKUP(D1888,Product_Dim!A:A,Product_Dim!C:C,"Not Found")</f>
        <v>Beauty</v>
      </c>
      <c r="I1888" t="str">
        <f>_xlfn.XLOOKUP(E1888,Store_Dim!A:A,Store_Dim!C:C,"Not Found")</f>
        <v>North</v>
      </c>
      <c r="J1888" t="str">
        <f>_xlfn.XLOOKUP(C1888,Customer_Dim!A:A,Customer_Dim!B:B,"Not Found")</f>
        <v>Erika Padilla</v>
      </c>
      <c r="K1888">
        <v>2</v>
      </c>
      <c r="L1888" s="5">
        <v>558.9</v>
      </c>
      <c r="M1888">
        <v>0.05</v>
      </c>
      <c r="N1888" t="s">
        <v>1354</v>
      </c>
      <c r="O1888" s="5">
        <v>1061.9100000000001</v>
      </c>
    </row>
    <row r="1889" spans="1:15">
      <c r="A1889" t="s">
        <v>3238</v>
      </c>
      <c r="B1889" s="7">
        <v>45797</v>
      </c>
      <c r="C1889" t="s">
        <v>768</v>
      </c>
      <c r="D1889" t="s">
        <v>1071</v>
      </c>
      <c r="E1889" t="s">
        <v>1291</v>
      </c>
      <c r="F1889" t="str">
        <f>[1]Raw_Customer_Dim!$A$2</f>
        <v>CUST1000</v>
      </c>
      <c r="G1889" t="str">
        <f>_xlfn.XLOOKUP(E1889,Store_Dim!A:A,Store_Dim!B:B,"Not Found")</f>
        <v>Johnson-Wright</v>
      </c>
      <c r="H1889" t="str">
        <f>_xlfn.XLOOKUP(D1889,Product_Dim!A:A,Product_Dim!C:C,"Not Found")</f>
        <v>Clothing</v>
      </c>
      <c r="I1889" t="str">
        <f>_xlfn.XLOOKUP(E1889,Store_Dim!A:A,Store_Dim!C:C,"Not Found")</f>
        <v>North</v>
      </c>
      <c r="J1889" t="str">
        <f>_xlfn.XLOOKUP(C1889,Customer_Dim!A:A,Customer_Dim!B:B,"Not Found")</f>
        <v>Michael Greene</v>
      </c>
      <c r="K1889">
        <v>2</v>
      </c>
      <c r="L1889" s="5">
        <v>99.04</v>
      </c>
      <c r="M1889">
        <v>0.26</v>
      </c>
      <c r="N1889" t="s">
        <v>1354</v>
      </c>
      <c r="O1889" s="5">
        <v>146.57919999999999</v>
      </c>
    </row>
    <row r="1890" spans="1:15">
      <c r="A1890" t="s">
        <v>3239</v>
      </c>
      <c r="B1890" s="7">
        <v>45740</v>
      </c>
      <c r="C1890" t="s">
        <v>646</v>
      </c>
      <c r="D1890" t="s">
        <v>1076</v>
      </c>
      <c r="E1890" t="s">
        <v>1307</v>
      </c>
      <c r="F1890" t="str">
        <f>[1]Raw_Customer_Dim!$A$2</f>
        <v>CUST1000</v>
      </c>
      <c r="G1890" t="str">
        <f>_xlfn.XLOOKUP(E1890,Store_Dim!A:A,Store_Dim!B:B,"Not Found")</f>
        <v>Bean, Jones and Park</v>
      </c>
      <c r="H1890" t="str">
        <f>_xlfn.XLOOKUP(D1890,Product_Dim!A:A,Product_Dim!C:C,"Not Found")</f>
        <v>Not Found</v>
      </c>
      <c r="I1890" t="str">
        <f>_xlfn.XLOOKUP(E1890,Store_Dim!A:A,Store_Dim!C:C,"Not Found")</f>
        <v>West</v>
      </c>
      <c r="J1890" t="str">
        <f>_xlfn.XLOOKUP(C1890,Customer_Dim!A:A,Customer_Dim!B:B,"Not Found")</f>
        <v>James Powell</v>
      </c>
      <c r="K1890">
        <v>4</v>
      </c>
      <c r="L1890" s="5">
        <v>625.13</v>
      </c>
      <c r="M1890">
        <v>0.06</v>
      </c>
      <c r="N1890" t="s">
        <v>1349</v>
      </c>
      <c r="O1890" s="5">
        <v>2350.4888000000001</v>
      </c>
    </row>
    <row r="1891" spans="1:15">
      <c r="A1891" t="s">
        <v>3240</v>
      </c>
      <c r="B1891" s="7">
        <v>45824</v>
      </c>
      <c r="C1891" t="s">
        <v>109</v>
      </c>
      <c r="D1891" t="s">
        <v>1153</v>
      </c>
      <c r="E1891" t="s">
        <v>1335</v>
      </c>
      <c r="F1891" t="str">
        <f>[1]Raw_Customer_Dim!$A$2</f>
        <v>CUST1000</v>
      </c>
      <c r="G1891" t="str">
        <f>_xlfn.XLOOKUP(E1891,Store_Dim!A:A,Store_Dim!B:B,"Not Found")</f>
        <v>Guerrero-Schmitt</v>
      </c>
      <c r="H1891" t="str">
        <f>_xlfn.XLOOKUP(D1891,Product_Dim!A:A,Product_Dim!C:C,"Not Found")</f>
        <v>Electronics</v>
      </c>
      <c r="I1891" t="str">
        <f>_xlfn.XLOOKUP(E1891,Store_Dim!A:A,Store_Dim!C:C,"Not Found")</f>
        <v>East</v>
      </c>
      <c r="J1891" t="str">
        <f>_xlfn.XLOOKUP(C1891,Customer_Dim!A:A,Customer_Dim!B:B,"Not Found")</f>
        <v>Thomas Phillips</v>
      </c>
      <c r="K1891">
        <v>4</v>
      </c>
      <c r="L1891" s="5">
        <v>38.380000000000003</v>
      </c>
      <c r="M1891">
        <v>0.16</v>
      </c>
      <c r="N1891" t="s">
        <v>1354</v>
      </c>
      <c r="O1891" s="5">
        <v>128.95679999999999</v>
      </c>
    </row>
    <row r="1892" spans="1:15">
      <c r="A1892" t="s">
        <v>3241</v>
      </c>
      <c r="B1892" s="7">
        <v>45404</v>
      </c>
      <c r="C1892" t="s">
        <v>1045</v>
      </c>
      <c r="D1892" t="s">
        <v>1261</v>
      </c>
      <c r="E1892" t="s">
        <v>1314</v>
      </c>
      <c r="F1892" t="str">
        <f>[1]Raw_Customer_Dim!$A$2</f>
        <v>CUST1000</v>
      </c>
      <c r="G1892" t="str">
        <f>_xlfn.XLOOKUP(E1892,Store_Dim!A:A,Store_Dim!B:B,"Not Found")</f>
        <v>Hill, Wagner and Ballard</v>
      </c>
      <c r="H1892" t="str">
        <f>_xlfn.XLOOKUP(D1892,Product_Dim!A:A,Product_Dim!C:C,"Not Found")</f>
        <v>Beauty</v>
      </c>
      <c r="I1892" t="str">
        <f>_xlfn.XLOOKUP(E1892,Store_Dim!A:A,Store_Dim!C:C,"Not Found")</f>
        <v>East</v>
      </c>
      <c r="J1892" t="str">
        <f>_xlfn.XLOOKUP(C1892,Customer_Dim!A:A,Customer_Dim!B:B,"Not Found")</f>
        <v>Darrell Miller</v>
      </c>
      <c r="K1892">
        <v>4</v>
      </c>
      <c r="L1892" s="5">
        <v>731.72</v>
      </c>
      <c r="M1892">
        <v>0.22</v>
      </c>
      <c r="N1892" t="s">
        <v>1354</v>
      </c>
      <c r="O1892" s="5">
        <v>2282.9663999999998</v>
      </c>
    </row>
    <row r="1893" spans="1:15">
      <c r="A1893" t="s">
        <v>3242</v>
      </c>
      <c r="B1893" s="7">
        <v>45916</v>
      </c>
      <c r="C1893" t="s">
        <v>977</v>
      </c>
      <c r="D1893" t="s">
        <v>1235</v>
      </c>
      <c r="E1893" t="s">
        <v>1338</v>
      </c>
      <c r="F1893" t="str">
        <f>[1]Raw_Customer_Dim!$A$2</f>
        <v>CUST1000</v>
      </c>
      <c r="G1893" t="str">
        <f>_xlfn.XLOOKUP(E1893,Store_Dim!A:A,Store_Dim!B:B,"Not Found")</f>
        <v>Mann-Austin</v>
      </c>
      <c r="H1893" t="str">
        <f>_xlfn.XLOOKUP(D1893,Product_Dim!A:A,Product_Dim!C:C,"Not Found")</f>
        <v>Sports</v>
      </c>
      <c r="I1893" t="str">
        <f>_xlfn.XLOOKUP(E1893,Store_Dim!A:A,Store_Dim!C:C,"Not Found")</f>
        <v>East</v>
      </c>
      <c r="J1893" t="str">
        <f>_xlfn.XLOOKUP(C1893,Customer_Dim!A:A,Customer_Dim!B:B,"Not Found")</f>
        <v>Christina Robertson</v>
      </c>
      <c r="K1893">
        <v>3</v>
      </c>
      <c r="L1893" s="5">
        <v>825.33</v>
      </c>
      <c r="M1893">
        <v>0.21</v>
      </c>
      <c r="N1893" t="s">
        <v>1349</v>
      </c>
      <c r="O1893" s="5">
        <v>1956.0320999999999</v>
      </c>
    </row>
    <row r="1894" spans="1:15">
      <c r="A1894" t="s">
        <v>3243</v>
      </c>
      <c r="B1894" s="7">
        <v>45269</v>
      </c>
      <c r="C1894" t="s">
        <v>164</v>
      </c>
      <c r="D1894" t="s">
        <v>1213</v>
      </c>
      <c r="E1894" t="s">
        <v>1324</v>
      </c>
      <c r="F1894" t="str">
        <f>[1]Raw_Customer_Dim!$A$2</f>
        <v>CUST1000</v>
      </c>
      <c r="G1894" t="str">
        <f>_xlfn.XLOOKUP(E1894,Store_Dim!A:A,Store_Dim!B:B,"Not Found")</f>
        <v>Mcdonald Inc</v>
      </c>
      <c r="H1894" t="str">
        <f>_xlfn.XLOOKUP(D1894,Product_Dim!A:A,Product_Dim!C:C,"Not Found")</f>
        <v>Home</v>
      </c>
      <c r="I1894" t="str">
        <f>_xlfn.XLOOKUP(E1894,Store_Dim!A:A,Store_Dim!C:C,"Not Found")</f>
        <v>South</v>
      </c>
      <c r="J1894" t="str">
        <f>_xlfn.XLOOKUP(C1894,Customer_Dim!A:A,Customer_Dim!B:B,"Not Found")</f>
        <v>Alyssa Vargas</v>
      </c>
      <c r="K1894">
        <v>2</v>
      </c>
      <c r="L1894" s="5">
        <v>47.3</v>
      </c>
      <c r="M1894">
        <v>0.01</v>
      </c>
      <c r="N1894" t="s">
        <v>1351</v>
      </c>
      <c r="O1894" s="5">
        <v>93.653999999999996</v>
      </c>
    </row>
    <row r="1895" spans="1:15">
      <c r="A1895" t="s">
        <v>3244</v>
      </c>
      <c r="B1895" s="7">
        <v>45493</v>
      </c>
      <c r="C1895" t="s">
        <v>403</v>
      </c>
      <c r="D1895" t="s">
        <v>1217</v>
      </c>
      <c r="E1895" t="s">
        <v>1332</v>
      </c>
      <c r="F1895" t="str">
        <f>[1]Raw_Customer_Dim!$A$2</f>
        <v>CUST1000</v>
      </c>
      <c r="G1895" t="str">
        <f>_xlfn.XLOOKUP(E1895,Store_Dim!A:A,Store_Dim!B:B,"Not Found")</f>
        <v>Holloway Ltd</v>
      </c>
      <c r="H1895" t="str">
        <f>_xlfn.XLOOKUP(D1895,Product_Dim!A:A,Product_Dim!C:C,"Not Found")</f>
        <v>Sports</v>
      </c>
      <c r="I1895" t="str">
        <f>_xlfn.XLOOKUP(E1895,Store_Dim!A:A,Store_Dim!C:C,"Not Found")</f>
        <v>North</v>
      </c>
      <c r="J1895" t="str">
        <f>_xlfn.XLOOKUP(C1895,Customer_Dim!A:A,Customer_Dim!B:B,"Not Found")</f>
        <v>Amy Wilson</v>
      </c>
      <c r="K1895">
        <v>1</v>
      </c>
      <c r="L1895" s="5">
        <v>389.12</v>
      </c>
      <c r="M1895">
        <v>0.18</v>
      </c>
      <c r="N1895" t="s">
        <v>1351</v>
      </c>
      <c r="O1895" s="5">
        <v>319.07839999999999</v>
      </c>
    </row>
    <row r="1896" spans="1:15">
      <c r="A1896" t="s">
        <v>3245</v>
      </c>
      <c r="B1896" s="7">
        <v>45558</v>
      </c>
      <c r="C1896" t="s">
        <v>979</v>
      </c>
      <c r="D1896" t="s">
        <v>1237</v>
      </c>
      <c r="E1896" t="s">
        <v>1335</v>
      </c>
      <c r="F1896" t="str">
        <f>[1]Raw_Customer_Dim!$A$2</f>
        <v>CUST1000</v>
      </c>
      <c r="G1896" t="str">
        <f>_xlfn.XLOOKUP(E1896,Store_Dim!A:A,Store_Dim!B:B,"Not Found")</f>
        <v>Guerrero-Schmitt</v>
      </c>
      <c r="H1896" t="str">
        <f>_xlfn.XLOOKUP(D1896,Product_Dim!A:A,Product_Dim!C:C,"Not Found")</f>
        <v>Sports</v>
      </c>
      <c r="I1896" t="str">
        <f>_xlfn.XLOOKUP(E1896,Store_Dim!A:A,Store_Dim!C:C,"Not Found")</f>
        <v>East</v>
      </c>
      <c r="J1896" t="str">
        <f>_xlfn.XLOOKUP(C1896,Customer_Dim!A:A,Customer_Dim!B:B,"Not Found")</f>
        <v>Kelly Garrett</v>
      </c>
      <c r="K1896">
        <v>3</v>
      </c>
      <c r="L1896" s="5">
        <v>543.83000000000004</v>
      </c>
      <c r="M1896">
        <v>0.05</v>
      </c>
      <c r="N1896" t="s">
        <v>1349</v>
      </c>
      <c r="O1896" s="5">
        <v>1549.9155000000001</v>
      </c>
    </row>
    <row r="1897" spans="1:15">
      <c r="A1897" t="s">
        <v>3246</v>
      </c>
      <c r="B1897" s="7">
        <v>45423</v>
      </c>
      <c r="C1897" t="s">
        <v>79</v>
      </c>
      <c r="D1897" t="s">
        <v>1101</v>
      </c>
      <c r="E1897" t="s">
        <v>1282</v>
      </c>
      <c r="F1897" t="str">
        <f>[1]Raw_Customer_Dim!$A$2</f>
        <v>CUST1000</v>
      </c>
      <c r="G1897" t="str">
        <f>_xlfn.XLOOKUP(E1897,Store_Dim!A:A,Store_Dim!B:B,"Not Found")</f>
        <v>Martinez, Adkins and Johnson</v>
      </c>
      <c r="H1897" t="str">
        <f>_xlfn.XLOOKUP(D1897,Product_Dim!A:A,Product_Dim!C:C,"Not Found")</f>
        <v>Home</v>
      </c>
      <c r="I1897" t="str">
        <f>_xlfn.XLOOKUP(E1897,Store_Dim!A:A,Store_Dim!C:C,"Not Found")</f>
        <v>North</v>
      </c>
      <c r="J1897" t="str">
        <f>_xlfn.XLOOKUP(C1897,Customer_Dim!A:A,Customer_Dim!B:B,"Not Found")</f>
        <v>Heather Collins</v>
      </c>
      <c r="K1897">
        <v>2</v>
      </c>
      <c r="L1897" s="5">
        <v>660.27</v>
      </c>
      <c r="M1897">
        <v>0.01</v>
      </c>
      <c r="N1897" t="s">
        <v>1351</v>
      </c>
      <c r="O1897" s="5">
        <v>1307.3345999999999</v>
      </c>
    </row>
    <row r="1898" spans="1:15">
      <c r="A1898" t="s">
        <v>3247</v>
      </c>
      <c r="B1898" s="7">
        <v>45780</v>
      </c>
      <c r="C1898" t="s">
        <v>931</v>
      </c>
      <c r="D1898" t="s">
        <v>1099</v>
      </c>
      <c r="E1898" t="s">
        <v>1307</v>
      </c>
      <c r="F1898" t="str">
        <f>[1]Raw_Customer_Dim!$A$2</f>
        <v>CUST1000</v>
      </c>
      <c r="G1898" t="str">
        <f>_xlfn.XLOOKUP(E1898,Store_Dim!A:A,Store_Dim!B:B,"Not Found")</f>
        <v>Bean, Jones and Park</v>
      </c>
      <c r="H1898" t="str">
        <f>_xlfn.XLOOKUP(D1898,Product_Dim!A:A,Product_Dim!C:C,"Not Found")</f>
        <v>Electronics</v>
      </c>
      <c r="I1898" t="str">
        <f>_xlfn.XLOOKUP(E1898,Store_Dim!A:A,Store_Dim!C:C,"Not Found")</f>
        <v>West</v>
      </c>
      <c r="J1898" t="str">
        <f>_xlfn.XLOOKUP(C1898,Customer_Dim!A:A,Customer_Dim!B:B,"Not Found")</f>
        <v>Monique Castro</v>
      </c>
      <c r="K1898">
        <v>4</v>
      </c>
      <c r="L1898" s="5">
        <v>729.31</v>
      </c>
      <c r="M1898">
        <v>0.03</v>
      </c>
      <c r="N1898" t="s">
        <v>1349</v>
      </c>
      <c r="O1898" s="5">
        <v>2829.7228</v>
      </c>
    </row>
    <row r="1899" spans="1:15">
      <c r="A1899" t="s">
        <v>3248</v>
      </c>
      <c r="B1899" s="7">
        <v>45345</v>
      </c>
      <c r="C1899" t="s">
        <v>905</v>
      </c>
      <c r="D1899" t="s">
        <v>1247</v>
      </c>
      <c r="E1899" t="s">
        <v>1301</v>
      </c>
      <c r="F1899" t="str">
        <f>[1]Raw_Customer_Dim!$A$2</f>
        <v>CUST1000</v>
      </c>
      <c r="G1899" t="str">
        <f>_xlfn.XLOOKUP(E1899,Store_Dim!A:A,Store_Dim!B:B,"Not Found")</f>
        <v>Benson-Elliott</v>
      </c>
      <c r="H1899" t="str">
        <f>_xlfn.XLOOKUP(D1899,Product_Dim!A:A,Product_Dim!C:C,"Not Found")</f>
        <v>Home</v>
      </c>
      <c r="I1899" t="str">
        <f>_xlfn.XLOOKUP(E1899,Store_Dim!A:A,Store_Dim!C:C,"Not Found")</f>
        <v>East</v>
      </c>
      <c r="J1899" t="str">
        <f>_xlfn.XLOOKUP(C1899,Customer_Dim!A:A,Customer_Dim!B:B,"Not Found")</f>
        <v>Holly Robinson</v>
      </c>
      <c r="K1899">
        <v>2</v>
      </c>
      <c r="L1899" s="5">
        <v>152.91</v>
      </c>
      <c r="M1899">
        <v>0.24</v>
      </c>
      <c r="N1899" t="s">
        <v>1351</v>
      </c>
      <c r="O1899" s="5">
        <v>232.42320000000001</v>
      </c>
    </row>
    <row r="1900" spans="1:15">
      <c r="A1900" t="s">
        <v>3249</v>
      </c>
      <c r="B1900" s="7">
        <v>45344</v>
      </c>
      <c r="C1900" t="s">
        <v>984</v>
      </c>
      <c r="D1900" t="s">
        <v>1221</v>
      </c>
      <c r="E1900" t="s">
        <v>1326</v>
      </c>
      <c r="F1900" t="str">
        <f>[1]Raw_Customer_Dim!$A$2</f>
        <v>CUST1000</v>
      </c>
      <c r="G1900" t="str">
        <f>_xlfn.XLOOKUP(E1900,Store_Dim!A:A,Store_Dim!B:B,"Not Found")</f>
        <v>Shelton PLC</v>
      </c>
      <c r="H1900" t="str">
        <f>_xlfn.XLOOKUP(D1900,Product_Dim!A:A,Product_Dim!C:C,"Not Found")</f>
        <v>Electronics</v>
      </c>
      <c r="I1900" t="str">
        <f>_xlfn.XLOOKUP(E1900,Store_Dim!A:A,Store_Dim!C:C,"Not Found")</f>
        <v>North</v>
      </c>
      <c r="J1900" t="str">
        <f>_xlfn.XLOOKUP(C1900,Customer_Dim!A:A,Customer_Dim!B:B,"Not Found")</f>
        <v>Paul Cox</v>
      </c>
      <c r="K1900">
        <v>4</v>
      </c>
      <c r="L1900" s="5">
        <v>592.14</v>
      </c>
      <c r="M1900">
        <v>0.12</v>
      </c>
      <c r="N1900" t="s">
        <v>1354</v>
      </c>
      <c r="O1900" s="5">
        <v>2084.3328000000001</v>
      </c>
    </row>
    <row r="1901" spans="1:15">
      <c r="A1901" t="s">
        <v>3250</v>
      </c>
      <c r="B1901" s="7">
        <v>45525</v>
      </c>
      <c r="C1901" t="s">
        <v>170</v>
      </c>
      <c r="D1901" t="s">
        <v>1229</v>
      </c>
      <c r="E1901" t="s">
        <v>1319</v>
      </c>
      <c r="F1901" t="str">
        <f>[1]Raw_Customer_Dim!$A$2</f>
        <v>CUST1000</v>
      </c>
      <c r="G1901" t="str">
        <f>_xlfn.XLOOKUP(E1901,Store_Dim!A:A,Store_Dim!B:B,"Not Found")</f>
        <v>Thomas, Bridges and Harris</v>
      </c>
      <c r="H1901" t="str">
        <f>_xlfn.XLOOKUP(D1901,Product_Dim!A:A,Product_Dim!C:C,"Not Found")</f>
        <v>Home</v>
      </c>
      <c r="I1901" t="str">
        <f>_xlfn.XLOOKUP(E1901,Store_Dim!A:A,Store_Dim!C:C,"Not Found")</f>
        <v>North</v>
      </c>
      <c r="J1901" t="str">
        <f>_xlfn.XLOOKUP(C1901,Customer_Dim!A:A,Customer_Dim!B:B,"Not Found")</f>
        <v>James Bean</v>
      </c>
      <c r="K1901">
        <v>1</v>
      </c>
      <c r="L1901" s="5">
        <v>984.37</v>
      </c>
      <c r="M1901">
        <v>0</v>
      </c>
      <c r="N1901" t="s">
        <v>1351</v>
      </c>
      <c r="O1901" s="5">
        <v>984.37</v>
      </c>
    </row>
    <row r="1902" spans="1:15">
      <c r="A1902" t="s">
        <v>3251</v>
      </c>
      <c r="B1902" s="7">
        <v>45329</v>
      </c>
      <c r="C1902" t="s">
        <v>648</v>
      </c>
      <c r="D1902" t="s">
        <v>1071</v>
      </c>
      <c r="E1902" t="s">
        <v>1319</v>
      </c>
      <c r="F1902" t="str">
        <f>[1]Raw_Customer_Dim!$A$2</f>
        <v>CUST1000</v>
      </c>
      <c r="G1902" t="str">
        <f>_xlfn.XLOOKUP(E1902,Store_Dim!A:A,Store_Dim!B:B,"Not Found")</f>
        <v>Thomas, Bridges and Harris</v>
      </c>
      <c r="H1902" t="str">
        <f>_xlfn.XLOOKUP(D1902,Product_Dim!A:A,Product_Dim!C:C,"Not Found")</f>
        <v>Clothing</v>
      </c>
      <c r="I1902" t="str">
        <f>_xlfn.XLOOKUP(E1902,Store_Dim!A:A,Store_Dim!C:C,"Not Found")</f>
        <v>North</v>
      </c>
      <c r="J1902" t="str">
        <f>_xlfn.XLOOKUP(C1902,Customer_Dim!A:A,Customer_Dim!B:B,"Not Found")</f>
        <v>Ricardo Jones</v>
      </c>
      <c r="K1902">
        <v>2</v>
      </c>
      <c r="L1902" s="5">
        <v>237.59</v>
      </c>
      <c r="M1902">
        <v>0.12</v>
      </c>
      <c r="N1902" t="s">
        <v>1349</v>
      </c>
      <c r="O1902" s="5">
        <v>418.15839999999997</v>
      </c>
    </row>
    <row r="1903" spans="1:15">
      <c r="A1903" t="s">
        <v>3252</v>
      </c>
      <c r="B1903" s="7">
        <v>45250</v>
      </c>
      <c r="C1903" t="s">
        <v>925</v>
      </c>
      <c r="D1903" t="s">
        <v>1123</v>
      </c>
      <c r="E1903" t="s">
        <v>1307</v>
      </c>
      <c r="F1903" t="str">
        <f>[1]Raw_Customer_Dim!$A$2</f>
        <v>CUST1000</v>
      </c>
      <c r="G1903" t="str">
        <f>_xlfn.XLOOKUP(E1903,Store_Dim!A:A,Store_Dim!B:B,"Not Found")</f>
        <v>Bean, Jones and Park</v>
      </c>
      <c r="H1903" t="str">
        <f>_xlfn.XLOOKUP(D1903,Product_Dim!A:A,Product_Dim!C:C,"Not Found")</f>
        <v>Clothing</v>
      </c>
      <c r="I1903" t="str">
        <f>_xlfn.XLOOKUP(E1903,Store_Dim!A:A,Store_Dim!C:C,"Not Found")</f>
        <v>West</v>
      </c>
      <c r="J1903" t="str">
        <f>_xlfn.XLOOKUP(C1903,Customer_Dim!A:A,Customer_Dim!B:B,"Not Found")</f>
        <v>John Smith</v>
      </c>
      <c r="K1903">
        <v>1</v>
      </c>
      <c r="L1903" s="5">
        <v>52.06</v>
      </c>
      <c r="M1903">
        <v>0.27</v>
      </c>
      <c r="N1903" t="s">
        <v>1354</v>
      </c>
      <c r="O1903" s="5">
        <v>38.003799999999998</v>
      </c>
    </row>
    <row r="1904" spans="1:15">
      <c r="A1904" t="s">
        <v>3253</v>
      </c>
      <c r="B1904" s="7">
        <v>45691</v>
      </c>
      <c r="C1904" t="s">
        <v>973</v>
      </c>
      <c r="D1904" t="s">
        <v>1076</v>
      </c>
      <c r="E1904" t="s">
        <v>1282</v>
      </c>
      <c r="F1904" t="str">
        <f>[1]Raw_Customer_Dim!$A$2</f>
        <v>CUST1000</v>
      </c>
      <c r="G1904" t="str">
        <f>_xlfn.XLOOKUP(E1904,Store_Dim!A:A,Store_Dim!B:B,"Not Found")</f>
        <v>Martinez, Adkins and Johnson</v>
      </c>
      <c r="H1904" t="str">
        <f>_xlfn.XLOOKUP(D1904,Product_Dim!A:A,Product_Dim!C:C,"Not Found")</f>
        <v>Not Found</v>
      </c>
      <c r="I1904" t="str">
        <f>_xlfn.XLOOKUP(E1904,Store_Dim!A:A,Store_Dim!C:C,"Not Found")</f>
        <v>North</v>
      </c>
      <c r="J1904" t="str">
        <f>_xlfn.XLOOKUP(C1904,Customer_Dim!A:A,Customer_Dim!B:B,"Not Found")</f>
        <v>Tyler Weber</v>
      </c>
      <c r="K1904">
        <v>2</v>
      </c>
      <c r="L1904" s="5">
        <v>594.63</v>
      </c>
      <c r="M1904">
        <v>0.12</v>
      </c>
      <c r="N1904" t="s">
        <v>1349</v>
      </c>
      <c r="O1904" s="5">
        <v>1046.5488</v>
      </c>
    </row>
    <row r="1905" spans="1:15">
      <c r="A1905" t="s">
        <v>3254</v>
      </c>
      <c r="B1905" s="7">
        <v>45644</v>
      </c>
      <c r="C1905" t="s">
        <v>395</v>
      </c>
      <c r="D1905" t="s">
        <v>1076</v>
      </c>
      <c r="E1905" t="s">
        <v>1277</v>
      </c>
      <c r="F1905" t="str">
        <f>[1]Raw_Customer_Dim!$A$2</f>
        <v>CUST1000</v>
      </c>
      <c r="G1905" t="str">
        <f>_xlfn.XLOOKUP(E1905,Store_Dim!A:A,Store_Dim!B:B,"Not Found")</f>
        <v>Rivera-Warner</v>
      </c>
      <c r="H1905" t="str">
        <f>_xlfn.XLOOKUP(D1905,Product_Dim!A:A,Product_Dim!C:C,"Not Found")</f>
        <v>Not Found</v>
      </c>
      <c r="I1905" t="str">
        <f>_xlfn.XLOOKUP(E1905,Store_Dim!A:A,Store_Dim!C:C,"Not Found")</f>
        <v>East</v>
      </c>
      <c r="J1905" t="str">
        <f>_xlfn.XLOOKUP(C1905,Customer_Dim!A:A,Customer_Dim!B:B,"Not Found")</f>
        <v>Antonio Wade</v>
      </c>
      <c r="K1905">
        <v>3</v>
      </c>
      <c r="L1905" s="5">
        <v>476.1</v>
      </c>
      <c r="M1905">
        <v>0.05</v>
      </c>
      <c r="N1905" t="s">
        <v>1354</v>
      </c>
      <c r="O1905" s="5">
        <v>1356.885</v>
      </c>
    </row>
    <row r="1906" spans="1:15">
      <c r="A1906" t="s">
        <v>3255</v>
      </c>
      <c r="B1906" s="7">
        <v>45514</v>
      </c>
      <c r="C1906" t="s">
        <v>168</v>
      </c>
      <c r="D1906" t="s">
        <v>1195</v>
      </c>
      <c r="E1906" t="s">
        <v>1301</v>
      </c>
      <c r="F1906" t="str">
        <f>[1]Raw_Customer_Dim!$A$2</f>
        <v>CUST1000</v>
      </c>
      <c r="G1906" t="str">
        <f>_xlfn.XLOOKUP(E1906,Store_Dim!A:A,Store_Dim!B:B,"Not Found")</f>
        <v>Benson-Elliott</v>
      </c>
      <c r="H1906" t="str">
        <f>_xlfn.XLOOKUP(D1906,Product_Dim!A:A,Product_Dim!C:C,"Not Found")</f>
        <v>Sports</v>
      </c>
      <c r="I1906" t="str">
        <f>_xlfn.XLOOKUP(E1906,Store_Dim!A:A,Store_Dim!C:C,"Not Found")</f>
        <v>East</v>
      </c>
      <c r="J1906" t="str">
        <f>_xlfn.XLOOKUP(C1906,Customer_Dim!A:A,Customer_Dim!B:B,"Not Found")</f>
        <v>Kristin Stein</v>
      </c>
      <c r="K1906">
        <v>1</v>
      </c>
      <c r="L1906" s="5">
        <v>546.47</v>
      </c>
      <c r="M1906">
        <v>0.08</v>
      </c>
      <c r="N1906" t="s">
        <v>1354</v>
      </c>
      <c r="O1906" s="5">
        <v>502.75240000000002</v>
      </c>
    </row>
    <row r="1907" spans="1:15">
      <c r="A1907" t="s">
        <v>3256</v>
      </c>
      <c r="B1907" s="7">
        <v>45760</v>
      </c>
      <c r="C1907" t="s">
        <v>413</v>
      </c>
      <c r="D1907" t="s">
        <v>1223</v>
      </c>
      <c r="E1907" t="s">
        <v>1319</v>
      </c>
      <c r="F1907" t="str">
        <f>[1]Raw_Customer_Dim!$A$2</f>
        <v>CUST1000</v>
      </c>
      <c r="G1907" t="str">
        <f>_xlfn.XLOOKUP(E1907,Store_Dim!A:A,Store_Dim!B:B,"Not Found")</f>
        <v>Thomas, Bridges and Harris</v>
      </c>
      <c r="H1907" t="str">
        <f>_xlfn.XLOOKUP(D1907,Product_Dim!A:A,Product_Dim!C:C,"Not Found")</f>
        <v>Clothing</v>
      </c>
      <c r="I1907" t="str">
        <f>_xlfn.XLOOKUP(E1907,Store_Dim!A:A,Store_Dim!C:C,"Not Found")</f>
        <v>North</v>
      </c>
      <c r="J1907" t="str">
        <f>_xlfn.XLOOKUP(C1907,Customer_Dim!A:A,Customer_Dim!B:B,"Not Found")</f>
        <v>John Bradford</v>
      </c>
      <c r="K1907">
        <v>1</v>
      </c>
      <c r="L1907" s="5">
        <v>979.49</v>
      </c>
      <c r="M1907">
        <v>0.19</v>
      </c>
      <c r="N1907" t="s">
        <v>1354</v>
      </c>
      <c r="O1907" s="5">
        <v>793.38690000000008</v>
      </c>
    </row>
    <row r="1908" spans="1:15">
      <c r="A1908" t="s">
        <v>3257</v>
      </c>
      <c r="B1908" s="7">
        <v>45289</v>
      </c>
      <c r="C1908" t="s">
        <v>448</v>
      </c>
      <c r="D1908" t="s">
        <v>1107</v>
      </c>
      <c r="E1908" t="s">
        <v>1286</v>
      </c>
      <c r="F1908" t="str">
        <f>[1]Raw_Customer_Dim!$A$2</f>
        <v>CUST1000</v>
      </c>
      <c r="G1908" t="str">
        <f>_xlfn.XLOOKUP(E1908,Store_Dim!A:A,Store_Dim!B:B,"Not Found")</f>
        <v>Black-Horn</v>
      </c>
      <c r="H1908" t="str">
        <f>_xlfn.XLOOKUP(D1908,Product_Dim!A:A,Product_Dim!C:C,"Not Found")</f>
        <v>Sports</v>
      </c>
      <c r="I1908" t="str">
        <f>_xlfn.XLOOKUP(E1908,Store_Dim!A:A,Store_Dim!C:C,"Not Found")</f>
        <v>South</v>
      </c>
      <c r="J1908" t="str">
        <f>_xlfn.XLOOKUP(C1908,Customer_Dim!A:A,Customer_Dim!B:B,"Not Found")</f>
        <v>David Roberts</v>
      </c>
      <c r="K1908">
        <v>3</v>
      </c>
      <c r="L1908" s="5">
        <v>988.53</v>
      </c>
      <c r="M1908">
        <v>0.3</v>
      </c>
      <c r="N1908" t="s">
        <v>1354</v>
      </c>
      <c r="O1908" s="5">
        <v>2075.913</v>
      </c>
    </row>
    <row r="1909" spans="1:15">
      <c r="A1909" t="s">
        <v>3258</v>
      </c>
      <c r="B1909" s="7">
        <v>45704</v>
      </c>
      <c r="C1909" t="s">
        <v>573</v>
      </c>
      <c r="D1909" t="s">
        <v>1225</v>
      </c>
      <c r="E1909" t="s">
        <v>1291</v>
      </c>
      <c r="F1909" t="str">
        <f>[1]Raw_Customer_Dim!$A$2</f>
        <v>CUST1000</v>
      </c>
      <c r="G1909" t="str">
        <f>_xlfn.XLOOKUP(E1909,Store_Dim!A:A,Store_Dim!B:B,"Not Found")</f>
        <v>Johnson-Wright</v>
      </c>
      <c r="H1909" t="str">
        <f>_xlfn.XLOOKUP(D1909,Product_Dim!A:A,Product_Dim!C:C,"Not Found")</f>
        <v>Electronics</v>
      </c>
      <c r="I1909" t="str">
        <f>_xlfn.XLOOKUP(E1909,Store_Dim!A:A,Store_Dim!C:C,"Not Found")</f>
        <v>North</v>
      </c>
      <c r="J1909" t="str">
        <f>_xlfn.XLOOKUP(C1909,Customer_Dim!A:A,Customer_Dim!B:B,"Not Found")</f>
        <v>Damon Perez</v>
      </c>
      <c r="K1909">
        <v>4</v>
      </c>
      <c r="L1909" s="5">
        <v>849.29</v>
      </c>
      <c r="M1909">
        <v>0.26</v>
      </c>
      <c r="N1909" t="s">
        <v>1349</v>
      </c>
      <c r="O1909" s="5">
        <v>2513.8984</v>
      </c>
    </row>
    <row r="1910" spans="1:15">
      <c r="A1910" t="s">
        <v>3259</v>
      </c>
      <c r="B1910" s="7">
        <v>45318</v>
      </c>
      <c r="C1910" t="s">
        <v>750</v>
      </c>
      <c r="D1910" t="s">
        <v>1263</v>
      </c>
      <c r="E1910" t="s">
        <v>1324</v>
      </c>
      <c r="F1910" t="str">
        <f>[1]Raw_Customer_Dim!$A$2</f>
        <v>CUST1000</v>
      </c>
      <c r="G1910" t="str">
        <f>_xlfn.XLOOKUP(E1910,Store_Dim!A:A,Store_Dim!B:B,"Not Found")</f>
        <v>Mcdonald Inc</v>
      </c>
      <c r="H1910" t="str">
        <f>_xlfn.XLOOKUP(D1910,Product_Dim!A:A,Product_Dim!C:C,"Not Found")</f>
        <v>Sports</v>
      </c>
      <c r="I1910" t="str">
        <f>_xlfn.XLOOKUP(E1910,Store_Dim!A:A,Store_Dim!C:C,"Not Found")</f>
        <v>South</v>
      </c>
      <c r="J1910" t="str">
        <f>_xlfn.XLOOKUP(C1910,Customer_Dim!A:A,Customer_Dim!B:B,"Not Found")</f>
        <v>Ryan Moore</v>
      </c>
      <c r="K1910">
        <v>2</v>
      </c>
      <c r="L1910" s="5">
        <v>452.29</v>
      </c>
      <c r="M1910">
        <v>0.01</v>
      </c>
      <c r="N1910" t="s">
        <v>1354</v>
      </c>
      <c r="O1910" s="5">
        <v>895.53420000000006</v>
      </c>
    </row>
    <row r="1911" spans="1:15">
      <c r="A1911" t="s">
        <v>3260</v>
      </c>
      <c r="B1911" s="7">
        <v>45495</v>
      </c>
      <c r="C1911" t="s">
        <v>953</v>
      </c>
      <c r="D1911" t="s">
        <v>1181</v>
      </c>
      <c r="E1911" t="s">
        <v>1335</v>
      </c>
      <c r="F1911" t="str">
        <f>[1]Raw_Customer_Dim!$A$2</f>
        <v>CUST1000</v>
      </c>
      <c r="G1911" t="str">
        <f>_xlfn.XLOOKUP(E1911,Store_Dim!A:A,Store_Dim!B:B,"Not Found")</f>
        <v>Guerrero-Schmitt</v>
      </c>
      <c r="H1911" t="str">
        <f>_xlfn.XLOOKUP(D1911,Product_Dim!A:A,Product_Dim!C:C,"Not Found")</f>
        <v>Sports</v>
      </c>
      <c r="I1911" t="str">
        <f>_xlfn.XLOOKUP(E1911,Store_Dim!A:A,Store_Dim!C:C,"Not Found")</f>
        <v>East</v>
      </c>
      <c r="J1911" t="str">
        <f>_xlfn.XLOOKUP(C1911,Customer_Dim!A:A,Customer_Dim!B:B,"Not Found")</f>
        <v>Gene Lee</v>
      </c>
      <c r="K1911">
        <v>2</v>
      </c>
      <c r="L1911" s="5">
        <v>810.81</v>
      </c>
      <c r="M1911">
        <v>0.11</v>
      </c>
      <c r="N1911" t="s">
        <v>1354</v>
      </c>
      <c r="O1911" s="5">
        <v>1443.2418</v>
      </c>
    </row>
    <row r="1912" spans="1:15">
      <c r="A1912" t="s">
        <v>3261</v>
      </c>
      <c r="B1912" s="7">
        <v>45560</v>
      </c>
      <c r="C1912" t="s">
        <v>96</v>
      </c>
      <c r="D1912" t="s">
        <v>1195</v>
      </c>
      <c r="E1912" t="s">
        <v>1307</v>
      </c>
      <c r="F1912" t="str">
        <f>[1]Raw_Customer_Dim!$A$2</f>
        <v>CUST1000</v>
      </c>
      <c r="G1912" t="str">
        <f>_xlfn.XLOOKUP(E1912,Store_Dim!A:A,Store_Dim!B:B,"Not Found")</f>
        <v>Bean, Jones and Park</v>
      </c>
      <c r="H1912" t="str">
        <f>_xlfn.XLOOKUP(D1912,Product_Dim!A:A,Product_Dim!C:C,"Not Found")</f>
        <v>Sports</v>
      </c>
      <c r="I1912" t="str">
        <f>_xlfn.XLOOKUP(E1912,Store_Dim!A:A,Store_Dim!C:C,"Not Found")</f>
        <v>West</v>
      </c>
      <c r="J1912" t="str">
        <f>_xlfn.XLOOKUP(C1912,Customer_Dim!A:A,Customer_Dim!B:B,"Not Found")</f>
        <v>Sarah Vance</v>
      </c>
      <c r="K1912">
        <v>1</v>
      </c>
      <c r="L1912" s="5">
        <v>846.67</v>
      </c>
      <c r="M1912">
        <v>0.1</v>
      </c>
      <c r="N1912" t="s">
        <v>1354</v>
      </c>
      <c r="O1912" s="5">
        <v>762.00299999999993</v>
      </c>
    </row>
    <row r="1913" spans="1:15">
      <c r="A1913" t="s">
        <v>3262</v>
      </c>
      <c r="B1913" s="7">
        <v>45367</v>
      </c>
      <c r="C1913" t="s">
        <v>61</v>
      </c>
      <c r="D1913" t="s">
        <v>1121</v>
      </c>
      <c r="E1913" t="s">
        <v>1301</v>
      </c>
      <c r="F1913" t="str">
        <f>[1]Raw_Customer_Dim!$A$2</f>
        <v>CUST1000</v>
      </c>
      <c r="G1913" t="str">
        <f>_xlfn.XLOOKUP(E1913,Store_Dim!A:A,Store_Dim!B:B,"Not Found")</f>
        <v>Benson-Elliott</v>
      </c>
      <c r="H1913" t="str">
        <f>_xlfn.XLOOKUP(D1913,Product_Dim!A:A,Product_Dim!C:C,"Not Found")</f>
        <v>Sports</v>
      </c>
      <c r="I1913" t="str">
        <f>_xlfn.XLOOKUP(E1913,Store_Dim!A:A,Store_Dim!C:C,"Not Found")</f>
        <v>East</v>
      </c>
      <c r="J1913" t="str">
        <f>_xlfn.XLOOKUP(C1913,Customer_Dim!A:A,Customer_Dim!B:B,"Not Found")</f>
        <v>Adam Cruz</v>
      </c>
      <c r="K1913">
        <v>4</v>
      </c>
      <c r="L1913" s="5">
        <v>73.55</v>
      </c>
      <c r="M1913">
        <v>0.24</v>
      </c>
      <c r="N1913" t="s">
        <v>1354</v>
      </c>
      <c r="O1913" s="5">
        <v>223.59200000000001</v>
      </c>
    </row>
    <row r="1914" spans="1:15">
      <c r="A1914" t="s">
        <v>3263</v>
      </c>
      <c r="B1914" s="7">
        <v>45861</v>
      </c>
      <c r="C1914" t="s">
        <v>620</v>
      </c>
      <c r="D1914" t="s">
        <v>1257</v>
      </c>
      <c r="E1914" t="s">
        <v>1301</v>
      </c>
      <c r="F1914" t="str">
        <f>[1]Raw_Customer_Dim!$A$2</f>
        <v>CUST1000</v>
      </c>
      <c r="G1914" t="str">
        <f>_xlfn.XLOOKUP(E1914,Store_Dim!A:A,Store_Dim!B:B,"Not Found")</f>
        <v>Benson-Elliott</v>
      </c>
      <c r="H1914" t="str">
        <f>_xlfn.XLOOKUP(D1914,Product_Dim!A:A,Product_Dim!C:C,"Not Found")</f>
        <v>Home</v>
      </c>
      <c r="I1914" t="str">
        <f>_xlfn.XLOOKUP(E1914,Store_Dim!A:A,Store_Dim!C:C,"Not Found")</f>
        <v>East</v>
      </c>
      <c r="J1914" t="str">
        <f>_xlfn.XLOOKUP(C1914,Customer_Dim!A:A,Customer_Dim!B:B,"Not Found")</f>
        <v>Stephen Fowler</v>
      </c>
      <c r="K1914">
        <v>1</v>
      </c>
      <c r="L1914" s="5">
        <v>882.03</v>
      </c>
      <c r="M1914">
        <v>0.04</v>
      </c>
      <c r="N1914" t="s">
        <v>1354</v>
      </c>
      <c r="O1914" s="5">
        <v>846.74879999999996</v>
      </c>
    </row>
    <row r="1915" spans="1:15">
      <c r="A1915" t="s">
        <v>3264</v>
      </c>
      <c r="B1915" s="7">
        <v>45589</v>
      </c>
      <c r="C1915" t="s">
        <v>36</v>
      </c>
      <c r="D1915" t="s">
        <v>1117</v>
      </c>
      <c r="E1915" t="s">
        <v>1324</v>
      </c>
      <c r="F1915" t="str">
        <f>[1]Raw_Customer_Dim!$A$2</f>
        <v>CUST1000</v>
      </c>
      <c r="G1915" t="str">
        <f>_xlfn.XLOOKUP(E1915,Store_Dim!A:A,Store_Dim!B:B,"Not Found")</f>
        <v>Mcdonald Inc</v>
      </c>
      <c r="H1915" t="str">
        <f>_xlfn.XLOOKUP(D1915,Product_Dim!A:A,Product_Dim!C:C,"Not Found")</f>
        <v>Sports</v>
      </c>
      <c r="I1915" t="str">
        <f>_xlfn.XLOOKUP(E1915,Store_Dim!A:A,Store_Dim!C:C,"Not Found")</f>
        <v>South</v>
      </c>
      <c r="J1915" t="str">
        <f>_xlfn.XLOOKUP(C1915,Customer_Dim!A:A,Customer_Dim!B:B,"Not Found")</f>
        <v>Melissa Howard</v>
      </c>
      <c r="K1915">
        <v>1</v>
      </c>
      <c r="L1915" s="5">
        <v>958.44</v>
      </c>
      <c r="M1915">
        <v>0.21</v>
      </c>
      <c r="N1915" t="s">
        <v>1349</v>
      </c>
      <c r="O1915" s="5">
        <v>757.16760000000011</v>
      </c>
    </row>
    <row r="1916" spans="1:15">
      <c r="A1916" t="s">
        <v>3265</v>
      </c>
      <c r="B1916" s="7">
        <v>45560</v>
      </c>
      <c r="C1916" t="s">
        <v>36</v>
      </c>
      <c r="D1916" t="s">
        <v>1271</v>
      </c>
      <c r="E1916" t="s">
        <v>1286</v>
      </c>
      <c r="F1916" t="str">
        <f>[1]Raw_Customer_Dim!$A$2</f>
        <v>CUST1000</v>
      </c>
      <c r="G1916" t="str">
        <f>_xlfn.XLOOKUP(E1916,Store_Dim!A:A,Store_Dim!B:B,"Not Found")</f>
        <v>Black-Horn</v>
      </c>
      <c r="H1916" t="str">
        <f>_xlfn.XLOOKUP(D1916,Product_Dim!A:A,Product_Dim!C:C,"Not Found")</f>
        <v>Home</v>
      </c>
      <c r="I1916" t="str">
        <f>_xlfn.XLOOKUP(E1916,Store_Dim!A:A,Store_Dim!C:C,"Not Found")</f>
        <v>South</v>
      </c>
      <c r="J1916" t="str">
        <f>_xlfn.XLOOKUP(C1916,Customer_Dim!A:A,Customer_Dim!B:B,"Not Found")</f>
        <v>Melissa Howard</v>
      </c>
      <c r="K1916">
        <v>1</v>
      </c>
      <c r="L1916" s="5">
        <v>716.29</v>
      </c>
      <c r="M1916">
        <v>0.01</v>
      </c>
      <c r="N1916" t="s">
        <v>1351</v>
      </c>
      <c r="O1916" s="5">
        <v>709.12709999999993</v>
      </c>
    </row>
    <row r="1917" spans="1:15">
      <c r="A1917" t="s">
        <v>3266</v>
      </c>
      <c r="B1917" s="7">
        <v>45408</v>
      </c>
      <c r="C1917" t="s">
        <v>710</v>
      </c>
      <c r="D1917" t="s">
        <v>1090</v>
      </c>
      <c r="E1917" t="s">
        <v>1329</v>
      </c>
      <c r="F1917" t="str">
        <f>[1]Raw_Customer_Dim!$A$2</f>
        <v>CUST1000</v>
      </c>
      <c r="G1917" t="str">
        <f>_xlfn.XLOOKUP(E1917,Store_Dim!A:A,Store_Dim!B:B,"Not Found")</f>
        <v>Frederick-Wright</v>
      </c>
      <c r="H1917" t="str">
        <f>_xlfn.XLOOKUP(D1917,Product_Dim!A:A,Product_Dim!C:C,"Not Found")</f>
        <v>Sports</v>
      </c>
      <c r="I1917" t="str">
        <f>_xlfn.XLOOKUP(E1917,Store_Dim!A:A,Store_Dim!C:C,"Not Found")</f>
        <v>West</v>
      </c>
      <c r="J1917" t="str">
        <f>_xlfn.XLOOKUP(C1917,Customer_Dim!A:A,Customer_Dim!B:B,"Not Found")</f>
        <v>Kristy Dunlap</v>
      </c>
      <c r="K1917">
        <v>2</v>
      </c>
      <c r="L1917" s="5">
        <v>409.14</v>
      </c>
      <c r="M1917">
        <v>0.01</v>
      </c>
      <c r="N1917" t="s">
        <v>1351</v>
      </c>
      <c r="O1917" s="5">
        <v>810.09719999999993</v>
      </c>
    </row>
    <row r="1918" spans="1:15">
      <c r="A1918" t="s">
        <v>3267</v>
      </c>
      <c r="B1918" s="7">
        <v>45714</v>
      </c>
      <c r="C1918" t="s">
        <v>222</v>
      </c>
      <c r="D1918" t="s">
        <v>1271</v>
      </c>
      <c r="E1918" t="s">
        <v>1311</v>
      </c>
      <c r="F1918" t="str">
        <f>[1]Raw_Customer_Dim!$A$2</f>
        <v>CUST1000</v>
      </c>
      <c r="G1918" t="str">
        <f>_xlfn.XLOOKUP(E1918,Store_Dim!A:A,Store_Dim!B:B,"Not Found")</f>
        <v>Moore, Padilla and Butler</v>
      </c>
      <c r="H1918" t="str">
        <f>_xlfn.XLOOKUP(D1918,Product_Dim!A:A,Product_Dim!C:C,"Not Found")</f>
        <v>Home</v>
      </c>
      <c r="I1918" t="str">
        <f>_xlfn.XLOOKUP(E1918,Store_Dim!A:A,Store_Dim!C:C,"Not Found")</f>
        <v>South</v>
      </c>
      <c r="J1918" t="str">
        <f>_xlfn.XLOOKUP(C1918,Customer_Dim!A:A,Customer_Dim!B:B,"Not Found")</f>
        <v>Christy Hoffman</v>
      </c>
      <c r="K1918">
        <v>4</v>
      </c>
      <c r="L1918" s="5">
        <v>261.73</v>
      </c>
      <c r="M1918">
        <v>0.1</v>
      </c>
      <c r="N1918" t="s">
        <v>1351</v>
      </c>
      <c r="O1918" s="5">
        <v>942.22800000000007</v>
      </c>
    </row>
    <row r="1919" spans="1:15">
      <c r="A1919" t="s">
        <v>3268</v>
      </c>
      <c r="B1919" s="7">
        <v>45661</v>
      </c>
      <c r="C1919" t="s">
        <v>994</v>
      </c>
      <c r="D1919" t="s">
        <v>1097</v>
      </c>
      <c r="E1919" t="s">
        <v>1277</v>
      </c>
      <c r="F1919" t="str">
        <f>[1]Raw_Customer_Dim!$A$2</f>
        <v>CUST1000</v>
      </c>
      <c r="G1919" t="str">
        <f>_xlfn.XLOOKUP(E1919,Store_Dim!A:A,Store_Dim!B:B,"Not Found")</f>
        <v>Rivera-Warner</v>
      </c>
      <c r="H1919" t="str">
        <f>_xlfn.XLOOKUP(D1919,Product_Dim!A:A,Product_Dim!C:C,"Not Found")</f>
        <v>Beauty</v>
      </c>
      <c r="I1919" t="str">
        <f>_xlfn.XLOOKUP(E1919,Store_Dim!A:A,Store_Dim!C:C,"Not Found")</f>
        <v>East</v>
      </c>
      <c r="J1919" t="str">
        <f>_xlfn.XLOOKUP(C1919,Customer_Dim!A:A,Customer_Dim!B:B,"Not Found")</f>
        <v>Cynthia Parrish</v>
      </c>
      <c r="K1919">
        <v>2</v>
      </c>
      <c r="L1919" s="5">
        <v>687.35</v>
      </c>
      <c r="M1919">
        <v>0.2</v>
      </c>
      <c r="N1919" t="s">
        <v>1354</v>
      </c>
      <c r="O1919" s="5">
        <v>1099.76</v>
      </c>
    </row>
    <row r="1920" spans="1:15">
      <c r="A1920" t="s">
        <v>3269</v>
      </c>
      <c r="B1920" s="7">
        <v>45921</v>
      </c>
      <c r="C1920" t="s">
        <v>476</v>
      </c>
      <c r="D1920" t="s">
        <v>1241</v>
      </c>
      <c r="E1920" t="s">
        <v>1307</v>
      </c>
      <c r="F1920" t="str">
        <f>[1]Raw_Customer_Dim!$A$2</f>
        <v>CUST1000</v>
      </c>
      <c r="G1920" t="str">
        <f>_xlfn.XLOOKUP(E1920,Store_Dim!A:A,Store_Dim!B:B,"Not Found")</f>
        <v>Bean, Jones and Park</v>
      </c>
      <c r="H1920" t="str">
        <f>_xlfn.XLOOKUP(D1920,Product_Dim!A:A,Product_Dim!C:C,"Not Found")</f>
        <v>Home</v>
      </c>
      <c r="I1920" t="str">
        <f>_xlfn.XLOOKUP(E1920,Store_Dim!A:A,Store_Dim!C:C,"Not Found")</f>
        <v>West</v>
      </c>
      <c r="J1920" t="str">
        <f>_xlfn.XLOOKUP(C1920,Customer_Dim!A:A,Customer_Dim!B:B,"Not Found")</f>
        <v>Jacqueline Pacheco</v>
      </c>
      <c r="K1920">
        <v>2</v>
      </c>
      <c r="L1920" s="5">
        <v>30.14</v>
      </c>
      <c r="M1920">
        <v>0.21</v>
      </c>
      <c r="N1920" t="s">
        <v>1349</v>
      </c>
      <c r="O1920" s="5">
        <v>47.621200000000002</v>
      </c>
    </row>
    <row r="1921" spans="1:15">
      <c r="A1921" t="s">
        <v>3270</v>
      </c>
      <c r="B1921" s="7">
        <v>45651</v>
      </c>
      <c r="C1921" t="s">
        <v>256</v>
      </c>
      <c r="D1921" t="s">
        <v>1141</v>
      </c>
      <c r="E1921" t="s">
        <v>1307</v>
      </c>
      <c r="F1921" t="str">
        <f>[1]Raw_Customer_Dim!$A$2</f>
        <v>CUST1000</v>
      </c>
      <c r="G1921" t="str">
        <f>_xlfn.XLOOKUP(E1921,Store_Dim!A:A,Store_Dim!B:B,"Not Found")</f>
        <v>Bean, Jones and Park</v>
      </c>
      <c r="H1921" t="str">
        <f>_xlfn.XLOOKUP(D1921,Product_Dim!A:A,Product_Dim!C:C,"Not Found")</f>
        <v>Electronics</v>
      </c>
      <c r="I1921" t="str">
        <f>_xlfn.XLOOKUP(E1921,Store_Dim!A:A,Store_Dim!C:C,"Not Found")</f>
        <v>West</v>
      </c>
      <c r="J1921" t="str">
        <f>_xlfn.XLOOKUP(C1921,Customer_Dim!A:A,Customer_Dim!B:B,"Not Found")</f>
        <v>Sheila Wilson</v>
      </c>
      <c r="K1921">
        <v>3</v>
      </c>
      <c r="L1921" s="5">
        <v>570.12</v>
      </c>
      <c r="M1921">
        <v>0.12</v>
      </c>
      <c r="N1921" t="s">
        <v>1351</v>
      </c>
      <c r="O1921" s="5">
        <v>1505.1168</v>
      </c>
    </row>
    <row r="1922" spans="1:15">
      <c r="A1922" t="s">
        <v>3271</v>
      </c>
      <c r="B1922" s="7">
        <v>45883</v>
      </c>
      <c r="C1922" t="s">
        <v>626</v>
      </c>
      <c r="D1922" t="s">
        <v>1227</v>
      </c>
      <c r="E1922" t="s">
        <v>1338</v>
      </c>
      <c r="F1922" t="str">
        <f>[1]Raw_Customer_Dim!$A$2</f>
        <v>CUST1000</v>
      </c>
      <c r="G1922" t="str">
        <f>_xlfn.XLOOKUP(E1922,Store_Dim!A:A,Store_Dim!B:B,"Not Found")</f>
        <v>Mann-Austin</v>
      </c>
      <c r="H1922" t="str">
        <f>_xlfn.XLOOKUP(D1922,Product_Dim!A:A,Product_Dim!C:C,"Not Found")</f>
        <v>Electronics</v>
      </c>
      <c r="I1922" t="str">
        <f>_xlfn.XLOOKUP(E1922,Store_Dim!A:A,Store_Dim!C:C,"Not Found")</f>
        <v>East</v>
      </c>
      <c r="J1922" t="str">
        <f>_xlfn.XLOOKUP(C1922,Customer_Dim!A:A,Customer_Dim!B:B,"Not Found")</f>
        <v>Brittany Watson</v>
      </c>
      <c r="K1922">
        <v>3</v>
      </c>
      <c r="L1922" s="5">
        <v>401.87</v>
      </c>
      <c r="M1922">
        <v>0.28999999999999998</v>
      </c>
      <c r="N1922" t="s">
        <v>1354</v>
      </c>
      <c r="O1922" s="5">
        <v>855.98310000000004</v>
      </c>
    </row>
    <row r="1923" spans="1:15">
      <c r="A1923" t="s">
        <v>3272</v>
      </c>
      <c r="B1923" s="7">
        <v>45624</v>
      </c>
      <c r="C1923" t="s">
        <v>1053</v>
      </c>
      <c r="D1923" t="s">
        <v>1231</v>
      </c>
      <c r="E1923" t="s">
        <v>1319</v>
      </c>
      <c r="F1923" t="str">
        <f>[1]Raw_Customer_Dim!$A$2</f>
        <v>CUST1000</v>
      </c>
      <c r="G1923" t="str">
        <f>_xlfn.XLOOKUP(E1923,Store_Dim!A:A,Store_Dim!B:B,"Not Found")</f>
        <v>Thomas, Bridges and Harris</v>
      </c>
      <c r="H1923" t="str">
        <f>_xlfn.XLOOKUP(D1923,Product_Dim!A:A,Product_Dim!C:C,"Not Found")</f>
        <v>Home</v>
      </c>
      <c r="I1923" t="str">
        <f>_xlfn.XLOOKUP(E1923,Store_Dim!A:A,Store_Dim!C:C,"Not Found")</f>
        <v>North</v>
      </c>
      <c r="J1923" t="str">
        <f>_xlfn.XLOOKUP(C1923,Customer_Dim!A:A,Customer_Dim!B:B,"Not Found")</f>
        <v>Christopher Ford</v>
      </c>
      <c r="K1923">
        <v>4</v>
      </c>
      <c r="L1923" s="5">
        <v>619.35</v>
      </c>
      <c r="M1923">
        <v>0.3</v>
      </c>
      <c r="N1923" t="s">
        <v>1349</v>
      </c>
      <c r="O1923" s="5">
        <v>1734.18</v>
      </c>
    </row>
    <row r="1924" spans="1:15">
      <c r="A1924" t="s">
        <v>3273</v>
      </c>
      <c r="B1924" s="7">
        <v>45276</v>
      </c>
      <c r="C1924" t="s">
        <v>557</v>
      </c>
      <c r="D1924" t="s">
        <v>1165</v>
      </c>
      <c r="E1924" t="s">
        <v>1332</v>
      </c>
      <c r="F1924" t="str">
        <f>[1]Raw_Customer_Dim!$A$2</f>
        <v>CUST1000</v>
      </c>
      <c r="G1924" t="str">
        <f>_xlfn.XLOOKUP(E1924,Store_Dim!A:A,Store_Dim!B:B,"Not Found")</f>
        <v>Holloway Ltd</v>
      </c>
      <c r="H1924" t="str">
        <f>_xlfn.XLOOKUP(D1924,Product_Dim!A:A,Product_Dim!C:C,"Not Found")</f>
        <v>Clothing</v>
      </c>
      <c r="I1924" t="str">
        <f>_xlfn.XLOOKUP(E1924,Store_Dim!A:A,Store_Dim!C:C,"Not Found")</f>
        <v>North</v>
      </c>
      <c r="J1924" t="str">
        <f>_xlfn.XLOOKUP(C1924,Customer_Dim!A:A,Customer_Dim!B:B,"Not Found")</f>
        <v>Douglas Rhodes</v>
      </c>
      <c r="K1924">
        <v>4</v>
      </c>
      <c r="L1924" s="5">
        <v>569.36</v>
      </c>
      <c r="M1924">
        <v>0.27</v>
      </c>
      <c r="N1924" t="s">
        <v>1351</v>
      </c>
      <c r="O1924" s="5">
        <v>1662.5311999999999</v>
      </c>
    </row>
    <row r="1925" spans="1:15">
      <c r="A1925" t="s">
        <v>3274</v>
      </c>
      <c r="B1925" s="7">
        <v>45344</v>
      </c>
      <c r="C1925" t="s">
        <v>1014</v>
      </c>
      <c r="D1925" t="s">
        <v>1127</v>
      </c>
      <c r="E1925" t="s">
        <v>1294</v>
      </c>
      <c r="F1925" t="str">
        <f>[1]Raw_Customer_Dim!$A$2</f>
        <v>CUST1000</v>
      </c>
      <c r="G1925" t="str">
        <f>_xlfn.XLOOKUP(E1925,Store_Dim!A:A,Store_Dim!B:B,"Not Found")</f>
        <v>Alexander Group</v>
      </c>
      <c r="H1925" t="str">
        <f>_xlfn.XLOOKUP(D1925,Product_Dim!A:A,Product_Dim!C:C,"Not Found")</f>
        <v>Home</v>
      </c>
      <c r="I1925" t="str">
        <f>_xlfn.XLOOKUP(E1925,Store_Dim!A:A,Store_Dim!C:C,"Not Found")</f>
        <v>South</v>
      </c>
      <c r="J1925" t="str">
        <f>_xlfn.XLOOKUP(C1925,Customer_Dim!A:A,Customer_Dim!B:B,"Not Found")</f>
        <v>Elizabeth Foster</v>
      </c>
      <c r="K1925">
        <v>2</v>
      </c>
      <c r="L1925" s="5">
        <v>846.35</v>
      </c>
      <c r="M1925">
        <v>0.3</v>
      </c>
      <c r="N1925" t="s">
        <v>1354</v>
      </c>
      <c r="O1925" s="5">
        <v>1184.8900000000001</v>
      </c>
    </row>
    <row r="1926" spans="1:15">
      <c r="A1926" t="s">
        <v>3275</v>
      </c>
      <c r="B1926" s="7">
        <v>45849</v>
      </c>
      <c r="C1926" t="s">
        <v>931</v>
      </c>
      <c r="D1926" t="s">
        <v>1133</v>
      </c>
      <c r="E1926" t="s">
        <v>1286</v>
      </c>
      <c r="F1926" t="str">
        <f>[1]Raw_Customer_Dim!$A$2</f>
        <v>CUST1000</v>
      </c>
      <c r="G1926" t="str">
        <f>_xlfn.XLOOKUP(E1926,Store_Dim!A:A,Store_Dim!B:B,"Not Found")</f>
        <v>Black-Horn</v>
      </c>
      <c r="H1926" t="str">
        <f>_xlfn.XLOOKUP(D1926,Product_Dim!A:A,Product_Dim!C:C,"Not Found")</f>
        <v>Home</v>
      </c>
      <c r="I1926" t="str">
        <f>_xlfn.XLOOKUP(E1926,Store_Dim!A:A,Store_Dim!C:C,"Not Found")</f>
        <v>South</v>
      </c>
      <c r="J1926" t="str">
        <f>_xlfn.XLOOKUP(C1926,Customer_Dim!A:A,Customer_Dim!B:B,"Not Found")</f>
        <v>Monique Castro</v>
      </c>
      <c r="K1926">
        <v>1</v>
      </c>
      <c r="L1926" s="5">
        <v>788.45</v>
      </c>
      <c r="M1926">
        <v>0.28999999999999998</v>
      </c>
      <c r="N1926" t="s">
        <v>1351</v>
      </c>
      <c r="O1926" s="5">
        <v>559.79949999999997</v>
      </c>
    </row>
    <row r="1927" spans="1:15">
      <c r="A1927" t="s">
        <v>3276</v>
      </c>
      <c r="B1927" s="7">
        <v>45880</v>
      </c>
      <c r="C1927" t="s">
        <v>783</v>
      </c>
      <c r="D1927" t="s">
        <v>1143</v>
      </c>
      <c r="E1927" t="s">
        <v>1319</v>
      </c>
      <c r="F1927" t="str">
        <f>[1]Raw_Customer_Dim!$A$2</f>
        <v>CUST1000</v>
      </c>
      <c r="G1927" t="str">
        <f>_xlfn.XLOOKUP(E1927,Store_Dim!A:A,Store_Dim!B:B,"Not Found")</f>
        <v>Thomas, Bridges and Harris</v>
      </c>
      <c r="H1927" t="str">
        <f>_xlfn.XLOOKUP(D1927,Product_Dim!A:A,Product_Dim!C:C,"Not Found")</f>
        <v>Home</v>
      </c>
      <c r="I1927" t="str">
        <f>_xlfn.XLOOKUP(E1927,Store_Dim!A:A,Store_Dim!C:C,"Not Found")</f>
        <v>North</v>
      </c>
      <c r="J1927" t="str">
        <f>_xlfn.XLOOKUP(C1927,Customer_Dim!A:A,Customer_Dim!B:B,"Not Found")</f>
        <v>Denise Tate</v>
      </c>
      <c r="K1927">
        <v>2</v>
      </c>
      <c r="L1927" s="5">
        <v>338.81</v>
      </c>
      <c r="M1927">
        <v>7.0000000000000007E-2</v>
      </c>
      <c r="N1927" t="s">
        <v>1354</v>
      </c>
      <c r="O1927" s="5">
        <v>630.1866</v>
      </c>
    </row>
    <row r="1928" spans="1:15">
      <c r="A1928" t="s">
        <v>3277</v>
      </c>
      <c r="B1928" s="7">
        <v>45907</v>
      </c>
      <c r="C1928" t="s">
        <v>84</v>
      </c>
      <c r="D1928" t="s">
        <v>1101</v>
      </c>
      <c r="E1928" t="s">
        <v>1298</v>
      </c>
      <c r="F1928" t="str">
        <f>[1]Raw_Customer_Dim!$A$2</f>
        <v>CUST1000</v>
      </c>
      <c r="G1928" t="str">
        <f>_xlfn.XLOOKUP(E1928,Store_Dim!A:A,Store_Dim!B:B,"Not Found")</f>
        <v>Gray Ltd</v>
      </c>
      <c r="H1928" t="str">
        <f>_xlfn.XLOOKUP(D1928,Product_Dim!A:A,Product_Dim!C:C,"Not Found")</f>
        <v>Home</v>
      </c>
      <c r="I1928" t="str">
        <f>_xlfn.XLOOKUP(E1928,Store_Dim!A:A,Store_Dim!C:C,"Not Found")</f>
        <v>North</v>
      </c>
      <c r="J1928" t="str">
        <f>_xlfn.XLOOKUP(C1928,Customer_Dim!A:A,Customer_Dim!B:B,"Not Found")</f>
        <v>Amber Carlson</v>
      </c>
      <c r="K1928">
        <v>4</v>
      </c>
      <c r="L1928" s="5">
        <v>94.48</v>
      </c>
      <c r="M1928">
        <v>0.06</v>
      </c>
      <c r="N1928" t="s">
        <v>1354</v>
      </c>
      <c r="O1928" s="5">
        <v>355.2448</v>
      </c>
    </row>
    <row r="1929" spans="1:15">
      <c r="A1929" t="s">
        <v>3278</v>
      </c>
      <c r="B1929" s="7">
        <v>45545</v>
      </c>
      <c r="C1929" t="s">
        <v>1016</v>
      </c>
      <c r="D1929" t="s">
        <v>1111</v>
      </c>
      <c r="E1929" t="s">
        <v>1322</v>
      </c>
      <c r="F1929" t="str">
        <f>[1]Raw_Customer_Dim!$A$2</f>
        <v>CUST1000</v>
      </c>
      <c r="G1929" t="str">
        <f>_xlfn.XLOOKUP(E1929,Store_Dim!A:A,Store_Dim!B:B,"Not Found")</f>
        <v>Gardner, Humphrey and Contreras</v>
      </c>
      <c r="H1929" t="str">
        <f>_xlfn.XLOOKUP(D1929,Product_Dim!A:A,Product_Dim!C:C,"Not Found")</f>
        <v>Sports</v>
      </c>
      <c r="I1929" t="str">
        <f>_xlfn.XLOOKUP(E1929,Store_Dim!A:A,Store_Dim!C:C,"Not Found")</f>
        <v>East</v>
      </c>
      <c r="J1929" t="str">
        <f>_xlfn.XLOOKUP(C1929,Customer_Dim!A:A,Customer_Dim!B:B,"Not Found")</f>
        <v>Andrea Harris</v>
      </c>
      <c r="K1929">
        <v>3</v>
      </c>
      <c r="L1929" s="5">
        <v>941.85</v>
      </c>
      <c r="M1929">
        <v>0.16</v>
      </c>
      <c r="N1929" t="s">
        <v>1351</v>
      </c>
      <c r="O1929" s="5">
        <v>2373.462</v>
      </c>
    </row>
    <row r="1930" spans="1:15">
      <c r="A1930" t="s">
        <v>3279</v>
      </c>
      <c r="B1930" s="7">
        <v>45257</v>
      </c>
      <c r="C1930" t="s">
        <v>383</v>
      </c>
      <c r="D1930" t="s">
        <v>1163</v>
      </c>
      <c r="E1930" t="s">
        <v>1298</v>
      </c>
      <c r="F1930" t="str">
        <f>[1]Raw_Customer_Dim!$A$2</f>
        <v>CUST1000</v>
      </c>
      <c r="G1930" t="str">
        <f>_xlfn.XLOOKUP(E1930,Store_Dim!A:A,Store_Dim!B:B,"Not Found")</f>
        <v>Gray Ltd</v>
      </c>
      <c r="H1930" t="str">
        <f>_xlfn.XLOOKUP(D1930,Product_Dim!A:A,Product_Dim!C:C,"Not Found")</f>
        <v>Sports</v>
      </c>
      <c r="I1930" t="str">
        <f>_xlfn.XLOOKUP(E1930,Store_Dim!A:A,Store_Dim!C:C,"Not Found")</f>
        <v>North</v>
      </c>
      <c r="J1930" t="str">
        <f>_xlfn.XLOOKUP(C1930,Customer_Dim!A:A,Customer_Dim!B:B,"Not Found")</f>
        <v>Cynthia Morris</v>
      </c>
      <c r="K1930">
        <v>2</v>
      </c>
      <c r="L1930" s="5">
        <v>336.97</v>
      </c>
      <c r="M1930">
        <v>0.14000000000000001</v>
      </c>
      <c r="N1930" t="s">
        <v>1351</v>
      </c>
      <c r="O1930" s="5">
        <v>579.58840000000009</v>
      </c>
    </row>
    <row r="1931" spans="1:15">
      <c r="A1931" t="s">
        <v>3280</v>
      </c>
      <c r="B1931" s="7">
        <v>45466</v>
      </c>
      <c r="C1931" t="s">
        <v>684</v>
      </c>
      <c r="D1931" t="s">
        <v>1080</v>
      </c>
      <c r="E1931" t="s">
        <v>1298</v>
      </c>
      <c r="F1931" t="str">
        <f>[1]Raw_Customer_Dim!$A$2</f>
        <v>CUST1000</v>
      </c>
      <c r="G1931" t="str">
        <f>_xlfn.XLOOKUP(E1931,Store_Dim!A:A,Store_Dim!B:B,"Not Found")</f>
        <v>Gray Ltd</v>
      </c>
      <c r="H1931" t="str">
        <f>_xlfn.XLOOKUP(D1931,Product_Dim!A:A,Product_Dim!C:C,"Not Found")</f>
        <v>Clothing</v>
      </c>
      <c r="I1931" t="str">
        <f>_xlfn.XLOOKUP(E1931,Store_Dim!A:A,Store_Dim!C:C,"Not Found")</f>
        <v>North</v>
      </c>
      <c r="J1931" t="str">
        <f>_xlfn.XLOOKUP(C1931,Customer_Dim!A:A,Customer_Dim!B:B,"Not Found")</f>
        <v>Kara Dodson</v>
      </c>
      <c r="K1931">
        <v>2</v>
      </c>
      <c r="L1931" s="5">
        <v>344.16</v>
      </c>
      <c r="M1931">
        <v>0.09</v>
      </c>
      <c r="N1931" t="s">
        <v>1351</v>
      </c>
      <c r="O1931" s="5">
        <v>626.37120000000004</v>
      </c>
    </row>
    <row r="1932" spans="1:15">
      <c r="A1932" t="s">
        <v>3281</v>
      </c>
      <c r="B1932" s="7">
        <v>45847</v>
      </c>
      <c r="C1932" t="s">
        <v>664</v>
      </c>
      <c r="D1932" t="s">
        <v>1169</v>
      </c>
      <c r="E1932" t="s">
        <v>1311</v>
      </c>
      <c r="F1932" t="str">
        <f>[1]Raw_Customer_Dim!$A$2</f>
        <v>CUST1000</v>
      </c>
      <c r="G1932" t="str">
        <f>_xlfn.XLOOKUP(E1932,Store_Dim!A:A,Store_Dim!B:B,"Not Found")</f>
        <v>Moore, Padilla and Butler</v>
      </c>
      <c r="H1932" t="str">
        <f>_xlfn.XLOOKUP(D1932,Product_Dim!A:A,Product_Dim!C:C,"Not Found")</f>
        <v>Electronics</v>
      </c>
      <c r="I1932" t="str">
        <f>_xlfn.XLOOKUP(E1932,Store_Dim!A:A,Store_Dim!C:C,"Not Found")</f>
        <v>South</v>
      </c>
      <c r="J1932" t="str">
        <f>_xlfn.XLOOKUP(C1932,Customer_Dim!A:A,Customer_Dim!B:B,"Not Found")</f>
        <v>Matthew Avery</v>
      </c>
      <c r="K1932">
        <v>1</v>
      </c>
      <c r="L1932" s="5">
        <v>841.53</v>
      </c>
      <c r="M1932">
        <v>0.15</v>
      </c>
      <c r="N1932" t="s">
        <v>1349</v>
      </c>
      <c r="O1932" s="5">
        <v>715.30049999999994</v>
      </c>
    </row>
    <row r="1933" spans="1:15">
      <c r="A1933" t="s">
        <v>3282</v>
      </c>
      <c r="B1933" s="7">
        <v>45825</v>
      </c>
      <c r="C1933" t="s">
        <v>911</v>
      </c>
      <c r="D1933" t="s">
        <v>1239</v>
      </c>
      <c r="E1933" t="s">
        <v>1332</v>
      </c>
      <c r="F1933" t="str">
        <f>[1]Raw_Customer_Dim!$A$2</f>
        <v>CUST1000</v>
      </c>
      <c r="G1933" t="str">
        <f>_xlfn.XLOOKUP(E1933,Store_Dim!A:A,Store_Dim!B:B,"Not Found")</f>
        <v>Holloway Ltd</v>
      </c>
      <c r="H1933" t="str">
        <f>_xlfn.XLOOKUP(D1933,Product_Dim!A:A,Product_Dim!C:C,"Not Found")</f>
        <v>Beauty</v>
      </c>
      <c r="I1933" t="str">
        <f>_xlfn.XLOOKUP(E1933,Store_Dim!A:A,Store_Dim!C:C,"Not Found")</f>
        <v>North</v>
      </c>
      <c r="J1933" t="str">
        <f>_xlfn.XLOOKUP(C1933,Customer_Dim!A:A,Customer_Dim!B:B,"Not Found")</f>
        <v>Edwin Barnes</v>
      </c>
      <c r="K1933">
        <v>3</v>
      </c>
      <c r="L1933" s="5">
        <v>63.36</v>
      </c>
      <c r="M1933">
        <v>0.28999999999999998</v>
      </c>
      <c r="N1933" t="s">
        <v>1354</v>
      </c>
      <c r="O1933" s="5">
        <v>134.95679999999999</v>
      </c>
    </row>
    <row r="1934" spans="1:15">
      <c r="A1934" t="s">
        <v>3283</v>
      </c>
      <c r="B1934" s="7">
        <v>45839</v>
      </c>
      <c r="C1934" t="s">
        <v>1053</v>
      </c>
      <c r="D1934" t="s">
        <v>1229</v>
      </c>
      <c r="E1934" t="s">
        <v>1307</v>
      </c>
      <c r="F1934" t="str">
        <f>[1]Raw_Customer_Dim!$A$2</f>
        <v>CUST1000</v>
      </c>
      <c r="G1934" t="str">
        <f>_xlfn.XLOOKUP(E1934,Store_Dim!A:A,Store_Dim!B:B,"Not Found")</f>
        <v>Bean, Jones and Park</v>
      </c>
      <c r="H1934" t="str">
        <f>_xlfn.XLOOKUP(D1934,Product_Dim!A:A,Product_Dim!C:C,"Not Found")</f>
        <v>Home</v>
      </c>
      <c r="I1934" t="str">
        <f>_xlfn.XLOOKUP(E1934,Store_Dim!A:A,Store_Dim!C:C,"Not Found")</f>
        <v>West</v>
      </c>
      <c r="J1934" t="str">
        <f>_xlfn.XLOOKUP(C1934,Customer_Dim!A:A,Customer_Dim!B:B,"Not Found")</f>
        <v>Christopher Ford</v>
      </c>
      <c r="K1934">
        <v>2</v>
      </c>
      <c r="L1934" s="5">
        <v>552.49</v>
      </c>
      <c r="M1934">
        <v>0.1</v>
      </c>
      <c r="N1934" t="s">
        <v>1349</v>
      </c>
      <c r="O1934" s="5">
        <v>994.48200000000008</v>
      </c>
    </row>
    <row r="1935" spans="1:15">
      <c r="A1935" t="s">
        <v>3284</v>
      </c>
      <c r="B1935" s="7">
        <v>45720</v>
      </c>
      <c r="C1935" t="s">
        <v>535</v>
      </c>
      <c r="D1935" t="s">
        <v>1121</v>
      </c>
      <c r="E1935" t="s">
        <v>1301</v>
      </c>
      <c r="F1935" t="str">
        <f>[1]Raw_Customer_Dim!$A$2</f>
        <v>CUST1000</v>
      </c>
      <c r="G1935" t="str">
        <f>_xlfn.XLOOKUP(E1935,Store_Dim!A:A,Store_Dim!B:B,"Not Found")</f>
        <v>Benson-Elliott</v>
      </c>
      <c r="H1935" t="str">
        <f>_xlfn.XLOOKUP(D1935,Product_Dim!A:A,Product_Dim!C:C,"Not Found")</f>
        <v>Sports</v>
      </c>
      <c r="I1935" t="str">
        <f>_xlfn.XLOOKUP(E1935,Store_Dim!A:A,Store_Dim!C:C,"Not Found")</f>
        <v>East</v>
      </c>
      <c r="J1935" t="str">
        <f>_xlfn.XLOOKUP(C1935,Customer_Dim!A:A,Customer_Dim!B:B,"Not Found")</f>
        <v>Joshua Wilson</v>
      </c>
      <c r="K1935">
        <v>3</v>
      </c>
      <c r="L1935" s="5">
        <v>447.38</v>
      </c>
      <c r="M1935">
        <v>0.03</v>
      </c>
      <c r="N1935" t="s">
        <v>1349</v>
      </c>
      <c r="O1935" s="5">
        <v>1301.8758</v>
      </c>
    </row>
    <row r="1936" spans="1:15">
      <c r="A1936" t="s">
        <v>3285</v>
      </c>
      <c r="B1936" s="7">
        <v>45250</v>
      </c>
      <c r="C1936" t="s">
        <v>963</v>
      </c>
      <c r="D1936" t="s">
        <v>1219</v>
      </c>
      <c r="E1936" t="s">
        <v>1338</v>
      </c>
      <c r="F1936" t="str">
        <f>[1]Raw_Customer_Dim!$A$2</f>
        <v>CUST1000</v>
      </c>
      <c r="G1936" t="str">
        <f>_xlfn.XLOOKUP(E1936,Store_Dim!A:A,Store_Dim!B:B,"Not Found")</f>
        <v>Mann-Austin</v>
      </c>
      <c r="H1936" t="str">
        <f>_xlfn.XLOOKUP(D1936,Product_Dim!A:A,Product_Dim!C:C,"Not Found")</f>
        <v>Sports</v>
      </c>
      <c r="I1936" t="str">
        <f>_xlfn.XLOOKUP(E1936,Store_Dim!A:A,Store_Dim!C:C,"Not Found")</f>
        <v>East</v>
      </c>
      <c r="J1936" t="str">
        <f>_xlfn.XLOOKUP(C1936,Customer_Dim!A:A,Customer_Dim!B:B,"Not Found")</f>
        <v>Shane Mills</v>
      </c>
      <c r="K1936">
        <v>1</v>
      </c>
      <c r="L1936" s="5">
        <v>727.7</v>
      </c>
      <c r="M1936">
        <v>0.21</v>
      </c>
      <c r="N1936" t="s">
        <v>1354</v>
      </c>
      <c r="O1936" s="5">
        <v>574.88300000000004</v>
      </c>
    </row>
    <row r="1937" spans="1:15">
      <c r="A1937" t="s">
        <v>3286</v>
      </c>
      <c r="B1937" s="7">
        <v>45258</v>
      </c>
      <c r="C1937" t="s">
        <v>935</v>
      </c>
      <c r="D1937" t="s">
        <v>1175</v>
      </c>
      <c r="E1937" t="s">
        <v>1304</v>
      </c>
      <c r="F1937" t="str">
        <f>[1]Raw_Customer_Dim!$A$2</f>
        <v>CUST1000</v>
      </c>
      <c r="G1937" t="str">
        <f>_xlfn.XLOOKUP(E1937,Store_Dim!A:A,Store_Dim!B:B,"Not Found")</f>
        <v>Martinez-Mullins</v>
      </c>
      <c r="H1937" t="str">
        <f>_xlfn.XLOOKUP(D1937,Product_Dim!A:A,Product_Dim!C:C,"Not Found")</f>
        <v>Electronics</v>
      </c>
      <c r="I1937" t="str">
        <f>_xlfn.XLOOKUP(E1937,Store_Dim!A:A,Store_Dim!C:C,"Not Found")</f>
        <v>South</v>
      </c>
      <c r="J1937" t="str">
        <f>_xlfn.XLOOKUP(C1937,Customer_Dim!A:A,Customer_Dim!B:B,"Not Found")</f>
        <v>Sharon Simpson</v>
      </c>
      <c r="K1937">
        <v>4</v>
      </c>
      <c r="L1937" s="5">
        <v>581.34</v>
      </c>
      <c r="M1937">
        <v>0.08</v>
      </c>
      <c r="N1937" t="s">
        <v>1349</v>
      </c>
      <c r="O1937" s="5">
        <v>2139.3312000000001</v>
      </c>
    </row>
    <row r="1938" spans="1:15">
      <c r="A1938" t="s">
        <v>3287</v>
      </c>
      <c r="B1938" s="7">
        <v>45793</v>
      </c>
      <c r="C1938" t="s">
        <v>250</v>
      </c>
      <c r="D1938" t="s">
        <v>1205</v>
      </c>
      <c r="E1938" t="s">
        <v>1282</v>
      </c>
      <c r="F1938" t="str">
        <f>[1]Raw_Customer_Dim!$A$2</f>
        <v>CUST1000</v>
      </c>
      <c r="G1938" t="str">
        <f>_xlfn.XLOOKUP(E1938,Store_Dim!A:A,Store_Dim!B:B,"Not Found")</f>
        <v>Martinez, Adkins and Johnson</v>
      </c>
      <c r="H1938" t="str">
        <f>_xlfn.XLOOKUP(D1938,Product_Dim!A:A,Product_Dim!C:C,"Not Found")</f>
        <v>Beauty</v>
      </c>
      <c r="I1938" t="str">
        <f>_xlfn.XLOOKUP(E1938,Store_Dim!A:A,Store_Dim!C:C,"Not Found")</f>
        <v>North</v>
      </c>
      <c r="J1938" t="str">
        <f>_xlfn.XLOOKUP(C1938,Customer_Dim!A:A,Customer_Dim!B:B,"Not Found")</f>
        <v>Samantha Walker</v>
      </c>
      <c r="K1938">
        <v>1</v>
      </c>
      <c r="L1938" s="5">
        <v>338.83</v>
      </c>
      <c r="M1938">
        <v>0.19</v>
      </c>
      <c r="N1938" t="s">
        <v>1351</v>
      </c>
      <c r="O1938" s="5">
        <v>274.45229999999998</v>
      </c>
    </row>
    <row r="1939" spans="1:15">
      <c r="A1939" t="s">
        <v>3288</v>
      </c>
      <c r="B1939" s="7">
        <v>45265</v>
      </c>
      <c r="C1939" t="s">
        <v>634</v>
      </c>
      <c r="D1939" t="s">
        <v>1171</v>
      </c>
      <c r="E1939" t="s">
        <v>1322</v>
      </c>
      <c r="F1939" t="str">
        <f>[1]Raw_Customer_Dim!$A$2</f>
        <v>CUST1000</v>
      </c>
      <c r="G1939" t="str">
        <f>_xlfn.XLOOKUP(E1939,Store_Dim!A:A,Store_Dim!B:B,"Not Found")</f>
        <v>Gardner, Humphrey and Contreras</v>
      </c>
      <c r="H1939" t="str">
        <f>_xlfn.XLOOKUP(D1939,Product_Dim!A:A,Product_Dim!C:C,"Not Found")</f>
        <v>Beauty</v>
      </c>
      <c r="I1939" t="str">
        <f>_xlfn.XLOOKUP(E1939,Store_Dim!A:A,Store_Dim!C:C,"Not Found")</f>
        <v>East</v>
      </c>
      <c r="J1939" t="str">
        <f>_xlfn.XLOOKUP(C1939,Customer_Dim!A:A,Customer_Dim!B:B,"Not Found")</f>
        <v>Donna Guerra</v>
      </c>
      <c r="K1939">
        <v>4</v>
      </c>
      <c r="L1939" s="5">
        <v>568.80999999999995</v>
      </c>
      <c r="M1939">
        <v>0.25</v>
      </c>
      <c r="N1939" t="s">
        <v>1349</v>
      </c>
      <c r="O1939" s="5">
        <v>1706.43</v>
      </c>
    </row>
    <row r="1940" spans="1:15">
      <c r="A1940" t="s">
        <v>3289</v>
      </c>
      <c r="B1940" s="7">
        <v>45607</v>
      </c>
      <c r="C1940" t="s">
        <v>813</v>
      </c>
      <c r="D1940" t="s">
        <v>1195</v>
      </c>
      <c r="E1940" t="s">
        <v>1332</v>
      </c>
      <c r="F1940" t="str">
        <f>[1]Raw_Customer_Dim!$A$2</f>
        <v>CUST1000</v>
      </c>
      <c r="G1940" t="str">
        <f>_xlfn.XLOOKUP(E1940,Store_Dim!A:A,Store_Dim!B:B,"Not Found")</f>
        <v>Holloway Ltd</v>
      </c>
      <c r="H1940" t="str">
        <f>_xlfn.XLOOKUP(D1940,Product_Dim!A:A,Product_Dim!C:C,"Not Found")</f>
        <v>Sports</v>
      </c>
      <c r="I1940" t="str">
        <f>_xlfn.XLOOKUP(E1940,Store_Dim!A:A,Store_Dim!C:C,"Not Found")</f>
        <v>North</v>
      </c>
      <c r="J1940" t="str">
        <f>_xlfn.XLOOKUP(C1940,Customer_Dim!A:A,Customer_Dim!B:B,"Not Found")</f>
        <v>Joshua Bell</v>
      </c>
      <c r="K1940">
        <v>2</v>
      </c>
      <c r="L1940" s="5">
        <v>352.63</v>
      </c>
      <c r="M1940">
        <v>0.15</v>
      </c>
      <c r="N1940" t="s">
        <v>1351</v>
      </c>
      <c r="O1940" s="5">
        <v>599.471</v>
      </c>
    </row>
    <row r="1941" spans="1:15">
      <c r="A1941" t="s">
        <v>3290</v>
      </c>
      <c r="B1941" s="7">
        <v>45382</v>
      </c>
      <c r="C1941" t="s">
        <v>373</v>
      </c>
      <c r="D1941" t="s">
        <v>1265</v>
      </c>
      <c r="E1941" t="s">
        <v>1322</v>
      </c>
      <c r="F1941" t="str">
        <f>[1]Raw_Customer_Dim!$A$2</f>
        <v>CUST1000</v>
      </c>
      <c r="G1941" t="str">
        <f>_xlfn.XLOOKUP(E1941,Store_Dim!A:A,Store_Dim!B:B,"Not Found")</f>
        <v>Gardner, Humphrey and Contreras</v>
      </c>
      <c r="H1941" t="str">
        <f>_xlfn.XLOOKUP(D1941,Product_Dim!A:A,Product_Dim!C:C,"Not Found")</f>
        <v>Clothing</v>
      </c>
      <c r="I1941" t="str">
        <f>_xlfn.XLOOKUP(E1941,Store_Dim!A:A,Store_Dim!C:C,"Not Found")</f>
        <v>East</v>
      </c>
      <c r="J1941" t="str">
        <f>_xlfn.XLOOKUP(C1941,Customer_Dim!A:A,Customer_Dim!B:B,"Not Found")</f>
        <v>Maria Sanchez</v>
      </c>
      <c r="K1941">
        <v>2</v>
      </c>
      <c r="L1941" s="5">
        <v>629.86</v>
      </c>
      <c r="M1941">
        <v>0.15</v>
      </c>
      <c r="N1941" t="s">
        <v>1351</v>
      </c>
      <c r="O1941" s="5">
        <v>1070.7619999999999</v>
      </c>
    </row>
    <row r="1942" spans="1:15">
      <c r="A1942" t="s">
        <v>3291</v>
      </c>
      <c r="B1942" s="7">
        <v>45793</v>
      </c>
      <c r="C1942" t="s">
        <v>1047</v>
      </c>
      <c r="D1942" t="s">
        <v>1269</v>
      </c>
      <c r="E1942" t="s">
        <v>1291</v>
      </c>
      <c r="F1942" t="str">
        <f>[1]Raw_Customer_Dim!$A$2</f>
        <v>CUST1000</v>
      </c>
      <c r="G1942" t="str">
        <f>_xlfn.XLOOKUP(E1942,Store_Dim!A:A,Store_Dim!B:B,"Not Found")</f>
        <v>Johnson-Wright</v>
      </c>
      <c r="H1942" t="str">
        <f>_xlfn.XLOOKUP(D1942,Product_Dim!A:A,Product_Dim!C:C,"Not Found")</f>
        <v>Electronics</v>
      </c>
      <c r="I1942" t="str">
        <f>_xlfn.XLOOKUP(E1942,Store_Dim!A:A,Store_Dim!C:C,"Not Found")</f>
        <v>North</v>
      </c>
      <c r="J1942" t="str">
        <f>_xlfn.XLOOKUP(C1942,Customer_Dim!A:A,Customer_Dim!B:B,"Not Found")</f>
        <v>Amanda Powell</v>
      </c>
      <c r="K1942">
        <v>3</v>
      </c>
      <c r="L1942" s="5">
        <v>212.08</v>
      </c>
      <c r="M1942">
        <v>7.0000000000000007E-2</v>
      </c>
      <c r="N1942" t="s">
        <v>1349</v>
      </c>
      <c r="O1942" s="5">
        <v>591.70319999999992</v>
      </c>
    </row>
    <row r="1943" spans="1:15">
      <c r="A1943" t="s">
        <v>3292</v>
      </c>
      <c r="B1943" s="7">
        <v>45590</v>
      </c>
      <c r="C1943" t="s">
        <v>383</v>
      </c>
      <c r="D1943" t="s">
        <v>1187</v>
      </c>
      <c r="E1943" t="s">
        <v>1286</v>
      </c>
      <c r="F1943" t="str">
        <f>[1]Raw_Customer_Dim!$A$2</f>
        <v>CUST1000</v>
      </c>
      <c r="G1943" t="str">
        <f>_xlfn.XLOOKUP(E1943,Store_Dim!A:A,Store_Dim!B:B,"Not Found")</f>
        <v>Black-Horn</v>
      </c>
      <c r="H1943" t="str">
        <f>_xlfn.XLOOKUP(D1943,Product_Dim!A:A,Product_Dim!C:C,"Not Found")</f>
        <v>Sports</v>
      </c>
      <c r="I1943" t="str">
        <f>_xlfn.XLOOKUP(E1943,Store_Dim!A:A,Store_Dim!C:C,"Not Found")</f>
        <v>South</v>
      </c>
      <c r="J1943" t="str">
        <f>_xlfn.XLOOKUP(C1943,Customer_Dim!A:A,Customer_Dim!B:B,"Not Found")</f>
        <v>Cynthia Morris</v>
      </c>
      <c r="K1943">
        <v>3</v>
      </c>
      <c r="L1943" s="5">
        <v>878.62</v>
      </c>
      <c r="M1943">
        <v>0.05</v>
      </c>
      <c r="N1943" t="s">
        <v>1351</v>
      </c>
      <c r="O1943" s="5">
        <v>2504.067</v>
      </c>
    </row>
    <row r="1944" spans="1:15">
      <c r="A1944" t="s">
        <v>3293</v>
      </c>
      <c r="B1944" s="7">
        <v>45679</v>
      </c>
      <c r="C1944" t="s">
        <v>585</v>
      </c>
      <c r="D1944" t="s">
        <v>1233</v>
      </c>
      <c r="E1944" t="s">
        <v>1314</v>
      </c>
      <c r="F1944" t="str">
        <f>[1]Raw_Customer_Dim!$A$2</f>
        <v>CUST1000</v>
      </c>
      <c r="G1944" t="str">
        <f>_xlfn.XLOOKUP(E1944,Store_Dim!A:A,Store_Dim!B:B,"Not Found")</f>
        <v>Hill, Wagner and Ballard</v>
      </c>
      <c r="H1944" t="str">
        <f>_xlfn.XLOOKUP(D1944,Product_Dim!A:A,Product_Dim!C:C,"Not Found")</f>
        <v>Home</v>
      </c>
      <c r="I1944" t="str">
        <f>_xlfn.XLOOKUP(E1944,Store_Dim!A:A,Store_Dim!C:C,"Not Found")</f>
        <v>East</v>
      </c>
      <c r="J1944" t="str">
        <f>_xlfn.XLOOKUP(C1944,Customer_Dim!A:A,Customer_Dim!B:B,"Not Found")</f>
        <v>Carol Bishop</v>
      </c>
      <c r="K1944">
        <v>4</v>
      </c>
      <c r="L1944" s="5">
        <v>87.83</v>
      </c>
      <c r="M1944">
        <v>0.23</v>
      </c>
      <c r="N1944" t="s">
        <v>1351</v>
      </c>
      <c r="O1944" s="5">
        <v>270.51639999999998</v>
      </c>
    </row>
    <row r="1945" spans="1:15">
      <c r="A1945" t="s">
        <v>3294</v>
      </c>
      <c r="B1945" s="7">
        <v>45814</v>
      </c>
      <c r="C1945" t="s">
        <v>614</v>
      </c>
      <c r="D1945" t="s">
        <v>1185</v>
      </c>
      <c r="E1945" t="s">
        <v>1311</v>
      </c>
      <c r="F1945" t="str">
        <f>[1]Raw_Customer_Dim!$A$2</f>
        <v>CUST1000</v>
      </c>
      <c r="G1945" t="str">
        <f>_xlfn.XLOOKUP(E1945,Store_Dim!A:A,Store_Dim!B:B,"Not Found")</f>
        <v>Moore, Padilla and Butler</v>
      </c>
      <c r="H1945" t="str">
        <f>_xlfn.XLOOKUP(D1945,Product_Dim!A:A,Product_Dim!C:C,"Not Found")</f>
        <v>Home</v>
      </c>
      <c r="I1945" t="str">
        <f>_xlfn.XLOOKUP(E1945,Store_Dim!A:A,Store_Dim!C:C,"Not Found")</f>
        <v>South</v>
      </c>
      <c r="J1945" t="str">
        <f>_xlfn.XLOOKUP(C1945,Customer_Dim!A:A,Customer_Dim!B:B,"Not Found")</f>
        <v>Shannon Miller</v>
      </c>
      <c r="K1945">
        <v>3</v>
      </c>
      <c r="L1945" s="5">
        <v>442.64</v>
      </c>
      <c r="M1945">
        <v>0.15</v>
      </c>
      <c r="N1945" t="s">
        <v>1354</v>
      </c>
      <c r="O1945" s="5">
        <v>1128.732</v>
      </c>
    </row>
    <row r="1946" spans="1:15">
      <c r="A1946" t="s">
        <v>3295</v>
      </c>
      <c r="B1946" s="7">
        <v>45795</v>
      </c>
      <c r="C1946" t="s">
        <v>244</v>
      </c>
      <c r="D1946" t="s">
        <v>1149</v>
      </c>
      <c r="E1946" t="s">
        <v>1286</v>
      </c>
      <c r="F1946" t="str">
        <f>[1]Raw_Customer_Dim!$A$2</f>
        <v>CUST1000</v>
      </c>
      <c r="G1946" t="str">
        <f>_xlfn.XLOOKUP(E1946,Store_Dim!A:A,Store_Dim!B:B,"Not Found")</f>
        <v>Black-Horn</v>
      </c>
      <c r="H1946" t="str">
        <f>_xlfn.XLOOKUP(D1946,Product_Dim!A:A,Product_Dim!C:C,"Not Found")</f>
        <v>Sports</v>
      </c>
      <c r="I1946" t="str">
        <f>_xlfn.XLOOKUP(E1946,Store_Dim!A:A,Store_Dim!C:C,"Not Found")</f>
        <v>South</v>
      </c>
      <c r="J1946" t="str">
        <f>_xlfn.XLOOKUP(C1946,Customer_Dim!A:A,Customer_Dim!B:B,"Not Found")</f>
        <v>Christy Vasquez</v>
      </c>
      <c r="K1946">
        <v>3</v>
      </c>
      <c r="L1946" s="5">
        <v>410.04</v>
      </c>
      <c r="M1946">
        <v>0.09</v>
      </c>
      <c r="N1946" t="s">
        <v>1354</v>
      </c>
      <c r="O1946" s="5">
        <v>1119.4092000000001</v>
      </c>
    </row>
    <row r="1947" spans="1:15">
      <c r="A1947" t="s">
        <v>3296</v>
      </c>
      <c r="B1947" s="7">
        <v>45797</v>
      </c>
      <c r="C1947" t="s">
        <v>327</v>
      </c>
      <c r="D1947" t="s">
        <v>1261</v>
      </c>
      <c r="E1947" t="s">
        <v>1332</v>
      </c>
      <c r="F1947" t="str">
        <f>[1]Raw_Customer_Dim!$A$2</f>
        <v>CUST1000</v>
      </c>
      <c r="G1947" t="str">
        <f>_xlfn.XLOOKUP(E1947,Store_Dim!A:A,Store_Dim!B:B,"Not Found")</f>
        <v>Holloway Ltd</v>
      </c>
      <c r="H1947" t="str">
        <f>_xlfn.XLOOKUP(D1947,Product_Dim!A:A,Product_Dim!C:C,"Not Found")</f>
        <v>Beauty</v>
      </c>
      <c r="I1947" t="str">
        <f>_xlfn.XLOOKUP(E1947,Store_Dim!A:A,Store_Dim!C:C,"Not Found")</f>
        <v>North</v>
      </c>
      <c r="J1947" t="str">
        <f>_xlfn.XLOOKUP(C1947,Customer_Dim!A:A,Customer_Dim!B:B,"Not Found")</f>
        <v>Hayley Pope</v>
      </c>
      <c r="K1947">
        <v>1</v>
      </c>
      <c r="L1947" s="5">
        <v>355.31</v>
      </c>
      <c r="M1947">
        <v>0.27</v>
      </c>
      <c r="N1947" t="s">
        <v>1349</v>
      </c>
      <c r="O1947" s="5">
        <v>259.37630000000001</v>
      </c>
    </row>
    <row r="1948" spans="1:15">
      <c r="A1948" t="s">
        <v>3297</v>
      </c>
      <c r="B1948" s="7">
        <v>45607</v>
      </c>
      <c r="C1948" t="s">
        <v>815</v>
      </c>
      <c r="D1948" t="s">
        <v>1090</v>
      </c>
      <c r="E1948" t="s">
        <v>1322</v>
      </c>
      <c r="F1948" t="str">
        <f>[1]Raw_Customer_Dim!$A$2</f>
        <v>CUST1000</v>
      </c>
      <c r="G1948" t="str">
        <f>_xlfn.XLOOKUP(E1948,Store_Dim!A:A,Store_Dim!B:B,"Not Found")</f>
        <v>Gardner, Humphrey and Contreras</v>
      </c>
      <c r="H1948" t="str">
        <f>_xlfn.XLOOKUP(D1948,Product_Dim!A:A,Product_Dim!C:C,"Not Found")</f>
        <v>Sports</v>
      </c>
      <c r="I1948" t="str">
        <f>_xlfn.XLOOKUP(E1948,Store_Dim!A:A,Store_Dim!C:C,"Not Found")</f>
        <v>East</v>
      </c>
      <c r="J1948" t="str">
        <f>_xlfn.XLOOKUP(C1948,Customer_Dim!A:A,Customer_Dim!B:B,"Not Found")</f>
        <v>Michele Burke</v>
      </c>
      <c r="K1948">
        <v>4</v>
      </c>
      <c r="L1948" s="5">
        <v>243.13</v>
      </c>
      <c r="M1948">
        <v>0.25</v>
      </c>
      <c r="N1948" t="s">
        <v>1354</v>
      </c>
      <c r="O1948" s="5">
        <v>729.39</v>
      </c>
    </row>
    <row r="1949" spans="1:15">
      <c r="A1949" t="s">
        <v>3298</v>
      </c>
      <c r="B1949" s="7">
        <v>45614</v>
      </c>
      <c r="C1949" t="s">
        <v>521</v>
      </c>
      <c r="D1949" t="s">
        <v>1191</v>
      </c>
      <c r="E1949" t="s">
        <v>1317</v>
      </c>
      <c r="F1949" t="str">
        <f>[1]Raw_Customer_Dim!$A$2</f>
        <v>CUST1000</v>
      </c>
      <c r="G1949" t="str">
        <f>_xlfn.XLOOKUP(E1949,Store_Dim!A:A,Store_Dim!B:B,"Not Found")</f>
        <v>Aguirre-Keller</v>
      </c>
      <c r="H1949" t="str">
        <f>_xlfn.XLOOKUP(D1949,Product_Dim!A:A,Product_Dim!C:C,"Not Found")</f>
        <v>Beauty</v>
      </c>
      <c r="I1949" t="str">
        <f>_xlfn.XLOOKUP(E1949,Store_Dim!A:A,Store_Dim!C:C,"Not Found")</f>
        <v>South</v>
      </c>
      <c r="J1949" t="str">
        <f>_xlfn.XLOOKUP(C1949,Customer_Dim!A:A,Customer_Dim!B:B,"Not Found")</f>
        <v>Tanner Thompson</v>
      </c>
      <c r="K1949">
        <v>2</v>
      </c>
      <c r="L1949" s="5">
        <v>410.63</v>
      </c>
      <c r="M1949">
        <v>0.28000000000000003</v>
      </c>
      <c r="N1949" t="s">
        <v>1354</v>
      </c>
      <c r="O1949" s="5">
        <v>591.30719999999997</v>
      </c>
    </row>
    <row r="1950" spans="1:15">
      <c r="A1950" t="s">
        <v>3299</v>
      </c>
      <c r="B1950" s="7">
        <v>45293</v>
      </c>
      <c r="C1950" t="s">
        <v>913</v>
      </c>
      <c r="D1950" t="s">
        <v>1261</v>
      </c>
      <c r="E1950" t="s">
        <v>1314</v>
      </c>
      <c r="F1950" t="str">
        <f>[1]Raw_Customer_Dim!$A$2</f>
        <v>CUST1000</v>
      </c>
      <c r="G1950" t="str">
        <f>_xlfn.XLOOKUP(E1950,Store_Dim!A:A,Store_Dim!B:B,"Not Found")</f>
        <v>Hill, Wagner and Ballard</v>
      </c>
      <c r="H1950" t="str">
        <f>_xlfn.XLOOKUP(D1950,Product_Dim!A:A,Product_Dim!C:C,"Not Found")</f>
        <v>Beauty</v>
      </c>
      <c r="I1950" t="str">
        <f>_xlfn.XLOOKUP(E1950,Store_Dim!A:A,Store_Dim!C:C,"Not Found")</f>
        <v>East</v>
      </c>
      <c r="J1950" t="str">
        <f>_xlfn.XLOOKUP(C1950,Customer_Dim!A:A,Customer_Dim!B:B,"Not Found")</f>
        <v>Bryce Hawkins</v>
      </c>
      <c r="K1950">
        <v>4</v>
      </c>
      <c r="L1950" s="5">
        <v>101.25</v>
      </c>
      <c r="M1950">
        <v>0.16</v>
      </c>
      <c r="N1950" t="s">
        <v>1351</v>
      </c>
      <c r="O1950" s="5">
        <v>340.2</v>
      </c>
    </row>
    <row r="1951" spans="1:15">
      <c r="A1951" t="s">
        <v>3300</v>
      </c>
      <c r="B1951" s="7">
        <v>45301</v>
      </c>
      <c r="C1951" t="s">
        <v>515</v>
      </c>
      <c r="D1951" t="s">
        <v>1085</v>
      </c>
      <c r="E1951" t="s">
        <v>1332</v>
      </c>
      <c r="F1951" t="str">
        <f>[1]Raw_Customer_Dim!$A$2</f>
        <v>CUST1000</v>
      </c>
      <c r="G1951" t="str">
        <f>_xlfn.XLOOKUP(E1951,Store_Dim!A:A,Store_Dim!B:B,"Not Found")</f>
        <v>Holloway Ltd</v>
      </c>
      <c r="H1951" t="str">
        <f>_xlfn.XLOOKUP(D1951,Product_Dim!A:A,Product_Dim!C:C,"Not Found")</f>
        <v>Home</v>
      </c>
      <c r="I1951" t="str">
        <f>_xlfn.XLOOKUP(E1951,Store_Dim!A:A,Store_Dim!C:C,"Not Found")</f>
        <v>North</v>
      </c>
      <c r="J1951" t="str">
        <f>_xlfn.XLOOKUP(C1951,Customer_Dim!A:A,Customer_Dim!B:B,"Not Found")</f>
        <v>Alexis Castaneda</v>
      </c>
      <c r="K1951">
        <v>4</v>
      </c>
      <c r="L1951" s="5">
        <v>716.39</v>
      </c>
      <c r="M1951">
        <v>0.03</v>
      </c>
      <c r="N1951" t="s">
        <v>1351</v>
      </c>
      <c r="O1951" s="5">
        <v>2779.5931999999998</v>
      </c>
    </row>
    <row r="1952" spans="1:15">
      <c r="A1952" t="s">
        <v>3301</v>
      </c>
      <c r="B1952" s="7">
        <v>45311</v>
      </c>
      <c r="C1952" t="s">
        <v>246</v>
      </c>
      <c r="D1952" t="s">
        <v>1219</v>
      </c>
      <c r="E1952" t="s">
        <v>1282</v>
      </c>
      <c r="F1952" t="str">
        <f>[1]Raw_Customer_Dim!$A$2</f>
        <v>CUST1000</v>
      </c>
      <c r="G1952" t="str">
        <f>_xlfn.XLOOKUP(E1952,Store_Dim!A:A,Store_Dim!B:B,"Not Found")</f>
        <v>Martinez, Adkins and Johnson</v>
      </c>
      <c r="H1952" t="str">
        <f>_xlfn.XLOOKUP(D1952,Product_Dim!A:A,Product_Dim!C:C,"Not Found")</f>
        <v>Sports</v>
      </c>
      <c r="I1952" t="str">
        <f>_xlfn.XLOOKUP(E1952,Store_Dim!A:A,Store_Dim!C:C,"Not Found")</f>
        <v>North</v>
      </c>
      <c r="J1952" t="str">
        <f>_xlfn.XLOOKUP(C1952,Customer_Dim!A:A,Customer_Dim!B:B,"Not Found")</f>
        <v>David Patterson</v>
      </c>
      <c r="K1952">
        <v>1</v>
      </c>
      <c r="L1952" s="5">
        <v>721.74</v>
      </c>
      <c r="M1952">
        <v>0.24</v>
      </c>
      <c r="N1952" t="s">
        <v>1351</v>
      </c>
      <c r="O1952" s="5">
        <v>548.52240000000006</v>
      </c>
    </row>
    <row r="1953" spans="1:15">
      <c r="A1953" t="s">
        <v>3302</v>
      </c>
      <c r="B1953" s="7">
        <v>45702</v>
      </c>
      <c r="C1953" t="s">
        <v>152</v>
      </c>
      <c r="D1953" t="s">
        <v>1197</v>
      </c>
      <c r="E1953" t="s">
        <v>1317</v>
      </c>
      <c r="F1953" t="str">
        <f>[1]Raw_Customer_Dim!$A$2</f>
        <v>CUST1000</v>
      </c>
      <c r="G1953" t="str">
        <f>_xlfn.XLOOKUP(E1953,Store_Dim!A:A,Store_Dim!B:B,"Not Found")</f>
        <v>Aguirre-Keller</v>
      </c>
      <c r="H1953" t="str">
        <f>_xlfn.XLOOKUP(D1953,Product_Dim!A:A,Product_Dim!C:C,"Not Found")</f>
        <v>Electronics</v>
      </c>
      <c r="I1953" t="str">
        <f>_xlfn.XLOOKUP(E1953,Store_Dim!A:A,Store_Dim!C:C,"Not Found")</f>
        <v>South</v>
      </c>
      <c r="J1953" t="str">
        <f>_xlfn.XLOOKUP(C1953,Customer_Dim!A:A,Customer_Dim!B:B,"Not Found")</f>
        <v>Katherine Dorsey</v>
      </c>
      <c r="K1953">
        <v>2</v>
      </c>
      <c r="L1953" s="5">
        <v>527.91</v>
      </c>
      <c r="M1953">
        <v>0.02</v>
      </c>
      <c r="N1953" t="s">
        <v>1349</v>
      </c>
      <c r="O1953" s="5">
        <v>1034.7036000000001</v>
      </c>
    </row>
    <row r="1954" spans="1:15">
      <c r="A1954" t="s">
        <v>3303</v>
      </c>
      <c r="B1954" s="7">
        <v>45525</v>
      </c>
      <c r="C1954" t="s">
        <v>702</v>
      </c>
      <c r="D1954" t="s">
        <v>1177</v>
      </c>
      <c r="E1954" t="s">
        <v>1322</v>
      </c>
      <c r="F1954" t="str">
        <f>[1]Raw_Customer_Dim!$A$2</f>
        <v>CUST1000</v>
      </c>
      <c r="G1954" t="str">
        <f>_xlfn.XLOOKUP(E1954,Store_Dim!A:A,Store_Dim!B:B,"Not Found")</f>
        <v>Gardner, Humphrey and Contreras</v>
      </c>
      <c r="H1954" t="str">
        <f>_xlfn.XLOOKUP(D1954,Product_Dim!A:A,Product_Dim!C:C,"Not Found")</f>
        <v>Sports</v>
      </c>
      <c r="I1954" t="str">
        <f>_xlfn.XLOOKUP(E1954,Store_Dim!A:A,Store_Dim!C:C,"Not Found")</f>
        <v>East</v>
      </c>
      <c r="J1954" t="str">
        <f>_xlfn.XLOOKUP(C1954,Customer_Dim!A:A,Customer_Dim!B:B,"Not Found")</f>
        <v>Casey Simpson</v>
      </c>
      <c r="K1954">
        <v>2</v>
      </c>
      <c r="L1954" s="5">
        <v>945.92</v>
      </c>
      <c r="M1954">
        <v>0.19</v>
      </c>
      <c r="N1954" t="s">
        <v>1354</v>
      </c>
      <c r="O1954" s="5">
        <v>1532.3904</v>
      </c>
    </row>
    <row r="1955" spans="1:15">
      <c r="A1955" t="s">
        <v>3304</v>
      </c>
      <c r="B1955" s="7">
        <v>45780</v>
      </c>
      <c r="C1955" t="s">
        <v>216</v>
      </c>
      <c r="D1955" t="s">
        <v>1185</v>
      </c>
      <c r="E1955" t="s">
        <v>1332</v>
      </c>
      <c r="F1955" t="str">
        <f>[1]Raw_Customer_Dim!$A$2</f>
        <v>CUST1000</v>
      </c>
      <c r="G1955" t="str">
        <f>_xlfn.XLOOKUP(E1955,Store_Dim!A:A,Store_Dim!B:B,"Not Found")</f>
        <v>Holloway Ltd</v>
      </c>
      <c r="H1955" t="str">
        <f>_xlfn.XLOOKUP(D1955,Product_Dim!A:A,Product_Dim!C:C,"Not Found")</f>
        <v>Home</v>
      </c>
      <c r="I1955" t="str">
        <f>_xlfn.XLOOKUP(E1955,Store_Dim!A:A,Store_Dim!C:C,"Not Found")</f>
        <v>North</v>
      </c>
      <c r="J1955" t="str">
        <f>_xlfn.XLOOKUP(C1955,Customer_Dim!A:A,Customer_Dim!B:B,"Not Found")</f>
        <v>Krystal Ford</v>
      </c>
      <c r="K1955">
        <v>2</v>
      </c>
      <c r="L1955" s="5">
        <v>981.35</v>
      </c>
      <c r="M1955">
        <v>0.16</v>
      </c>
      <c r="N1955" t="s">
        <v>1351</v>
      </c>
      <c r="O1955" s="5">
        <v>1648.6679999999999</v>
      </c>
    </row>
    <row r="1956" spans="1:15">
      <c r="A1956" t="s">
        <v>3305</v>
      </c>
      <c r="B1956" s="7">
        <v>45819</v>
      </c>
      <c r="C1956" t="s">
        <v>509</v>
      </c>
      <c r="D1956" t="s">
        <v>1191</v>
      </c>
      <c r="E1956" t="s">
        <v>1291</v>
      </c>
      <c r="F1956" t="str">
        <f>[1]Raw_Customer_Dim!$A$2</f>
        <v>CUST1000</v>
      </c>
      <c r="G1956" t="str">
        <f>_xlfn.XLOOKUP(E1956,Store_Dim!A:A,Store_Dim!B:B,"Not Found")</f>
        <v>Johnson-Wright</v>
      </c>
      <c r="H1956" t="str">
        <f>_xlfn.XLOOKUP(D1956,Product_Dim!A:A,Product_Dim!C:C,"Not Found")</f>
        <v>Beauty</v>
      </c>
      <c r="I1956" t="str">
        <f>_xlfn.XLOOKUP(E1956,Store_Dim!A:A,Store_Dim!C:C,"Not Found")</f>
        <v>North</v>
      </c>
      <c r="J1956" t="str">
        <f>_xlfn.XLOOKUP(C1956,Customer_Dim!A:A,Customer_Dim!B:B,"Not Found")</f>
        <v>Robert Harris</v>
      </c>
      <c r="K1956">
        <v>1</v>
      </c>
      <c r="L1956" s="5">
        <v>913.99</v>
      </c>
      <c r="M1956">
        <v>0.14000000000000001</v>
      </c>
      <c r="N1956" t="s">
        <v>1349</v>
      </c>
      <c r="O1956" s="5">
        <v>786.03139999999996</v>
      </c>
    </row>
    <row r="1957" spans="1:15">
      <c r="A1957" t="s">
        <v>3306</v>
      </c>
      <c r="B1957" s="7">
        <v>45863</v>
      </c>
      <c r="C1957" t="s">
        <v>44</v>
      </c>
      <c r="D1957" t="s">
        <v>1205</v>
      </c>
      <c r="E1957" t="s">
        <v>1307</v>
      </c>
      <c r="F1957" t="str">
        <f>[1]Raw_Customer_Dim!$A$2</f>
        <v>CUST1000</v>
      </c>
      <c r="G1957" t="str">
        <f>_xlfn.XLOOKUP(E1957,Store_Dim!A:A,Store_Dim!B:B,"Not Found")</f>
        <v>Bean, Jones and Park</v>
      </c>
      <c r="H1957" t="str">
        <f>_xlfn.XLOOKUP(D1957,Product_Dim!A:A,Product_Dim!C:C,"Not Found")</f>
        <v>Beauty</v>
      </c>
      <c r="I1957" t="str">
        <f>_xlfn.XLOOKUP(E1957,Store_Dim!A:A,Store_Dim!C:C,"Not Found")</f>
        <v>West</v>
      </c>
      <c r="J1957" t="str">
        <f>_xlfn.XLOOKUP(C1957,Customer_Dim!A:A,Customer_Dim!B:B,"Not Found")</f>
        <v>Brian Lopez</v>
      </c>
      <c r="K1957">
        <v>4</v>
      </c>
      <c r="L1957" s="5">
        <v>270.69</v>
      </c>
      <c r="M1957">
        <v>0.18</v>
      </c>
      <c r="N1957" t="s">
        <v>1351</v>
      </c>
      <c r="O1957" s="5">
        <v>887.86320000000001</v>
      </c>
    </row>
    <row r="1958" spans="1:15">
      <c r="A1958" t="s">
        <v>3307</v>
      </c>
      <c r="B1958" s="7">
        <v>45687</v>
      </c>
      <c r="C1958" t="s">
        <v>383</v>
      </c>
      <c r="D1958" t="s">
        <v>1227</v>
      </c>
      <c r="E1958" t="s">
        <v>1301</v>
      </c>
      <c r="F1958" t="str">
        <f>[1]Raw_Customer_Dim!$A$2</f>
        <v>CUST1000</v>
      </c>
      <c r="G1958" t="str">
        <f>_xlfn.XLOOKUP(E1958,Store_Dim!A:A,Store_Dim!B:B,"Not Found")</f>
        <v>Benson-Elliott</v>
      </c>
      <c r="H1958" t="str">
        <f>_xlfn.XLOOKUP(D1958,Product_Dim!A:A,Product_Dim!C:C,"Not Found")</f>
        <v>Electronics</v>
      </c>
      <c r="I1958" t="str">
        <f>_xlfn.XLOOKUP(E1958,Store_Dim!A:A,Store_Dim!C:C,"Not Found")</f>
        <v>East</v>
      </c>
      <c r="J1958" t="str">
        <f>_xlfn.XLOOKUP(C1958,Customer_Dim!A:A,Customer_Dim!B:B,"Not Found")</f>
        <v>Cynthia Morris</v>
      </c>
      <c r="K1958">
        <v>3</v>
      </c>
      <c r="L1958" s="5">
        <v>998.58</v>
      </c>
      <c r="M1958">
        <v>0.02</v>
      </c>
      <c r="N1958" t="s">
        <v>1349</v>
      </c>
      <c r="O1958" s="5">
        <v>2935.8252000000002</v>
      </c>
    </row>
    <row r="1959" spans="1:15">
      <c r="A1959" t="s">
        <v>3308</v>
      </c>
      <c r="B1959" s="7">
        <v>45806</v>
      </c>
      <c r="C1959" t="s">
        <v>975</v>
      </c>
      <c r="D1959" t="s">
        <v>1147</v>
      </c>
      <c r="E1959" t="s">
        <v>1311</v>
      </c>
      <c r="F1959" t="str">
        <f>[1]Raw_Customer_Dim!$A$2</f>
        <v>CUST1000</v>
      </c>
      <c r="G1959" t="str">
        <f>_xlfn.XLOOKUP(E1959,Store_Dim!A:A,Store_Dim!B:B,"Not Found")</f>
        <v>Moore, Padilla and Butler</v>
      </c>
      <c r="H1959" t="str">
        <f>_xlfn.XLOOKUP(D1959,Product_Dim!A:A,Product_Dim!C:C,"Not Found")</f>
        <v>Clothing</v>
      </c>
      <c r="I1959" t="str">
        <f>_xlfn.XLOOKUP(E1959,Store_Dim!A:A,Store_Dim!C:C,"Not Found")</f>
        <v>South</v>
      </c>
      <c r="J1959" t="str">
        <f>_xlfn.XLOOKUP(C1959,Customer_Dim!A:A,Customer_Dim!B:B,"Not Found")</f>
        <v>Julie Powell</v>
      </c>
      <c r="K1959">
        <v>3</v>
      </c>
      <c r="L1959" s="5">
        <v>765.12</v>
      </c>
      <c r="M1959">
        <v>0.18</v>
      </c>
      <c r="N1959" t="s">
        <v>1349</v>
      </c>
      <c r="O1959" s="5">
        <v>1882.1952000000001</v>
      </c>
    </row>
    <row r="1960" spans="1:15">
      <c r="A1960" t="s">
        <v>3309</v>
      </c>
      <c r="B1960" s="7">
        <v>45216</v>
      </c>
      <c r="C1960" t="s">
        <v>194</v>
      </c>
      <c r="D1960" t="s">
        <v>1201</v>
      </c>
      <c r="E1960" t="s">
        <v>1338</v>
      </c>
      <c r="F1960" t="str">
        <f>[1]Raw_Customer_Dim!$A$2</f>
        <v>CUST1000</v>
      </c>
      <c r="G1960" t="str">
        <f>_xlfn.XLOOKUP(E1960,Store_Dim!A:A,Store_Dim!B:B,"Not Found")</f>
        <v>Mann-Austin</v>
      </c>
      <c r="H1960" t="str">
        <f>_xlfn.XLOOKUP(D1960,Product_Dim!A:A,Product_Dim!C:C,"Not Found")</f>
        <v>Beauty</v>
      </c>
      <c r="I1960" t="str">
        <f>_xlfn.XLOOKUP(E1960,Store_Dim!A:A,Store_Dim!C:C,"Not Found")</f>
        <v>East</v>
      </c>
      <c r="J1960" t="str">
        <f>_xlfn.XLOOKUP(C1960,Customer_Dim!A:A,Customer_Dim!B:B,"Not Found")</f>
        <v>Tonya Burch</v>
      </c>
      <c r="K1960">
        <v>3</v>
      </c>
      <c r="L1960" s="5">
        <v>449.99</v>
      </c>
      <c r="M1960">
        <v>0.17</v>
      </c>
      <c r="N1960" t="s">
        <v>1354</v>
      </c>
      <c r="O1960" s="5">
        <v>1120.4751000000001</v>
      </c>
    </row>
    <row r="1961" spans="1:15">
      <c r="A1961" t="s">
        <v>3310</v>
      </c>
      <c r="B1961" s="7">
        <v>45639</v>
      </c>
      <c r="C1961" t="s">
        <v>567</v>
      </c>
      <c r="D1961" t="s">
        <v>1159</v>
      </c>
      <c r="E1961" t="s">
        <v>1317</v>
      </c>
      <c r="F1961" t="str">
        <f>[1]Raw_Customer_Dim!$A$2</f>
        <v>CUST1000</v>
      </c>
      <c r="G1961" t="str">
        <f>_xlfn.XLOOKUP(E1961,Store_Dim!A:A,Store_Dim!B:B,"Not Found")</f>
        <v>Aguirre-Keller</v>
      </c>
      <c r="H1961" t="str">
        <f>_xlfn.XLOOKUP(D1961,Product_Dim!A:A,Product_Dim!C:C,"Not Found")</f>
        <v>Electronics</v>
      </c>
      <c r="I1961" t="str">
        <f>_xlfn.XLOOKUP(E1961,Store_Dim!A:A,Store_Dim!C:C,"Not Found")</f>
        <v>South</v>
      </c>
      <c r="J1961" t="str">
        <f>_xlfn.XLOOKUP(C1961,Customer_Dim!A:A,Customer_Dim!B:B,"Not Found")</f>
        <v>John Mccoy</v>
      </c>
      <c r="K1961">
        <v>2</v>
      </c>
      <c r="L1961" s="5">
        <v>249.02</v>
      </c>
      <c r="M1961">
        <v>0.01</v>
      </c>
      <c r="N1961" t="s">
        <v>1354</v>
      </c>
      <c r="O1961" s="5">
        <v>493.05959999999999</v>
      </c>
    </row>
    <row r="1962" spans="1:15">
      <c r="A1962" t="s">
        <v>3311</v>
      </c>
      <c r="B1962" s="7">
        <v>45454</v>
      </c>
      <c r="C1962" t="s">
        <v>335</v>
      </c>
      <c r="D1962" t="s">
        <v>1187</v>
      </c>
      <c r="E1962" t="s">
        <v>1338</v>
      </c>
      <c r="F1962" t="str">
        <f>[1]Raw_Customer_Dim!$A$2</f>
        <v>CUST1000</v>
      </c>
      <c r="G1962" t="str">
        <f>_xlfn.XLOOKUP(E1962,Store_Dim!A:A,Store_Dim!B:B,"Not Found")</f>
        <v>Mann-Austin</v>
      </c>
      <c r="H1962" t="str">
        <f>_xlfn.XLOOKUP(D1962,Product_Dim!A:A,Product_Dim!C:C,"Not Found")</f>
        <v>Sports</v>
      </c>
      <c r="I1962" t="str">
        <f>_xlfn.XLOOKUP(E1962,Store_Dim!A:A,Store_Dim!C:C,"Not Found")</f>
        <v>East</v>
      </c>
      <c r="J1962" t="str">
        <f>_xlfn.XLOOKUP(C1962,Customer_Dim!A:A,Customer_Dim!B:B,"Not Found")</f>
        <v>Rick Dominguez</v>
      </c>
      <c r="K1962">
        <v>3</v>
      </c>
      <c r="L1962" s="5">
        <v>223.64</v>
      </c>
      <c r="M1962">
        <v>0.05</v>
      </c>
      <c r="N1962" t="s">
        <v>1349</v>
      </c>
      <c r="O1962" s="5">
        <v>637.37399999999991</v>
      </c>
    </row>
    <row r="1963" spans="1:15">
      <c r="A1963" t="s">
        <v>3312</v>
      </c>
      <c r="B1963" s="7">
        <v>45934</v>
      </c>
      <c r="C1963" t="s">
        <v>271</v>
      </c>
      <c r="D1963" t="s">
        <v>1121</v>
      </c>
      <c r="E1963" t="s">
        <v>1294</v>
      </c>
      <c r="F1963" t="str">
        <f>[1]Raw_Customer_Dim!$A$2</f>
        <v>CUST1000</v>
      </c>
      <c r="G1963" t="str">
        <f>_xlfn.XLOOKUP(E1963,Store_Dim!A:A,Store_Dim!B:B,"Not Found")</f>
        <v>Alexander Group</v>
      </c>
      <c r="H1963" t="str">
        <f>_xlfn.XLOOKUP(D1963,Product_Dim!A:A,Product_Dim!C:C,"Not Found")</f>
        <v>Sports</v>
      </c>
      <c r="I1963" t="str">
        <f>_xlfn.XLOOKUP(E1963,Store_Dim!A:A,Store_Dim!C:C,"Not Found")</f>
        <v>South</v>
      </c>
      <c r="J1963" t="str">
        <f>_xlfn.XLOOKUP(C1963,Customer_Dim!A:A,Customer_Dim!B:B,"Not Found")</f>
        <v>Howard Summers</v>
      </c>
      <c r="K1963">
        <v>2</v>
      </c>
      <c r="L1963" s="5">
        <v>92.94</v>
      </c>
      <c r="M1963">
        <v>0.12</v>
      </c>
      <c r="N1963" t="s">
        <v>1349</v>
      </c>
      <c r="O1963" s="5">
        <v>163.5744</v>
      </c>
    </row>
    <row r="1964" spans="1:15">
      <c r="A1964" t="s">
        <v>3313</v>
      </c>
      <c r="B1964" s="7">
        <v>45401</v>
      </c>
      <c r="C1964" t="s">
        <v>785</v>
      </c>
      <c r="D1964" t="s">
        <v>1105</v>
      </c>
      <c r="E1964" t="s">
        <v>1286</v>
      </c>
      <c r="F1964" t="str">
        <f>[1]Raw_Customer_Dim!$A$2</f>
        <v>CUST1000</v>
      </c>
      <c r="G1964" t="str">
        <f>_xlfn.XLOOKUP(E1964,Store_Dim!A:A,Store_Dim!B:B,"Not Found")</f>
        <v>Black-Horn</v>
      </c>
      <c r="H1964" t="str">
        <f>_xlfn.XLOOKUP(D1964,Product_Dim!A:A,Product_Dim!C:C,"Not Found")</f>
        <v>Not Found</v>
      </c>
      <c r="I1964" t="str">
        <f>_xlfn.XLOOKUP(E1964,Store_Dim!A:A,Store_Dim!C:C,"Not Found")</f>
        <v>South</v>
      </c>
      <c r="J1964" t="str">
        <f>_xlfn.XLOOKUP(C1964,Customer_Dim!A:A,Customer_Dim!B:B,"Not Found")</f>
        <v>Natalie Johnson</v>
      </c>
      <c r="K1964">
        <v>4</v>
      </c>
      <c r="L1964" s="5">
        <v>268.3</v>
      </c>
      <c r="M1964">
        <v>0.02</v>
      </c>
      <c r="N1964" t="s">
        <v>1354</v>
      </c>
      <c r="O1964" s="5">
        <v>1051.7360000000001</v>
      </c>
    </row>
    <row r="1965" spans="1:15">
      <c r="A1965" t="s">
        <v>3314</v>
      </c>
      <c r="B1965" s="7">
        <v>45770</v>
      </c>
      <c r="C1965" t="s">
        <v>947</v>
      </c>
      <c r="D1965" t="s">
        <v>1191</v>
      </c>
      <c r="E1965" t="s">
        <v>1338</v>
      </c>
      <c r="F1965" t="str">
        <f>[1]Raw_Customer_Dim!$A$2</f>
        <v>CUST1000</v>
      </c>
      <c r="G1965" t="str">
        <f>_xlfn.XLOOKUP(E1965,Store_Dim!A:A,Store_Dim!B:B,"Not Found")</f>
        <v>Mann-Austin</v>
      </c>
      <c r="H1965" t="str">
        <f>_xlfn.XLOOKUP(D1965,Product_Dim!A:A,Product_Dim!C:C,"Not Found")</f>
        <v>Beauty</v>
      </c>
      <c r="I1965" t="str">
        <f>_xlfn.XLOOKUP(E1965,Store_Dim!A:A,Store_Dim!C:C,"Not Found")</f>
        <v>East</v>
      </c>
      <c r="J1965" t="str">
        <f>_xlfn.XLOOKUP(C1965,Customer_Dim!A:A,Customer_Dim!B:B,"Not Found")</f>
        <v>Kelli Smith</v>
      </c>
      <c r="K1965">
        <v>4</v>
      </c>
      <c r="L1965" s="5">
        <v>835.61</v>
      </c>
      <c r="M1965">
        <v>0.03</v>
      </c>
      <c r="N1965" t="s">
        <v>1349</v>
      </c>
      <c r="O1965" s="5">
        <v>3242.1668</v>
      </c>
    </row>
    <row r="1966" spans="1:15">
      <c r="A1966" t="s">
        <v>3315</v>
      </c>
      <c r="B1966" s="7">
        <v>45405</v>
      </c>
      <c r="C1966" t="s">
        <v>827</v>
      </c>
      <c r="D1966" t="s">
        <v>1209</v>
      </c>
      <c r="E1966" t="s">
        <v>1298</v>
      </c>
      <c r="F1966" t="str">
        <f>[1]Raw_Customer_Dim!$A$2</f>
        <v>CUST1000</v>
      </c>
      <c r="G1966" t="str">
        <f>_xlfn.XLOOKUP(E1966,Store_Dim!A:A,Store_Dim!B:B,"Not Found")</f>
        <v>Gray Ltd</v>
      </c>
      <c r="H1966" t="str">
        <f>_xlfn.XLOOKUP(D1966,Product_Dim!A:A,Product_Dim!C:C,"Not Found")</f>
        <v>Home</v>
      </c>
      <c r="I1966" t="str">
        <f>_xlfn.XLOOKUP(E1966,Store_Dim!A:A,Store_Dim!C:C,"Not Found")</f>
        <v>North</v>
      </c>
      <c r="J1966" t="str">
        <f>_xlfn.XLOOKUP(C1966,Customer_Dim!A:A,Customer_Dim!B:B,"Not Found")</f>
        <v>Martha Brown</v>
      </c>
      <c r="K1966">
        <v>3</v>
      </c>
      <c r="L1966" s="5">
        <v>120.97</v>
      </c>
      <c r="M1966">
        <v>0.11</v>
      </c>
      <c r="N1966" t="s">
        <v>1349</v>
      </c>
      <c r="O1966" s="5">
        <v>322.98989999999998</v>
      </c>
    </row>
    <row r="1967" spans="1:15">
      <c r="A1967" t="s">
        <v>3316</v>
      </c>
      <c r="B1967" s="7">
        <v>45424</v>
      </c>
      <c r="C1967" t="s">
        <v>94</v>
      </c>
      <c r="D1967" t="s">
        <v>1153</v>
      </c>
      <c r="E1967" t="s">
        <v>1311</v>
      </c>
      <c r="F1967" t="str">
        <f>[1]Raw_Customer_Dim!$A$2</f>
        <v>CUST1000</v>
      </c>
      <c r="G1967" t="str">
        <f>_xlfn.XLOOKUP(E1967,Store_Dim!A:A,Store_Dim!B:B,"Not Found")</f>
        <v>Moore, Padilla and Butler</v>
      </c>
      <c r="H1967" t="str">
        <f>_xlfn.XLOOKUP(D1967,Product_Dim!A:A,Product_Dim!C:C,"Not Found")</f>
        <v>Electronics</v>
      </c>
      <c r="I1967" t="str">
        <f>_xlfn.XLOOKUP(E1967,Store_Dim!A:A,Store_Dim!C:C,"Not Found")</f>
        <v>South</v>
      </c>
      <c r="J1967" t="str">
        <f>_xlfn.XLOOKUP(C1967,Customer_Dim!A:A,Customer_Dim!B:B,"Not Found")</f>
        <v>Jessica Acevedo</v>
      </c>
      <c r="K1967">
        <v>2</v>
      </c>
      <c r="L1967" s="5">
        <v>26.36</v>
      </c>
      <c r="M1967">
        <v>0.03</v>
      </c>
      <c r="N1967" t="s">
        <v>1354</v>
      </c>
      <c r="O1967" s="5">
        <v>51.138399999999997</v>
      </c>
    </row>
    <row r="1968" spans="1:15">
      <c r="A1968" t="s">
        <v>3317</v>
      </c>
      <c r="B1968" s="7">
        <v>45881</v>
      </c>
      <c r="C1968" t="s">
        <v>102</v>
      </c>
      <c r="D1968" t="s">
        <v>1227</v>
      </c>
      <c r="E1968" t="s">
        <v>1301</v>
      </c>
      <c r="F1968" t="str">
        <f>[1]Raw_Customer_Dim!$A$2</f>
        <v>CUST1000</v>
      </c>
      <c r="G1968" t="str">
        <f>_xlfn.XLOOKUP(E1968,Store_Dim!A:A,Store_Dim!B:B,"Not Found")</f>
        <v>Benson-Elliott</v>
      </c>
      <c r="H1968" t="str">
        <f>_xlfn.XLOOKUP(D1968,Product_Dim!A:A,Product_Dim!C:C,"Not Found")</f>
        <v>Electronics</v>
      </c>
      <c r="I1968" t="str">
        <f>_xlfn.XLOOKUP(E1968,Store_Dim!A:A,Store_Dim!C:C,"Not Found")</f>
        <v>East</v>
      </c>
      <c r="J1968" t="str">
        <f>_xlfn.XLOOKUP(C1968,Customer_Dim!A:A,Customer_Dim!B:B,"Not Found")</f>
        <v>Robert Jones DDS</v>
      </c>
      <c r="K1968">
        <v>1</v>
      </c>
      <c r="L1968" s="5">
        <v>918.87</v>
      </c>
      <c r="M1968">
        <v>0.11</v>
      </c>
      <c r="N1968" t="s">
        <v>1351</v>
      </c>
      <c r="O1968" s="5">
        <v>817.79430000000002</v>
      </c>
    </row>
    <row r="1969" spans="1:15">
      <c r="A1969" t="s">
        <v>3318</v>
      </c>
      <c r="B1969" s="7">
        <v>45794</v>
      </c>
      <c r="C1969" t="s">
        <v>96</v>
      </c>
      <c r="D1969" t="s">
        <v>1207</v>
      </c>
      <c r="E1969" t="s">
        <v>1317</v>
      </c>
      <c r="F1969" t="str">
        <f>[1]Raw_Customer_Dim!$A$2</f>
        <v>CUST1000</v>
      </c>
      <c r="G1969" t="str">
        <f>_xlfn.XLOOKUP(E1969,Store_Dim!A:A,Store_Dim!B:B,"Not Found")</f>
        <v>Aguirre-Keller</v>
      </c>
      <c r="H1969" t="str">
        <f>_xlfn.XLOOKUP(D1969,Product_Dim!A:A,Product_Dim!C:C,"Not Found")</f>
        <v>Electronics</v>
      </c>
      <c r="I1969" t="str">
        <f>_xlfn.XLOOKUP(E1969,Store_Dim!A:A,Store_Dim!C:C,"Not Found")</f>
        <v>South</v>
      </c>
      <c r="J1969" t="str">
        <f>_xlfn.XLOOKUP(C1969,Customer_Dim!A:A,Customer_Dim!B:B,"Not Found")</f>
        <v>Sarah Vance</v>
      </c>
      <c r="K1969">
        <v>2</v>
      </c>
      <c r="L1969" s="5">
        <v>924.73</v>
      </c>
      <c r="M1969">
        <v>0.28999999999999998</v>
      </c>
      <c r="N1969" t="s">
        <v>1351</v>
      </c>
      <c r="O1969" s="5">
        <v>1313.1166000000001</v>
      </c>
    </row>
    <row r="1970" spans="1:15">
      <c r="A1970" t="s">
        <v>3319</v>
      </c>
      <c r="B1970" s="7">
        <v>45665</v>
      </c>
      <c r="C1970" t="s">
        <v>72</v>
      </c>
      <c r="D1970" t="s">
        <v>1097</v>
      </c>
      <c r="E1970" t="s">
        <v>1314</v>
      </c>
      <c r="F1970" t="str">
        <f>[1]Raw_Customer_Dim!$A$2</f>
        <v>CUST1000</v>
      </c>
      <c r="G1970" t="str">
        <f>_xlfn.XLOOKUP(E1970,Store_Dim!A:A,Store_Dim!B:B,"Not Found")</f>
        <v>Hill, Wagner and Ballard</v>
      </c>
      <c r="H1970" t="str">
        <f>_xlfn.XLOOKUP(D1970,Product_Dim!A:A,Product_Dim!C:C,"Not Found")</f>
        <v>Beauty</v>
      </c>
      <c r="I1970" t="str">
        <f>_xlfn.XLOOKUP(E1970,Store_Dim!A:A,Store_Dim!C:C,"Not Found")</f>
        <v>East</v>
      </c>
      <c r="J1970" t="str">
        <f>_xlfn.XLOOKUP(C1970,Customer_Dim!A:A,Customer_Dim!B:B,"Not Found")</f>
        <v>Jeff Martinez</v>
      </c>
      <c r="K1970">
        <v>3</v>
      </c>
      <c r="L1970" s="5">
        <v>195.31</v>
      </c>
      <c r="M1970">
        <v>0.13</v>
      </c>
      <c r="N1970" t="s">
        <v>1354</v>
      </c>
      <c r="O1970" s="5">
        <v>509.75909999999999</v>
      </c>
    </row>
    <row r="1971" spans="1:15">
      <c r="A1971" t="s">
        <v>3320</v>
      </c>
      <c r="B1971" s="7">
        <v>45793</v>
      </c>
      <c r="C1971" t="s">
        <v>345</v>
      </c>
      <c r="D1971" t="s">
        <v>1149</v>
      </c>
      <c r="E1971" t="s">
        <v>1307</v>
      </c>
      <c r="F1971" t="str">
        <f>[1]Raw_Customer_Dim!$A$2</f>
        <v>CUST1000</v>
      </c>
      <c r="G1971" t="str">
        <f>_xlfn.XLOOKUP(E1971,Store_Dim!A:A,Store_Dim!B:B,"Not Found")</f>
        <v>Bean, Jones and Park</v>
      </c>
      <c r="H1971" t="str">
        <f>_xlfn.XLOOKUP(D1971,Product_Dim!A:A,Product_Dim!C:C,"Not Found")</f>
        <v>Sports</v>
      </c>
      <c r="I1971" t="str">
        <f>_xlfn.XLOOKUP(E1971,Store_Dim!A:A,Store_Dim!C:C,"Not Found")</f>
        <v>West</v>
      </c>
      <c r="J1971" t="str">
        <f>_xlfn.XLOOKUP(C1971,Customer_Dim!A:A,Customer_Dim!B:B,"Not Found")</f>
        <v>Maria Ramirez</v>
      </c>
      <c r="K1971">
        <v>1</v>
      </c>
      <c r="L1971" s="5">
        <v>91.38</v>
      </c>
      <c r="M1971">
        <v>0.14000000000000001</v>
      </c>
      <c r="N1971" t="s">
        <v>1349</v>
      </c>
      <c r="O1971" s="5">
        <v>78.586799999999997</v>
      </c>
    </row>
    <row r="1972" spans="1:15">
      <c r="A1972" t="s">
        <v>3321</v>
      </c>
      <c r="B1972" s="7">
        <v>45563</v>
      </c>
      <c r="C1972" t="s">
        <v>1028</v>
      </c>
      <c r="D1972" t="s">
        <v>1245</v>
      </c>
      <c r="E1972" t="s">
        <v>1317</v>
      </c>
      <c r="F1972" t="str">
        <f>[1]Raw_Customer_Dim!$A$2</f>
        <v>CUST1000</v>
      </c>
      <c r="G1972" t="str">
        <f>_xlfn.XLOOKUP(E1972,Store_Dim!A:A,Store_Dim!B:B,"Not Found")</f>
        <v>Aguirre-Keller</v>
      </c>
      <c r="H1972" t="str">
        <f>_xlfn.XLOOKUP(D1972,Product_Dim!A:A,Product_Dim!C:C,"Not Found")</f>
        <v>Home</v>
      </c>
      <c r="I1972" t="str">
        <f>_xlfn.XLOOKUP(E1972,Store_Dim!A:A,Store_Dim!C:C,"Not Found")</f>
        <v>South</v>
      </c>
      <c r="J1972" t="str">
        <f>_xlfn.XLOOKUP(C1972,Customer_Dim!A:A,Customer_Dim!B:B,"Not Found")</f>
        <v>Sarah Smith</v>
      </c>
      <c r="K1972">
        <v>2</v>
      </c>
      <c r="L1972" s="5">
        <v>494.35</v>
      </c>
      <c r="M1972">
        <v>0.1</v>
      </c>
      <c r="N1972" t="s">
        <v>1349</v>
      </c>
      <c r="O1972" s="5">
        <v>889.83</v>
      </c>
    </row>
    <row r="1973" spans="1:15">
      <c r="A1973" t="s">
        <v>3322</v>
      </c>
      <c r="B1973" s="7">
        <v>45577</v>
      </c>
      <c r="C1973" t="s">
        <v>573</v>
      </c>
      <c r="D1973" t="s">
        <v>1121</v>
      </c>
      <c r="E1973" t="s">
        <v>1314</v>
      </c>
      <c r="F1973" t="str">
        <f>[1]Raw_Customer_Dim!$A$2</f>
        <v>CUST1000</v>
      </c>
      <c r="G1973" t="str">
        <f>_xlfn.XLOOKUP(E1973,Store_Dim!A:A,Store_Dim!B:B,"Not Found")</f>
        <v>Hill, Wagner and Ballard</v>
      </c>
      <c r="H1973" t="str">
        <f>_xlfn.XLOOKUP(D1973,Product_Dim!A:A,Product_Dim!C:C,"Not Found")</f>
        <v>Sports</v>
      </c>
      <c r="I1973" t="str">
        <f>_xlfn.XLOOKUP(E1973,Store_Dim!A:A,Store_Dim!C:C,"Not Found")</f>
        <v>East</v>
      </c>
      <c r="J1973" t="str">
        <f>_xlfn.XLOOKUP(C1973,Customer_Dim!A:A,Customer_Dim!B:B,"Not Found")</f>
        <v>Damon Perez</v>
      </c>
      <c r="K1973">
        <v>1</v>
      </c>
      <c r="L1973" s="5">
        <v>412.2</v>
      </c>
      <c r="M1973">
        <v>0.11</v>
      </c>
      <c r="N1973" t="s">
        <v>1349</v>
      </c>
      <c r="O1973" s="5">
        <v>366.858</v>
      </c>
    </row>
    <row r="1974" spans="1:15">
      <c r="A1974" t="s">
        <v>3323</v>
      </c>
      <c r="B1974" s="7">
        <v>45466</v>
      </c>
      <c r="C1974" t="s">
        <v>851</v>
      </c>
      <c r="D1974" t="s">
        <v>1231</v>
      </c>
      <c r="E1974" t="s">
        <v>1329</v>
      </c>
      <c r="F1974" t="str">
        <f>[1]Raw_Customer_Dim!$A$2</f>
        <v>CUST1000</v>
      </c>
      <c r="G1974" t="str">
        <f>_xlfn.XLOOKUP(E1974,Store_Dim!A:A,Store_Dim!B:B,"Not Found")</f>
        <v>Frederick-Wright</v>
      </c>
      <c r="H1974" t="str">
        <f>_xlfn.XLOOKUP(D1974,Product_Dim!A:A,Product_Dim!C:C,"Not Found")</f>
        <v>Home</v>
      </c>
      <c r="I1974" t="str">
        <f>_xlfn.XLOOKUP(E1974,Store_Dim!A:A,Store_Dim!C:C,"Not Found")</f>
        <v>West</v>
      </c>
      <c r="J1974" t="str">
        <f>_xlfn.XLOOKUP(C1974,Customer_Dim!A:A,Customer_Dim!B:B,"Not Found")</f>
        <v>Alejandro Evans</v>
      </c>
      <c r="K1974">
        <v>1</v>
      </c>
      <c r="L1974" s="5">
        <v>650.47</v>
      </c>
      <c r="M1974">
        <v>0.13</v>
      </c>
      <c r="N1974" t="s">
        <v>1351</v>
      </c>
      <c r="O1974" s="5">
        <v>565.90890000000002</v>
      </c>
    </row>
    <row r="1975" spans="1:15">
      <c r="A1975" t="s">
        <v>3324</v>
      </c>
      <c r="B1975" s="7">
        <v>45256</v>
      </c>
      <c r="C1975" t="s">
        <v>371</v>
      </c>
      <c r="D1975" t="s">
        <v>1101</v>
      </c>
      <c r="E1975" t="s">
        <v>1319</v>
      </c>
      <c r="F1975" t="str">
        <f>[1]Raw_Customer_Dim!$A$2</f>
        <v>CUST1000</v>
      </c>
      <c r="G1975" t="str">
        <f>_xlfn.XLOOKUP(E1975,Store_Dim!A:A,Store_Dim!B:B,"Not Found")</f>
        <v>Thomas, Bridges and Harris</v>
      </c>
      <c r="H1975" t="str">
        <f>_xlfn.XLOOKUP(D1975,Product_Dim!A:A,Product_Dim!C:C,"Not Found")</f>
        <v>Home</v>
      </c>
      <c r="I1975" t="str">
        <f>_xlfn.XLOOKUP(E1975,Store_Dim!A:A,Store_Dim!C:C,"Not Found")</f>
        <v>North</v>
      </c>
      <c r="J1975" t="str">
        <f>_xlfn.XLOOKUP(C1975,Customer_Dim!A:A,Customer_Dim!B:B,"Not Found")</f>
        <v>Curtis Haynes</v>
      </c>
      <c r="K1975">
        <v>1</v>
      </c>
      <c r="L1975" s="5">
        <v>68.209999999999994</v>
      </c>
      <c r="M1975">
        <v>0.05</v>
      </c>
      <c r="N1975" t="s">
        <v>1351</v>
      </c>
      <c r="O1975" s="5">
        <v>64.799499999999995</v>
      </c>
    </row>
    <row r="1976" spans="1:15">
      <c r="A1976" t="s">
        <v>3325</v>
      </c>
      <c r="B1976" s="7">
        <v>45886</v>
      </c>
      <c r="C1976" t="s">
        <v>331</v>
      </c>
      <c r="D1976" t="s">
        <v>1179</v>
      </c>
      <c r="E1976" t="s">
        <v>1304</v>
      </c>
      <c r="F1976" t="str">
        <f>[1]Raw_Customer_Dim!$A$2</f>
        <v>CUST1000</v>
      </c>
      <c r="G1976" t="str">
        <f>_xlfn.XLOOKUP(E1976,Store_Dim!A:A,Store_Dim!B:B,"Not Found")</f>
        <v>Martinez-Mullins</v>
      </c>
      <c r="H1976" t="str">
        <f>_xlfn.XLOOKUP(D1976,Product_Dim!A:A,Product_Dim!C:C,"Not Found")</f>
        <v>Clothing</v>
      </c>
      <c r="I1976" t="str">
        <f>_xlfn.XLOOKUP(E1976,Store_Dim!A:A,Store_Dim!C:C,"Not Found")</f>
        <v>South</v>
      </c>
      <c r="J1976" t="str">
        <f>_xlfn.XLOOKUP(C1976,Customer_Dim!A:A,Customer_Dim!B:B,"Not Found")</f>
        <v>Matthew Hanna</v>
      </c>
      <c r="K1976">
        <v>2</v>
      </c>
      <c r="L1976" s="5">
        <v>842.89</v>
      </c>
      <c r="M1976">
        <v>0.25</v>
      </c>
      <c r="N1976" t="s">
        <v>1354</v>
      </c>
      <c r="O1976" s="5">
        <v>1264.335</v>
      </c>
    </row>
    <row r="1977" spans="1:15">
      <c r="A1977" t="s">
        <v>3326</v>
      </c>
      <c r="B1977" s="7">
        <v>45390</v>
      </c>
      <c r="C1977" t="s">
        <v>664</v>
      </c>
      <c r="D1977" t="s">
        <v>1080</v>
      </c>
      <c r="E1977" t="s">
        <v>1294</v>
      </c>
      <c r="F1977" t="str">
        <f>[1]Raw_Customer_Dim!$A$2</f>
        <v>CUST1000</v>
      </c>
      <c r="G1977" t="str">
        <f>_xlfn.XLOOKUP(E1977,Store_Dim!A:A,Store_Dim!B:B,"Not Found")</f>
        <v>Alexander Group</v>
      </c>
      <c r="H1977" t="str">
        <f>_xlfn.XLOOKUP(D1977,Product_Dim!A:A,Product_Dim!C:C,"Not Found")</f>
        <v>Clothing</v>
      </c>
      <c r="I1977" t="str">
        <f>_xlfn.XLOOKUP(E1977,Store_Dim!A:A,Store_Dim!C:C,"Not Found")</f>
        <v>South</v>
      </c>
      <c r="J1977" t="str">
        <f>_xlfn.XLOOKUP(C1977,Customer_Dim!A:A,Customer_Dim!B:B,"Not Found")</f>
        <v>Matthew Avery</v>
      </c>
      <c r="K1977">
        <v>2</v>
      </c>
      <c r="L1977" s="5">
        <v>227.95</v>
      </c>
      <c r="M1977">
        <v>0.24</v>
      </c>
      <c r="N1977" t="s">
        <v>1354</v>
      </c>
      <c r="O1977" s="5">
        <v>346.48399999999998</v>
      </c>
    </row>
    <row r="1978" spans="1:15">
      <c r="A1978" t="s">
        <v>3327</v>
      </c>
      <c r="B1978" s="7">
        <v>45388</v>
      </c>
      <c r="C1978" t="s">
        <v>446</v>
      </c>
      <c r="D1978" t="s">
        <v>1205</v>
      </c>
      <c r="E1978" t="s">
        <v>1319</v>
      </c>
      <c r="F1978" t="str">
        <f>[1]Raw_Customer_Dim!$A$2</f>
        <v>CUST1000</v>
      </c>
      <c r="G1978" t="str">
        <f>_xlfn.XLOOKUP(E1978,Store_Dim!A:A,Store_Dim!B:B,"Not Found")</f>
        <v>Thomas, Bridges and Harris</v>
      </c>
      <c r="H1978" t="str">
        <f>_xlfn.XLOOKUP(D1978,Product_Dim!A:A,Product_Dim!C:C,"Not Found")</f>
        <v>Beauty</v>
      </c>
      <c r="I1978" t="str">
        <f>_xlfn.XLOOKUP(E1978,Store_Dim!A:A,Store_Dim!C:C,"Not Found")</f>
        <v>North</v>
      </c>
      <c r="J1978" t="str">
        <f>_xlfn.XLOOKUP(C1978,Customer_Dim!A:A,Customer_Dim!B:B,"Not Found")</f>
        <v>Jacob Wood</v>
      </c>
      <c r="K1978">
        <v>3</v>
      </c>
      <c r="L1978" s="5">
        <v>685.97</v>
      </c>
      <c r="M1978">
        <v>0.24</v>
      </c>
      <c r="N1978" t="s">
        <v>1351</v>
      </c>
      <c r="O1978" s="5">
        <v>1564.0116</v>
      </c>
    </row>
    <row r="1979" spans="1:15">
      <c r="A1979" t="s">
        <v>3328</v>
      </c>
      <c r="B1979" s="7">
        <v>45793</v>
      </c>
      <c r="C1979" t="s">
        <v>793</v>
      </c>
      <c r="D1979" t="s">
        <v>1131</v>
      </c>
      <c r="E1979" t="s">
        <v>1286</v>
      </c>
      <c r="F1979" t="str">
        <f>[1]Raw_Customer_Dim!$A$2</f>
        <v>CUST1000</v>
      </c>
      <c r="G1979" t="str">
        <f>_xlfn.XLOOKUP(E1979,Store_Dim!A:A,Store_Dim!B:B,"Not Found")</f>
        <v>Black-Horn</v>
      </c>
      <c r="H1979" t="str">
        <f>_xlfn.XLOOKUP(D1979,Product_Dim!A:A,Product_Dim!C:C,"Not Found")</f>
        <v>Home</v>
      </c>
      <c r="I1979" t="str">
        <f>_xlfn.XLOOKUP(E1979,Store_Dim!A:A,Store_Dim!C:C,"Not Found")</f>
        <v>South</v>
      </c>
      <c r="J1979" t="str">
        <f>_xlfn.XLOOKUP(C1979,Customer_Dim!A:A,Customer_Dim!B:B,"Not Found")</f>
        <v>Brandon Mcbride</v>
      </c>
      <c r="K1979">
        <v>1</v>
      </c>
      <c r="L1979" s="5">
        <v>722.57</v>
      </c>
      <c r="M1979">
        <v>0.18</v>
      </c>
      <c r="N1979" t="s">
        <v>1349</v>
      </c>
      <c r="O1979" s="5">
        <v>592.50740000000008</v>
      </c>
    </row>
    <row r="1980" spans="1:15">
      <c r="A1980" t="s">
        <v>3329</v>
      </c>
      <c r="B1980" s="7">
        <v>45615</v>
      </c>
      <c r="C1980" t="s">
        <v>341</v>
      </c>
      <c r="D1980" t="s">
        <v>1143</v>
      </c>
      <c r="E1980" t="s">
        <v>1298</v>
      </c>
      <c r="F1980" t="str">
        <f>[1]Raw_Customer_Dim!$A$2</f>
        <v>CUST1000</v>
      </c>
      <c r="G1980" t="str">
        <f>_xlfn.XLOOKUP(E1980,Store_Dim!A:A,Store_Dim!B:B,"Not Found")</f>
        <v>Gray Ltd</v>
      </c>
      <c r="H1980" t="str">
        <f>_xlfn.XLOOKUP(D1980,Product_Dim!A:A,Product_Dim!C:C,"Not Found")</f>
        <v>Home</v>
      </c>
      <c r="I1980" t="str">
        <f>_xlfn.XLOOKUP(E1980,Store_Dim!A:A,Store_Dim!C:C,"Not Found")</f>
        <v>North</v>
      </c>
      <c r="J1980" t="str">
        <f>_xlfn.XLOOKUP(C1980,Customer_Dim!A:A,Customer_Dim!B:B,"Not Found")</f>
        <v>Patty Francis</v>
      </c>
      <c r="K1980">
        <v>3</v>
      </c>
      <c r="L1980" s="5">
        <v>585.54999999999995</v>
      </c>
      <c r="M1980">
        <v>0.14000000000000001</v>
      </c>
      <c r="N1980" t="s">
        <v>1354</v>
      </c>
      <c r="O1980" s="5">
        <v>1510.7190000000001</v>
      </c>
    </row>
    <row r="1981" spans="1:15">
      <c r="A1981" t="s">
        <v>3330</v>
      </c>
      <c r="B1981" s="7">
        <v>45666</v>
      </c>
      <c r="C1981" t="s">
        <v>682</v>
      </c>
      <c r="D1981" t="s">
        <v>1165</v>
      </c>
      <c r="E1981" t="s">
        <v>1322</v>
      </c>
      <c r="F1981" t="str">
        <f>[1]Raw_Customer_Dim!$A$2</f>
        <v>CUST1000</v>
      </c>
      <c r="G1981" t="str">
        <f>_xlfn.XLOOKUP(E1981,Store_Dim!A:A,Store_Dim!B:B,"Not Found")</f>
        <v>Gardner, Humphrey and Contreras</v>
      </c>
      <c r="H1981" t="str">
        <f>_xlfn.XLOOKUP(D1981,Product_Dim!A:A,Product_Dim!C:C,"Not Found")</f>
        <v>Clothing</v>
      </c>
      <c r="I1981" t="str">
        <f>_xlfn.XLOOKUP(E1981,Store_Dim!A:A,Store_Dim!C:C,"Not Found")</f>
        <v>East</v>
      </c>
      <c r="J1981" t="str">
        <f>_xlfn.XLOOKUP(C1981,Customer_Dim!A:A,Customer_Dim!B:B,"Not Found")</f>
        <v>Stacy Collins</v>
      </c>
      <c r="K1981">
        <v>2</v>
      </c>
      <c r="L1981" s="5">
        <v>635.80999999999995</v>
      </c>
      <c r="M1981">
        <v>0.13</v>
      </c>
      <c r="N1981" t="s">
        <v>1351</v>
      </c>
      <c r="O1981" s="5">
        <v>1106.3094000000001</v>
      </c>
    </row>
    <row r="1982" spans="1:15">
      <c r="A1982" t="s">
        <v>3331</v>
      </c>
      <c r="B1982" s="7">
        <v>45644</v>
      </c>
      <c r="C1982" t="s">
        <v>618</v>
      </c>
      <c r="D1982" t="s">
        <v>1101</v>
      </c>
      <c r="E1982" t="s">
        <v>1294</v>
      </c>
      <c r="F1982" t="str">
        <f>[1]Raw_Customer_Dim!$A$2</f>
        <v>CUST1000</v>
      </c>
      <c r="G1982" t="str">
        <f>_xlfn.XLOOKUP(E1982,Store_Dim!A:A,Store_Dim!B:B,"Not Found")</f>
        <v>Alexander Group</v>
      </c>
      <c r="H1982" t="str">
        <f>_xlfn.XLOOKUP(D1982,Product_Dim!A:A,Product_Dim!C:C,"Not Found")</f>
        <v>Home</v>
      </c>
      <c r="I1982" t="str">
        <f>_xlfn.XLOOKUP(E1982,Store_Dim!A:A,Store_Dim!C:C,"Not Found")</f>
        <v>South</v>
      </c>
      <c r="J1982" t="str">
        <f>_xlfn.XLOOKUP(C1982,Customer_Dim!A:A,Customer_Dim!B:B,"Not Found")</f>
        <v>Jeffrey Gomez</v>
      </c>
      <c r="K1982">
        <v>2</v>
      </c>
      <c r="L1982" s="5">
        <v>353.74</v>
      </c>
      <c r="M1982">
        <v>0.01</v>
      </c>
      <c r="N1982" t="s">
        <v>1349</v>
      </c>
      <c r="O1982" s="5">
        <v>700.40520000000004</v>
      </c>
    </row>
    <row r="1983" spans="1:15">
      <c r="A1983" t="s">
        <v>3332</v>
      </c>
      <c r="B1983" s="7">
        <v>45648</v>
      </c>
      <c r="C1983" t="s">
        <v>591</v>
      </c>
      <c r="D1983" t="s">
        <v>1145</v>
      </c>
      <c r="E1983" t="s">
        <v>1304</v>
      </c>
      <c r="F1983" t="str">
        <f>[1]Raw_Customer_Dim!$A$2</f>
        <v>CUST1000</v>
      </c>
      <c r="G1983" t="str">
        <f>_xlfn.XLOOKUP(E1983,Store_Dim!A:A,Store_Dim!B:B,"Not Found")</f>
        <v>Martinez-Mullins</v>
      </c>
      <c r="H1983" t="str">
        <f>_xlfn.XLOOKUP(D1983,Product_Dim!A:A,Product_Dim!C:C,"Not Found")</f>
        <v>Clothing</v>
      </c>
      <c r="I1983" t="str">
        <f>_xlfn.XLOOKUP(E1983,Store_Dim!A:A,Store_Dim!C:C,"Not Found")</f>
        <v>South</v>
      </c>
      <c r="J1983" t="str">
        <f>_xlfn.XLOOKUP(C1983,Customer_Dim!A:A,Customer_Dim!B:B,"Not Found")</f>
        <v>Matthew Payne</v>
      </c>
      <c r="K1983">
        <v>1</v>
      </c>
      <c r="L1983" s="5">
        <v>377.52</v>
      </c>
      <c r="M1983">
        <v>0.15</v>
      </c>
      <c r="N1983" t="s">
        <v>1349</v>
      </c>
      <c r="O1983" s="5">
        <v>320.892</v>
      </c>
    </row>
    <row r="1984" spans="1:15">
      <c r="A1984" t="s">
        <v>3333</v>
      </c>
      <c r="B1984" s="7">
        <v>45500</v>
      </c>
      <c r="C1984" t="s">
        <v>472</v>
      </c>
      <c r="D1984" t="s">
        <v>1209</v>
      </c>
      <c r="E1984" t="s">
        <v>1286</v>
      </c>
      <c r="F1984" t="str">
        <f>[1]Raw_Customer_Dim!$A$2</f>
        <v>CUST1000</v>
      </c>
      <c r="G1984" t="str">
        <f>_xlfn.XLOOKUP(E1984,Store_Dim!A:A,Store_Dim!B:B,"Not Found")</f>
        <v>Black-Horn</v>
      </c>
      <c r="H1984" t="str">
        <f>_xlfn.XLOOKUP(D1984,Product_Dim!A:A,Product_Dim!C:C,"Not Found")</f>
        <v>Home</v>
      </c>
      <c r="I1984" t="str">
        <f>_xlfn.XLOOKUP(E1984,Store_Dim!A:A,Store_Dim!C:C,"Not Found")</f>
        <v>South</v>
      </c>
      <c r="J1984" t="str">
        <f>_xlfn.XLOOKUP(C1984,Customer_Dim!A:A,Customer_Dim!B:B,"Not Found")</f>
        <v>Michelle Carpenter</v>
      </c>
      <c r="K1984">
        <v>3</v>
      </c>
      <c r="L1984" s="5">
        <v>901.49</v>
      </c>
      <c r="M1984">
        <v>0</v>
      </c>
      <c r="N1984" t="s">
        <v>1349</v>
      </c>
      <c r="O1984" s="5">
        <v>2704.47</v>
      </c>
    </row>
    <row r="1985" spans="1:15">
      <c r="A1985" t="s">
        <v>3334</v>
      </c>
      <c r="B1985" s="7">
        <v>45806</v>
      </c>
      <c r="C1985" t="s">
        <v>462</v>
      </c>
      <c r="D1985" t="s">
        <v>1133</v>
      </c>
      <c r="E1985" t="s">
        <v>1298</v>
      </c>
      <c r="F1985" t="str">
        <f>[1]Raw_Customer_Dim!$A$2</f>
        <v>CUST1000</v>
      </c>
      <c r="G1985" t="str">
        <f>_xlfn.XLOOKUP(E1985,Store_Dim!A:A,Store_Dim!B:B,"Not Found")</f>
        <v>Gray Ltd</v>
      </c>
      <c r="H1985" t="str">
        <f>_xlfn.XLOOKUP(D1985,Product_Dim!A:A,Product_Dim!C:C,"Not Found")</f>
        <v>Home</v>
      </c>
      <c r="I1985" t="str">
        <f>_xlfn.XLOOKUP(E1985,Store_Dim!A:A,Store_Dim!C:C,"Not Found")</f>
        <v>North</v>
      </c>
      <c r="J1985" t="str">
        <f>_xlfn.XLOOKUP(C1985,Customer_Dim!A:A,Customer_Dim!B:B,"Not Found")</f>
        <v>Anna Perez</v>
      </c>
      <c r="K1985">
        <v>1</v>
      </c>
      <c r="L1985" s="5">
        <v>563.01</v>
      </c>
      <c r="M1985">
        <v>0.1</v>
      </c>
      <c r="N1985" t="s">
        <v>1349</v>
      </c>
      <c r="O1985" s="5">
        <v>506.709</v>
      </c>
    </row>
    <row r="1986" spans="1:15">
      <c r="A1986" t="s">
        <v>3335</v>
      </c>
      <c r="B1986" s="7">
        <v>45365</v>
      </c>
      <c r="C1986" t="s">
        <v>147</v>
      </c>
      <c r="D1986" t="s">
        <v>1213</v>
      </c>
      <c r="E1986" t="s">
        <v>1301</v>
      </c>
      <c r="F1986" t="str">
        <f>[1]Raw_Customer_Dim!$A$2</f>
        <v>CUST1000</v>
      </c>
      <c r="G1986" t="str">
        <f>_xlfn.XLOOKUP(E1986,Store_Dim!A:A,Store_Dim!B:B,"Not Found")</f>
        <v>Benson-Elliott</v>
      </c>
      <c r="H1986" t="str">
        <f>_xlfn.XLOOKUP(D1986,Product_Dim!A:A,Product_Dim!C:C,"Not Found")</f>
        <v>Home</v>
      </c>
      <c r="I1986" t="str">
        <f>_xlfn.XLOOKUP(E1986,Store_Dim!A:A,Store_Dim!C:C,"Not Found")</f>
        <v>East</v>
      </c>
      <c r="J1986" t="str">
        <f>_xlfn.XLOOKUP(C1986,Customer_Dim!A:A,Customer_Dim!B:B,"Not Found")</f>
        <v>Debra Liu</v>
      </c>
      <c r="K1986">
        <v>4</v>
      </c>
      <c r="L1986" s="5">
        <v>167.25</v>
      </c>
      <c r="M1986">
        <v>0.11</v>
      </c>
      <c r="N1986" t="s">
        <v>1349</v>
      </c>
      <c r="O1986" s="5">
        <v>595.41</v>
      </c>
    </row>
    <row r="1987" spans="1:15">
      <c r="A1987" t="s">
        <v>3336</v>
      </c>
      <c r="B1987" s="7">
        <v>45229</v>
      </c>
      <c r="C1987" t="s">
        <v>971</v>
      </c>
      <c r="D1987" t="s">
        <v>1193</v>
      </c>
      <c r="E1987" t="s">
        <v>1335</v>
      </c>
      <c r="F1987" t="str">
        <f>[1]Raw_Customer_Dim!$A$2</f>
        <v>CUST1000</v>
      </c>
      <c r="G1987" t="str">
        <f>_xlfn.XLOOKUP(E1987,Store_Dim!A:A,Store_Dim!B:B,"Not Found")</f>
        <v>Guerrero-Schmitt</v>
      </c>
      <c r="H1987" t="str">
        <f>_xlfn.XLOOKUP(D1987,Product_Dim!A:A,Product_Dim!C:C,"Not Found")</f>
        <v>Beauty</v>
      </c>
      <c r="I1987" t="str">
        <f>_xlfn.XLOOKUP(E1987,Store_Dim!A:A,Store_Dim!C:C,"Not Found")</f>
        <v>East</v>
      </c>
      <c r="J1987" t="str">
        <f>_xlfn.XLOOKUP(C1987,Customer_Dim!A:A,Customer_Dim!B:B,"Not Found")</f>
        <v>John Berg</v>
      </c>
      <c r="K1987">
        <v>3</v>
      </c>
      <c r="L1987" s="5">
        <v>345.43</v>
      </c>
      <c r="M1987">
        <v>0.08</v>
      </c>
      <c r="N1987" t="s">
        <v>1354</v>
      </c>
      <c r="O1987" s="5">
        <v>953.38679999999999</v>
      </c>
    </row>
    <row r="1988" spans="1:15">
      <c r="A1988" t="s">
        <v>3337</v>
      </c>
      <c r="B1988" s="7">
        <v>45349</v>
      </c>
      <c r="C1988" t="s">
        <v>680</v>
      </c>
      <c r="D1988" t="s">
        <v>1237</v>
      </c>
      <c r="E1988" t="s">
        <v>1311</v>
      </c>
      <c r="F1988" t="str">
        <f>[1]Raw_Customer_Dim!$A$2</f>
        <v>CUST1000</v>
      </c>
      <c r="G1988" t="str">
        <f>_xlfn.XLOOKUP(E1988,Store_Dim!A:A,Store_Dim!B:B,"Not Found")</f>
        <v>Moore, Padilla and Butler</v>
      </c>
      <c r="H1988" t="str">
        <f>_xlfn.XLOOKUP(D1988,Product_Dim!A:A,Product_Dim!C:C,"Not Found")</f>
        <v>Sports</v>
      </c>
      <c r="I1988" t="str">
        <f>_xlfn.XLOOKUP(E1988,Store_Dim!A:A,Store_Dim!C:C,"Not Found")</f>
        <v>South</v>
      </c>
      <c r="J1988" t="str">
        <f>_xlfn.XLOOKUP(C1988,Customer_Dim!A:A,Customer_Dim!B:B,"Not Found")</f>
        <v>Jennifer Zamora</v>
      </c>
      <c r="K1988">
        <v>4</v>
      </c>
      <c r="L1988" s="5">
        <v>752.48</v>
      </c>
      <c r="M1988">
        <v>0.23</v>
      </c>
      <c r="N1988" t="s">
        <v>1349</v>
      </c>
      <c r="O1988" s="5">
        <v>2317.6383999999998</v>
      </c>
    </row>
    <row r="1989" spans="1:15">
      <c r="A1989" t="s">
        <v>3338</v>
      </c>
      <c r="B1989" s="7">
        <v>45886</v>
      </c>
      <c r="C1989" t="s">
        <v>961</v>
      </c>
      <c r="D1989" t="s">
        <v>1187</v>
      </c>
      <c r="E1989" t="s">
        <v>1338</v>
      </c>
      <c r="F1989" t="str">
        <f>[1]Raw_Customer_Dim!$A$2</f>
        <v>CUST1000</v>
      </c>
      <c r="G1989" t="str">
        <f>_xlfn.XLOOKUP(E1989,Store_Dim!A:A,Store_Dim!B:B,"Not Found")</f>
        <v>Mann-Austin</v>
      </c>
      <c r="H1989" t="str">
        <f>_xlfn.XLOOKUP(D1989,Product_Dim!A:A,Product_Dim!C:C,"Not Found")</f>
        <v>Sports</v>
      </c>
      <c r="I1989" t="str">
        <f>_xlfn.XLOOKUP(E1989,Store_Dim!A:A,Store_Dim!C:C,"Not Found")</f>
        <v>East</v>
      </c>
      <c r="J1989" t="str">
        <f>_xlfn.XLOOKUP(C1989,Customer_Dim!A:A,Customer_Dim!B:B,"Not Found")</f>
        <v>William Cortez</v>
      </c>
      <c r="K1989">
        <v>1</v>
      </c>
      <c r="L1989" s="5">
        <v>120.02</v>
      </c>
      <c r="M1989">
        <v>0.26</v>
      </c>
      <c r="N1989" t="s">
        <v>1349</v>
      </c>
      <c r="O1989" s="5">
        <v>88.814799999999991</v>
      </c>
    </row>
    <row r="1990" spans="1:15">
      <c r="A1990" t="s">
        <v>3339</v>
      </c>
      <c r="B1990" s="7">
        <v>45359</v>
      </c>
      <c r="C1990" t="s">
        <v>710</v>
      </c>
      <c r="D1990" t="s">
        <v>1155</v>
      </c>
      <c r="E1990" t="s">
        <v>1307</v>
      </c>
      <c r="F1990" t="str">
        <f>[1]Raw_Customer_Dim!$A$2</f>
        <v>CUST1000</v>
      </c>
      <c r="G1990" t="str">
        <f>_xlfn.XLOOKUP(E1990,Store_Dim!A:A,Store_Dim!B:B,"Not Found")</f>
        <v>Bean, Jones and Park</v>
      </c>
      <c r="H1990" t="str">
        <f>_xlfn.XLOOKUP(D1990,Product_Dim!A:A,Product_Dim!C:C,"Not Found")</f>
        <v>Sports</v>
      </c>
      <c r="I1990" t="str">
        <f>_xlfn.XLOOKUP(E1990,Store_Dim!A:A,Store_Dim!C:C,"Not Found")</f>
        <v>West</v>
      </c>
      <c r="J1990" t="str">
        <f>_xlfn.XLOOKUP(C1990,Customer_Dim!A:A,Customer_Dim!B:B,"Not Found")</f>
        <v>Kristy Dunlap</v>
      </c>
      <c r="K1990">
        <v>3</v>
      </c>
      <c r="L1990" s="5">
        <v>146.71</v>
      </c>
      <c r="M1990">
        <v>0.28000000000000003</v>
      </c>
      <c r="N1990" t="s">
        <v>1349</v>
      </c>
      <c r="O1990" s="5">
        <v>316.89359999999999</v>
      </c>
    </row>
    <row r="1991" spans="1:15">
      <c r="A1991" t="s">
        <v>3340</v>
      </c>
      <c r="B1991" s="7">
        <v>45730</v>
      </c>
      <c r="C1991" t="s">
        <v>218</v>
      </c>
      <c r="D1991" t="s">
        <v>1201</v>
      </c>
      <c r="E1991" t="s">
        <v>1277</v>
      </c>
      <c r="F1991" t="str">
        <f>[1]Raw_Customer_Dim!$A$2</f>
        <v>CUST1000</v>
      </c>
      <c r="G1991" t="str">
        <f>_xlfn.XLOOKUP(E1991,Store_Dim!A:A,Store_Dim!B:B,"Not Found")</f>
        <v>Rivera-Warner</v>
      </c>
      <c r="H1991" t="str">
        <f>_xlfn.XLOOKUP(D1991,Product_Dim!A:A,Product_Dim!C:C,"Not Found")</f>
        <v>Beauty</v>
      </c>
      <c r="I1991" t="str">
        <f>_xlfn.XLOOKUP(E1991,Store_Dim!A:A,Store_Dim!C:C,"Not Found")</f>
        <v>East</v>
      </c>
      <c r="J1991" t="str">
        <f>_xlfn.XLOOKUP(C1991,Customer_Dim!A:A,Customer_Dim!B:B,"Not Found")</f>
        <v>George Rosario</v>
      </c>
      <c r="K1991">
        <v>2</v>
      </c>
      <c r="L1991" s="5">
        <v>358.87</v>
      </c>
      <c r="M1991">
        <v>0.24</v>
      </c>
      <c r="N1991" t="s">
        <v>1349</v>
      </c>
      <c r="O1991" s="5">
        <v>545.48239999999998</v>
      </c>
    </row>
    <row r="1992" spans="1:15">
      <c r="A1992" t="s">
        <v>3341</v>
      </c>
      <c r="B1992" s="7">
        <v>45456</v>
      </c>
      <c r="C1992" t="s">
        <v>545</v>
      </c>
      <c r="D1992" t="s">
        <v>1177</v>
      </c>
      <c r="E1992" t="s">
        <v>1291</v>
      </c>
      <c r="F1992" t="str">
        <f>[1]Raw_Customer_Dim!$A$2</f>
        <v>CUST1000</v>
      </c>
      <c r="G1992" t="str">
        <f>_xlfn.XLOOKUP(E1992,Store_Dim!A:A,Store_Dim!B:B,"Not Found")</f>
        <v>Johnson-Wright</v>
      </c>
      <c r="H1992" t="str">
        <f>_xlfn.XLOOKUP(D1992,Product_Dim!A:A,Product_Dim!C:C,"Not Found")</f>
        <v>Sports</v>
      </c>
      <c r="I1992" t="str">
        <f>_xlfn.XLOOKUP(E1992,Store_Dim!A:A,Store_Dim!C:C,"Not Found")</f>
        <v>North</v>
      </c>
      <c r="J1992" t="str">
        <f>_xlfn.XLOOKUP(C1992,Customer_Dim!A:A,Customer_Dim!B:B,"Not Found")</f>
        <v>Mr. William Horton</v>
      </c>
      <c r="K1992">
        <v>4</v>
      </c>
      <c r="L1992" s="5">
        <v>212.75</v>
      </c>
      <c r="M1992">
        <v>0.11</v>
      </c>
      <c r="N1992" t="s">
        <v>1354</v>
      </c>
      <c r="O1992" s="5">
        <v>757.39</v>
      </c>
    </row>
    <row r="1993" spans="1:15">
      <c r="A1993" t="s">
        <v>3342</v>
      </c>
      <c r="B1993" s="7">
        <v>45450</v>
      </c>
      <c r="C1993" t="s">
        <v>718</v>
      </c>
      <c r="D1993" t="s">
        <v>1163</v>
      </c>
      <c r="E1993" t="s">
        <v>1317</v>
      </c>
      <c r="F1993" t="str">
        <f>[1]Raw_Customer_Dim!$A$2</f>
        <v>CUST1000</v>
      </c>
      <c r="G1993" t="str">
        <f>_xlfn.XLOOKUP(E1993,Store_Dim!A:A,Store_Dim!B:B,"Not Found")</f>
        <v>Aguirre-Keller</v>
      </c>
      <c r="H1993" t="str">
        <f>_xlfn.XLOOKUP(D1993,Product_Dim!A:A,Product_Dim!C:C,"Not Found")</f>
        <v>Sports</v>
      </c>
      <c r="I1993" t="str">
        <f>_xlfn.XLOOKUP(E1993,Store_Dim!A:A,Store_Dim!C:C,"Not Found")</f>
        <v>South</v>
      </c>
      <c r="J1993" t="str">
        <f>_xlfn.XLOOKUP(C1993,Customer_Dim!A:A,Customer_Dim!B:B,"Not Found")</f>
        <v>Reginald Willis</v>
      </c>
      <c r="K1993">
        <v>1</v>
      </c>
      <c r="L1993" s="5">
        <v>183.47</v>
      </c>
      <c r="M1993">
        <v>0.17</v>
      </c>
      <c r="N1993" t="s">
        <v>1351</v>
      </c>
      <c r="O1993" s="5">
        <v>152.2801</v>
      </c>
    </row>
    <row r="1994" spans="1:15">
      <c r="A1994" t="s">
        <v>3343</v>
      </c>
      <c r="B1994" s="7">
        <v>45493</v>
      </c>
      <c r="C1994" t="s">
        <v>185</v>
      </c>
      <c r="D1994" t="s">
        <v>1251</v>
      </c>
      <c r="E1994" t="s">
        <v>1326</v>
      </c>
      <c r="F1994" t="str">
        <f>[1]Raw_Customer_Dim!$A$2</f>
        <v>CUST1000</v>
      </c>
      <c r="G1994" t="str">
        <f>_xlfn.XLOOKUP(E1994,Store_Dim!A:A,Store_Dim!B:B,"Not Found")</f>
        <v>Shelton PLC</v>
      </c>
      <c r="H1994" t="str">
        <f>_xlfn.XLOOKUP(D1994,Product_Dim!A:A,Product_Dim!C:C,"Not Found")</f>
        <v>Beauty</v>
      </c>
      <c r="I1994" t="str">
        <f>_xlfn.XLOOKUP(E1994,Store_Dim!A:A,Store_Dim!C:C,"Not Found")</f>
        <v>North</v>
      </c>
      <c r="J1994" t="str">
        <f>_xlfn.XLOOKUP(C1994,Customer_Dim!A:A,Customer_Dim!B:B,"Not Found")</f>
        <v>Mr. Mark Beasley</v>
      </c>
      <c r="K1994">
        <v>4</v>
      </c>
      <c r="L1994" s="5">
        <v>569.98</v>
      </c>
      <c r="M1994">
        <v>0.23</v>
      </c>
      <c r="N1994" t="s">
        <v>1349</v>
      </c>
      <c r="O1994" s="5">
        <v>1755.5383999999999</v>
      </c>
    </row>
    <row r="1995" spans="1:15">
      <c r="A1995" t="s">
        <v>3344</v>
      </c>
      <c r="B1995" s="7">
        <v>45274</v>
      </c>
      <c r="C1995" t="s">
        <v>1006</v>
      </c>
      <c r="D1995" t="s">
        <v>1115</v>
      </c>
      <c r="E1995" t="s">
        <v>1319</v>
      </c>
      <c r="F1995" t="str">
        <f>[1]Raw_Customer_Dim!$A$2</f>
        <v>CUST1000</v>
      </c>
      <c r="G1995" t="str">
        <f>_xlfn.XLOOKUP(E1995,Store_Dim!A:A,Store_Dim!B:B,"Not Found")</f>
        <v>Thomas, Bridges and Harris</v>
      </c>
      <c r="H1995" t="str">
        <f>_xlfn.XLOOKUP(D1995,Product_Dim!A:A,Product_Dim!C:C,"Not Found")</f>
        <v>Home</v>
      </c>
      <c r="I1995" t="str">
        <f>_xlfn.XLOOKUP(E1995,Store_Dim!A:A,Store_Dim!C:C,"Not Found")</f>
        <v>North</v>
      </c>
      <c r="J1995" t="str">
        <f>_xlfn.XLOOKUP(C1995,Customer_Dim!A:A,Customer_Dim!B:B,"Not Found")</f>
        <v>Philip Mendoza</v>
      </c>
      <c r="K1995">
        <v>3</v>
      </c>
      <c r="L1995" s="5">
        <v>984.12</v>
      </c>
      <c r="M1995">
        <v>0.27</v>
      </c>
      <c r="N1995" t="s">
        <v>1349</v>
      </c>
      <c r="O1995" s="5">
        <v>2155.2228</v>
      </c>
    </row>
    <row r="1996" spans="1:15">
      <c r="A1996" t="s">
        <v>3345</v>
      </c>
      <c r="B1996" s="7">
        <v>45844</v>
      </c>
      <c r="C1996" t="s">
        <v>1008</v>
      </c>
      <c r="D1996" t="s">
        <v>1241</v>
      </c>
      <c r="E1996" t="s">
        <v>1307</v>
      </c>
      <c r="F1996" t="str">
        <f>[1]Raw_Customer_Dim!$A$2</f>
        <v>CUST1000</v>
      </c>
      <c r="G1996" t="str">
        <f>_xlfn.XLOOKUP(E1996,Store_Dim!A:A,Store_Dim!B:B,"Not Found")</f>
        <v>Bean, Jones and Park</v>
      </c>
      <c r="H1996" t="str">
        <f>_xlfn.XLOOKUP(D1996,Product_Dim!A:A,Product_Dim!C:C,"Not Found")</f>
        <v>Home</v>
      </c>
      <c r="I1996" t="str">
        <f>_xlfn.XLOOKUP(E1996,Store_Dim!A:A,Store_Dim!C:C,"Not Found")</f>
        <v>West</v>
      </c>
      <c r="J1996" t="str">
        <f>_xlfn.XLOOKUP(C1996,Customer_Dim!A:A,Customer_Dim!B:B,"Not Found")</f>
        <v>Laura Mathews</v>
      </c>
      <c r="K1996">
        <v>1</v>
      </c>
      <c r="L1996" s="5">
        <v>905.23</v>
      </c>
      <c r="M1996">
        <v>0</v>
      </c>
      <c r="N1996" t="s">
        <v>1349</v>
      </c>
      <c r="O1996" s="5">
        <v>905.23</v>
      </c>
    </row>
    <row r="1997" spans="1:15">
      <c r="A1997" t="s">
        <v>3346</v>
      </c>
      <c r="B1997" s="7">
        <v>45264</v>
      </c>
      <c r="C1997" t="s">
        <v>434</v>
      </c>
      <c r="D1997" t="s">
        <v>1271</v>
      </c>
      <c r="E1997" t="s">
        <v>1338</v>
      </c>
      <c r="F1997" t="str">
        <f>[1]Raw_Customer_Dim!$A$2</f>
        <v>CUST1000</v>
      </c>
      <c r="G1997" t="str">
        <f>_xlfn.XLOOKUP(E1997,Store_Dim!A:A,Store_Dim!B:B,"Not Found")</f>
        <v>Mann-Austin</v>
      </c>
      <c r="H1997" t="str">
        <f>_xlfn.XLOOKUP(D1997,Product_Dim!A:A,Product_Dim!C:C,"Not Found")</f>
        <v>Home</v>
      </c>
      <c r="I1997" t="str">
        <f>_xlfn.XLOOKUP(E1997,Store_Dim!A:A,Store_Dim!C:C,"Not Found")</f>
        <v>East</v>
      </c>
      <c r="J1997" t="str">
        <f>_xlfn.XLOOKUP(C1997,Customer_Dim!A:A,Customer_Dim!B:B,"Not Found")</f>
        <v>Jennifer Pruitt</v>
      </c>
      <c r="K1997">
        <v>3</v>
      </c>
      <c r="L1997" s="5">
        <v>112.77</v>
      </c>
      <c r="M1997">
        <v>0.19</v>
      </c>
      <c r="N1997" t="s">
        <v>1349</v>
      </c>
      <c r="O1997" s="5">
        <v>274.03109999999998</v>
      </c>
    </row>
    <row r="1998" spans="1:15">
      <c r="A1998" t="s">
        <v>3347</v>
      </c>
      <c r="B1998" s="7">
        <v>45773</v>
      </c>
      <c r="C1998" t="s">
        <v>383</v>
      </c>
      <c r="D1998" t="s">
        <v>1143</v>
      </c>
      <c r="E1998" t="s">
        <v>1307</v>
      </c>
      <c r="F1998" t="str">
        <f>[1]Raw_Customer_Dim!$A$2</f>
        <v>CUST1000</v>
      </c>
      <c r="G1998" t="str">
        <f>_xlfn.XLOOKUP(E1998,Store_Dim!A:A,Store_Dim!B:B,"Not Found")</f>
        <v>Bean, Jones and Park</v>
      </c>
      <c r="H1998" t="str">
        <f>_xlfn.XLOOKUP(D1998,Product_Dim!A:A,Product_Dim!C:C,"Not Found")</f>
        <v>Home</v>
      </c>
      <c r="I1998" t="str">
        <f>_xlfn.XLOOKUP(E1998,Store_Dim!A:A,Store_Dim!C:C,"Not Found")</f>
        <v>West</v>
      </c>
      <c r="J1998" t="str">
        <f>_xlfn.XLOOKUP(C1998,Customer_Dim!A:A,Customer_Dim!B:B,"Not Found")</f>
        <v>Cynthia Morris</v>
      </c>
      <c r="K1998">
        <v>3</v>
      </c>
      <c r="L1998" s="5">
        <v>875.99</v>
      </c>
      <c r="M1998">
        <v>0.09</v>
      </c>
      <c r="N1998" t="s">
        <v>1351</v>
      </c>
      <c r="O1998" s="5">
        <v>2391.4526999999998</v>
      </c>
    </row>
    <row r="1999" spans="1:15">
      <c r="A1999" t="s">
        <v>3348</v>
      </c>
      <c r="B1999" s="7">
        <v>45460</v>
      </c>
      <c r="C1999" t="s">
        <v>317</v>
      </c>
      <c r="D1999" t="s">
        <v>1251</v>
      </c>
      <c r="E1999" t="s">
        <v>1314</v>
      </c>
      <c r="F1999" t="str">
        <f>[1]Raw_Customer_Dim!$A$2</f>
        <v>CUST1000</v>
      </c>
      <c r="G1999" t="str">
        <f>_xlfn.XLOOKUP(E1999,Store_Dim!A:A,Store_Dim!B:B,"Not Found")</f>
        <v>Hill, Wagner and Ballard</v>
      </c>
      <c r="H1999" t="str">
        <f>_xlfn.XLOOKUP(D1999,Product_Dim!A:A,Product_Dim!C:C,"Not Found")</f>
        <v>Beauty</v>
      </c>
      <c r="I1999" t="str">
        <f>_xlfn.XLOOKUP(E1999,Store_Dim!A:A,Store_Dim!C:C,"Not Found")</f>
        <v>East</v>
      </c>
      <c r="J1999" t="str">
        <f>_xlfn.XLOOKUP(C1999,Customer_Dim!A:A,Customer_Dim!B:B,"Not Found")</f>
        <v>Susan Mcdonald</v>
      </c>
      <c r="K1999">
        <v>2</v>
      </c>
      <c r="L1999" s="5">
        <v>685.31</v>
      </c>
      <c r="M1999">
        <v>0.26</v>
      </c>
      <c r="N1999" t="s">
        <v>1351</v>
      </c>
      <c r="O1999" s="5">
        <v>1014.2588</v>
      </c>
    </row>
    <row r="2000" spans="1:15">
      <c r="A2000" t="s">
        <v>3349</v>
      </c>
      <c r="B2000" s="7">
        <v>45607</v>
      </c>
      <c r="C2000" t="s">
        <v>147</v>
      </c>
      <c r="D2000" t="s">
        <v>1195</v>
      </c>
      <c r="E2000" t="s">
        <v>1317</v>
      </c>
      <c r="F2000" t="str">
        <f>[1]Raw_Customer_Dim!$A$2</f>
        <v>CUST1000</v>
      </c>
      <c r="G2000" t="str">
        <f>_xlfn.XLOOKUP(E2000,Store_Dim!A:A,Store_Dim!B:B,"Not Found")</f>
        <v>Aguirre-Keller</v>
      </c>
      <c r="H2000" t="str">
        <f>_xlfn.XLOOKUP(D2000,Product_Dim!A:A,Product_Dim!C:C,"Not Found")</f>
        <v>Sports</v>
      </c>
      <c r="I2000" t="str">
        <f>_xlfn.XLOOKUP(E2000,Store_Dim!A:A,Store_Dim!C:C,"Not Found")</f>
        <v>South</v>
      </c>
      <c r="J2000" t="str">
        <f>_xlfn.XLOOKUP(C2000,Customer_Dim!A:A,Customer_Dim!B:B,"Not Found")</f>
        <v>Debra Liu</v>
      </c>
      <c r="K2000">
        <v>3</v>
      </c>
      <c r="L2000" s="5">
        <v>945.37</v>
      </c>
      <c r="M2000">
        <v>0.05</v>
      </c>
      <c r="N2000" t="s">
        <v>1349</v>
      </c>
      <c r="O2000" s="5">
        <v>2694.3045000000002</v>
      </c>
    </row>
    <row r="2001" spans="1:15">
      <c r="A2001" t="s">
        <v>3350</v>
      </c>
      <c r="B2001" s="7">
        <v>45267</v>
      </c>
      <c r="C2001" t="s">
        <v>77</v>
      </c>
      <c r="D2001" t="s">
        <v>1225</v>
      </c>
      <c r="E2001" t="s">
        <v>1338</v>
      </c>
      <c r="F2001" t="str">
        <f>[1]Raw_Customer_Dim!$A$2</f>
        <v>CUST1000</v>
      </c>
      <c r="G2001" t="str">
        <f>_xlfn.XLOOKUP(E2001,Store_Dim!A:A,Store_Dim!B:B,"Not Found")</f>
        <v>Mann-Austin</v>
      </c>
      <c r="H2001" t="str">
        <f>_xlfn.XLOOKUP(D2001,Product_Dim!A:A,Product_Dim!C:C,"Not Found")</f>
        <v>Electronics</v>
      </c>
      <c r="I2001" t="str">
        <f>_xlfn.XLOOKUP(E2001,Store_Dim!A:A,Store_Dim!C:C,"Not Found")</f>
        <v>East</v>
      </c>
      <c r="J2001" t="str">
        <f>_xlfn.XLOOKUP(C2001,Customer_Dim!A:A,Customer_Dim!B:B,"Not Found")</f>
        <v>Jonathan Steele</v>
      </c>
      <c r="K2001">
        <v>3</v>
      </c>
      <c r="L2001" s="5">
        <v>68.45</v>
      </c>
      <c r="M2001">
        <v>0.17</v>
      </c>
      <c r="N2001" t="s">
        <v>1351</v>
      </c>
      <c r="O2001" s="5">
        <v>170.44049999999999</v>
      </c>
    </row>
  </sheetData>
  <phoneticPr fontId="4" type="noConversion"/>
  <pageMargins left="0.75" right="0.75" top="1" bottom="1" header="0.5" footer="0.5"/>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A5E5-7630-449A-999E-E0BBE82D3534}">
  <dimension ref="A1:H25"/>
  <sheetViews>
    <sheetView showGridLines="0" zoomScale="76" workbookViewId="0">
      <selection activeCell="I19" sqref="I19"/>
    </sheetView>
  </sheetViews>
  <sheetFormatPr defaultRowHeight="14.5"/>
  <cols>
    <col min="1" max="1" width="13.26953125" bestFit="1" customWidth="1"/>
    <col min="2" max="2" width="19.54296875" bestFit="1" customWidth="1"/>
    <col min="4" max="4" width="30.36328125" bestFit="1" customWidth="1"/>
    <col min="5" max="5" width="19.54296875" bestFit="1" customWidth="1"/>
  </cols>
  <sheetData>
    <row r="1" spans="1:8" ht="21">
      <c r="A1" s="17" t="s">
        <v>3532</v>
      </c>
      <c r="B1" s="17"/>
      <c r="C1" s="17"/>
      <c r="D1" s="17"/>
      <c r="E1" s="17"/>
      <c r="F1" s="17"/>
      <c r="G1" s="17"/>
      <c r="H1" s="17"/>
    </row>
    <row r="2" spans="1:8" ht="14.5" customHeight="1">
      <c r="A2" s="13" t="s">
        <v>3536</v>
      </c>
      <c r="D2" s="13" t="s">
        <v>3533</v>
      </c>
    </row>
    <row r="3" spans="1:8">
      <c r="A3" s="11" t="s">
        <v>3527</v>
      </c>
      <c r="B3" t="s">
        <v>3530</v>
      </c>
      <c r="D3" s="11" t="s">
        <v>3527</v>
      </c>
      <c r="E3" t="s">
        <v>3530</v>
      </c>
    </row>
    <row r="4" spans="1:8">
      <c r="A4" s="12" t="s">
        <v>1083</v>
      </c>
      <c r="B4" s="5">
        <v>299613.50169999967</v>
      </c>
      <c r="D4" s="12" t="s">
        <v>1318</v>
      </c>
      <c r="E4" s="5">
        <v>93048.140500000009</v>
      </c>
    </row>
    <row r="5" spans="1:8">
      <c r="A5" s="12" t="s">
        <v>1072</v>
      </c>
      <c r="B5" s="5">
        <v>352743.7922000002</v>
      </c>
      <c r="D5" s="12" t="s">
        <v>1295</v>
      </c>
      <c r="E5" s="5">
        <v>118814.11569999999</v>
      </c>
    </row>
    <row r="6" spans="1:8">
      <c r="A6" s="12" t="s">
        <v>1088</v>
      </c>
      <c r="B6" s="5">
        <v>504311.34800000023</v>
      </c>
      <c r="D6" s="12" t="s">
        <v>1308</v>
      </c>
      <c r="E6" s="5">
        <v>158971.46239999999</v>
      </c>
    </row>
    <row r="7" spans="1:8">
      <c r="A7" s="12" t="s">
        <v>1069</v>
      </c>
      <c r="B7" s="5">
        <v>427295.80359999998</v>
      </c>
      <c r="D7" s="12" t="s">
        <v>1302</v>
      </c>
      <c r="E7" s="5">
        <v>114533.79660000003</v>
      </c>
    </row>
    <row r="8" spans="1:8">
      <c r="A8" s="12" t="s">
        <v>3528</v>
      </c>
      <c r="B8" s="5">
        <v>46060.170099999988</v>
      </c>
      <c r="D8" s="12" t="s">
        <v>1287</v>
      </c>
      <c r="E8" s="5">
        <v>98960.807799999995</v>
      </c>
    </row>
    <row r="9" spans="1:8">
      <c r="A9" s="12" t="s">
        <v>1091</v>
      </c>
      <c r="B9" s="5">
        <v>540882.8418000004</v>
      </c>
      <c r="D9" s="12" t="s">
        <v>1330</v>
      </c>
      <c r="E9" s="5">
        <v>111704.9436</v>
      </c>
    </row>
    <row r="10" spans="1:8">
      <c r="A10" s="12" t="s">
        <v>3529</v>
      </c>
      <c r="B10" s="5">
        <v>2170907.4574000007</v>
      </c>
      <c r="D10" s="12" t="s">
        <v>1323</v>
      </c>
      <c r="E10" s="5">
        <v>114401.4715</v>
      </c>
    </row>
    <row r="11" spans="1:8">
      <c r="D11" s="12" t="s">
        <v>1299</v>
      </c>
      <c r="E11" s="5">
        <v>81144.350499999986</v>
      </c>
    </row>
    <row r="12" spans="1:8" ht="14.5" customHeight="1">
      <c r="A12" s="13" t="s">
        <v>3534</v>
      </c>
      <c r="D12" s="12" t="s">
        <v>1336</v>
      </c>
      <c r="E12" s="5">
        <v>104313.05449999998</v>
      </c>
    </row>
    <row r="13" spans="1:8" ht="13.5" customHeight="1">
      <c r="A13" s="11" t="s">
        <v>3527</v>
      </c>
      <c r="B13" t="s">
        <v>3530</v>
      </c>
      <c r="D13" s="12" t="s">
        <v>1315</v>
      </c>
      <c r="E13" s="5">
        <v>108365.93699999998</v>
      </c>
    </row>
    <row r="14" spans="1:8">
      <c r="A14" s="12" t="s">
        <v>1354</v>
      </c>
      <c r="B14" s="5">
        <v>701525.28580000019</v>
      </c>
      <c r="D14" s="12" t="s">
        <v>1333</v>
      </c>
      <c r="E14" s="5">
        <v>121441.65559999997</v>
      </c>
    </row>
    <row r="15" spans="1:8">
      <c r="A15" s="12" t="s">
        <v>1349</v>
      </c>
      <c r="B15" s="5">
        <v>713754.93280000042</v>
      </c>
      <c r="D15" s="12" t="s">
        <v>1292</v>
      </c>
      <c r="E15" s="5">
        <v>125011.8285</v>
      </c>
    </row>
    <row r="16" spans="1:8">
      <c r="A16" s="12" t="s">
        <v>1351</v>
      </c>
      <c r="B16" s="5">
        <v>755627.23879999993</v>
      </c>
      <c r="D16" s="12" t="s">
        <v>1339</v>
      </c>
      <c r="E16" s="5">
        <v>93098.39049999995</v>
      </c>
    </row>
    <row r="17" spans="1:5">
      <c r="A17" s="12" t="s">
        <v>3529</v>
      </c>
      <c r="B17" s="5">
        <v>2170907.4574000007</v>
      </c>
      <c r="D17" s="12" t="s">
        <v>1283</v>
      </c>
      <c r="E17" s="5">
        <v>101060.60920000002</v>
      </c>
    </row>
    <row r="18" spans="1:5">
      <c r="D18" s="12" t="s">
        <v>1305</v>
      </c>
      <c r="E18" s="5">
        <v>108039.34940000001</v>
      </c>
    </row>
    <row r="19" spans="1:5" ht="29">
      <c r="A19" s="13" t="s">
        <v>3535</v>
      </c>
      <c r="B19" s="6"/>
      <c r="D19" s="12" t="s">
        <v>1325</v>
      </c>
      <c r="E19" s="5">
        <v>106248.28329999997</v>
      </c>
    </row>
    <row r="20" spans="1:5">
      <c r="A20" s="11" t="s">
        <v>3527</v>
      </c>
      <c r="B20" t="s">
        <v>3530</v>
      </c>
      <c r="D20" s="12" t="s">
        <v>1312</v>
      </c>
      <c r="E20" s="5">
        <v>110102.39899999999</v>
      </c>
    </row>
    <row r="21" spans="1:5">
      <c r="A21" s="12" t="s">
        <v>1279</v>
      </c>
      <c r="B21" s="5">
        <v>619851.20529999991</v>
      </c>
      <c r="D21" s="12" t="s">
        <v>1278</v>
      </c>
      <c r="E21" s="5">
        <v>85138.555199999988</v>
      </c>
    </row>
    <row r="22" spans="1:5">
      <c r="A22" s="12" t="s">
        <v>1284</v>
      </c>
      <c r="B22" s="5">
        <v>645166.75040000037</v>
      </c>
      <c r="D22" s="12" t="s">
        <v>1327</v>
      </c>
      <c r="E22" s="5">
        <v>99679.086000000025</v>
      </c>
    </row>
    <row r="23" spans="1:5">
      <c r="A23" s="12" t="s">
        <v>1288</v>
      </c>
      <c r="B23" s="5">
        <v>635213.09570000006</v>
      </c>
      <c r="D23" s="12" t="s">
        <v>1320</v>
      </c>
      <c r="E23" s="5">
        <v>116829.22059999997</v>
      </c>
    </row>
    <row r="24" spans="1:5">
      <c r="A24" s="12" t="s">
        <v>1309</v>
      </c>
      <c r="B24" s="5">
        <v>270676.40600000002</v>
      </c>
      <c r="D24" s="12" t="s">
        <v>3529</v>
      </c>
      <c r="E24" s="5">
        <v>2170907.4574000002</v>
      </c>
    </row>
    <row r="25" spans="1:5">
      <c r="A25" s="12" t="s">
        <v>3529</v>
      </c>
      <c r="B25" s="5">
        <v>2170907.4574000002</v>
      </c>
    </row>
  </sheetData>
  <mergeCells count="1">
    <mergeCell ref="A1:H1"/>
  </mergeCells>
  <conditionalFormatting pivot="1" sqref="B21:B24">
    <cfRule type="top10" dxfId="14" priority="2" rank="1"/>
  </conditionalFormatting>
  <conditionalFormatting pivot="1" sqref="E4:E23">
    <cfRule type="top10" dxfId="13" priority="1" rank="1"/>
  </conditionalFormatting>
  <pageMargins left="0.7" right="0.7" top="0.75" bottom="0.75" header="0.3" footer="0.3"/>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FA62-BC7E-456D-A87C-3EB49AE4B815}">
  <dimension ref="A1:U27"/>
  <sheetViews>
    <sheetView showGridLines="0" zoomScale="88" workbookViewId="0">
      <selection activeCell="R19" sqref="R19"/>
    </sheetView>
  </sheetViews>
  <sheetFormatPr defaultRowHeight="14.5"/>
  <cols>
    <col min="12" max="12" width="8.7265625" customWidth="1"/>
  </cols>
  <sheetData>
    <row r="1" spans="1:21">
      <c r="A1" s="15"/>
      <c r="B1" s="15"/>
      <c r="C1" s="15"/>
      <c r="D1" s="15"/>
      <c r="E1" s="15"/>
      <c r="F1" s="17" t="s">
        <v>4017</v>
      </c>
      <c r="G1" s="17"/>
      <c r="H1" s="17"/>
      <c r="I1" s="17"/>
      <c r="J1" s="17"/>
      <c r="K1" s="17"/>
      <c r="L1" s="17"/>
      <c r="M1" s="17"/>
      <c r="N1" s="17"/>
      <c r="O1" s="17"/>
      <c r="P1" s="17"/>
      <c r="Q1" s="17"/>
      <c r="R1" s="15"/>
      <c r="S1" s="15"/>
      <c r="T1" s="15"/>
      <c r="U1" s="15"/>
    </row>
    <row r="2" spans="1:21">
      <c r="A2" s="15"/>
      <c r="B2" s="15"/>
      <c r="C2" s="15"/>
      <c r="D2" s="15"/>
      <c r="E2" s="15"/>
      <c r="F2" s="17"/>
      <c r="G2" s="17"/>
      <c r="H2" s="17"/>
      <c r="I2" s="17"/>
      <c r="J2" s="17"/>
      <c r="K2" s="17"/>
      <c r="L2" s="17"/>
      <c r="M2" s="17"/>
      <c r="N2" s="17"/>
      <c r="O2" s="17"/>
      <c r="P2" s="17"/>
      <c r="Q2" s="17"/>
      <c r="R2" s="15"/>
      <c r="S2" s="15"/>
      <c r="T2" s="15"/>
      <c r="U2" s="15"/>
    </row>
    <row r="3" spans="1:21">
      <c r="A3" s="15"/>
      <c r="B3" s="15"/>
      <c r="C3" s="15"/>
      <c r="D3" s="15"/>
      <c r="E3" s="15"/>
      <c r="F3" s="15"/>
      <c r="G3" s="15"/>
      <c r="H3" s="15"/>
      <c r="I3" s="15"/>
      <c r="J3" s="15"/>
      <c r="K3" s="15"/>
      <c r="L3" s="15"/>
      <c r="M3" s="15"/>
      <c r="N3" s="15"/>
      <c r="O3" s="15"/>
      <c r="P3" s="15"/>
      <c r="Q3" s="15"/>
      <c r="R3" s="15"/>
      <c r="S3" s="15"/>
      <c r="T3" s="15"/>
      <c r="U3" s="15"/>
    </row>
    <row r="4" spans="1:21">
      <c r="A4" s="15"/>
      <c r="B4" s="15"/>
      <c r="C4" s="15"/>
      <c r="D4" s="15"/>
      <c r="E4" s="15"/>
      <c r="F4" s="15"/>
      <c r="G4" s="15"/>
      <c r="H4" s="15"/>
      <c r="I4" s="15"/>
      <c r="J4" s="15"/>
      <c r="K4" s="15"/>
      <c r="L4" s="15"/>
      <c r="M4" s="15"/>
      <c r="N4" s="15"/>
      <c r="O4" s="15"/>
      <c r="P4" s="15"/>
      <c r="Q4" s="15"/>
      <c r="R4" s="15"/>
      <c r="S4" s="15"/>
      <c r="T4" s="15"/>
      <c r="U4" s="15"/>
    </row>
    <row r="5" spans="1:21">
      <c r="A5" s="15"/>
      <c r="B5" s="15"/>
      <c r="C5" s="15"/>
      <c r="D5" s="15"/>
      <c r="E5" s="15"/>
      <c r="F5" s="15"/>
      <c r="G5" s="15"/>
      <c r="H5" s="15"/>
      <c r="I5" s="15"/>
      <c r="J5" s="15"/>
      <c r="K5" s="15"/>
      <c r="L5" s="15"/>
      <c r="M5" s="15"/>
      <c r="N5" s="15"/>
      <c r="O5" s="15"/>
      <c r="P5" s="15"/>
      <c r="Q5" s="15"/>
      <c r="R5" s="15"/>
      <c r="S5" s="15"/>
      <c r="T5" s="15"/>
      <c r="U5" s="15"/>
    </row>
    <row r="6" spans="1:21">
      <c r="A6" s="15"/>
      <c r="B6" s="15"/>
      <c r="C6" s="15"/>
      <c r="D6" s="15"/>
      <c r="E6" s="15"/>
      <c r="F6" s="15"/>
      <c r="G6" s="15"/>
      <c r="H6" s="15"/>
      <c r="I6" s="15"/>
      <c r="J6" s="15"/>
      <c r="K6" s="15"/>
      <c r="L6" s="15"/>
      <c r="M6" s="15"/>
      <c r="N6" s="15"/>
      <c r="O6" s="15"/>
      <c r="P6" s="15"/>
      <c r="Q6" s="15"/>
      <c r="R6" s="15"/>
      <c r="S6" s="15"/>
      <c r="T6" s="15"/>
      <c r="U6" s="15"/>
    </row>
    <row r="7" spans="1:21">
      <c r="A7" s="15"/>
      <c r="B7" s="15"/>
      <c r="C7" s="15"/>
      <c r="D7" s="15"/>
      <c r="E7" s="15"/>
      <c r="F7" s="15"/>
      <c r="G7" s="15"/>
      <c r="H7" s="15"/>
      <c r="I7" s="15"/>
      <c r="J7" s="15"/>
      <c r="K7" s="15"/>
      <c r="L7" s="15"/>
      <c r="M7" s="15"/>
      <c r="N7" s="15"/>
      <c r="O7" s="15"/>
      <c r="P7" s="15"/>
      <c r="Q7" s="15"/>
      <c r="R7" s="15"/>
      <c r="S7" s="15"/>
      <c r="T7" s="15"/>
      <c r="U7" s="15"/>
    </row>
    <row r="8" spans="1:21">
      <c r="A8" s="15"/>
      <c r="B8" s="15"/>
      <c r="C8" s="15"/>
      <c r="D8" s="15"/>
      <c r="E8" s="15"/>
      <c r="F8" s="15"/>
      <c r="G8" s="15"/>
      <c r="H8" s="15"/>
      <c r="I8" s="15"/>
      <c r="J8" s="15"/>
      <c r="K8" s="15"/>
      <c r="L8" s="15"/>
      <c r="M8" s="15"/>
      <c r="N8" s="15"/>
      <c r="O8" s="15"/>
      <c r="P8" s="15"/>
      <c r="Q8" s="15"/>
      <c r="R8" s="15"/>
      <c r="S8" s="15"/>
      <c r="T8" s="15"/>
      <c r="U8" s="15"/>
    </row>
    <row r="9" spans="1:21">
      <c r="A9" s="15"/>
      <c r="B9" s="15"/>
      <c r="C9" s="15"/>
      <c r="D9" s="15"/>
      <c r="E9" s="15"/>
      <c r="F9" s="15"/>
      <c r="G9" s="15"/>
      <c r="H9" s="15"/>
      <c r="I9" s="15"/>
      <c r="J9" s="15"/>
      <c r="K9" s="15"/>
      <c r="L9" s="15"/>
      <c r="M9" s="15"/>
      <c r="N9" s="15"/>
      <c r="O9" s="15"/>
      <c r="P9" s="15"/>
      <c r="Q9" s="15"/>
      <c r="R9" s="15"/>
      <c r="S9" s="15"/>
      <c r="T9" s="15"/>
      <c r="U9" s="15"/>
    </row>
    <row r="10" spans="1:21">
      <c r="A10" s="15"/>
      <c r="B10" s="15"/>
      <c r="C10" s="15"/>
      <c r="D10" s="15"/>
      <c r="E10" s="15"/>
      <c r="F10" s="15"/>
      <c r="G10" s="15"/>
      <c r="H10" s="15"/>
      <c r="I10" s="15"/>
      <c r="J10" s="15"/>
      <c r="K10" s="15"/>
      <c r="L10" s="15"/>
      <c r="M10" s="15"/>
      <c r="N10" s="15"/>
      <c r="O10" s="15"/>
      <c r="P10" s="15"/>
      <c r="Q10" s="15"/>
      <c r="R10" s="15"/>
      <c r="S10" s="15"/>
      <c r="T10" s="15"/>
      <c r="U10" s="15"/>
    </row>
    <row r="11" spans="1:21">
      <c r="A11" s="15"/>
      <c r="B11" s="15"/>
      <c r="C11" s="15"/>
      <c r="D11" s="15"/>
      <c r="E11" s="15"/>
      <c r="F11" s="15"/>
      <c r="G11" s="15"/>
      <c r="H11" s="15"/>
      <c r="I11" s="15"/>
      <c r="J11" s="15"/>
      <c r="K11" s="15"/>
      <c r="L11" s="15"/>
      <c r="M11" s="15"/>
      <c r="N11" s="15"/>
      <c r="O11" s="15"/>
      <c r="P11" s="15"/>
      <c r="Q11" s="15"/>
      <c r="R11" s="15"/>
      <c r="S11" s="15"/>
      <c r="T11" s="15"/>
      <c r="U11" s="15"/>
    </row>
    <row r="12" spans="1:21">
      <c r="A12" s="15"/>
      <c r="B12" s="15"/>
      <c r="C12" s="15"/>
      <c r="D12" s="15"/>
      <c r="E12" s="15"/>
      <c r="F12" s="15"/>
      <c r="G12" s="15"/>
      <c r="H12" s="15"/>
      <c r="I12" s="15"/>
      <c r="J12" s="15"/>
      <c r="K12" s="15"/>
      <c r="L12" s="15"/>
      <c r="M12" s="15"/>
      <c r="N12" s="15"/>
      <c r="O12" s="15"/>
      <c r="P12" s="15"/>
      <c r="Q12" s="15"/>
      <c r="R12" s="15"/>
      <c r="S12" s="15"/>
      <c r="T12" s="15"/>
      <c r="U12" s="15"/>
    </row>
    <row r="13" spans="1:21">
      <c r="A13" s="15"/>
      <c r="B13" s="15"/>
      <c r="C13" s="15"/>
      <c r="D13" s="15"/>
      <c r="E13" s="15"/>
      <c r="F13" s="15"/>
      <c r="G13" s="15"/>
      <c r="H13" s="15"/>
      <c r="I13" s="15"/>
      <c r="J13" s="15"/>
      <c r="K13" s="15"/>
      <c r="L13" s="15"/>
      <c r="M13" s="15"/>
      <c r="N13" s="15"/>
      <c r="O13" s="15"/>
      <c r="P13" s="15"/>
      <c r="Q13" s="15"/>
      <c r="R13" s="15"/>
      <c r="S13" s="15"/>
      <c r="T13" s="15"/>
      <c r="U13" s="15"/>
    </row>
    <row r="14" spans="1:21">
      <c r="A14" s="15"/>
      <c r="B14" s="15"/>
      <c r="C14" s="15"/>
      <c r="D14" s="15"/>
      <c r="E14" s="15"/>
      <c r="F14" s="15"/>
      <c r="G14" s="15"/>
      <c r="H14" s="15"/>
      <c r="I14" s="15"/>
      <c r="J14" s="15"/>
      <c r="K14" s="15"/>
      <c r="L14" s="15"/>
      <c r="M14" s="15"/>
      <c r="N14" s="15"/>
      <c r="O14" s="15"/>
      <c r="P14" s="15"/>
      <c r="Q14" s="15"/>
      <c r="R14" s="15"/>
      <c r="S14" s="15"/>
      <c r="T14" s="15"/>
      <c r="U14" s="15"/>
    </row>
    <row r="15" spans="1:21">
      <c r="A15" s="15"/>
      <c r="B15" s="15"/>
      <c r="C15" s="15"/>
      <c r="D15" s="15"/>
      <c r="E15" s="15"/>
      <c r="F15" s="15"/>
      <c r="G15" s="15"/>
      <c r="H15" s="15"/>
      <c r="I15" s="15"/>
      <c r="J15" s="15"/>
      <c r="K15" s="15"/>
      <c r="L15" s="15"/>
      <c r="M15" s="15"/>
      <c r="N15" s="15"/>
      <c r="O15" s="15"/>
      <c r="P15" s="15"/>
      <c r="Q15" s="15"/>
      <c r="R15" s="15"/>
      <c r="S15" s="15"/>
      <c r="T15" s="15"/>
      <c r="U15" s="15"/>
    </row>
    <row r="16" spans="1:21">
      <c r="A16" s="15"/>
      <c r="B16" s="15"/>
      <c r="C16" s="15"/>
      <c r="D16" s="15"/>
      <c r="E16" s="15"/>
      <c r="F16" s="15"/>
      <c r="G16" s="15"/>
      <c r="H16" s="15"/>
      <c r="I16" s="15"/>
      <c r="J16" s="15"/>
      <c r="K16" s="15"/>
      <c r="L16" s="15"/>
      <c r="M16" s="15"/>
      <c r="N16" s="15"/>
      <c r="O16" s="15"/>
      <c r="P16" s="15"/>
      <c r="Q16" s="15"/>
      <c r="R16" s="15"/>
      <c r="S16" s="15"/>
      <c r="T16" s="15"/>
      <c r="U16" s="15"/>
    </row>
    <row r="17" spans="1:21">
      <c r="A17" s="15"/>
      <c r="B17" s="15"/>
      <c r="C17" s="15"/>
      <c r="D17" s="15"/>
      <c r="E17" s="15"/>
      <c r="F17" s="15"/>
      <c r="G17" s="15"/>
      <c r="H17" s="15"/>
      <c r="I17" s="15"/>
      <c r="J17" s="15"/>
      <c r="K17" s="15"/>
      <c r="L17" s="15"/>
      <c r="M17" s="15"/>
      <c r="N17" s="15"/>
      <c r="O17" s="15"/>
      <c r="P17" s="15"/>
      <c r="Q17" s="15"/>
      <c r="R17" s="15"/>
      <c r="S17" s="15"/>
      <c r="T17" s="15"/>
      <c r="U17" s="15"/>
    </row>
    <row r="18" spans="1:21">
      <c r="A18" s="15"/>
      <c r="B18" s="15"/>
      <c r="C18" s="15"/>
      <c r="D18" s="15"/>
      <c r="E18" s="15"/>
      <c r="F18" s="15"/>
      <c r="G18" s="15"/>
      <c r="H18" s="15"/>
      <c r="I18" s="15"/>
      <c r="J18" s="15"/>
      <c r="K18" s="15"/>
      <c r="L18" s="15"/>
      <c r="M18" s="15"/>
      <c r="N18" s="15"/>
      <c r="O18" s="15"/>
      <c r="P18" s="15"/>
      <c r="Q18" s="15"/>
      <c r="R18" s="15"/>
      <c r="S18" s="15"/>
      <c r="T18" s="15"/>
      <c r="U18" s="15"/>
    </row>
    <row r="19" spans="1:21">
      <c r="A19" s="15"/>
      <c r="B19" s="15"/>
      <c r="C19" s="15"/>
      <c r="D19" s="15"/>
      <c r="E19" s="15"/>
      <c r="F19" s="15"/>
      <c r="G19" s="15"/>
      <c r="H19" s="15"/>
      <c r="I19" s="15"/>
      <c r="J19" s="15"/>
      <c r="K19" s="15"/>
      <c r="L19" s="15"/>
      <c r="M19" s="15"/>
      <c r="N19" s="15"/>
      <c r="O19" s="15"/>
      <c r="P19" s="15"/>
      <c r="Q19" s="15"/>
      <c r="R19" s="15"/>
      <c r="S19" s="15"/>
      <c r="T19" s="15"/>
      <c r="U19" s="15"/>
    </row>
    <row r="20" spans="1:21">
      <c r="A20" s="15"/>
      <c r="B20" s="15"/>
      <c r="C20" s="15"/>
      <c r="D20" s="15"/>
      <c r="E20" s="15"/>
      <c r="F20" s="15"/>
      <c r="G20" s="15"/>
      <c r="H20" s="15"/>
      <c r="I20" s="15"/>
      <c r="J20" s="15"/>
      <c r="K20" s="15"/>
      <c r="L20" s="15"/>
      <c r="M20" s="15"/>
      <c r="N20" s="15"/>
      <c r="O20" s="15"/>
      <c r="P20" s="15"/>
      <c r="Q20" s="15"/>
      <c r="R20" s="15"/>
      <c r="S20" s="15"/>
      <c r="T20" s="15"/>
      <c r="U20" s="15"/>
    </row>
    <row r="21" spans="1:21">
      <c r="A21" s="15"/>
      <c r="B21" s="15"/>
      <c r="C21" s="15"/>
      <c r="D21" s="15"/>
      <c r="E21" s="15"/>
      <c r="F21" s="15"/>
      <c r="G21" s="15"/>
      <c r="H21" s="15"/>
      <c r="I21" s="15"/>
      <c r="J21" s="15"/>
      <c r="K21" s="15"/>
      <c r="L21" s="15"/>
      <c r="M21" s="15"/>
      <c r="N21" s="15"/>
      <c r="O21" s="15"/>
      <c r="P21" s="15"/>
      <c r="Q21" s="15"/>
      <c r="R21" s="15"/>
      <c r="S21" s="15"/>
      <c r="T21" s="15"/>
      <c r="U21" s="15"/>
    </row>
    <row r="22" spans="1:21">
      <c r="A22" s="15"/>
      <c r="B22" s="15"/>
      <c r="C22" s="15"/>
      <c r="D22" s="15"/>
      <c r="E22" s="15"/>
      <c r="F22" s="15"/>
      <c r="G22" s="15"/>
      <c r="H22" s="15"/>
      <c r="I22" s="15"/>
      <c r="J22" s="15"/>
      <c r="K22" s="15"/>
      <c r="L22" s="15"/>
      <c r="M22" s="15"/>
      <c r="N22" s="15"/>
      <c r="O22" s="15"/>
      <c r="P22" s="15"/>
      <c r="Q22" s="15"/>
      <c r="R22" s="15"/>
      <c r="S22" s="15"/>
      <c r="T22" s="15"/>
      <c r="U22" s="15"/>
    </row>
    <row r="23" spans="1:21">
      <c r="A23" s="15"/>
      <c r="B23" s="15"/>
      <c r="C23" s="15"/>
      <c r="D23" s="15"/>
      <c r="E23" s="15"/>
      <c r="F23" s="15"/>
      <c r="G23" s="15"/>
      <c r="H23" s="15"/>
      <c r="I23" s="15"/>
      <c r="J23" s="15"/>
      <c r="K23" s="15"/>
      <c r="L23" s="15"/>
      <c r="M23" s="15"/>
      <c r="N23" s="15"/>
      <c r="O23" s="15"/>
      <c r="P23" s="15"/>
      <c r="Q23" s="15"/>
      <c r="R23" s="15"/>
      <c r="S23" s="15"/>
      <c r="T23" s="15"/>
      <c r="U23" s="15"/>
    </row>
    <row r="24" spans="1:21">
      <c r="A24" s="15"/>
      <c r="B24" s="15"/>
      <c r="C24" s="15"/>
      <c r="D24" s="15"/>
      <c r="E24" s="15"/>
      <c r="F24" s="15"/>
      <c r="G24" s="15"/>
      <c r="H24" s="15"/>
      <c r="I24" s="15"/>
      <c r="J24" s="15"/>
      <c r="K24" s="15"/>
      <c r="L24" s="15"/>
      <c r="M24" s="15"/>
      <c r="N24" s="15"/>
      <c r="O24" s="15"/>
      <c r="P24" s="15"/>
      <c r="Q24" s="15"/>
      <c r="R24" s="15"/>
      <c r="S24" s="15"/>
      <c r="T24" s="15"/>
      <c r="U24" s="15"/>
    </row>
    <row r="25" spans="1:21">
      <c r="A25" s="15"/>
      <c r="B25" s="15"/>
      <c r="C25" s="15"/>
      <c r="D25" s="15"/>
      <c r="E25" s="15"/>
      <c r="F25" s="15"/>
      <c r="G25" s="15"/>
      <c r="H25" s="15"/>
      <c r="I25" s="15"/>
      <c r="J25" s="15"/>
      <c r="K25" s="15"/>
      <c r="L25" s="15"/>
      <c r="M25" s="15"/>
      <c r="N25" s="15"/>
      <c r="O25" s="15"/>
      <c r="P25" s="15"/>
      <c r="Q25" s="15"/>
      <c r="R25" s="15"/>
      <c r="S25" s="15"/>
      <c r="T25" s="15"/>
      <c r="U25" s="15"/>
    </row>
    <row r="26" spans="1:21">
      <c r="A26" s="15"/>
      <c r="B26" s="15"/>
      <c r="C26" s="15"/>
      <c r="D26" s="15"/>
      <c r="E26" s="15"/>
      <c r="F26" s="15"/>
      <c r="G26" s="15"/>
      <c r="H26" s="15"/>
      <c r="I26" s="15"/>
      <c r="J26" s="15"/>
      <c r="K26" s="15"/>
      <c r="L26" s="15"/>
      <c r="M26" s="15"/>
      <c r="N26" s="15"/>
      <c r="O26" s="15"/>
      <c r="P26" s="15"/>
      <c r="Q26" s="15"/>
      <c r="R26" s="15"/>
      <c r="S26" s="15"/>
      <c r="T26" s="15"/>
      <c r="U26" s="15"/>
    </row>
    <row r="27" spans="1:21">
      <c r="A27" s="15"/>
      <c r="B27" s="15"/>
      <c r="C27" s="15"/>
      <c r="D27" s="15"/>
      <c r="E27" s="15"/>
      <c r="F27" s="15"/>
      <c r="G27" s="15"/>
      <c r="H27" s="15"/>
      <c r="I27" s="15"/>
      <c r="J27" s="15"/>
      <c r="K27" s="15"/>
      <c r="L27" s="15"/>
      <c r="M27" s="15"/>
      <c r="N27" s="15"/>
      <c r="O27" s="15"/>
      <c r="P27" s="15"/>
      <c r="Q27" s="15"/>
      <c r="R27" s="15"/>
      <c r="S27" s="15"/>
      <c r="T27" s="15"/>
      <c r="U27" s="15"/>
    </row>
  </sheetData>
  <mergeCells count="1">
    <mergeCell ref="F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Customer_Dim</vt:lpstr>
      <vt:lpstr>Product_Dim</vt:lpstr>
      <vt:lpstr>Store_Dim</vt:lpstr>
      <vt:lpstr>Sales_Fact</vt:lpstr>
      <vt:lpstr>Cleen customer data</vt:lpstr>
      <vt:lpstr>customer data final</vt:lpstr>
      <vt:lpstr>Clean Product_Dim (2)</vt:lpstr>
      <vt:lpstr>clean product final</vt:lpstr>
      <vt:lpstr>Clean Store_Dim (2)</vt:lpstr>
      <vt:lpstr>Clean Sales_Fact (2)</vt:lpstr>
      <vt:lpstr>Clean Sales_vlook up</vt:lpstr>
      <vt:lpstr>Pivot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sharan m</cp:lastModifiedBy>
  <dcterms:created xsi:type="dcterms:W3CDTF">2025-10-14T06:00:18Z</dcterms:created>
  <dcterms:modified xsi:type="dcterms:W3CDTF">2026-09-05T11:30:35Z</dcterms:modified>
</cp:coreProperties>
</file>